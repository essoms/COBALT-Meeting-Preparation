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wwfint-my.sharepoint.com/personal/pkahuho_wwfint_org/Documents/1. CB OSP Workshop/3. DRC OSP Files/DRC OSP Files/DRC OSP Files_22_07_25/"/>
    </mc:Choice>
  </mc:AlternateContent>
  <xr:revisionPtr revIDLastSave="1549" documentId="13_ncr:1_{FDB3B386-8AB6-40D2-9F0A-3B01E6EA7380}" xr6:coauthVersionLast="47" xr6:coauthVersionMax="47" xr10:uidLastSave="{298A39E0-68BA-4135-9CCC-E82EBF7198DD}"/>
  <bookViews>
    <workbookView xWindow="22932" yWindow="-3024" windowWidth="30936" windowHeight="16776" firstSheet="7" activeTab="7" xr2:uid="{FDCC9C80-2F83-45A6-B29C-6501221CA9A7}"/>
  </bookViews>
  <sheets>
    <sheet name="Programme Profile" sheetId="1" r:id="rId1"/>
    <sheet name="Situation Analysis" sheetId="2" r:id="rId2"/>
    <sheet name="Stakeholder Analysis" sheetId="3" r:id="rId3"/>
    <sheet name="Focus &amp; Goals" sheetId="4" r:id="rId4"/>
    <sheet name="Narrative TOC" sheetId="5" r:id="rId5"/>
    <sheet name="Result Chain" sheetId="6" r:id="rId6"/>
    <sheet name="Programme Implementation Plan" sheetId="8" r:id="rId7"/>
    <sheet name="Program M&amp;E Plan" sheetId="7" r:id="rId8"/>
    <sheet name="Learning Questions" sheetId="9" r:id="rId9"/>
  </sheets>
  <definedNames>
    <definedName name="_xlnm._FilterDatabase" localSheetId="5"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8" l="1"/>
  <c r="G40" i="8"/>
  <c r="H40" i="8"/>
  <c r="I40" i="8"/>
  <c r="J40" i="8"/>
  <c r="E40" i="8"/>
  <c r="B3" i="8"/>
  <c r="B4" i="8"/>
  <c r="B5" i="8"/>
  <c r="B16" i="8"/>
  <c r="B17" i="8"/>
  <c r="B18" i="8"/>
  <c r="B19" i="8"/>
  <c r="B20" i="8"/>
  <c r="B21" i="8"/>
  <c r="B22" i="8"/>
  <c r="B23" i="8"/>
  <c r="B24" i="8"/>
  <c r="B25" i="8"/>
  <c r="B26" i="8"/>
  <c r="B27" i="8"/>
  <c r="B28" i="8"/>
  <c r="B29" i="8"/>
  <c r="B30" i="8"/>
  <c r="B31" i="8"/>
  <c r="B32" i="8"/>
  <c r="B33" i="8"/>
  <c r="B34" i="8"/>
  <c r="B35" i="8"/>
  <c r="B36" i="8"/>
  <c r="B37" i="8"/>
  <c r="B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2" i="8"/>
  <c r="J7" i="8"/>
  <c r="J8" i="8"/>
  <c r="J9" i="8"/>
  <c r="E38" i="8"/>
  <c r="J2" i="8" l="1"/>
  <c r="I38" i="8"/>
  <c r="H38" i="8"/>
  <c r="G38" i="8"/>
  <c r="F38" i="8"/>
  <c r="J4" i="8"/>
  <c r="J5"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6" i="8"/>
  <c r="J3" i="8"/>
  <c r="J38"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tc={A7922BFC-E11D-428E-81FA-B7BAD6F903ED}</author>
  </authors>
  <commentList>
    <comment ref="O1" authorId="0" shapeId="0" xr:uid="{A7922BFC-E11D-428E-81FA-B7BAD6F903E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@Etienne Longe The OSP risk assessment needs to be completed as already mentioned before </t>
      </text>
    </comment>
  </commentList>
</comments>
</file>

<file path=xl/sharedStrings.xml><?xml version="1.0" encoding="utf-8"?>
<sst xmlns="http://schemas.openxmlformats.org/spreadsheetml/2006/main" count="1258" uniqueCount="696">
  <si>
    <t>Read Me First</t>
  </si>
  <si>
    <t xml:space="preserve">Programme Name
</t>
  </si>
  <si>
    <t>Please enter the Name of the Programme (Max 20 words)
See the guidance on the approach to the Programme and Project Planning</t>
  </si>
  <si>
    <t>DRC Species Program</t>
  </si>
  <si>
    <t>Program Lead</t>
  </si>
  <si>
    <t>Please enter the Name of the Program Lead</t>
  </si>
  <si>
    <t>Program Team Member</t>
  </si>
  <si>
    <t xml:space="preserve">Please list the name of Program Staff. 
This will be the list of staff who will have access to the Program information in the new PMEL system. </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</si>
  <si>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</si>
  <si>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</si>
  <si>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</si>
  <si>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</si>
  <si>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</si>
  <si>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</si>
  <si>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</si>
  <si>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</si>
  <si>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r>
      <rPr>
        <b/>
        <sz val="10"/>
        <color theme="1"/>
        <rFont val="Arial"/>
        <family val="2"/>
        <scheme val="minor"/>
      </rPr>
      <t>Wildlife</t>
    </r>
    <r>
      <rPr>
        <sz val="10"/>
        <color theme="1"/>
        <rFont val="Arial"/>
        <family val="2"/>
        <scheme val="minor"/>
      </rPr>
      <t xml:space="preserve">
The DRC Wildlife Program aims to safeguard the country’s iconic species of elephants, bonobos, chimpanzees, and lowland gorillas, while improving community well-being and ecosystem health. Operating in biodiversity-rich yet high-threat landscapes, the program integrates law enforcement support, community-led conservation, conflict mitigation, and zoonotic disease prevention. It promotes sustainable livelihoods and delivers targeted awareness campaigns to shift attitudes towards the sustainable use of wildlife resources. Strengthened institutional collaboration and protected area management further enhance the effectiveness of wildlife protection.
To reduce human-elephant conflict, the program applies the Conflicts to Coexistence (C2C) model, empowering Indigenous Peoples and Local Communities (IPLCs) to co-develop solutions that benefit both people and wildlife. Additionally, it positions conservation as a public health priority through interventions that prevent zoonotic spillover in high-risk areas. Cross-border policy advocacy also plays a key role, targeting the illegal timber trade and transboundary wildlife trafficking through regional cooperation.
This program is aligned with WWF’s Global Goal of Zero Extinction and directly contributes to the Global Biodiversity Framework (GBF), especially Targets 1, 3, 4, 9, and 21, SDGs 1,  3, 15, and 14, and the Convention on Biological Diversity (CBD).</t>
    </r>
  </si>
  <si>
    <t>Program Focus / Focal Area</t>
  </si>
  <si>
    <t xml:space="preserve">Please select one or more Conservation and/or Human well being Focus areas that your program will be focusing on. 
Please make sure this is a subset of what's selected in the OSP. 
</t>
  </si>
  <si>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</si>
  <si>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</si>
  <si>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</si>
  <si>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</si>
  <si>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 xml:space="preserve">Salonga Landscape </t>
  </si>
  <si>
    <t xml:space="preserve">The Salonga landscape encompasses one of the largest intact blocks of lowland forest in the Congo Basin and as such, is of exceptional importance for biodiversity, CO2 sequestration and the stabilization of hydrological systems at both regional and global levels. The size and integrity of forest, with its extensive network of river systems provides secure habitat for forest elephants, bonobos, Congo peacocks, bongos, giant pangolins and eight other species of diurnal primates, with high numbers of bird and freshwater fish species as well. 
At the centre of the landscape and occupying over a third of our area of intervention, is the Salonga National Park (33,676 km2), the largest national park in Africa, and the third largest tropical forest park in the world. The Park is divided into southern (17,323 km2) and northern (16,353 km2) blocks, separated by a corridor approximately 45 km wide. The Park was declared a UNESCO World Heritage Site in 1984, and reclassified as one of the sites in danger in 1999. </t>
  </si>
  <si>
    <t xml:space="preserve">Virunga Landscape </t>
  </si>
  <si>
    <t xml:space="preserve">Our zone of intervention in the Virunga landscape is located in the province of North Kivu, along the western border of Virunga National Park, the first national park created in Africa, famous for the iconic mountain gorilla and also home to the eastern lowland gorilla and chimpanzee. It is an area of rich faunal biodiversity, with 210 mammalian species, 21 of which are endemic to DRC, and over 700 species of birds, including several endemics. The region lies within the Albertine Rift, has volcanic mountains and rugged terrain with average slopes of greater than 15%.  
The province itself, an area of 59,483 km2, has a population of approximately 8.9 million inhabitants spread over six territories: Beni, Lubero, Masisi, Nyiragongo, Rutshuru, and Walikale. The agricultural sector is of paramount importance, providing nearly six out of ten jobs. Rural communities depend highly on access to natural resources for their livelihoods, and supplying the demand from urban areas for products including charcoal and bush meat is 
placing unsustainable pressure on the environment and wildlife. </t>
  </si>
  <si>
    <t xml:space="preserve"> Lacs Tumba-Mai Ndombe </t>
  </si>
  <si>
    <t xml:space="preserve">The Lacs Tumba-Mai Ndombe landscape lies along the western border of the DRC, and includes one of the largest wetlands in the world. In the northern zone, there are varied forest stands including swamp forests on peatland, limbali forests and secondary forests. The wetland ecosystem provides important bird habitat and was designated as a Ramsar Site in 2008. The diverse ecosystems are home to emblematic and endemic species of fauna, 
including large mammals, reptiles, amphibians and fish. There are also high densities of two threatened species of African apes, chimpanzees (Pan troglodytes) and bonobos (Pan paniscus), as well as forest elephants (Loxodonta cyclotis), hippopotamus (Hippopotamus amphibius), approximately 16 species of diurnal monkeys, seven species of duikers, and leopards. 
There are four protected areas within the landscape: the Ngiri Triangle Nature Reserve, the Tumba Lediima Reserve, the Eala Botanical Garden and the Mabali Scientific Reserve. The first three are managed by the Institut Congolais pour la Conservation de la Nature (ICCN) and the last by the DRC Ministry of Scientific Research. There are also community forest concessions of which 6, covering 14,900 ha, have been set up with the primary objectives of conservation and bonobo ecotourism (Malebo area, located in the Bateke-Nord chiefdom). The Malebo area contains some of the highest densities of bonobos recorded (0.79 bonobo/km²).  
The landscape is home to more than two million people, with almost half resident in the city of Mbandaka to the north, and the remainder in smaller towns (Lukolela, Makanza, Bikoro, Bomongo, Inongo, Kwamouth, Bolobo, etc.) and villages situated along the rivers and lakes. Farming, fishing, hunting, and collecting non-timber forest products (NTFPs) are the main sources of income for rural communities. </t>
  </si>
  <si>
    <t>Itombwe</t>
  </si>
  <si>
    <t>Itombwe landscape is based in Bukavu, the largest city in the province of South Kivu. Areas of concern to conservation efforts include the Natural 
Reserve of Itombwe (RNI), located at the western escarpment of the Albertine Rift, at the northern end of Lake Tanganyika. The RNI occupies an area of 5,732 km2 in the Itombwe Massif, which is part of the African Rift Lakes Region, one of the 35 global priority places under the WWF Global Priority Framework (GPF). Flagship species in the region are the lowland gorilla, chimpanzee, and a small population of forest elephants among other protected species in the DRC. The reserve has been identified as a site of significant importance for the conservation of threatened and endemic birds, amphibians, and various endangered large mammals.  
There are approximately 1,182,000 inhabitants in the province, who are very unevenly distributed: there is a high concentration in the eastern part, along the main roads, shores and low slopes near Lake Tanganyika. This is where the major urban centres such as Luvungi, Sange, Uvira, Nundu, Baraka, are located. The largely rural population is dependent on subsistence agriculture and exploitation of natural resources. There is a high level of insecurity 
in the region due to armed militia groups</t>
  </si>
  <si>
    <t xml:space="preserve"> Luki Project Site</t>
  </si>
  <si>
    <t xml:space="preserve">The Luki project site centres in and around the Luki Biosphere Reserve (RBL), which was created in 1976, and is recognized by UNESCO. The 33,000 ha reserve is a community protected area in the larger Mayombe forest ecosystem, located in the province of Kongo Central. The presence of the Central African chimpanzee (Pan troglodytes troglodytes) in the Reserve was recently confirmed. The Reserve is the only remaining forested area without 
significant degradation, as the province is relatively small and densely populated. There are two large cities, Boma and Matadi, and the area is within a day’s travel to Kinshasa. As a result, forests surrounding the reserve have been decimated both by agricultural expansion and harvesting for timber and charcoal production. </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</si>
  <si>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</si>
  <si>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</si>
  <si>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</si>
  <si>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Wildlife</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</si>
  <si>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</si>
  <si>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</si>
  <si>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The political situation in the target landscapes reflects a variety of dynamics depending on local realities. In the Virunga region, political complexity remains high due to persistent security tensions. The DRC government has instituted a state of siege in conflict-affected provinces, particularly North Kivu, accompanied by significant security, judicial, administrative and constitutional reforms. The Disarmament, Demobilization, Reintegration and Stabilization Program (PDDRC-S) supports this security dynamic. However, the reform of the Independent National Electoral Commission (CENI) in 2022 has raised concerns about possible electoral tensions. On the other hand, the DRC's active participation in the Nairobi and Luanda peace processes underlines a commitment to long-term stability in the east of the country.
In comparison, the Lac Tumba Mai-Ndombé landscape presents a relatively stable and peaceful provincial political context, supported by innovative policies, particularly in terms of peatland and biodiversity preservation. This stability is accompanied by a recent improvement in respect for the rights of indigenous peoples, thanks to the enactment of specific laws reinforcing their protection.
Similarly, in the Mayombe Mangroves landscape, the political framework is strengthened by provincial autonomy established by the law on the free administration of the provinces. This autonomy encourages local management in key areas such as the environment, land and energy. WWF plays a key role in working closely with the authorities and stakeholders to ensure effective implementation of environmental policies.
Finally, in the Salonga National Park, sustained efforts are being made to strengthen governance and security. Particular emphasis is placed on the application of a robust environmental and social framework, with the overriding aim of preventing human rights abuses and ensuring the sustainable and respectful management of the park's resources.</t>
  </si>
  <si>
    <t>Social</t>
  </si>
  <si>
    <t xml:space="preserve">In the Virunga region, complexity remains high due to persistent insecurity for over 30 years, exacerbated by the activities of rebel groups such as the M23. The provinces of North and South Kivu are experiencing massive internal population displacements, severe food insecurity, and widespread human rights violations, including sexual violence and indiscriminate shelling. This major humanitarian crisis continues to weigh heavily on peace efforts, despite regional initiatives such as the Nairobi and Luanda processes, and government reforms aimed at stabilizing eastern DRC.
In contrast, the Lac Tumba Mai-Ndombé landscape displays a diverse and relatively stable social framework, inhabited by a cultural mosaic composed mainly of farmers, hunters, fishermen and gatherers. Although the precise representation of indigenous populations is uncertain, their recent recognition thanks to new legislation bears witness to a positive evolution in the protection of their rights. Large towns such as Inongo and Mbandaka are major socio-economic hubs, with local populations heavily dependent on water resources.
The Mayombe Mangrove landscape, on the other hand, presents a mono-ethnic context mainly dominated by ethnic Kongo groups (Yombe, Woyo, Asolongo and Mboma), living in harmony in an urban ano-rural setting. This cultural homogeneity contributes to a stable political environment, facilitated by provincial autonomy established by the law on the free administration of the provinces, which enables effective local management, particularly in the environmental field.
Finally, in the Salonga National Park, current efforts are focused on strengthening governance and environmental and social security. Significant action is being taken to prevent human rights abuses and ensure sustainable management of the park's natural resources, despite the challenges posed by the region's isolation and logistical complexity.
</t>
  </si>
  <si>
    <t>Economic</t>
  </si>
  <si>
    <t xml:space="preserve">The Virunga region remains marked by chronic instability due to the prolonged presence of rebel groups and the illicit exploitation of its abundant natural resources. The provinces of North and South Kivu are rich in precious minerals such as coltan, gold, cassiterite and wolframite, highly prized resources that fuel a complex clandestine trade involving regional and international players. This illegal trade deprives the Congolese state of substantial revenues, while indirectly financing armed conflict. Violent clashes also lead to massive population displacement, exacerbating a major humanitarian crisis characterized by serious human rights violations.
In contrast, the Lac Tumba Mai-Ndombe landscape features a local economy dominated by agriculture and fishing, which are the main sources of income for the communities. Despite the presence of largely inactive industrial logging concessions, artisanal and illegal logging and the growing production of charcoal represent major economic and environmental challenges for this region.
In the Mayombe Mangrove landscape, the state remains the main employer, while the local economy is essentially based on agriculture, fishing and small-scale trade. However, the lack of opportunities is driving many young people into unsustainable activities such as illegal logging and charcoal-making, threatening the natural resources of the protected areas. Agricultural products such as cocoa, palm oil, coffee, cassava, bananas and corn are important economic assets.
Finally, the Salonga National Park is pursuing its efforts in terms of environmental and social governance to ensure sustainable management, despite significant logistical challenges linked to geographical isolation. Targeted initiatives aim to strengthen the protection of natural resources while guaranteeing respect for human rights.
</t>
  </si>
  <si>
    <t>Climate &amp; Environmental</t>
  </si>
  <si>
    <t xml:space="preserve">The Virunga region remains marked by chronic instability, exacerbated by the presence of rebel groups and the illicit exploitation of its abundant natural resources. The provinces of North and South Kivu, rich in strategic minerals such as coltan, gold and cassiterite, suffer the effects of a complex clandestine trade involving regional and international players. This illegal trade directly fuels armed conflict, while depriving the Congolese state of vital financial resources. In addition, the effects of climate change are aggravating the situation, leading to catastrophic flooding, mass displacement and increased pressure on already fragile local communities. This dynamic also contributes to the recruitment of young people into armed groups, fuelling a vicious circle of violence and poverty.
By comparison, the Lac Tumba Mai-Ndombé landscape is characterized by a predominantly agricultural and fish-farming economy but is facing increasing pressure on its forest resources. Rapid deforestation, largely due to artisanal logging and charcoal production, threatens the integrity of the vast rainforests and peatlands, essential for climate regulation. The environmental situation is worrying, with deforestation rates well above the national average, jeopardizing the region's unique biodiversity.
In the Mayombe Mangrove landscape, the state remains the main employer, but local economic activities remain limited, pushing young people towards unsustainable practices such as charcoal-making and illegal logging. The hot, humid equatorial climate exacerbates environmental vulnerability, and unsustainable agricultural practices and recurrent bush fires threaten forest, savannah and aquatic ecosystems.
Finally, in the Salonga National Park, despite its geographical isolation and the associated logistical challenges, initiatives continue to strengthen environmental and social governance to ensure the sustainable protection of its exceptional biodiversity, while ensuring respect for the rights of local populations.
</t>
  </si>
  <si>
    <t>Institutional</t>
  </si>
  <si>
    <t xml:space="preserve">The Virunga region continues to face persistent instability, amplified by the presence of armed groups and the illegal exploitation of strategic natural resources. The provinces of North and South Kivu, rich in essential minerals such as coltan, gold and cassiterite, are subject to a complex clandestine trade involving regional and international players, which finances conflicts and impoverishes the Congolese state. The situation is exacerbated by climate change, illustrated by recurrent large-scale flooding such as that which recently occurred in South Kivu province. Faced with these challenges, initiatives such as the Priority Action Plan (PAP 2025) in North Kivu and the Provincial Development Plan (2024-2028) in South Kivu are being implemented with the support of international partners to improve living conditions and strengthen the resilience of local communities.
In the Lac Tumba Mai-Ndombe landscape, shared between the Equateur and Mai-Ndombe provinces, the dominant economic activities are agriculture and fishing, which play a key role for local communities. However, artisanal logging and the growing production of charcoal represent significant environmental pressures. A decentralized institutional structure, comprising provincial governments, provincial assemblies and local authorities, collaborates with institutions such as the Institut Congolais pour la Conservation de la Nature (ICCN) to ensure sustainable management of natural resources.
The Mayombe Mangrove landscape, located entirely within the province of Kongo Central, benefits from a provincial administration structured around a governor and a provincial assembly. Despite this favorable institutional context, limited economic opportunities are driving young people towards the unsustainable exploitation of natural resources. The State and various stakeholders, notably the ICCN, the Local Steering Committee (CLP) and civil society, are working together to ensure the sustainable management of natural resources.
Finally, the Salonga National Park is pursuing its environmental and social protection efforts, despite major logistical and geographical constraints. Targeted initiatives are being deployed to ensure the conservation of biodiversity and the protection of local communities' rights.
</t>
  </si>
  <si>
    <t>Stakeholder Name</t>
  </si>
  <si>
    <t>Stakeholder Description</t>
  </si>
  <si>
    <t>Stakeholder Type</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</si>
  <si>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</si>
  <si>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</si>
  <si>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</si>
  <si>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</si>
  <si>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</si>
  <si>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</si>
  <si>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</si>
  <si>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</si>
  <si>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</si>
  <si>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</si>
  <si>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 xml:space="preserve"> </t>
  </si>
  <si>
    <t>RAPNAV</t>
  </si>
  <si>
    <t>Network of Associations for the Protection of Nature around Virunga</t>
  </si>
  <si>
    <t>Network CSO</t>
  </si>
  <si>
    <t>Designing, Planning, implementation and monitoring</t>
  </si>
  <si>
    <t>Service Agreement</t>
  </si>
  <si>
    <t>Yes</t>
  </si>
  <si>
    <t>PIDP</t>
  </si>
  <si>
    <t>Integrated Program for the Development of the Pygmy People in Kivu</t>
  </si>
  <si>
    <t>SHOW JUMPING</t>
  </si>
  <si>
    <t>Implementation</t>
  </si>
  <si>
    <t>North Kivu Civil Society</t>
  </si>
  <si>
    <t>Société civile Force Vive du Nord-Kivu</t>
  </si>
  <si>
    <t>MoU. Advocacy</t>
  </si>
  <si>
    <t>UGADEC</t>
  </si>
  <si>
    <t>Union of Conservation Associations Gorillas for Community Development in Eastern DR Congo</t>
  </si>
  <si>
    <t>MoU. Supporting Community forest concessions</t>
  </si>
  <si>
    <t>APAB</t>
  </si>
  <si>
    <t>Batwa Indigenous Peoples Association</t>
  </si>
  <si>
    <t>CAFEPADE</t>
  </si>
  <si>
    <t>Caisse des femmes paysannes pour le développement</t>
  </si>
  <si>
    <t>CBFC</t>
  </si>
  <si>
    <t>Consortium Brave Femmes du Congo</t>
  </si>
  <si>
    <t>SOCEARUCO</t>
  </si>
  <si>
    <t>Environmental and agrarian civil society of Congo</t>
  </si>
  <si>
    <t>TRAFEED</t>
  </si>
  <si>
    <t>Networking with Federations of Women and Children in Need</t>
  </si>
  <si>
    <t xml:space="preserve"> CIAPAFED</t>
  </si>
  <si>
    <t>Society civil organization</t>
  </si>
  <si>
    <t>Planning &amp; implementation</t>
  </si>
  <si>
    <t>Quarterly meetings, reporting, sharing action plans, (how we work with partners)</t>
  </si>
  <si>
    <t xml:space="preserve"> Mbou Mon Tour,</t>
  </si>
  <si>
    <t>implementation</t>
  </si>
  <si>
    <t>Private companies - SOGENAC (cattle rearing)</t>
  </si>
  <si>
    <t>private sector</t>
  </si>
  <si>
    <t xml:space="preserve"> ERA Congo (carbon credit)</t>
  </si>
  <si>
    <t>Learning</t>
  </si>
  <si>
    <t xml:space="preserve"> SODEFOR (logging)</t>
  </si>
  <si>
    <t>Local communities managing CFCL</t>
  </si>
  <si>
    <t>Local communities</t>
  </si>
  <si>
    <t>Academics and scientists monitoring peatlands and forests - University of Gembloux</t>
  </si>
  <si>
    <t>University</t>
  </si>
  <si>
    <t xml:space="preserve"> University of Kisangani, Univ Mbandaka</t>
  </si>
  <si>
    <t>Governorates</t>
  </si>
  <si>
    <t>Public sector</t>
  </si>
  <si>
    <t>Planning</t>
  </si>
  <si>
    <t>ICCN,</t>
  </si>
  <si>
    <t>Provincial and territorial administrations</t>
  </si>
  <si>
    <t>The provincial and territorial administration participates in the implementation of PIREDD project activities, and is involved in monitoring.</t>
  </si>
  <si>
    <t>RF Norway</t>
  </si>
  <si>
    <t>ERAIFT</t>
  </si>
  <si>
    <t>Haute Ecole and Research</t>
  </si>
  <si>
    <t>Involved in the planning and implementation of Alliance Verte, EU-Luki, PASAGAR and other projects</t>
  </si>
  <si>
    <t>ACODED/AMAR</t>
  </si>
  <si>
    <t>NGO</t>
  </si>
  <si>
    <t>Stakeholder in the implementation of the Alliance Verte project</t>
  </si>
  <si>
    <t>ADEV</t>
  </si>
  <si>
    <t>Caritas Matadi</t>
  </si>
  <si>
    <t>CCPN</t>
  </si>
  <si>
    <t>ULB-Coopération</t>
  </si>
  <si>
    <t>INGO</t>
  </si>
  <si>
    <t>Research &amp; Development</t>
  </si>
  <si>
    <t>Implements research and development projects in the landscape</t>
  </si>
  <si>
    <t>UKV</t>
  </si>
  <si>
    <t>Training and Research</t>
  </si>
  <si>
    <t>Stakeholder in the Alliance Verte project</t>
  </si>
  <si>
    <t>ISDR- Kinzau and ISEA-Tshela</t>
  </si>
  <si>
    <t>Universities</t>
  </si>
  <si>
    <t>Provincial Government</t>
  </si>
  <si>
    <t>Public institution</t>
  </si>
  <si>
    <t>Monitoring and evaluation of project implementation in the landscape</t>
  </si>
  <si>
    <t>Decentralized and centralized territorial entities</t>
  </si>
  <si>
    <t>Monitoring and evaluation</t>
  </si>
  <si>
    <t>CLP</t>
  </si>
  <si>
    <t>Participates in project planning at the Luki Reserve</t>
  </si>
  <si>
    <t>CLDs</t>
  </si>
  <si>
    <t>Farmers' civil society</t>
  </si>
  <si>
    <t>Project beneficiaries in the landscape</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</si>
  <si>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</si>
  <si>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</si>
  <si>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</si>
  <si>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</si>
  <si>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</si>
  <si>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</si>
  <si>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</si>
  <si>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</si>
  <si>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</si>
  <si>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</si>
  <si>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Elephants</t>
  </si>
  <si>
    <t>By 2035, the number of individual elephants in priority landscapes is stabilized compared to the 2026 baseline</t>
  </si>
  <si>
    <t>1. No sudden environmental disturbances that could lead to mortality of elephants
2. Government policies remain in favour of endangered and protected species</t>
  </si>
  <si>
    <t>Bonobos</t>
  </si>
  <si>
    <t>By 2035, the number of Bonobos in targeted landscapes is stabilized  compared to the 2026 baseline.</t>
  </si>
  <si>
    <t>Lowland Gorillas</t>
  </si>
  <si>
    <t>By 2035, the number of East lowland gorillas in targeted landscapes is stabilized compared to the 2024 baseline.</t>
  </si>
  <si>
    <t>Chimpanzees</t>
  </si>
  <si>
    <t>By 2035, the number of chimpanzees in  targeted landscapes is stabilized compared to the 2024 baseline.</t>
  </si>
  <si>
    <t>Human Wellbeing</t>
  </si>
  <si>
    <t>By 2035, the wellbeing of targeted communities in targeted landscapes is improved by 20% relative to 2025 baseline.</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</si>
  <si>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</si>
  <si>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</si>
  <si>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r>
      <rPr>
        <sz val="9"/>
        <color rgb="FF000000"/>
        <rFont val="Arial"/>
        <family val="2"/>
        <scheme val="minor"/>
      </rPr>
      <t xml:space="preserve">The DRC Wildlife Program aims to stabilize elephant populations and increase the populations of bonobos, chimpanzees, and lowland gorillas in priority landscapes by 2035. This will be achieved through a combination of strategies that reduce poaching and illegal wildlife trade, mitigate human-elephant conflict, and prevent zoonotic disease transmission.
To address poaching and illegal capture, the program will </t>
    </r>
    <r>
      <rPr>
        <b/>
        <sz val="9"/>
        <color rgb="FF000000"/>
        <rFont val="Arial"/>
        <family val="2"/>
        <scheme val="minor"/>
      </rPr>
      <t xml:space="preserve">promote alternative value chains that generate sustainable income </t>
    </r>
    <r>
      <rPr>
        <sz val="9"/>
        <color rgb="FF000000"/>
        <rFont val="Arial"/>
        <family val="2"/>
        <scheme val="minor"/>
      </rPr>
      <t xml:space="preserve">for IPLCs who rely on wildlife as a source of livelihood. Increasing IPLC’s income from alternative sources will reduce the financial incentives for engaging in poaching and illegal wildlife trade. Complementing these efforts, awareness campaigns will be conducted to educate communities on the ecological and legal importance of protected species to shift social norms and discourage poaching and use of wildlife products. 
Additionally, WWF will support </t>
    </r>
    <r>
      <rPr>
        <b/>
        <sz val="9"/>
        <color rgb="FF000000"/>
        <rFont val="Arial"/>
        <family val="2"/>
        <scheme val="minor"/>
      </rPr>
      <t xml:space="preserve">strengthening wildlife protection capacities </t>
    </r>
    <r>
      <rPr>
        <sz val="9"/>
        <color rgb="FF000000"/>
        <rFont val="Arial"/>
        <family val="2"/>
        <scheme val="minor"/>
      </rPr>
      <t xml:space="preserve">through targeted initiatives such as training and providing monitoring and surveillance equipment. These efforts will be reinforced by enabling improved institutional collaboration among agencies with wildlife protection mandates, leading to more coordinated and effective monitoring, control, and prosecution to disrupt illegal wildlife trade networks and deter poaching. These efforts will contribute to stabilizing the population of the endangered species.
Human-elephant conflict will be addressed through the </t>
    </r>
    <r>
      <rPr>
        <b/>
        <sz val="9"/>
        <color rgb="FF000000"/>
        <rFont val="Arial"/>
        <family val="2"/>
        <scheme val="minor"/>
      </rPr>
      <t>Conflicts to Coexistence (C2C) approach.</t>
    </r>
    <r>
      <rPr>
        <sz val="9"/>
        <color rgb="FF000000"/>
        <rFont val="Arial"/>
        <family val="2"/>
        <scheme val="minor"/>
      </rPr>
      <t xml:space="preserve"> This strategy combines practical mitigation tools, behaviour change communication, and participatory planning with Indigenous Peoples and Local Communities (IPLCs). By enhancing the benefits of conservation and promoting shared decision-making, the program fosters more positive attitudes toward elephants. This shift in perception is expected to reduce retaliatory killings and promote coexistence, ultimately improving the well-being of communities and the conservation status of elephants.
The program will implement targeted measures to </t>
    </r>
    <r>
      <rPr>
        <b/>
        <sz val="9"/>
        <color rgb="FF000000"/>
        <rFont val="Arial"/>
        <family val="2"/>
        <scheme val="minor"/>
      </rPr>
      <t xml:space="preserve">mitigate zoonotic disease transmission </t>
    </r>
    <r>
      <rPr>
        <sz val="9"/>
        <color rgb="FF000000"/>
        <rFont val="Arial"/>
        <family val="2"/>
        <scheme val="minor"/>
      </rPr>
      <t>due to increased human-wildlife interaction. These include pathogen monitoring, public health education, and habitat protection to reduce human-wildlife interactions. By framing wildlife conservation as a public health aspect, the program mobilizes broader support and contributes to reducing the risk of zoonotic spillover, particularly between humans and great apes.
In parallel, the program will engage in</t>
    </r>
    <r>
      <rPr>
        <b/>
        <sz val="9"/>
        <color rgb="FF000000"/>
        <rFont val="Arial"/>
        <family val="2"/>
        <scheme val="minor"/>
      </rPr>
      <t xml:space="preserve"> targeted policy and advocacy efforts</t>
    </r>
    <r>
      <rPr>
        <sz val="9"/>
        <color rgb="FF000000"/>
        <rFont val="Arial"/>
        <family val="2"/>
        <scheme val="minor"/>
      </rPr>
      <t xml:space="preserve"> to create an enabling environment for forest conservation. A key focus area is facilitating and supporting cross-border cooperation to address the illegal timber trade, which contributes to habitat degradation. By working with national authorities, regional bodies, and international partners, the program aims to strengthen legal frameworks, harmonize enforcement protocols, and enhance information sharing across borders. These efforts are essential to curbing transboundary environmental crime, protecting critical habitats, and ensuring the long-term viability of both forest and wildlife resources in the region.
These combined efforts are expected to reduce direct threats to wildlife, improve the management effectiveness of protected areas, and foster community stewardship. In doing so, the program contributes to the long-term conservation of key species and ecosystems, while also safeguarding human health and improving the livelihoods of targeted communities.</t>
    </r>
  </si>
  <si>
    <t>Opportunities for Innovation</t>
  </si>
  <si>
    <t>Please articulate priority areas of innovation and research where needed. Innovation and Research activities must be included in the Programme Implementation Plan, 
Max. 500 words</t>
  </si>
  <si>
    <t xml:space="preserve">Conservation Focus of the Programme
</t>
  </si>
  <si>
    <t xml:space="preserve">Priority Threats / Other Factors </t>
  </si>
  <si>
    <t>Result ID</t>
  </si>
  <si>
    <t>Program Outcomes</t>
  </si>
  <si>
    <t>Relevant Geographic Scope</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</si>
  <si>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</si>
  <si>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</si>
  <si>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</si>
  <si>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</si>
  <si>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</si>
  <si>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</si>
  <si>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</si>
  <si>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</si>
  <si>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</si>
  <si>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</si>
  <si>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 xml:space="preserve">Please Describe the desired reduction of threats (or changes to the identified factors). Please make sure the statement is SMART.
</t>
  </si>
  <si>
    <t xml:space="preserve">Please indicate the relevant Geographic Scope for each Outcome statement. 
Ensure to use one of the Geographic scope identified in the Scope tab of OSP Design Template. </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</si>
  <si>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</si>
  <si>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</si>
  <si>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</si>
  <si>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</si>
  <si>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</si>
  <si>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</si>
  <si>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</si>
  <si>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</si>
  <si>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</si>
  <si>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</si>
  <si>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</si>
  <si>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</si>
  <si>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</si>
  <si>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</si>
  <si>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</si>
  <si>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</si>
  <si>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</si>
  <si>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</si>
  <si>
    <t>Outcome name</t>
  </si>
  <si>
    <t>Outcome Name</t>
  </si>
  <si>
    <t>Results ID</t>
  </si>
  <si>
    <t>Output Statement</t>
  </si>
  <si>
    <t>FY26 Cost</t>
  </si>
  <si>
    <t>FY27 Cost</t>
  </si>
  <si>
    <t>FY28 Cost</t>
  </si>
  <si>
    <t>FY29 Cost</t>
  </si>
  <si>
    <t>FY30 Cost</t>
  </si>
  <si>
    <t>Total Output Cost + Management fee</t>
  </si>
  <si>
    <t>Current Project (CPM Project #)</t>
  </si>
  <si>
    <t xml:space="preserve">Target Funding Source </t>
  </si>
  <si>
    <t>1.1.1.1</t>
  </si>
  <si>
    <t>By 2030, local communities and IPs living in and around the Salonga will be sensitized to the sustainable human-elephant coexistence..</t>
  </si>
  <si>
    <t>ABC224678</t>
  </si>
  <si>
    <t>1.1.2.1</t>
  </si>
  <si>
    <t>By 2030, at least 1 study will be carried out on the perception of HEC in the Salonga landscape.</t>
  </si>
  <si>
    <t>ABCC224678</t>
  </si>
  <si>
    <t>1.1.2.2</t>
  </si>
  <si>
    <t>By 2030, participatory HEC dialogue forums are held annualy in 100% of high-conflict IPLC communities to co-design mitigation and coexistence solutions.</t>
  </si>
  <si>
    <t>1.1.2.3</t>
  </si>
  <si>
    <t>By 2027, at least 50 HEC champions (including elders, women, and youth) are trained in conflict prevention, coexistence, and community outreach.</t>
  </si>
  <si>
    <t>Poaching reduced</t>
  </si>
  <si>
    <t>1.1.3.1</t>
  </si>
  <si>
    <t>By 2030, 100% of identified elephant hotspots or high-concentration areas are covered by patrols and biomonitoring surveys.</t>
  </si>
  <si>
    <t>1.1.3.2</t>
  </si>
  <si>
    <t>By 2030, 100% of identified Bonobo hotspots or high-concentration areas are covered by community patrols &amp; surveillance</t>
  </si>
  <si>
    <t>1.1.3.3</t>
  </si>
  <si>
    <t>By 2030, 100% of identified lowland gorilla hotspots or high-concentration areas are covered by community patrols &amp; surveillance</t>
  </si>
  <si>
    <t>1.1.3.4</t>
  </si>
  <si>
    <t>By 2030, 100% of identified Chimpanzee hotspots or high-concentration areas are covered by community patrols &amp; surveillance</t>
  </si>
  <si>
    <t>1.1.3.5</t>
  </si>
  <si>
    <t>By 2030, Support the recruitment of new eco-guards in order to increase PNS staffing levels &amp; their training and strengthening of operational capacities</t>
  </si>
  <si>
    <t>Trading of endangered species reduced</t>
  </si>
  <si>
    <t>1.1.4.1</t>
  </si>
  <si>
    <t>Support awareness-raising among law enforcement services on the trade in endangered species on Law No. 24/020 of December 30, 2024, amending and supplementing Law No. 14/003 of February 11, 2014 relating to nature conservation.</t>
  </si>
  <si>
    <t>1.1.4.2</t>
  </si>
  <si>
    <t>By 2028, at least 50% of law enforcement agencies dealing with endangered species in our landscapes are trained on endangered species protection</t>
  </si>
  <si>
    <t>Management effectiveness Improved</t>
  </si>
  <si>
    <t>1.1.5.1</t>
  </si>
  <si>
    <t>By 2030, the assessment of management effectiveness using the IMET tool will be carried out at least annually at Salonga National Park and Luki Biosphere Reserve.</t>
  </si>
  <si>
    <t>Zoonotic transmission reduced</t>
  </si>
  <si>
    <t>1.1.6.1</t>
  </si>
  <si>
    <t>By 2030, at least 50% of communication mechanisms and policies on zoonotic disease prevention and response are in place.</t>
  </si>
  <si>
    <t>1.1.6.2</t>
  </si>
  <si>
    <t>By 2027, community health outreach and prevention communication campaigns on zoonoses are implemented in 100% of villages near great ape habitats.</t>
  </si>
  <si>
    <t>4.1.1.1</t>
  </si>
  <si>
    <t>By 2026, grievance redress mechanisms (GRMs) are established in 100% of target landscapes with annual tracking and response of cases.</t>
  </si>
  <si>
    <t>4.1.1.2</t>
  </si>
  <si>
    <t xml:space="preserve">By 2030, the number of Human rights violations (physical and moral violations) linked to WWF's activities in priority landscapes are reduced </t>
  </si>
  <si>
    <t>4.1.1.3</t>
  </si>
  <si>
    <t>By 2030, at least 100% of ESSF flagship tools (ESIA, CGES, MGP, GBV Action Plan, Gender Analysis, HSSE Action Plan, Stakeholder Engagement Plan, and IP Engagement Plan) are developed, adopted, and implemented.</t>
  </si>
  <si>
    <t>4.1.1.4</t>
  </si>
  <si>
    <t>By 2030,  Salonga ecoguards are trained on human-right based approaches to law enforcement</t>
  </si>
  <si>
    <t>4.1.2.1</t>
  </si>
  <si>
    <t>By 2020, studies or surveys on the negative perception of IPs/LCs living in the SNP and its periphery with regard to conservation are carried out.</t>
  </si>
  <si>
    <t>4.1.3.1</t>
  </si>
  <si>
    <t>By 2030, at least 5% of pupils in SNP (Monkoto &amp; Yokelelu) will be supported through the provision of school supplies.</t>
  </si>
  <si>
    <t>4.1.4.1</t>
  </si>
  <si>
    <t xml:space="preserve">By 2030, at least 50% of households in targeted IP/LC communities are actively participating in at least one WWF-supported innovative income-generating activity (PES, biodiversity credits, LCFCs, or micro-enterprises). </t>
  </si>
  <si>
    <t>4.1.4.2</t>
  </si>
  <si>
    <t>By 2030, at least 36 structures are supported to implement Payment for Ecosystem Services (PES) schemes</t>
  </si>
  <si>
    <t>4.1.4.3</t>
  </si>
  <si>
    <t>By 2030, WWF facilitates partnerships with at least 120 LCFCs, OECMs, and private sector entities to promote the delivery and sustainability of ecosystem services in target landscapes.</t>
  </si>
  <si>
    <t>4.1.4.4</t>
  </si>
  <si>
    <t>By 2030, partnerships with Mobil Money operators to facilitate PSE transactions and other forms of credit is established</t>
  </si>
  <si>
    <t>4.1.4.5</t>
  </si>
  <si>
    <t xml:space="preserve">By 2030, at least 5 value chains (rice, charcoal, honey, etc.) are developed with market access in priority landscapes. </t>
  </si>
  <si>
    <t>4.1.5.1</t>
  </si>
  <si>
    <t>By 2030, at least 4 water points (e.g., boreholes, wells) are constructed or rehabilitated in underserved IPLC communities within WWF-supported landscapes.</t>
  </si>
  <si>
    <t>4.1.5.2</t>
  </si>
  <si>
    <t>By 2030, livelihood support is provided to at least 5,000 IP&amp;LC communities in priority landscapes</t>
  </si>
  <si>
    <t>4.1.5.3</t>
  </si>
  <si>
    <t>By 2030, at least 15 solar-powered lighting or energy systems are installed in schools, health centers, or public spaces in priority villages.</t>
  </si>
  <si>
    <t>4.1.5.4</t>
  </si>
  <si>
    <t>By 2030, all targeted IPLC communities define their "priorities of good life" through a participatory assessment, + these are integrated into local development planning.</t>
  </si>
  <si>
    <t>4.1.6.1</t>
  </si>
  <si>
    <t xml:space="preserve">By 2030, at least 50% of decisions taken by protected area managers will take into account the interests of IPs/LCs in accessing resources. </t>
  </si>
  <si>
    <t>4.1.6.2</t>
  </si>
  <si>
    <t>By 2030, Support the analysis of legal texts relating to access to natural resources by communities in priority landscapes</t>
  </si>
  <si>
    <t>4.1.6.3</t>
  </si>
  <si>
    <t>By2030, support the organization of three multi-stakeholder consultation meetings of representatives of government, civil society and indigenous peoples and local communities to advocate for policy reforms that include indigenous peoples and local communities.</t>
  </si>
  <si>
    <t>4.1.6.4</t>
  </si>
  <si>
    <t>By 2030, provide technical support for the development, revision or validation of at least one draft policy, decree or strategy that explicitly protects the rights of indigenous peoples and local communities and their access to natural resources.</t>
  </si>
  <si>
    <t>4.1.7.1</t>
  </si>
  <si>
    <t>By 2030, representatives from WWF-supported landscapes in DRC participate in cross-border steering committee meetings on biodiversity and environmental governance, with documented contributions.</t>
  </si>
  <si>
    <t>4.1.7.2</t>
  </si>
  <si>
    <t>By 2030, WWF provides technical, financial, or coordination support to the implementation of at least 6 national and international biodiversity-related strategies or frameworks (e.g., NBSAP, NDC, 30x30), including documented actions and results</t>
  </si>
  <si>
    <t>4.1.7.3</t>
  </si>
  <si>
    <t>By 2030, at least USD 50 million will be mobilized internationally by the Congolese government (MEDD) to finance nature conservation and Climate Action with the support of WWF-DRC.</t>
  </si>
  <si>
    <t>Programme M&amp;E plan</t>
  </si>
  <si>
    <t>Program</t>
  </si>
  <si>
    <t>Prog_ID</t>
  </si>
  <si>
    <t>Focus</t>
  </si>
  <si>
    <t>Result Name</t>
  </si>
  <si>
    <t>Goal, Outcome and Output Statement</t>
  </si>
  <si>
    <t>Indicator</t>
  </si>
  <si>
    <t>Description</t>
  </si>
  <si>
    <t>Means of Verification (Source of Data)</t>
  </si>
  <si>
    <t>Data Collection and Analysis Methodology</t>
  </si>
  <si>
    <t>Frequency of Measurement</t>
  </si>
  <si>
    <r>
      <t xml:space="preserve">Key Assumptions </t>
    </r>
    <r>
      <rPr>
        <b/>
        <sz val="11"/>
        <color rgb="FFC00000"/>
        <rFont val="Calibri"/>
        <family val="2"/>
      </rPr>
      <t>&amp; Risks</t>
    </r>
  </si>
  <si>
    <t>Baseline</t>
  </si>
  <si>
    <t>Year 1
Target</t>
  </si>
  <si>
    <t>Year 2
Target</t>
  </si>
  <si>
    <t>Year 3
Target</t>
  </si>
  <si>
    <t>Year 4
Target</t>
  </si>
  <si>
    <t xml:space="preserve">End-line Target </t>
  </si>
  <si>
    <t>Location</t>
  </si>
  <si>
    <t>Responsible</t>
  </si>
  <si>
    <t>OSP Goals</t>
  </si>
  <si>
    <t>Species Conservation</t>
  </si>
  <si>
    <t>Species (Elephants)</t>
  </si>
  <si>
    <t>Poaching and Illegal capture</t>
  </si>
  <si>
    <t>Elephant Species</t>
  </si>
  <si>
    <t>Number of individual elephants</t>
  </si>
  <si>
    <t>Population Size (N)</t>
  </si>
  <si>
    <t>Elephant Survey data</t>
  </si>
  <si>
    <t>Line transect distance sampling , Camera trap distance sampling, DNA Capture-Recapture</t>
  </si>
  <si>
    <t>Endline</t>
  </si>
  <si>
    <t>Salonga 1560</t>
  </si>
  <si>
    <t>Salonga</t>
  </si>
  <si>
    <t>Number of elephants per surface area in sqkm</t>
  </si>
  <si>
    <t>Density (n/sqkm)</t>
  </si>
  <si>
    <t>Elephant Survey database</t>
  </si>
  <si>
    <t>0.18</t>
  </si>
  <si>
    <t>Number of sightings of elephants in an area per unit of sampling distance in km</t>
  </si>
  <si>
    <t>Encounter rate (n/km)</t>
  </si>
  <si>
    <t>Line transect distance sampling , Reconnaissance survey</t>
  </si>
  <si>
    <t>Midline/endline</t>
  </si>
  <si>
    <t>TBD</t>
  </si>
  <si>
    <t>Proportion of area occupied by elephants in an area</t>
  </si>
  <si>
    <t>Occupancy rate (%) or Spatial distribution</t>
  </si>
  <si>
    <t>Line transect distance sampling , Camera trap occupancy</t>
  </si>
  <si>
    <t>Number of independent detection events of elephants captured with camera traps per unit of sampling day</t>
  </si>
  <si>
    <t xml:space="preserve">Capture/Detection rate </t>
  </si>
  <si>
    <t>Camera trap occupancy, camera trap reconnaissance survey</t>
  </si>
  <si>
    <t>Species (Bonobos)</t>
  </si>
  <si>
    <t>poaching and Illegal capture</t>
  </si>
  <si>
    <t>Bonobo Species</t>
  </si>
  <si>
    <t>By 2035, the number of Bonobos in targeted landscapes is increased compared to the 2026 baseline.</t>
  </si>
  <si>
    <t>Number of individual Bonobos</t>
  </si>
  <si>
    <t>Targeted Landscapes include Salonga &amp; LTMN landscapes
Population size (N)</t>
  </si>
  <si>
    <t>Great apes Survey Data (With validated analyses and report)</t>
  </si>
  <si>
    <t>Line Transect Distance Sampling, Camera Trap Distance Sampling, DNA Capture-Recapture</t>
  </si>
  <si>
    <t>1. No sudden environmental and/or zoonotic disturbances that could lead to mortality of Bonobos apes
2. Government policies remain in favour of endangered and protected species</t>
  </si>
  <si>
    <t>LTMN/Malebo: 4000
Salonga 12000</t>
  </si>
  <si>
    <t>Number of bonobos in an area per surface area</t>
  </si>
  <si>
    <t>LTMN/Malebo:0.739
Salonga 0.38</t>
  </si>
  <si>
    <t>Number of sightings of Bonobos in an area per unit of sampling distance in km</t>
  </si>
  <si>
    <t>Line Transect Distance Sampling, Walk Reconnaissance Survey</t>
  </si>
  <si>
    <t>Proportion of surface area occupied by Bonobos in an area</t>
  </si>
  <si>
    <t>Line Transect Distance Sampling, Camera Trap Occupancy</t>
  </si>
  <si>
    <t>Number of independent detection events of Bonobos captured with camera traps per unit of sampling day</t>
  </si>
  <si>
    <t>Capture rate (# independent events/day)</t>
  </si>
  <si>
    <t>Camera Trap Occupancy, Camera Trap Reconnaissance survey</t>
  </si>
  <si>
    <t>Species (Lowland Gorillas)</t>
  </si>
  <si>
    <t>Lowland gorillas Species</t>
  </si>
  <si>
    <t>Number of individual lowland gorillas</t>
  </si>
  <si>
    <t>Targeted Landscapes include Virunga-Itombwe landscape
Population size (N)</t>
  </si>
  <si>
    <t>1. No sudden environmental and/or zoonotic disturbances that could lead to mortality of lowland Gorillas
2. Government policies remain in favour of endangered and protected species</t>
  </si>
  <si>
    <t>Proportion of area occupied by lowland gorillas in an area</t>
  </si>
  <si>
    <t>Number of sightings of lowland gorillas in an area per unit of sampling distance in km</t>
  </si>
  <si>
    <t>Proportion of surface area occupied by lowland gorillas in an area</t>
  </si>
  <si>
    <t>Number of independent detection events of lowland gorillas captured with camera traps per unit of sampling day</t>
  </si>
  <si>
    <t>Species (Chimpanzees)</t>
  </si>
  <si>
    <t>chimpanzes Species</t>
  </si>
  <si>
    <t>Number of individual chimpanzees</t>
  </si>
  <si>
    <t>Targeted Landscapes include LTMN &amp; Mayombe-Mangrove
Population size (N)</t>
  </si>
  <si>
    <t>1. No sudden environmental and/or zoonotic disturbances that could lead to mortality of Chimpanzees 
2. Government policies remain in favour of endangered and protected species</t>
  </si>
  <si>
    <t>Mayombe /Luki:30
 Virunga:40</t>
  </si>
  <si>
    <t>Luki:30
 Virunga:80</t>
  </si>
  <si>
    <t>Proportion of area occupied by chimpanzees in an area</t>
  </si>
  <si>
    <t>Number of sightings of chimpanzees in an area per unit of sampling distance in km</t>
  </si>
  <si>
    <t>Proportion of surface area occupied by chimpanzees in an area</t>
  </si>
  <si>
    <t>Number of independent detection events of Chimpanzees captured with camera traps per unit of sampling day</t>
  </si>
  <si>
    <t>Cross Cutting</t>
  </si>
  <si>
    <t>Human well being</t>
  </si>
  <si>
    <t>Wellbeing score</t>
  </si>
  <si>
    <t>Wellbeing includes materials for good life, social cohesion, rights, access to natural resources/5 categories of wellbeing</t>
  </si>
  <si>
    <t>Wellbeing survey data (with linked database)</t>
  </si>
  <si>
    <t>Socioeconomic survey related to wellbeing aspects supported.</t>
  </si>
  <si>
    <t xml:space="preserve">Endline </t>
  </si>
  <si>
    <t>There are no major conflicts, displacements, or political interference that would disrupt livelihoods, services, or community cohesion.</t>
  </si>
  <si>
    <t xml:space="preserve">LTMN : 0.3
Salonga : 0.52
Mayombe/Luki:
Virunga/Itombwe
</t>
  </si>
  <si>
    <t xml:space="preserve">LTMN : 0.35
Salonga : 0.55
Mayombe/Luki:
Virunga/Itombwe
</t>
  </si>
  <si>
    <t>Programme Outcomes</t>
  </si>
  <si>
    <t>Revenge Killing of Elephants from HEC</t>
  </si>
  <si>
    <t>1.1.1</t>
  </si>
  <si>
    <t>Revenge killing of elephants reduced</t>
  </si>
  <si>
    <t xml:space="preserve">By 2030, revenge killings of elephants in priority landscape are maintained to zero % </t>
  </si>
  <si>
    <t>% of HEC incidents that have resulted in revenge killings of elephants</t>
  </si>
  <si>
    <t xml:space="preserve">Will focus on the Salonga landscape
 Numerator: Number of HEC incidents that have resulted in 1 or more elephants being killed.  </t>
  </si>
  <si>
    <t>HEC Database</t>
  </si>
  <si>
    <t>HEC Monitoring</t>
  </si>
  <si>
    <t>Annual</t>
  </si>
  <si>
    <t>Effective monitoring will allow timely reporting and redress of HEC to prevent retaliation (is this within our control)
Fair and timely compensation (or alternatives like insurance schemes) exists for losses caused by elephants.
The different authorities mandated to combat HEC will play their roles collaboratively</t>
  </si>
  <si>
    <t>Salonga 0%</t>
  </si>
  <si>
    <t>Total number of elephants killed as a result of HEC revenge killings</t>
  </si>
  <si>
    <t>This will show the severity of retaliatory killings</t>
  </si>
  <si>
    <t>Salonga 0</t>
  </si>
  <si>
    <t>Lack of awareness and Knowledge on protected species</t>
  </si>
  <si>
    <t>1.1.2</t>
  </si>
  <si>
    <t>Positive perception of HEC increased</t>
  </si>
  <si>
    <t>By 2030, the positive perception of HEC by IP&amp;LC in priority landscapes is improved by at least 25% compared to the baseline established in 2025</t>
  </si>
  <si>
    <t>HEC perception score</t>
  </si>
  <si>
    <t>(in percentage)</t>
  </si>
  <si>
    <t>Perception survey data</t>
  </si>
  <si>
    <t xml:space="preserve">Perception survey </t>
  </si>
  <si>
    <t>The people are willing to change their perception and behavior from retaliation to coexistence
Local communities value elephant conservation because they see  benefits such as revenue from ecotourism, or community conservation programs.</t>
  </si>
  <si>
    <t>Number of reported complaints  linked to HEC recorded each year</t>
  </si>
  <si>
    <r>
      <rPr>
        <b/>
        <sz val="11"/>
        <color rgb="FF000000"/>
        <rFont val="Calibri"/>
        <family val="2"/>
      </rPr>
      <t>Numerator</t>
    </r>
    <r>
      <rPr>
        <sz val="11"/>
        <color rgb="FF000000"/>
        <rFont val="Calibri"/>
        <family val="2"/>
      </rPr>
      <t xml:space="preserve">: Number of complaints that are specifically linked to Human-Elephant Conflict (e.g., crop damage, property destruction, human injury/fatality caused by elephants). each year
</t>
    </r>
    <r>
      <rPr>
        <b/>
        <sz val="11"/>
        <color rgb="FF000000"/>
        <rFont val="Calibri"/>
        <family val="2"/>
      </rPr>
      <t>Denominator</t>
    </r>
    <r>
      <rPr>
        <sz val="11"/>
        <color rgb="FF000000"/>
        <rFont val="Calibri"/>
        <family val="2"/>
      </rPr>
      <t>:  Total number of complaints reported through the complaints mechanism or reporting system, regardless of the issue.</t>
    </r>
  </si>
  <si>
    <t>Grievance mechanism database</t>
  </si>
  <si>
    <t>Grievance mechanism system</t>
  </si>
  <si>
    <t>Annually</t>
  </si>
  <si>
    <t>Salonga:5</t>
  </si>
  <si>
    <t>Species (Elephants, Bonobos, Lowland gorillas, Chimpanzees)</t>
  </si>
  <si>
    <t xml:space="preserve">1.1.3 
1.2.1  
1.3.1 
1.4.1 </t>
  </si>
  <si>
    <t>By 2030, the number of poaching signs per unit effort (n/km) in targeted landscapes is reduced by at least 20% relative to the 2024 baseline</t>
  </si>
  <si>
    <t>Number of poaching signs recorded per unit effort (n/km)</t>
  </si>
  <si>
    <t>The indicator measure the poaching encounter rate and relates all the focus species (Elephants, Great apes, duikers) because it would be difficult to relate some poaching signs to a species</t>
  </si>
  <si>
    <t>Species Survey Database (With validated analyses and report)</t>
  </si>
  <si>
    <t>Line Transect Distance Sampling, Camera Trap Distance Sampling,  Walk Reconnaissance Survey</t>
  </si>
  <si>
    <t>Midline (only measured half way and at the end)</t>
  </si>
  <si>
    <t>Poaching laws are enforced by the relevant authorities
There is resources and collaboration by the different authorities mandated to combat poaching</t>
  </si>
  <si>
    <t xml:space="preserve">LTMN : 0
Salonga : 0.00024
Mayombe/Luki :0
</t>
  </si>
  <si>
    <t xml:space="preserve">LTMN : 0
Salonga :  0.0002
Mayombe/Luki:0
</t>
  </si>
  <si>
    <t xml:space="preserve">LTMN : 0
Salonga :  0.00015
Mayombe/Luki:0
</t>
  </si>
  <si>
    <t xml:space="preserve">LTMN : 0
Sal :  0.0001
Mayombe/Luki:0
</t>
  </si>
  <si>
    <t xml:space="preserve">LTMN : 0
Sal :   0.0001
Mayombe/Luki:0
</t>
  </si>
  <si>
    <t xml:space="preserve">1.1.4 
1.2.2 
1.3.2 
1.4.2 </t>
  </si>
  <si>
    <t>The percentage of endangered species products recorded in markets or being trafficked compared to the total hunting products encountered is reduced by at least 30% compared to 2025.</t>
  </si>
  <si>
    <t>Percentage of hunting products recorded in markets or during trafficking that originate from endangered species</t>
  </si>
  <si>
    <r>
      <rPr>
        <b/>
        <sz val="11"/>
        <rFont val="Calibri"/>
        <family val="2"/>
      </rPr>
      <t>Numerator</t>
    </r>
    <r>
      <rPr>
        <sz val="11"/>
        <rFont val="Calibri"/>
        <family val="2"/>
      </rPr>
      <t xml:space="preserve">:  Number of hunting products encountered (in markets or in transit) that are identified as originating from endangered species
</t>
    </r>
    <r>
      <rPr>
        <b/>
        <sz val="11"/>
        <rFont val="Calibri"/>
        <family val="2"/>
      </rPr>
      <t>Denominator</t>
    </r>
    <r>
      <rPr>
        <sz val="11"/>
        <rFont val="Calibri"/>
        <family val="2"/>
      </rPr>
      <t>:  Total number of hunting products encountered in markets or in transit, regardless of species</t>
    </r>
  </si>
  <si>
    <t>Market survey data
Traffick Database</t>
  </si>
  <si>
    <t>Poaching laws are enforced by the relevant authorities
Stronger enforcement at border agencies preventing illegal products from passing through undetected.
Awareness campaigns lead to behavior change and reduced demand for endangered species products
Protein alternatives and local food systems improve, reducing reliance on hunting endangered species</t>
  </si>
  <si>
    <r>
      <rPr>
        <sz val="11"/>
        <color rgb="FF000000"/>
        <rFont val="Calibri"/>
      </rPr>
      <t xml:space="preserve">LTMN :TBD
Sal : </t>
    </r>
    <r>
      <rPr>
        <sz val="11"/>
        <color rgb="FFFF0000"/>
        <rFont val="Calibri"/>
      </rPr>
      <t xml:space="preserve">8%
</t>
    </r>
    <r>
      <rPr>
        <sz val="11"/>
        <color rgb="FF000000"/>
        <rFont val="Calibri"/>
      </rPr>
      <t xml:space="preserve">
Mayombe/Luki:0%
</t>
    </r>
  </si>
  <si>
    <t xml:space="preserve">LTMN :
Sal : 6%
Mayombe/Luki:0%
</t>
  </si>
  <si>
    <t xml:space="preserve">LTMN :
Sal : 4%
Mayombe/Luki:0%
</t>
  </si>
  <si>
    <t xml:space="preserve">LTMN :
Sal : 3%
Mayombe/Luki:0%
</t>
  </si>
  <si>
    <t xml:space="preserve">LTMN :
Sal : 2%
Mayombe/Luki:0%
</t>
  </si>
  <si>
    <t xml:space="preserve">LTMN :
Sal : 1%
Mayombe/Luki:0%
</t>
  </si>
  <si>
    <t>Poor and/or weak governance, management, and capacities</t>
  </si>
  <si>
    <t>1.1.5
1.2.3 
1.3.3
1.4.3</t>
  </si>
  <si>
    <t>By 2030, supported PAs have improved their management effectiveness by at least  10% compared to the 2025 baseline</t>
  </si>
  <si>
    <t>Management effectiveness score (by PA)</t>
  </si>
  <si>
    <t>https://rris.biopama.org/node/18795</t>
  </si>
  <si>
    <t>IMET Scoring data</t>
  </si>
  <si>
    <t>IMET Scoring</t>
  </si>
  <si>
    <t>Midline</t>
  </si>
  <si>
    <t>PA staff apply the knowledge and skills gained from training in the management practices of PAs
The result of IMET can be used for adaptive management.</t>
  </si>
  <si>
    <t>Mayombe/Luki:50.8
Salonga 63.03</t>
  </si>
  <si>
    <t>Mayombe/Luki: 51.8
Salonga 65</t>
  </si>
  <si>
    <t>Mayombe/Luki:52.81</t>
  </si>
  <si>
    <t>Mayombe/Luki: 53.85
Salonga 66.9</t>
  </si>
  <si>
    <t xml:space="preserve">Mayombe/Luki:54.8
</t>
  </si>
  <si>
    <t>Mayombe/Luki: 55.88
Salonga 69.33</t>
  </si>
  <si>
    <t>Zoonotic Diseases</t>
  </si>
  <si>
    <t>1.1.6
1.2.4
1.3.4
1.4.4</t>
  </si>
  <si>
    <r>
      <rPr>
        <sz val="11"/>
        <color rgb="FF000000"/>
        <rFont val="Calibri"/>
        <family val="2"/>
      </rPr>
      <t>By 2030, the transmission of zoonotic pathogens between human and wildlife is reduced by at least 80% compared to the 2025 baseline,</t>
    </r>
    <r>
      <rPr>
        <sz val="11"/>
        <rFont val="Calibri"/>
        <family val="2"/>
      </rPr>
      <t xml:space="preserve"> with zero documented cases of zoonotic transmission between humans and great apes.</t>
    </r>
  </si>
  <si>
    <t>Number of people affected by zoonotic diseases</t>
  </si>
  <si>
    <t>(folivirus, anthrax, monkey pox)</t>
  </si>
  <si>
    <t>Landscape Lab result database and reports</t>
  </si>
  <si>
    <t>Lab test analysis</t>
  </si>
  <si>
    <t>Animal handlers practice biosafety practices, and have sufficient PPE
Communities understand the risks of zoonotic transmission and shift behaviors around hunting, handling bushmeat or other animal related product that could cause transmission</t>
  </si>
  <si>
    <t xml:space="preserve">LTMN : TBD
Sal : TBD
Vir / Itombwe:TBD
</t>
  </si>
  <si>
    <t xml:space="preserve">LTMN : TBD
Sal : TBD
Vir / Itombwe:TBD
</t>
  </si>
  <si>
    <t>Number of animals affected by zoonotic diseases</t>
  </si>
  <si>
    <t xml:space="preserve">LTMN : TBD
Sal : TBD
Vir / Itombwe:0
</t>
  </si>
  <si>
    <t xml:space="preserve">LTMN : TBD
Sal : TBD
Vir / Itombwe:0
</t>
  </si>
  <si>
    <t xml:space="preserve">Number of confirmed zoonotic transmission cases between humans and great apes </t>
  </si>
  <si>
    <t>(monkey pox)</t>
  </si>
  <si>
    <t>TDB</t>
  </si>
  <si>
    <t>Human rights abuse</t>
  </si>
  <si>
    <t>4.1.1</t>
  </si>
  <si>
    <t>Conservation related complaints reduced</t>
  </si>
  <si>
    <t>By 2030, the percentage of conservation related complaints related to CCO-supported conservation activities in target landscapes is reduced by at least 90%.</t>
  </si>
  <si>
    <t>% of conservation related complaints related to CCO conservation activities</t>
  </si>
  <si>
    <r>
      <rPr>
        <sz val="11"/>
        <color rgb="FF000000"/>
        <rFont val="Calibri"/>
        <family val="2"/>
      </rPr>
      <t xml:space="preserve">This will be measured on national level not on program level.
</t>
    </r>
    <r>
      <rPr>
        <b/>
        <sz val="11"/>
        <color rgb="FF000000"/>
        <rFont val="Calibri"/>
        <family val="2"/>
      </rPr>
      <t xml:space="preserve">Numerator: </t>
    </r>
    <r>
      <rPr>
        <sz val="11"/>
        <color rgb="FF000000"/>
        <rFont val="Calibri"/>
        <family val="2"/>
      </rPr>
      <t xml:space="preserve">Number of conservation related complaints related to CCO conservation activities
Divided by:
</t>
    </r>
    <r>
      <rPr>
        <b/>
        <sz val="11"/>
        <color rgb="FF000000"/>
        <rFont val="Calibri"/>
        <family val="2"/>
      </rPr>
      <t xml:space="preserve">Denominator: </t>
    </r>
    <r>
      <rPr>
        <sz val="11"/>
        <color rgb="FF000000"/>
        <rFont val="Calibri"/>
        <family val="2"/>
      </rPr>
      <t>Number of conservation related complaints</t>
    </r>
  </si>
  <si>
    <t>There is confidence and trust in grievance redress mechanisms and are communities are using it to report</t>
  </si>
  <si>
    <t xml:space="preserve">LTMN : 100% (10 complaints)
Salonga: 100% (78 complaints)
Mayombe/Luki:0%
Vir / Itombwe:TBD
</t>
  </si>
  <si>
    <t xml:space="preserve">LTMN : 100%
Salonga : 60%
Mayombe/Luki:0%
Vir / Itombwe:TBD
</t>
  </si>
  <si>
    <t xml:space="preserve">LTMN : 80%
Sal : 50%
Mayombe/Luki:0%
Vir / Itombwe:TBD
</t>
  </si>
  <si>
    <t xml:space="preserve">LTMN : 50%
Sal : 40%
Mayombe/Luki:TBD
Vir / Itombwe:TBD
</t>
  </si>
  <si>
    <t xml:space="preserve">LTMN : 30%
Sal : 30%
Mayombe/Luki:TBD
Vir / Itombwe:TBD
</t>
  </si>
  <si>
    <t xml:space="preserve">LTMN : 10%
Sal : 20%
Mayombe/Luki:TBD
Vir / Itombwe:TBD
</t>
  </si>
  <si>
    <t>Number of human rights violation cases by WWF's or implementing partners staff</t>
  </si>
  <si>
    <t>Salonga:55</t>
  </si>
  <si>
    <t>Salonga:45</t>
  </si>
  <si>
    <t>Salonga:35</t>
  </si>
  <si>
    <t>Salonga:25</t>
  </si>
  <si>
    <t>Salonga:15</t>
  </si>
  <si>
    <t>Weak support to conservation</t>
  </si>
  <si>
    <t>4.1.2</t>
  </si>
  <si>
    <t xml:space="preserve">Positive perception on conservation improved </t>
  </si>
  <si>
    <t>By 2030, at least 80% of targeted IPLCs in CCO-supported landscapes have a positive perception towards conservation projects/ideas.</t>
  </si>
  <si>
    <t>% of targeted IPLC who have a positive perception towards CCO-supported conservation projects/ ideas</t>
  </si>
  <si>
    <t>This will be measured on national level not on program level.</t>
  </si>
  <si>
    <t>Perception Survey</t>
  </si>
  <si>
    <t>Conservation efforts produce tangible social or economic benefits for IPLCs (e.g., jobs, ecosystem services, access rights)</t>
  </si>
  <si>
    <t xml:space="preserve">LTMN : TBD
Sal : 63%
Mayombe/Luki:TBD
Vir / Itombwe:TBD
</t>
  </si>
  <si>
    <t xml:space="preserve">LTMN :
Sal : 63%
Mayombe/Luki
Vir / Itombwe
</t>
  </si>
  <si>
    <t xml:space="preserve">LTMN :
Sal : 65%
Mayombe/Luki
Vir / Itombwe
</t>
  </si>
  <si>
    <t xml:space="preserve">LTMN :
Sal : 70%
Mayombe/Luki
Vir / Itombwe
</t>
  </si>
  <si>
    <t xml:space="preserve">LTMN :
Sal : 75%
Mayombe/Luki
Vir / Itombwe
</t>
  </si>
  <si>
    <t xml:space="preserve">LTMN :
Sal : 80%
Mayombe/Luki
Vir / Itombwe
</t>
  </si>
  <si>
    <t>Poverty and lack of buy in to conservation</t>
  </si>
  <si>
    <t>4.1.3</t>
  </si>
  <si>
    <t>Students supported</t>
  </si>
  <si>
    <t>By 2030, at least 20% of supported students complete primary or secondary school education</t>
  </si>
  <si>
    <t>Number of students supported with school materials</t>
  </si>
  <si>
    <t>School Records</t>
  </si>
  <si>
    <t>Parents/guardians and communities value and support education—especially for girls and IPs
No major disruptions (e.g., political instability, natural disasters, pandemics) impact schooling</t>
  </si>
  <si>
    <t>Salonga: 3567</t>
  </si>
  <si>
    <t>Poverty</t>
  </si>
  <si>
    <t>4.1.4</t>
  </si>
  <si>
    <t>Household income increased</t>
  </si>
  <si>
    <t>By 2030, targeted IPLC gain at least a 10% increase in household income from WWF-supported activities compared to the 2025 baseline</t>
  </si>
  <si>
    <t>Average household income of targeted IPLC</t>
  </si>
  <si>
    <t>Household income could be derived from IGA value chains, tourism, etc.</t>
  </si>
  <si>
    <t xml:space="preserve">Household survey data </t>
  </si>
  <si>
    <t>Household survey on WWF-supported activities</t>
  </si>
  <si>
    <t>Markets remain stable or grow for the products/services linked to WWF-supported activities
Climate and environmental conditions do not severely disrupt production (e.g., droughts, disease, flooding)</t>
  </si>
  <si>
    <t xml:space="preserve">LTMN :TBD
Sal :TBD
Mayombe/Luki TBD
Vir / Itombwe TBD
</t>
  </si>
  <si>
    <t>Average total annual income gained by IPLC through direct employment in conservation related activities</t>
  </si>
  <si>
    <t xml:space="preserve">The income that is paid to IPLC directly from conservation activities </t>
  </si>
  <si>
    <t>HR salary data</t>
  </si>
  <si>
    <t>HR salary checks</t>
  </si>
  <si>
    <t>4.1.5</t>
  </si>
  <si>
    <t>Access to materials of good life improved</t>
  </si>
  <si>
    <t xml:space="preserve">By 2030, the number of targeted IPLC communities in WWF-supported landscapes having access to materials of good life has increased by at least 50% relative to the 2025 baseline </t>
  </si>
  <si>
    <t>% of targeted IPLC communities in the WWF-supported landscapes that have access to materials of good life</t>
  </si>
  <si>
    <r>
      <rPr>
        <sz val="11"/>
        <color rgb="FF000000"/>
        <rFont val="Calibri"/>
        <family val="2"/>
      </rPr>
      <t xml:space="preserve">Access means the ability for the targeted group to make use of the materials. Materials of good life include portable water, health care, natural resources, food, education and traditional sites inside PAs. Communities refers to a group of people living in one village. 
</t>
    </r>
    <r>
      <rPr>
        <b/>
        <sz val="11"/>
        <color rgb="FF000000"/>
        <rFont val="Calibri"/>
        <family val="2"/>
      </rPr>
      <t>Numerator</t>
    </r>
    <r>
      <rPr>
        <sz val="11"/>
        <color rgb="FF000000"/>
        <rFont val="Calibri"/>
        <family val="2"/>
      </rPr>
      <t xml:space="preserve">: Number of targeted communities with access to the materials of a good life
Divided by:
</t>
    </r>
    <r>
      <rPr>
        <b/>
        <sz val="11"/>
        <color rgb="FF000000"/>
        <rFont val="Calibri"/>
        <family val="2"/>
      </rPr>
      <t>Denominator</t>
    </r>
    <r>
      <rPr>
        <sz val="11"/>
        <color rgb="FF000000"/>
        <rFont val="Calibri"/>
        <family val="2"/>
      </rPr>
      <t>: Number of targeted communities</t>
    </r>
  </si>
  <si>
    <t>Community survey as well as program data (with linked database)</t>
  </si>
  <si>
    <t>Community surveys and program progress reports</t>
  </si>
  <si>
    <t>Communities are not subjected to conflict, displacement, or governance instability that disrupt access to basic needs or services.</t>
  </si>
  <si>
    <r>
      <rPr>
        <sz val="11"/>
        <color rgb="FF000000"/>
        <rFont val="Calibri"/>
      </rPr>
      <t xml:space="preserve">
Sal : </t>
    </r>
    <r>
      <rPr>
        <sz val="11"/>
        <color rgb="FFFF0000"/>
        <rFont val="Calibri"/>
      </rPr>
      <t xml:space="preserve">28000
</t>
    </r>
    <r>
      <rPr>
        <sz val="11"/>
        <color rgb="FF000000"/>
        <rFont val="Calibri"/>
      </rPr>
      <t xml:space="preserve">
</t>
    </r>
  </si>
  <si>
    <r>
      <rPr>
        <sz val="11"/>
        <color rgb="FF000000"/>
        <rFont val="Calibri"/>
      </rPr>
      <t xml:space="preserve">
Sal : </t>
    </r>
    <r>
      <rPr>
        <sz val="11"/>
        <color rgb="FFFF0000"/>
        <rFont val="Calibri"/>
      </rPr>
      <t xml:space="preserve">33600
</t>
    </r>
    <r>
      <rPr>
        <sz val="11"/>
        <color rgb="FF000000"/>
        <rFont val="Calibri"/>
      </rPr>
      <t xml:space="preserve">
</t>
    </r>
  </si>
  <si>
    <r>
      <rPr>
        <sz val="11"/>
        <color rgb="FF000000"/>
        <rFont val="Calibri"/>
      </rPr>
      <t xml:space="preserve">
Sal : </t>
    </r>
    <r>
      <rPr>
        <sz val="11"/>
        <color rgb="FFFF0000"/>
        <rFont val="Calibri"/>
      </rPr>
      <t xml:space="preserve">39200
</t>
    </r>
    <r>
      <rPr>
        <sz val="11"/>
        <color rgb="FF000000"/>
        <rFont val="Calibri"/>
      </rPr>
      <t xml:space="preserve">
</t>
    </r>
  </si>
  <si>
    <r>
      <rPr>
        <sz val="11"/>
        <color rgb="FF000000"/>
        <rFont val="Calibri"/>
      </rPr>
      <t xml:space="preserve">
Sal :</t>
    </r>
    <r>
      <rPr>
        <sz val="11"/>
        <color rgb="FFFF0000"/>
        <rFont val="Calibri"/>
      </rPr>
      <t xml:space="preserve">44800
</t>
    </r>
    <r>
      <rPr>
        <sz val="11"/>
        <color rgb="FF000000"/>
        <rFont val="Calibri"/>
      </rPr>
      <t xml:space="preserve">
</t>
    </r>
  </si>
  <si>
    <r>
      <rPr>
        <sz val="11"/>
        <color rgb="FF000000"/>
        <rFont val="Calibri"/>
      </rPr>
      <t xml:space="preserve">
Sal : </t>
    </r>
    <r>
      <rPr>
        <sz val="11"/>
        <color rgb="FFFF0000"/>
        <rFont val="Calibri"/>
      </rPr>
      <t xml:space="preserve">50400
</t>
    </r>
    <r>
      <rPr>
        <sz val="11"/>
        <color rgb="FF000000"/>
        <rFont val="Calibri"/>
      </rPr>
      <t xml:space="preserve">
</t>
    </r>
  </si>
  <si>
    <t xml:space="preserve">
Sal : 56000
</t>
  </si>
  <si>
    <t xml:space="preserve">Exclusion of IPLCs
Inadequate or Weak policy on Protection of IPLC rights
</t>
  </si>
  <si>
    <t>4.1.6</t>
  </si>
  <si>
    <t xml:space="preserve">policies &amp; decisions promoting IPLC rights enacted </t>
  </si>
  <si>
    <t xml:space="preserve">By 2030, at least one new or revised policies or decisions promoting the rights and interests of IP&amp;LC enacted with  WWF support 
</t>
  </si>
  <si>
    <t xml:space="preserve">Number of new or revised policy or decisions promoting the rights and interests of IPLC enacted with  WWF support 
</t>
  </si>
  <si>
    <t xml:space="preserve"> policies include decrees or other circular decisions</t>
  </si>
  <si>
    <t>Policy and advocacy database (With validated analyses and report)</t>
  </si>
  <si>
    <t>Policy and advocacy activities</t>
  </si>
  <si>
    <t>The government is willing to engage with WWF and partners (incl. IPLC) in the propositions, enacting and reviewing of the policies/ decisions</t>
  </si>
  <si>
    <t xml:space="preserve">LTMN :TBD
Salonga Decret of CFCL : 17
Mayombe/Luki TBD
Vir / Itombwe TBD
</t>
  </si>
  <si>
    <t xml:space="preserve">Salonga Decret of CFCL : 17
</t>
  </si>
  <si>
    <t xml:space="preserve">Salonga Decret of CFCL : 20
</t>
  </si>
  <si>
    <t xml:space="preserve">Salonga Decret of CFCL : 25
</t>
  </si>
  <si>
    <r>
      <rPr>
        <b/>
        <sz val="11"/>
        <color rgb="FF000000"/>
        <rFont val="Calibri, Arial"/>
      </rPr>
      <t xml:space="preserve">Programme Outputs
(High level)
</t>
    </r>
    <r>
      <rPr>
        <b/>
        <i/>
        <sz val="11"/>
        <color rgb="FF000000"/>
        <rFont val="Calibri, Arial"/>
      </rPr>
      <t>Refers to the non-negotiable outputs that are critical for the success of the programme, based on the Theory of Change</t>
    </r>
  </si>
  <si>
    <t># of local Human Wildlife Conflict (HWC) management strategies developed and approved</t>
  </si>
  <si>
    <t>Salonga:0</t>
  </si>
  <si>
    <t>Salonga:1</t>
  </si>
  <si>
    <t>By 2030, at least 1 study will be carried out on the perception of HEC in the Salonga landscape..</t>
  </si>
  <si>
    <t>number of study reports on HEC perception
umber of studies/Perception index</t>
  </si>
  <si>
    <r>
      <rPr>
        <sz val="11"/>
        <color rgb="FF000000"/>
        <rFont val="Calibri"/>
        <family val="2"/>
      </rPr>
      <t xml:space="preserve">HEC </t>
    </r>
    <r>
      <rPr>
        <sz val="11"/>
        <rFont val="Calibri"/>
        <family val="2"/>
      </rPr>
      <t>Perception index</t>
    </r>
  </si>
  <si>
    <t>Number of community dialogue forums held per year</t>
  </si>
  <si>
    <t>Number of community members taking part in HEC Community dialogue</t>
  </si>
  <si>
    <t>Number of HEC champions active and conducting peer outreach</t>
  </si>
  <si>
    <t>Percent of elephant hotspots or high concentration areas covered by patrols or biomonitoring surveys</t>
  </si>
  <si>
    <t>Salonga:100%</t>
  </si>
  <si>
    <t>Percent of Bonobos hotspots or high concentration areas covered by community patrols</t>
  </si>
  <si>
    <t xml:space="preserve">LTMN : 20%                                                                          
Salonga : 100%
</t>
  </si>
  <si>
    <t xml:space="preserve">LTMN :   25%                                                                        
Salonga : 100%
</t>
  </si>
  <si>
    <t xml:space="preserve">LTMN :  30%                                                                           
Salonga : 100%
</t>
  </si>
  <si>
    <t xml:space="preserve">LTMN : 50%                                                                           
Salonga : 100%
</t>
  </si>
  <si>
    <t xml:space="preserve">LTMN : 70%                                                                          
Salonga : 100%
</t>
  </si>
  <si>
    <t xml:space="preserve">LTMN :  100%                                                                           
SalOnga : 100%
</t>
  </si>
  <si>
    <t>Number of community members conducting patrols and surveillance in Bonobos hotspots or high concentration areas</t>
  </si>
  <si>
    <t xml:space="preserve">LTMN : 4                                                                         
</t>
  </si>
  <si>
    <t xml:space="preserve">LTMN : 5                                                                      
</t>
  </si>
  <si>
    <t xml:space="preserve">LTMN : 6                                                                        
</t>
  </si>
  <si>
    <t xml:space="preserve">LTMN : 7                                                                       
</t>
  </si>
  <si>
    <t xml:space="preserve">LTMN : 8                                                                       
</t>
  </si>
  <si>
    <t>Percent of lowland gorilla hotspots or high concentration areas covered by community patrols</t>
  </si>
  <si>
    <t>Number of community members conducting patrols and surveillance in lowland gorilla hotspots or high concentration areas</t>
  </si>
  <si>
    <t>Percent of Chimpanzee hotspots or high concentration areas covered by community patrols</t>
  </si>
  <si>
    <t>Number of community members conducting patrols and surveillance in Chimpanzee hotspots or high concentration areas</t>
  </si>
  <si>
    <t>Number of ecogurds recruited with WWF support</t>
  </si>
  <si>
    <t>Salonga 210</t>
  </si>
  <si>
    <t>Salonga 62</t>
  </si>
  <si>
    <t>Salonga 50</t>
  </si>
  <si>
    <t>Salonga 30</t>
  </si>
  <si>
    <t>Percent of target law enforcement agencies sensitized on Nature conservation laws</t>
  </si>
  <si>
    <t xml:space="preserve">LTMN : 40%                                                                          
Salonga : 60%
</t>
  </si>
  <si>
    <t xml:space="preserve">LTMN :50%                                                                          
Salonga : 70%
</t>
  </si>
  <si>
    <t xml:space="preserve">LTMN : 60%                                                                          
Salonga : 80%
</t>
  </si>
  <si>
    <t xml:space="preserve">LTMN : 70%                                                                          
Salonga : 90%
</t>
  </si>
  <si>
    <t xml:space="preserve">LTMN : 80%                                                                          
Salonga :95%
</t>
  </si>
  <si>
    <t xml:space="preserve">LTMN : 100%                                                                          
Salonga : 100%
</t>
  </si>
  <si>
    <t>Number of law enforcement officers sensitized on Nature conservation laws</t>
  </si>
  <si>
    <t xml:space="preserve">LTMN : 102
Sal : 25
Mayombe/Luki: 60
</t>
  </si>
  <si>
    <t>Percent of target law enforcement agencies sensitized on endangered species protection</t>
  </si>
  <si>
    <t>Number of law enforcement officers sensitized on endangered species protection</t>
  </si>
  <si>
    <t xml:space="preserve">LTMN : 20
Sal : 5
Mayombe/Luki:15
</t>
  </si>
  <si>
    <t>LTMN : 20
Sal :5
Mayombe/Luki: 0</t>
  </si>
  <si>
    <t xml:space="preserve">LTMN : 20
Sal : 5
Mayombe/Luki: 0
</t>
  </si>
  <si>
    <t xml:space="preserve">LTMN : 20
Sal : 5
Mayombe/Luki:0
</t>
  </si>
  <si>
    <t>Number of management effectiveness assessments conducted annually</t>
  </si>
  <si>
    <t>Luki 2
Salonga 6</t>
  </si>
  <si>
    <t>Luki 1
Salonga 1</t>
  </si>
  <si>
    <t xml:space="preserve">Luki 1
</t>
  </si>
  <si>
    <t xml:space="preserve">Percentage of policies reviewed and updated.
</t>
  </si>
  <si>
    <t xml:space="preserve">LTMN/Malebo : 10%
Salonga : 20%
Mayombe/Luki: 30%
</t>
  </si>
  <si>
    <t xml:space="preserve">LTMN/Malebo : 20%
Sal : 20%
Mayombe/Luki: 35%
</t>
  </si>
  <si>
    <t>LTMN/Malebo : 25%
Sal : 30%
Mayombe/Luki: 40%</t>
  </si>
  <si>
    <t xml:space="preserve">LTMN/Malebo : 27%
Sal : 35%
Mayombe/Luki: 45%
</t>
  </si>
  <si>
    <t xml:space="preserve">LTMN/Malebo : 30%
Sal : 40%
Mayombe/Luki: 50%
</t>
  </si>
  <si>
    <t xml:space="preserve">LTMN/Malebo : 10%
Sal :50%
Mayombe/Luki: 60%
</t>
  </si>
  <si>
    <t xml:space="preserve">Number of community health outreach and campaigns on zoonotic diseases prevention conducted.
</t>
  </si>
  <si>
    <t>LTMN/Malebo :4
Salonga : 1
Mayombe/Luki: 0</t>
  </si>
  <si>
    <t>LTMN/Malebo :1
Salonga : 1
Mayombe/Luki: 1</t>
  </si>
  <si>
    <t xml:space="preserve">Number of community members trained with outreach and campaigns on zoonotic disease awareness
</t>
  </si>
  <si>
    <t>LTMN/Malebo :0
Salonga : 0
Mayombe/Luki: 0</t>
  </si>
  <si>
    <t>% landscapres with grievance Mechanisms in place</t>
  </si>
  <si>
    <t xml:space="preserve">LTMN/Plateau:100%
Sal : 100%
Mayombe/Luki: 60%
Vir / Itombwe:100%
</t>
  </si>
  <si>
    <t xml:space="preserve">LTMN/Plateau:100%
Sal : 100%
Mayombe/Luki: 80%
Vir / Itombwe:100%
</t>
  </si>
  <si>
    <t xml:space="preserve">LTMN/Plateau:100%
Sal : 100%
Mayombe/Luki: 100%
Vir / Itombwe:100%
</t>
  </si>
  <si>
    <t>% of grievances resolved within agreed timelines</t>
  </si>
  <si>
    <t>LTMN/Malebo :100%
Salonga : 70%
Mayombe/Luki: 30%</t>
  </si>
  <si>
    <t>LTMN/Malebo :100%
Salonga : 80%
Mayombe/Luki: 100%</t>
  </si>
  <si>
    <t>LTMN/Malebo :100%
Salonga : 100%
Mayombe/Luki: 100%</t>
  </si>
  <si>
    <t>Number of reported human rights violations cases associated with WWF-supported activities</t>
  </si>
  <si>
    <t>% of landscapes that have implemented 80% of their ESSF actions</t>
  </si>
  <si>
    <t xml:space="preserve">LTMN: 70%
Sal : 70%
Mayombe/Luki: 40%
Vir / Itombwe:70%
</t>
  </si>
  <si>
    <t xml:space="preserve">LTMN: 70%
Sal : 70%
Mayombe/Luki: 60%
Vir / Itombwe:70%
</t>
  </si>
  <si>
    <t xml:space="preserve">LTMN: 80%
Sal : 80%
Mayombe/Luki: 80%
Vir / Itombwe:70%
</t>
  </si>
  <si>
    <t xml:space="preserve">LTMN: 90%
Sal : 90%
Mayombe/Luki: 100%
Vir / Itombwe:80%
</t>
  </si>
  <si>
    <t xml:space="preserve">LTMN: 95%
Sal : 95%
Mayombe/Luki: 100%
Vir / Itombwe:90%
</t>
  </si>
  <si>
    <t xml:space="preserve">LTMN:100%
Sal : 100%
Mayombe/Luki: 100%
Vir / Itombwe:100%
</t>
  </si>
  <si>
    <t>Number of eco-guards trained in human rights-based approaches to law enforcement</t>
  </si>
  <si>
    <t xml:space="preserve">Sal : 210
Mayombe/Luki: 60
</t>
  </si>
  <si>
    <t xml:space="preserve">Sal :62
Mayombe/Luki: 15
</t>
  </si>
  <si>
    <t xml:space="preserve">Sal : 0
Mayombe/Luki: 0
</t>
  </si>
  <si>
    <t xml:space="preserve">Sal : 50
Mayombe/Luki: 0
</t>
  </si>
  <si>
    <t xml:space="preserve">Sal : 30
Mayombe/Luki: 0
</t>
  </si>
  <si>
    <t xml:space="preserve">Sal :30
Mayombe/Luki: 0
</t>
  </si>
  <si>
    <t>% of trained eco-guards who demonstrate knowledge of human rights-based approaches in law enforcement</t>
  </si>
  <si>
    <t>Salonga 80%</t>
  </si>
  <si>
    <t>By 2030, studies or surveys on the negative perception of IPs/LCs living in the SNP and its periphery with regard to conservation are carried out.</t>
  </si>
  <si>
    <t>Number of perception studies or surveys conducted</t>
  </si>
  <si>
    <t>Number of pupils provided with school supplies</t>
  </si>
  <si>
    <t># of households in target communities participating in WWF projects supported sustainable income-generating or diversified income sources</t>
  </si>
  <si>
    <t>#  of target structures supported to implement PES scheme</t>
  </si>
  <si>
    <t xml:space="preserve">LTMN :4
Mayombe/Luki:3
</t>
  </si>
  <si>
    <t xml:space="preserve">LTMN : 3
Mayombe/Luki:0
</t>
  </si>
  <si>
    <t xml:space="preserve">LTMN :0
Mayombe/Luki:0
</t>
  </si>
  <si>
    <t>Number of partnership agreements signed or established</t>
  </si>
  <si>
    <t xml:space="preserve">LTMN :0
Mayombe/Luki:1
</t>
  </si>
  <si>
    <t xml:space="preserve">LTMN :2
Mayombe/Luki:0
</t>
  </si>
  <si>
    <t xml:space="preserve">LTMN :1
Mayombe/Luki:0
</t>
  </si>
  <si>
    <t>Number of partnerships entered with operators to facilitate funds transfer to community</t>
  </si>
  <si>
    <t xml:space="preserve">LTMN :1
Sal : 1
Mayombe/Luki: 1
Vir / Itombwe:1
</t>
  </si>
  <si>
    <t>Number of people receiving funds from established operators</t>
  </si>
  <si>
    <t xml:space="preserve">LTMN :
Salonga:
Mayombe/Luki: 
Vir / Itombwe:
</t>
  </si>
  <si>
    <t>Number of value chains developed</t>
  </si>
  <si>
    <t xml:space="preserve">LTMN :0
Sal : 1
Mayombe/Luki: 2
Vir / Itombwe:TBD
</t>
  </si>
  <si>
    <t xml:space="preserve">LTMN :0
Sal : 1
Mayombe/Luki: 1
Vir / Itombwe:TBD
</t>
  </si>
  <si>
    <t xml:space="preserve">LTMN :2
Sal : 0
Mayombe/Luki: 0
Vir / Itombwe:TBD
</t>
  </si>
  <si>
    <t xml:space="preserve">LTMN :1
Sal : 1
Mayombe/Luki: 0
Vir / Itombwe:TBD
</t>
  </si>
  <si>
    <t xml:space="preserve">LTMN :1
Sal : 0
Mayombe/Luki: 1
Vir / Itombwe:TBD
</t>
  </si>
  <si>
    <t>Number of functional water sources constructed or rehabilitated</t>
  </si>
  <si>
    <t>Mayombe-Mangroves: 2
Salonga: 4</t>
  </si>
  <si>
    <t>Mayombe-Mangroves: 2
Salonga: 1</t>
  </si>
  <si>
    <t>Mayombe-Mangroves: 1
Salonga: 1</t>
  </si>
  <si>
    <t>Mayombe-Mangroves: 0
Salonga: 1</t>
  </si>
  <si>
    <t xml:space="preserve">% of targetet IP &amp;LC households provided with livelihood support </t>
  </si>
  <si>
    <t>Number of functional renewable energy installations</t>
  </si>
  <si>
    <t xml:space="preserve">LTMN :0
Salonga: 2
Mayombe/Luki: 0
</t>
  </si>
  <si>
    <t>By 2030, all targeted IP&amp;LC communities define their "priorities of good life" through a participatory assessment, + these are integrated into local development planning.</t>
  </si>
  <si>
    <t>% of targeted IP&amp;LC communities in the WWF-supported landscapes that have access to materials of good life</t>
  </si>
  <si>
    <t xml:space="preserve">LTMN :
Salonga: 28000
Mayombe/Luki: 0
</t>
  </si>
  <si>
    <t xml:space="preserve">LTMN :
Salonga: 33600
Mayombe/Luki: 0
</t>
  </si>
  <si>
    <t xml:space="preserve">LTMN :
Salonga: 39200
Mayombe/Luki: 0
</t>
  </si>
  <si>
    <t xml:space="preserve">LTMN :
Salonga: 44800
Mayombe/Luki: 0
</t>
  </si>
  <si>
    <t xml:space="preserve">LTMN :
Salonga: 50400
Mayombe/Luki: 0
</t>
  </si>
  <si>
    <t xml:space="preserve">LTMN :
Salonga: 56000
Mayombe/Luki: 0
</t>
  </si>
  <si>
    <t xml:space="preserve">% of documented PA decisions (e.g., access rules, zoning, benefit-sharing) that include IPLC consultation records 
</t>
  </si>
  <si>
    <t>Salonga 20%</t>
  </si>
  <si>
    <t>Number of policy/legal analysis reports completed and shared with decision-makers</t>
  </si>
  <si>
    <t>Number of stakeholder meetings convened with documented participation from IPLCs</t>
  </si>
  <si>
    <t>Number of policy drafts/revisions with WWF-supported IPLC language or provisions</t>
  </si>
  <si>
    <t>% of cross-border meetings attended by WWF-supported landscape representatives</t>
  </si>
  <si>
    <t>Virunga: 0%</t>
  </si>
  <si>
    <t>By 2030, WWF provides technical, financial, or coordination support to the implementation of at least 6 national and international biodiversity-related strategies or frameworks (e.g., NBSAP, NDC, 30x30), including documented actions and results.</t>
  </si>
  <si>
    <t>Number of biodiversity-related national/international frameworks receiving documented WWF implementation support</t>
  </si>
  <si>
    <t>Total USD committed to DRC for nature conservation and climate action (with WWF support)</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</si>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</sst>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_-* #,##0_-;\-* #,##0_-;_-* &quot;-&quot;??_-;_-@_-"/>
    <numFmt numFmtId="166" formatCode="[$$-409]#,##0.00"/>
  </numFmts>
  <fonts count="52">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b/>
      <sz val="11"/>
      <color rgb="FFFFFFFF"/>
      <name val="Calibri"/>
      <family val="2"/>
    </font>
    <font>
      <sz val="11"/>
      <color theme="1"/>
      <name val="Calibri"/>
      <family val="2"/>
    </font>
    <font>
      <b/>
      <sz val="11"/>
      <color theme="1"/>
      <name val="Calibri"/>
      <family val="2"/>
    </font>
    <font>
      <b/>
      <sz val="11"/>
      <color rgb="FF000000"/>
      <name val="Calibri"/>
      <family val="2"/>
    </font>
    <font>
      <i/>
      <u/>
      <sz val="10"/>
      <color rgb="FF1155CC"/>
      <name val="Arial"/>
      <family val="2"/>
    </font>
    <font>
      <b/>
      <sz val="10"/>
      <color rgb="FFFF0000"/>
      <name val="Arial"/>
      <family val="2"/>
    </font>
    <font>
      <i/>
      <sz val="10"/>
      <color rgb="FFFF0000"/>
      <name val="Arial"/>
      <family val="2"/>
    </font>
    <font>
      <b/>
      <sz val="11"/>
      <color rgb="FF000000"/>
      <name val="Calibri, Arial"/>
    </font>
    <font>
      <b/>
      <i/>
      <sz val="11"/>
      <color rgb="FF000000"/>
      <name val="Calibri, Arial"/>
    </font>
    <font>
      <sz val="10"/>
      <color rgb="FF000000"/>
      <name val="Arial"/>
      <family val="2"/>
      <scheme val="minor"/>
    </font>
    <font>
      <sz val="8"/>
      <name val="Arial"/>
      <family val="2"/>
      <scheme val="minor"/>
    </font>
    <font>
      <b/>
      <sz val="12"/>
      <color theme="1"/>
      <name val="Arial"/>
      <family val="2"/>
      <scheme val="minor"/>
    </font>
    <font>
      <sz val="12"/>
      <color rgb="FF000000"/>
      <name val="Arial"/>
      <family val="2"/>
      <scheme val="minor"/>
    </font>
    <font>
      <b/>
      <sz val="10"/>
      <name val="Arial"/>
      <family val="2"/>
    </font>
    <font>
      <u/>
      <sz val="10"/>
      <color theme="10"/>
      <name val="Arial"/>
      <family val="2"/>
      <scheme val="minor"/>
    </font>
    <font>
      <sz val="11"/>
      <name val="Calibri"/>
      <family val="2"/>
    </font>
    <font>
      <sz val="8"/>
      <name val="Arial"/>
      <family val="2"/>
      <scheme val="minor"/>
    </font>
    <font>
      <sz val="11"/>
      <color rgb="FF000000"/>
      <name val="Calibri"/>
      <family val="2"/>
    </font>
    <font>
      <b/>
      <sz val="11"/>
      <name val="Calibri"/>
      <family val="2"/>
    </font>
    <font>
      <b/>
      <sz val="11"/>
      <color rgb="FFC00000"/>
      <name val="Calibri"/>
      <family val="2"/>
    </font>
    <font>
      <sz val="9"/>
      <color theme="1"/>
      <name val="Calibri"/>
      <family val="2"/>
    </font>
    <font>
      <sz val="11"/>
      <color rgb="FFFF0000"/>
      <name val="Calibri"/>
      <family val="2"/>
    </font>
    <font>
      <sz val="9"/>
      <name val="Calibri"/>
      <family val="2"/>
    </font>
    <font>
      <b/>
      <sz val="11"/>
      <color theme="4" tint="-0.499984740745262"/>
      <name val="Calibri"/>
      <family val="2"/>
    </font>
    <font>
      <sz val="9"/>
      <color rgb="FF000000"/>
      <name val="Arial"/>
      <family val="2"/>
      <scheme val="minor"/>
    </font>
    <font>
      <b/>
      <sz val="9"/>
      <color rgb="FF000000"/>
      <name val="Arial"/>
      <family val="2"/>
      <scheme val="minor"/>
    </font>
    <font>
      <sz val="10"/>
      <color rgb="FF000000"/>
      <name val="Calibri"/>
      <family val="2"/>
      <charset val="1"/>
    </font>
    <font>
      <sz val="10"/>
      <color rgb="FF000000"/>
      <name val="Arial"/>
      <family val="2"/>
      <charset val="1"/>
    </font>
    <font>
      <i/>
      <sz val="10"/>
      <color rgb="FF000000"/>
      <name val="Arial"/>
      <family val="2"/>
      <charset val="1"/>
    </font>
    <font>
      <sz val="10"/>
      <color rgb="FF212121"/>
      <name val="Arial"/>
      <family val="2"/>
      <charset val="1"/>
    </font>
    <font>
      <sz val="10"/>
      <color rgb="FFFF0000"/>
      <name val="Arial"/>
      <family val="2"/>
      <charset val="1"/>
    </font>
    <font>
      <sz val="11"/>
      <color rgb="FF000000"/>
      <name val="Calibri"/>
    </font>
    <font>
      <sz val="11"/>
      <color rgb="FFFF0000"/>
      <name val="Calibri"/>
    </font>
    <font>
      <sz val="11"/>
      <color theme="1"/>
      <name val="Calibri"/>
    </font>
  </fonts>
  <fills count="16">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EF2CB"/>
        <bgColor indexed="64"/>
      </patternFill>
    </fill>
    <fill>
      <patternFill patternType="solid">
        <fgColor rgb="FFE2EFDA"/>
        <bgColor rgb="FF000000"/>
      </patternFill>
    </fill>
    <fill>
      <patternFill patternType="solid">
        <fgColor rgb="FFE2EFDA"/>
        <bgColor rgb="FFE2EFD9"/>
      </patternFill>
    </fill>
  </fills>
  <borders count="74">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right style="medium">
        <color rgb="FF000000"/>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indexed="64"/>
      </right>
      <top style="thin">
        <color rgb="FF000000"/>
      </top>
      <bottom/>
      <diagonal/>
    </border>
    <border>
      <left style="hair">
        <color rgb="FF000000"/>
      </left>
      <right/>
      <top/>
      <bottom/>
      <diagonal/>
    </border>
    <border>
      <left/>
      <right/>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rgb="FF000000"/>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style="thin">
        <color rgb="FF000000"/>
      </top>
      <bottom/>
      <diagonal/>
    </border>
    <border>
      <left/>
      <right/>
      <top style="thin">
        <color rgb="FF000000"/>
      </top>
      <bottom style="thin">
        <color rgb="FF000000"/>
      </bottom>
      <diagonal/>
    </border>
    <border>
      <left/>
      <right style="thin">
        <color indexed="64"/>
      </right>
      <top/>
      <bottom style="thin">
        <color rgb="FF000000"/>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diagonal/>
    </border>
    <border>
      <left style="thin">
        <color rgb="FF000000"/>
      </left>
      <right/>
      <top style="thin">
        <color rgb="FF000000"/>
      </top>
      <bottom/>
      <diagonal/>
    </border>
  </borders>
  <cellStyleXfs count="3">
    <xf numFmtId="0" fontId="0" fillId="0" borderId="0"/>
    <xf numFmtId="164" fontId="27" fillId="0" borderId="0" applyFont="0" applyFill="0" applyBorder="0" applyAlignment="0" applyProtection="0"/>
    <xf numFmtId="0" fontId="32" fillId="0" borderId="0" applyNumberFormat="0" applyFill="0" applyBorder="0" applyAlignment="0" applyProtection="0"/>
  </cellStyleXfs>
  <cellXfs count="364">
    <xf numFmtId="0" fontId="0" fillId="0" borderId="0" xfId="0"/>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8" fillId="0" borderId="9" xfId="0" applyFont="1" applyBorder="1" applyAlignment="1">
      <alignment horizontal="right" vertical="top"/>
    </xf>
    <xf numFmtId="0" fontId="8" fillId="0" borderId="10" xfId="0" applyFont="1" applyBorder="1" applyAlignment="1">
      <alignment vertical="top"/>
    </xf>
    <xf numFmtId="0" fontId="8" fillId="0" borderId="0" xfId="0" applyFont="1"/>
    <xf numFmtId="0" fontId="8" fillId="0" borderId="14" xfId="0" applyFont="1" applyBorder="1" applyAlignment="1">
      <alignment vertical="top"/>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8" fillId="0" borderId="12" xfId="0" applyFont="1" applyBorder="1" applyAlignment="1">
      <alignment vertical="top"/>
    </xf>
    <xf numFmtId="0" fontId="8" fillId="0" borderId="17" xfId="0" applyFont="1" applyBorder="1" applyAlignment="1">
      <alignment vertical="top"/>
    </xf>
    <xf numFmtId="0" fontId="8" fillId="0" borderId="16" xfId="0" applyFont="1" applyBorder="1" applyAlignment="1">
      <alignment vertical="top"/>
    </xf>
    <xf numFmtId="0" fontId="8" fillId="0" borderId="18" xfId="0" applyFont="1" applyBorder="1" applyAlignment="1">
      <alignment vertical="top"/>
    </xf>
    <xf numFmtId="0" fontId="8" fillId="0" borderId="13" xfId="0" applyFont="1" applyBorder="1" applyAlignment="1">
      <alignment vertical="top"/>
    </xf>
    <xf numFmtId="0" fontId="4" fillId="3" borderId="0" xfId="0" applyFont="1" applyFill="1" applyAlignment="1">
      <alignment horizontal="left" vertical="center" wrapText="1"/>
    </xf>
    <xf numFmtId="0" fontId="5"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xf>
    <xf numFmtId="0" fontId="2" fillId="2" borderId="2" xfId="0" applyFont="1" applyFill="1" applyBorder="1" applyAlignment="1">
      <alignment horizontal="center" vertical="top" wrapText="1"/>
    </xf>
    <xf numFmtId="0" fontId="1" fillId="0" borderId="20" xfId="0" applyFont="1" applyBorder="1"/>
    <xf numFmtId="0" fontId="1" fillId="0" borderId="22" xfId="0" applyFont="1" applyBorder="1"/>
    <xf numFmtId="0" fontId="4" fillId="3" borderId="24" xfId="0" applyFont="1" applyFill="1" applyBorder="1" applyAlignment="1">
      <alignment horizontal="left" vertical="center" wrapText="1"/>
    </xf>
    <xf numFmtId="0" fontId="1" fillId="0" borderId="26" xfId="0" applyFont="1" applyBorder="1"/>
    <xf numFmtId="0" fontId="11" fillId="0" borderId="0" xfId="0" applyFont="1" applyAlignment="1">
      <alignment horizontal="left" vertical="top" wrapText="1"/>
    </xf>
    <xf numFmtId="0" fontId="1" fillId="0" borderId="0" xfId="0" applyFont="1" applyAlignment="1">
      <alignment vertical="top"/>
    </xf>
    <xf numFmtId="0" fontId="12" fillId="0" borderId="0" xfId="0" applyFont="1" applyAlignment="1">
      <alignment horizontal="center" vertical="top" wrapText="1"/>
    </xf>
    <xf numFmtId="0" fontId="8" fillId="0" borderId="1" xfId="0" applyFont="1" applyBorder="1" applyAlignment="1">
      <alignment vertical="center"/>
    </xf>
    <xf numFmtId="0" fontId="6" fillId="3" borderId="27" xfId="0" applyFont="1" applyFill="1" applyBorder="1" applyAlignment="1">
      <alignment vertical="top"/>
    </xf>
    <xf numFmtId="0" fontId="13" fillId="3" borderId="27" xfId="0" applyFont="1" applyFill="1" applyBorder="1" applyAlignment="1">
      <alignment vertical="top" wrapText="1"/>
    </xf>
    <xf numFmtId="0" fontId="6" fillId="3" borderId="28" xfId="0" applyFont="1" applyFill="1" applyBorder="1" applyAlignment="1">
      <alignment vertical="top"/>
    </xf>
    <xf numFmtId="0" fontId="8" fillId="0" borderId="0" xfId="0" applyFont="1" applyAlignment="1">
      <alignment vertical="top"/>
    </xf>
    <xf numFmtId="0" fontId="2" fillId="2" borderId="5" xfId="0" applyFont="1" applyFill="1" applyBorder="1" applyAlignment="1">
      <alignment vertical="center" wrapText="1"/>
    </xf>
    <xf numFmtId="0" fontId="7" fillId="2" borderId="9" xfId="0" applyFont="1" applyFill="1" applyBorder="1" applyAlignment="1">
      <alignment vertical="top" wrapText="1"/>
    </xf>
    <xf numFmtId="0" fontId="5" fillId="2" borderId="29" xfId="0" applyFont="1" applyFill="1" applyBorder="1" applyAlignment="1">
      <alignment horizontal="left" vertical="top" wrapText="1"/>
    </xf>
    <xf numFmtId="0" fontId="5" fillId="2" borderId="29" xfId="0" applyFont="1" applyFill="1" applyBorder="1" applyAlignment="1">
      <alignment vertical="top" wrapText="1"/>
    </xf>
    <xf numFmtId="0" fontId="5" fillId="0" borderId="0" xfId="0" applyFont="1"/>
    <xf numFmtId="0" fontId="1" fillId="0" borderId="29" xfId="0" applyFont="1" applyBorder="1"/>
    <xf numFmtId="0" fontId="14" fillId="0" borderId="12" xfId="0" applyFont="1" applyBorder="1" applyAlignment="1">
      <alignment vertical="center" wrapText="1"/>
    </xf>
    <xf numFmtId="0" fontId="4" fillId="3" borderId="30" xfId="0" applyFont="1" applyFill="1" applyBorder="1" applyAlignment="1">
      <alignment vertical="center" wrapText="1"/>
    </xf>
    <xf numFmtId="0" fontId="4" fillId="3" borderId="30" xfId="0" applyFont="1" applyFill="1" applyBorder="1" applyAlignment="1">
      <alignment horizontal="center" vertical="top" wrapText="1"/>
    </xf>
    <xf numFmtId="0" fontId="15" fillId="0" borderId="0" xfId="0" applyFont="1" applyAlignment="1">
      <alignment vertical="center" wrapText="1"/>
    </xf>
    <xf numFmtId="0" fontId="2" fillId="2" borderId="9" xfId="0" applyFont="1" applyFill="1" applyBorder="1" applyAlignment="1">
      <alignment vertical="top" wrapText="1"/>
    </xf>
    <xf numFmtId="0" fontId="16" fillId="0" borderId="0" xfId="0" applyFont="1" applyAlignment="1">
      <alignment vertical="top"/>
    </xf>
    <xf numFmtId="0" fontId="5" fillId="2" borderId="29" xfId="0" applyFont="1" applyFill="1" applyBorder="1" applyAlignment="1">
      <alignment vertical="top"/>
    </xf>
    <xf numFmtId="0" fontId="1" fillId="0" borderId="9" xfId="0" applyFont="1" applyBorder="1" applyAlignment="1">
      <alignment wrapText="1"/>
    </xf>
    <xf numFmtId="0" fontId="1" fillId="0" borderId="21" xfId="0" applyFont="1" applyBorder="1"/>
    <xf numFmtId="0" fontId="1" fillId="0" borderId="0" xfId="0" applyFont="1" applyAlignment="1">
      <alignment wrapText="1"/>
    </xf>
    <xf numFmtId="0" fontId="1" fillId="0" borderId="1" xfId="0" applyFont="1" applyBorder="1" applyAlignment="1">
      <alignment horizontal="center" vertical="top"/>
    </xf>
    <xf numFmtId="0" fontId="4" fillId="3" borderId="5" xfId="0" applyFont="1" applyFill="1" applyBorder="1" applyAlignment="1">
      <alignment horizontal="center" vertical="top"/>
    </xf>
    <xf numFmtId="0" fontId="14" fillId="0" borderId="12" xfId="0" applyFont="1" applyBorder="1" applyAlignment="1">
      <alignment horizontal="center" vertical="center" wrapText="1"/>
    </xf>
    <xf numFmtId="0" fontId="6" fillId="3" borderId="30" xfId="0" applyFont="1" applyFill="1" applyBorder="1" applyAlignment="1">
      <alignment horizontal="center" vertical="top" wrapText="1"/>
    </xf>
    <xf numFmtId="0" fontId="6" fillId="3" borderId="12" xfId="0" applyFont="1" applyFill="1" applyBorder="1" applyAlignment="1">
      <alignment horizontal="center" vertical="top" wrapText="1"/>
    </xf>
    <xf numFmtId="0" fontId="4" fillId="3" borderId="0" xfId="0" applyFont="1" applyFill="1" applyAlignment="1">
      <alignment horizontal="center" vertical="top" wrapText="1"/>
    </xf>
    <xf numFmtId="0" fontId="15" fillId="0" borderId="0" xfId="0" applyFont="1" applyAlignment="1">
      <alignment horizontal="center" vertical="top" wrapText="1"/>
    </xf>
    <xf numFmtId="0" fontId="2" fillId="2" borderId="9" xfId="0" applyFont="1" applyFill="1" applyBorder="1" applyAlignment="1">
      <alignment vertical="center" wrapText="1"/>
    </xf>
    <xf numFmtId="0" fontId="7" fillId="2" borderId="30" xfId="0" applyFont="1" applyFill="1" applyBorder="1" applyAlignment="1">
      <alignment vertical="top" wrapText="1"/>
    </xf>
    <xf numFmtId="0" fontId="7" fillId="2" borderId="12" xfId="0" applyFont="1" applyFill="1" applyBorder="1" applyAlignment="1">
      <alignment vertical="top" wrapText="1"/>
    </xf>
    <xf numFmtId="0" fontId="11" fillId="2" borderId="29" xfId="0" applyFont="1" applyFill="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9" fillId="0" borderId="0" xfId="0" applyFont="1"/>
    <xf numFmtId="0" fontId="19" fillId="8" borderId="14" xfId="0" applyFont="1" applyFill="1" applyBorder="1"/>
    <xf numFmtId="0" fontId="19" fillId="8" borderId="14" xfId="0" quotePrefix="1" applyFont="1" applyFill="1" applyBorder="1"/>
    <xf numFmtId="0" fontId="19" fillId="8" borderId="33" xfId="0" quotePrefix="1" applyFont="1" applyFill="1" applyBorder="1"/>
    <xf numFmtId="0" fontId="19" fillId="10" borderId="14" xfId="0" applyFont="1" applyFill="1" applyBorder="1"/>
    <xf numFmtId="0" fontId="19" fillId="10" borderId="33" xfId="0" applyFont="1" applyFill="1" applyBorder="1"/>
    <xf numFmtId="0" fontId="19" fillId="0" borderId="0" xfId="0" applyFont="1" applyAlignment="1">
      <alignment horizontal="center"/>
    </xf>
    <xf numFmtId="0" fontId="4" fillId="3" borderId="0" xfId="0" applyFont="1" applyFill="1" applyAlignment="1">
      <alignment vertical="center" wrapText="1"/>
    </xf>
    <xf numFmtId="0" fontId="15" fillId="0" borderId="0" xfId="0" applyFont="1" applyAlignment="1">
      <alignment wrapText="1"/>
    </xf>
    <xf numFmtId="0" fontId="11" fillId="2" borderId="21" xfId="0" applyFont="1" applyFill="1" applyBorder="1" applyAlignment="1">
      <alignment horizontal="center" vertical="center"/>
    </xf>
    <xf numFmtId="0" fontId="1" fillId="0" borderId="9" xfId="0" applyFont="1" applyBorder="1"/>
    <xf numFmtId="0" fontId="14" fillId="0" borderId="12" xfId="0" applyFont="1" applyBorder="1" applyAlignment="1">
      <alignment wrapText="1"/>
    </xf>
    <xf numFmtId="0" fontId="4" fillId="3" borderId="30" xfId="0" applyFont="1" applyFill="1" applyBorder="1" applyAlignment="1">
      <alignment wrapText="1"/>
    </xf>
    <xf numFmtId="0" fontId="2" fillId="2" borderId="9" xfId="0" applyFont="1" applyFill="1" applyBorder="1" applyAlignment="1">
      <alignment vertical="top"/>
    </xf>
    <xf numFmtId="0" fontId="12" fillId="2" borderId="9" xfId="0" applyFont="1" applyFill="1" applyBorder="1" applyAlignment="1">
      <alignment vertical="center"/>
    </xf>
    <xf numFmtId="0" fontId="1" fillId="0" borderId="8" xfId="0" applyFont="1" applyBorder="1"/>
    <xf numFmtId="0" fontId="30" fillId="0" borderId="0" xfId="0" applyFont="1" applyAlignment="1">
      <alignment vertical="center"/>
    </xf>
    <xf numFmtId="165" fontId="29" fillId="11" borderId="29" xfId="1" applyNumberFormat="1" applyFont="1" applyFill="1" applyBorder="1" applyAlignment="1">
      <alignment vertical="center"/>
    </xf>
    <xf numFmtId="3" fontId="11" fillId="2" borderId="29" xfId="0" applyNumberFormat="1" applyFont="1" applyFill="1" applyBorder="1" applyAlignment="1">
      <alignment vertical="center" wrapText="1"/>
    </xf>
    <xf numFmtId="3" fontId="12" fillId="2" borderId="29" xfId="1" applyNumberFormat="1" applyFont="1" applyFill="1" applyBorder="1" applyAlignment="1">
      <alignment vertical="center" wrapText="1"/>
    </xf>
    <xf numFmtId="3" fontId="29" fillId="11" borderId="29" xfId="1" applyNumberFormat="1" applyFont="1" applyFill="1" applyBorder="1" applyAlignment="1">
      <alignment vertical="center" wrapText="1"/>
    </xf>
    <xf numFmtId="3" fontId="29" fillId="11" borderId="29" xfId="1" applyNumberFormat="1" applyFont="1" applyFill="1" applyBorder="1" applyAlignment="1">
      <alignment vertical="center"/>
    </xf>
    <xf numFmtId="0" fontId="19" fillId="0" borderId="0" xfId="0" applyFont="1" applyAlignment="1">
      <alignment vertical="center"/>
    </xf>
    <xf numFmtId="0" fontId="0" fillId="0" borderId="0" xfId="0" applyAlignment="1">
      <alignment vertical="center"/>
    </xf>
    <xf numFmtId="0" fontId="18" fillId="4" borderId="36" xfId="0" applyFont="1" applyFill="1" applyBorder="1" applyAlignment="1">
      <alignment horizontal="center" vertical="center"/>
    </xf>
    <xf numFmtId="0" fontId="18" fillId="4" borderId="36" xfId="0" applyFont="1" applyFill="1" applyBorder="1" applyAlignment="1">
      <alignment horizontal="center" vertical="center" wrapText="1"/>
    </xf>
    <xf numFmtId="0" fontId="18" fillId="4" borderId="37" xfId="0" applyFont="1" applyFill="1" applyBorder="1" applyAlignment="1">
      <alignment horizontal="center" vertical="center" wrapText="1"/>
    </xf>
    <xf numFmtId="0" fontId="19" fillId="6" borderId="34" xfId="0" applyFont="1" applyFill="1" applyBorder="1" applyAlignment="1">
      <alignment horizontal="left" vertical="center" wrapText="1"/>
    </xf>
    <xf numFmtId="0" fontId="19" fillId="6" borderId="34" xfId="0" applyFont="1" applyFill="1" applyBorder="1"/>
    <xf numFmtId="0" fontId="19" fillId="6" borderId="34" xfId="0" quotePrefix="1" applyFont="1" applyFill="1" applyBorder="1"/>
    <xf numFmtId="0" fontId="19" fillId="6" borderId="34" xfId="0" applyFont="1" applyFill="1" applyBorder="1" applyAlignment="1">
      <alignment vertical="center" wrapText="1"/>
    </xf>
    <xf numFmtId="0" fontId="19" fillId="6" borderId="34" xfId="0" applyFont="1" applyFill="1" applyBorder="1" applyAlignment="1">
      <alignment horizontal="center" vertical="center" wrapText="1"/>
    </xf>
    <xf numFmtId="0" fontId="19" fillId="6" borderId="34" xfId="0" applyFont="1" applyFill="1" applyBorder="1" applyAlignment="1">
      <alignment horizontal="center" vertical="center"/>
    </xf>
    <xf numFmtId="0" fontId="19" fillId="6" borderId="34" xfId="0" applyFont="1" applyFill="1" applyBorder="1" applyAlignment="1">
      <alignment vertical="center"/>
    </xf>
    <xf numFmtId="0" fontId="3" fillId="0" borderId="30" xfId="0" applyFont="1" applyBorder="1"/>
    <xf numFmtId="0" fontId="11" fillId="2" borderId="21" xfId="0" applyFont="1" applyFill="1" applyBorder="1" applyAlignment="1">
      <alignment vertical="center" wrapText="1"/>
    </xf>
    <xf numFmtId="0" fontId="19" fillId="8" borderId="14" xfId="0" applyFont="1" applyFill="1" applyBorder="1" applyAlignment="1">
      <alignment vertical="center"/>
    </xf>
    <xf numFmtId="0" fontId="19" fillId="10" borderId="14" xfId="0" applyFont="1" applyFill="1" applyBorder="1" applyAlignment="1">
      <alignment vertical="center"/>
    </xf>
    <xf numFmtId="0" fontId="19" fillId="8" borderId="34" xfId="0" applyFont="1" applyFill="1" applyBorder="1" applyAlignment="1">
      <alignment horizontal="left" vertical="center" wrapText="1"/>
    </xf>
    <xf numFmtId="0" fontId="19" fillId="8" borderId="18" xfId="0" quotePrefix="1" applyFont="1" applyFill="1" applyBorder="1"/>
    <xf numFmtId="0" fontId="19" fillId="8" borderId="44" xfId="0" quotePrefix="1" applyFont="1" applyFill="1" applyBorder="1"/>
    <xf numFmtId="0" fontId="19" fillId="8" borderId="34" xfId="0" applyFont="1" applyFill="1" applyBorder="1" applyAlignment="1">
      <alignment vertical="center"/>
    </xf>
    <xf numFmtId="0" fontId="19" fillId="8" borderId="34" xfId="0" applyFont="1" applyFill="1" applyBorder="1"/>
    <xf numFmtId="0" fontId="19" fillId="8" borderId="34" xfId="0" quotePrefix="1" applyFont="1" applyFill="1" applyBorder="1"/>
    <xf numFmtId="0" fontId="19" fillId="8" borderId="45" xfId="0" applyFont="1" applyFill="1" applyBorder="1"/>
    <xf numFmtId="0" fontId="19" fillId="8" borderId="34" xfId="0" applyFont="1" applyFill="1" applyBorder="1" applyAlignment="1">
      <alignment vertical="top" wrapText="1"/>
    </xf>
    <xf numFmtId="0" fontId="19" fillId="8" borderId="46" xfId="0" applyFont="1" applyFill="1" applyBorder="1" applyAlignment="1">
      <alignment vertical="top" wrapText="1"/>
    </xf>
    <xf numFmtId="0" fontId="19" fillId="8" borderId="43" xfId="0" applyFont="1" applyFill="1" applyBorder="1" applyAlignment="1">
      <alignment vertical="center" wrapText="1"/>
    </xf>
    <xf numFmtId="0" fontId="32" fillId="8" borderId="34" xfId="2" applyFill="1" applyBorder="1" applyAlignment="1">
      <alignment vertical="center"/>
    </xf>
    <xf numFmtId="0" fontId="19" fillId="8" borderId="46" xfId="0" applyFont="1" applyFill="1" applyBorder="1" applyAlignment="1">
      <alignment horizontal="left" vertical="center" wrapText="1"/>
    </xf>
    <xf numFmtId="0" fontId="19" fillId="8" borderId="50" xfId="0" applyFont="1" applyFill="1" applyBorder="1" applyAlignment="1">
      <alignment horizontal="left" vertical="top" wrapText="1"/>
    </xf>
    <xf numFmtId="0" fontId="19" fillId="8" borderId="51" xfId="0" applyFont="1" applyFill="1" applyBorder="1" applyAlignment="1">
      <alignment horizontal="left" vertical="top" wrapText="1"/>
    </xf>
    <xf numFmtId="0" fontId="19" fillId="8" borderId="46" xfId="0" applyFont="1" applyFill="1" applyBorder="1" applyAlignment="1">
      <alignment horizontal="left" vertical="top" wrapText="1"/>
    </xf>
    <xf numFmtId="0" fontId="19" fillId="8" borderId="18" xfId="0" applyFont="1" applyFill="1" applyBorder="1" applyAlignment="1">
      <alignment horizontal="left" vertical="top" wrapText="1"/>
    </xf>
    <xf numFmtId="0" fontId="19" fillId="12" borderId="46" xfId="0" applyFont="1" applyFill="1" applyBorder="1" applyAlignment="1">
      <alignment horizontal="left" vertical="center" wrapText="1"/>
    </xf>
    <xf numFmtId="0" fontId="19" fillId="12" borderId="43" xfId="0" applyFont="1" applyFill="1" applyBorder="1" applyAlignment="1">
      <alignment horizontal="center" vertical="center" wrapText="1"/>
    </xf>
    <xf numFmtId="0" fontId="18" fillId="4" borderId="36" xfId="0" applyFont="1" applyFill="1" applyBorder="1" applyAlignment="1">
      <alignment horizontal="left" vertical="center" wrapText="1"/>
    </xf>
    <xf numFmtId="0" fontId="19" fillId="8" borderId="14" xfId="0" applyFont="1" applyFill="1" applyBorder="1" applyAlignment="1">
      <alignment horizontal="left" vertical="center"/>
    </xf>
    <xf numFmtId="0" fontId="19" fillId="8" borderId="18" xfId="0" applyFont="1" applyFill="1" applyBorder="1" applyAlignment="1">
      <alignment horizontal="left" vertical="center"/>
    </xf>
    <xf numFmtId="0" fontId="19" fillId="8" borderId="34" xfId="0" applyFont="1" applyFill="1" applyBorder="1" applyAlignment="1">
      <alignment horizontal="left" vertical="center"/>
    </xf>
    <xf numFmtId="0" fontId="19" fillId="8" borderId="34" xfId="0" applyFont="1" applyFill="1" applyBorder="1" applyAlignment="1">
      <alignment horizontal="left" vertical="top" wrapText="1"/>
    </xf>
    <xf numFmtId="0" fontId="0" fillId="0" borderId="0" xfId="0" applyAlignment="1">
      <alignment horizontal="left"/>
    </xf>
    <xf numFmtId="0" fontId="19" fillId="12" borderId="43" xfId="0" applyFont="1" applyFill="1" applyBorder="1" applyAlignment="1">
      <alignment horizontal="left" vertical="center" wrapText="1"/>
    </xf>
    <xf numFmtId="0" fontId="19" fillId="10" borderId="14" xfId="0" applyFont="1" applyFill="1" applyBorder="1" applyAlignment="1">
      <alignment horizontal="left" vertical="center"/>
    </xf>
    <xf numFmtId="0" fontId="19" fillId="0" borderId="0" xfId="0" applyFont="1" applyAlignment="1">
      <alignment horizontal="left"/>
    </xf>
    <xf numFmtId="0" fontId="19" fillId="8" borderId="43" xfId="0" applyFont="1" applyFill="1" applyBorder="1" applyAlignment="1">
      <alignment horizontal="left" vertical="center" wrapText="1"/>
    </xf>
    <xf numFmtId="0" fontId="18" fillId="4" borderId="36" xfId="0" applyFont="1" applyFill="1" applyBorder="1" applyAlignment="1">
      <alignment horizontal="left" vertical="center"/>
    </xf>
    <xf numFmtId="0" fontId="38" fillId="8" borderId="34" xfId="0" applyFont="1" applyFill="1" applyBorder="1" applyAlignment="1">
      <alignment vertical="top" wrapText="1"/>
    </xf>
    <xf numFmtId="0" fontId="15" fillId="0" borderId="20" xfId="0" applyFont="1" applyBorder="1"/>
    <xf numFmtId="0" fontId="14" fillId="0" borderId="0" xfId="0" applyFont="1"/>
    <xf numFmtId="0" fontId="18" fillId="4" borderId="32" xfId="0" applyFont="1" applyFill="1" applyBorder="1" applyAlignment="1">
      <alignment horizontal="center" vertical="center" wrapText="1"/>
    </xf>
    <xf numFmtId="0" fontId="0" fillId="0" borderId="0" xfId="0" applyAlignment="1">
      <alignment horizontal="center"/>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6" xfId="0" applyFont="1" applyBorder="1" applyAlignment="1">
      <alignment horizontal="right" vertical="top"/>
    </xf>
    <xf numFmtId="0" fontId="8" fillId="0" borderId="12" xfId="0" applyFont="1" applyBorder="1" applyAlignment="1">
      <alignment vertical="top" wrapText="1"/>
    </xf>
    <xf numFmtId="0" fontId="4" fillId="3" borderId="30" xfId="0" applyFont="1" applyFill="1" applyBorder="1" applyAlignment="1">
      <alignment horizontal="center" vertical="center" wrapText="1"/>
    </xf>
    <xf numFmtId="0" fontId="9" fillId="2" borderId="29" xfId="0" applyFont="1" applyFill="1" applyBorder="1" applyAlignment="1">
      <alignment vertical="top" wrapText="1"/>
    </xf>
    <xf numFmtId="0" fontId="9" fillId="2" borderId="22" xfId="0" applyFont="1" applyFill="1" applyBorder="1" applyAlignment="1">
      <alignment vertical="top" wrapText="1"/>
    </xf>
    <xf numFmtId="0" fontId="9" fillId="2" borderId="29" xfId="0" applyFont="1" applyFill="1" applyBorder="1" applyAlignment="1">
      <alignment horizontal="left" vertical="top" wrapText="1"/>
    </xf>
    <xf numFmtId="0" fontId="9" fillId="2" borderId="9" xfId="0" applyFont="1" applyFill="1" applyBorder="1" applyAlignment="1">
      <alignment vertical="top" wrapText="1"/>
    </xf>
    <xf numFmtId="0" fontId="9" fillId="2" borderId="0" xfId="0" applyFont="1" applyFill="1" applyAlignment="1">
      <alignment vertical="top" wrapText="1"/>
    </xf>
    <xf numFmtId="0" fontId="19" fillId="10" borderId="18" xfId="0" applyFont="1" applyFill="1" applyBorder="1" applyAlignment="1">
      <alignment vertical="center"/>
    </xf>
    <xf numFmtId="0" fontId="19" fillId="10" borderId="18" xfId="0" applyFont="1" applyFill="1" applyBorder="1" applyAlignment="1">
      <alignment horizontal="left" vertical="center"/>
    </xf>
    <xf numFmtId="0" fontId="19" fillId="10" borderId="18" xfId="0" applyFont="1" applyFill="1" applyBorder="1"/>
    <xf numFmtId="0" fontId="19" fillId="8" borderId="45" xfId="0" applyFont="1" applyFill="1" applyBorder="1" applyAlignment="1">
      <alignment horizontal="center" vertical="center"/>
    </xf>
    <xf numFmtId="0" fontId="3" fillId="12" borderId="34" xfId="0" applyFont="1" applyFill="1" applyBorder="1" applyAlignment="1">
      <alignment horizontal="left" vertical="top" wrapText="1"/>
    </xf>
    <xf numFmtId="0" fontId="19" fillId="10" borderId="34" xfId="0" applyFont="1" applyFill="1" applyBorder="1" applyAlignment="1">
      <alignment vertical="center" wrapText="1"/>
    </xf>
    <xf numFmtId="0" fontId="19" fillId="10" borderId="34" xfId="0" applyFont="1" applyFill="1" applyBorder="1" applyAlignment="1">
      <alignment vertical="center"/>
    </xf>
    <xf numFmtId="0" fontId="19" fillId="10" borderId="58" xfId="0" applyFont="1" applyFill="1" applyBorder="1" applyAlignment="1">
      <alignment horizontal="center"/>
    </xf>
    <xf numFmtId="0" fontId="19" fillId="6" borderId="45" xfId="0" applyFont="1" applyFill="1" applyBorder="1" applyAlignment="1">
      <alignment horizontal="left" vertical="center" wrapText="1"/>
    </xf>
    <xf numFmtId="0" fontId="19" fillId="10" borderId="34" xfId="0" applyFont="1" applyFill="1" applyBorder="1" applyAlignment="1">
      <alignment horizontal="left" vertical="center" wrapText="1"/>
    </xf>
    <xf numFmtId="0" fontId="33" fillId="10" borderId="34" xfId="0" applyFont="1" applyFill="1" applyBorder="1" applyAlignment="1">
      <alignment horizontal="left" vertical="center" wrapText="1"/>
    </xf>
    <xf numFmtId="0" fontId="33" fillId="10" borderId="34" xfId="0" applyFont="1" applyFill="1" applyBorder="1" applyAlignment="1">
      <alignment vertical="center" wrapText="1"/>
    </xf>
    <xf numFmtId="0" fontId="33" fillId="15" borderId="34" xfId="0" applyFont="1" applyFill="1" applyBorder="1" applyAlignment="1">
      <alignment wrapText="1"/>
    </xf>
    <xf numFmtId="0" fontId="35" fillId="10" borderId="34" xfId="0" applyFont="1" applyFill="1" applyBorder="1" applyAlignment="1">
      <alignment horizontal="left" vertical="center" wrapText="1"/>
    </xf>
    <xf numFmtId="0" fontId="19" fillId="6" borderId="59" xfId="0" applyFont="1" applyFill="1" applyBorder="1" applyAlignment="1">
      <alignment horizontal="left" vertical="center" wrapText="1"/>
    </xf>
    <xf numFmtId="0" fontId="33" fillId="10" borderId="59" xfId="0" applyFont="1" applyFill="1" applyBorder="1" applyAlignment="1">
      <alignment vertical="center" wrapText="1"/>
    </xf>
    <xf numFmtId="0" fontId="41" fillId="10" borderId="34" xfId="0" applyFont="1" applyFill="1" applyBorder="1" applyAlignment="1">
      <alignment horizontal="left" vertical="center" wrapText="1"/>
    </xf>
    <xf numFmtId="0" fontId="19" fillId="10" borderId="34" xfId="0" applyFont="1" applyFill="1" applyBorder="1" applyAlignment="1">
      <alignment horizontal="center"/>
    </xf>
    <xf numFmtId="0" fontId="19" fillId="10" borderId="45" xfId="0" applyFont="1" applyFill="1" applyBorder="1" applyAlignment="1">
      <alignment horizontal="center" vertical="center"/>
    </xf>
    <xf numFmtId="0" fontId="19" fillId="10" borderId="34" xfId="0" applyFont="1" applyFill="1" applyBorder="1"/>
    <xf numFmtId="0" fontId="19" fillId="10" borderId="0" xfId="0" applyFont="1" applyFill="1" applyAlignment="1">
      <alignment horizontal="center" vertical="center"/>
    </xf>
    <xf numFmtId="0" fontId="33" fillId="10" borderId="58" xfId="0" applyFont="1" applyFill="1" applyBorder="1" applyAlignment="1">
      <alignment horizontal="center" vertical="center"/>
    </xf>
    <xf numFmtId="0" fontId="19" fillId="10" borderId="34" xfId="0" applyFont="1" applyFill="1" applyBorder="1" applyAlignment="1">
      <alignment horizontal="left"/>
    </xf>
    <xf numFmtId="0" fontId="33" fillId="15" borderId="34" xfId="0" applyFont="1" applyFill="1" applyBorder="1" applyAlignment="1">
      <alignment vertical="center" wrapText="1"/>
    </xf>
    <xf numFmtId="0" fontId="19" fillId="6" borderId="45" xfId="0" applyFont="1" applyFill="1" applyBorder="1" applyAlignment="1">
      <alignment horizontal="center" vertical="center" wrapText="1"/>
    </xf>
    <xf numFmtId="0" fontId="19" fillId="8" borderId="51" xfId="0" applyFont="1" applyFill="1" applyBorder="1" applyAlignment="1">
      <alignment horizontal="center" vertical="top" wrapText="1"/>
    </xf>
    <xf numFmtId="0" fontId="19" fillId="8" borderId="4" xfId="0" applyFont="1" applyFill="1" applyBorder="1" applyAlignment="1">
      <alignment horizontal="center" vertical="top" wrapText="1"/>
    </xf>
    <xf numFmtId="0" fontId="19" fillId="8" borderId="45" xfId="0" applyFont="1" applyFill="1" applyBorder="1" applyAlignment="1">
      <alignment horizontal="center" vertical="center" wrapText="1"/>
    </xf>
    <xf numFmtId="0" fontId="19" fillId="10" borderId="45" xfId="0" applyFont="1" applyFill="1" applyBorder="1" applyAlignment="1">
      <alignment horizontal="center"/>
    </xf>
    <xf numFmtId="0" fontId="41" fillId="10" borderId="68" xfId="0" applyFont="1" applyFill="1" applyBorder="1" applyAlignment="1">
      <alignment horizontal="center" vertical="center"/>
    </xf>
    <xf numFmtId="0" fontId="19" fillId="10" borderId="68" xfId="0" applyFont="1" applyFill="1" applyBorder="1" applyAlignment="1">
      <alignment horizontal="center"/>
    </xf>
    <xf numFmtId="0" fontId="33" fillId="10" borderId="45" xfId="0" applyFont="1" applyFill="1" applyBorder="1" applyAlignment="1">
      <alignment horizontal="center" vertical="center"/>
    </xf>
    <xf numFmtId="0" fontId="40" fillId="14" borderId="45" xfId="0" applyFont="1" applyFill="1" applyBorder="1" applyAlignment="1">
      <alignment horizontal="center" vertical="center"/>
    </xf>
    <xf numFmtId="0" fontId="40" fillId="14" borderId="66" xfId="0" applyFont="1" applyFill="1" applyBorder="1" applyAlignment="1">
      <alignment horizontal="center" vertical="center"/>
    </xf>
    <xf numFmtId="0" fontId="39" fillId="10" borderId="34" xfId="0" applyFont="1" applyFill="1" applyBorder="1" applyAlignment="1">
      <alignment horizontal="left"/>
    </xf>
    <xf numFmtId="0" fontId="42" fillId="0" borderId="22" xfId="0" applyFont="1" applyBorder="1" applyAlignment="1">
      <alignment vertical="top" wrapText="1"/>
    </xf>
    <xf numFmtId="0" fontId="33" fillId="10" borderId="45" xfId="0" applyFont="1" applyFill="1" applyBorder="1" applyAlignment="1">
      <alignment horizontal="center" vertical="center" wrapText="1"/>
    </xf>
    <xf numFmtId="0" fontId="33" fillId="10" borderId="14" xfId="0" applyFont="1" applyFill="1" applyBorder="1" applyAlignment="1">
      <alignment vertical="center"/>
    </xf>
    <xf numFmtId="0" fontId="33" fillId="10" borderId="14" xfId="0" applyFont="1" applyFill="1" applyBorder="1" applyAlignment="1">
      <alignment horizontal="left" vertical="center"/>
    </xf>
    <xf numFmtId="166" fontId="11" fillId="2" borderId="29" xfId="0" applyNumberFormat="1" applyFont="1" applyFill="1" applyBorder="1" applyAlignment="1">
      <alignment vertical="center" wrapText="1"/>
    </xf>
    <xf numFmtId="0" fontId="0" fillId="0" borderId="0" xfId="0" applyAlignment="1">
      <alignment wrapText="1"/>
    </xf>
    <xf numFmtId="0" fontId="44" fillId="0" borderId="39" xfId="0" applyFont="1" applyBorder="1"/>
    <xf numFmtId="0" fontId="1" fillId="0" borderId="29" xfId="0" applyFont="1" applyBorder="1" applyAlignment="1">
      <alignment vertical="center"/>
    </xf>
    <xf numFmtId="0" fontId="1" fillId="0" borderId="29" xfId="0" applyFont="1" applyBorder="1" applyAlignment="1">
      <alignment vertical="center" wrapText="1"/>
    </xf>
    <xf numFmtId="0" fontId="45" fillId="0" borderId="63" xfId="0" applyFont="1" applyBorder="1" applyAlignment="1">
      <alignment vertical="center" wrapText="1"/>
    </xf>
    <xf numFmtId="0" fontId="46" fillId="0" borderId="63" xfId="0" applyFont="1" applyBorder="1" applyAlignment="1">
      <alignment vertical="center" wrapText="1"/>
    </xf>
    <xf numFmtId="0" fontId="47" fillId="0" borderId="63" xfId="0" applyFont="1" applyBorder="1" applyAlignment="1">
      <alignment vertical="center" wrapText="1"/>
    </xf>
    <xf numFmtId="0" fontId="48" fillId="0" borderId="63" xfId="0" applyFont="1" applyBorder="1" applyAlignment="1">
      <alignment vertical="center" wrapText="1"/>
    </xf>
    <xf numFmtId="0" fontId="0" fillId="0" borderId="0" xfId="0" applyAlignment="1">
      <alignment vertical="top"/>
    </xf>
    <xf numFmtId="0" fontId="0" fillId="0" borderId="0" xfId="0" applyAlignment="1">
      <alignment vertical="top" wrapText="1"/>
    </xf>
    <xf numFmtId="0" fontId="33" fillId="10" borderId="62" xfId="0" applyFont="1" applyFill="1" applyBorder="1" applyAlignment="1">
      <alignment horizontal="center" vertical="center"/>
    </xf>
    <xf numFmtId="0" fontId="36" fillId="10" borderId="34" xfId="0" applyFont="1" applyFill="1" applyBorder="1" applyAlignment="1">
      <alignment horizontal="left" vertical="center" wrapText="1"/>
    </xf>
    <xf numFmtId="0" fontId="11" fillId="2" borderId="21" xfId="0" applyFont="1" applyFill="1" applyBorder="1" applyAlignment="1">
      <alignment horizontal="center" vertical="center" wrapText="1"/>
    </xf>
    <xf numFmtId="0" fontId="33" fillId="10" borderId="38" xfId="0" applyFont="1" applyFill="1" applyBorder="1" applyAlignment="1">
      <alignment vertical="center" wrapText="1"/>
    </xf>
    <xf numFmtId="0" fontId="19" fillId="6" borderId="34" xfId="0" applyFont="1" applyFill="1" applyBorder="1" applyAlignment="1">
      <alignment wrapText="1"/>
    </xf>
    <xf numFmtId="9" fontId="19" fillId="8" borderId="14" xfId="0" applyNumberFormat="1" applyFont="1" applyFill="1" applyBorder="1"/>
    <xf numFmtId="0" fontId="19" fillId="8" borderId="59" xfId="0" applyFont="1" applyFill="1" applyBorder="1" applyAlignment="1">
      <alignment horizontal="left" vertical="center" wrapText="1"/>
    </xf>
    <xf numFmtId="0" fontId="19" fillId="8" borderId="50" xfId="0" applyFont="1" applyFill="1" applyBorder="1" applyAlignment="1">
      <alignment horizontal="left" vertical="center" wrapText="1"/>
    </xf>
    <xf numFmtId="0" fontId="19" fillId="8" borderId="41" xfId="0" applyFont="1" applyFill="1" applyBorder="1" applyAlignment="1">
      <alignment horizontal="left" vertical="center" wrapText="1"/>
    </xf>
    <xf numFmtId="0" fontId="19" fillId="8" borderId="73" xfId="0" applyFont="1" applyFill="1" applyBorder="1" applyAlignment="1">
      <alignment horizontal="left" vertical="center" wrapText="1"/>
    </xf>
    <xf numFmtId="0" fontId="19" fillId="10" borderId="59" xfId="0" applyFont="1" applyFill="1" applyBorder="1" applyAlignment="1">
      <alignment horizontal="left" vertical="center" wrapText="1"/>
    </xf>
    <xf numFmtId="0" fontId="41" fillId="10" borderId="59" xfId="0" applyFont="1" applyFill="1" applyBorder="1" applyAlignment="1">
      <alignment horizontal="left" vertical="center" wrapText="1"/>
    </xf>
    <xf numFmtId="0" fontId="33" fillId="10" borderId="59" xfId="0" applyFont="1" applyFill="1" applyBorder="1" applyAlignment="1">
      <alignment horizontal="left" vertical="center" wrapText="1"/>
    </xf>
    <xf numFmtId="0" fontId="33" fillId="10" borderId="60" xfId="0" applyFont="1" applyFill="1" applyBorder="1" applyAlignment="1">
      <alignment vertical="center" wrapText="1"/>
    </xf>
    <xf numFmtId="0" fontId="35" fillId="10" borderId="59" xfId="0" applyFont="1" applyFill="1" applyBorder="1" applyAlignment="1">
      <alignment horizontal="left" vertical="center" wrapText="1"/>
    </xf>
    <xf numFmtId="0" fontId="36" fillId="10" borderId="59" xfId="0" applyFont="1" applyFill="1" applyBorder="1" applyAlignment="1">
      <alignment horizontal="left" vertical="center" wrapText="1"/>
    </xf>
    <xf numFmtId="0" fontId="33" fillId="15" borderId="59" xfId="0" applyFont="1" applyFill="1" applyBorder="1" applyAlignment="1">
      <alignment vertical="center" wrapText="1"/>
    </xf>
    <xf numFmtId="0" fontId="33" fillId="15" borderId="59" xfId="0" applyFont="1" applyFill="1" applyBorder="1" applyAlignment="1">
      <alignment wrapText="1"/>
    </xf>
    <xf numFmtId="0" fontId="19" fillId="6" borderId="45" xfId="0" applyFont="1" applyFill="1" applyBorder="1" applyAlignment="1">
      <alignment horizontal="left" vertical="center"/>
    </xf>
    <xf numFmtId="0" fontId="19" fillId="8" borderId="45" xfId="0" applyFont="1" applyFill="1" applyBorder="1" applyAlignment="1">
      <alignment horizontal="left" vertical="center"/>
    </xf>
    <xf numFmtId="0" fontId="19" fillId="8" borderId="45" xfId="0" applyFont="1" applyFill="1" applyBorder="1" applyAlignment="1">
      <alignment horizontal="left" vertical="top" wrapText="1"/>
    </xf>
    <xf numFmtId="0" fontId="19" fillId="8" borderId="45" xfId="0" applyFont="1" applyFill="1" applyBorder="1" applyAlignment="1">
      <alignment horizontal="left" vertical="center" wrapText="1"/>
    </xf>
    <xf numFmtId="0" fontId="32" fillId="8" borderId="45" xfId="2" applyFill="1" applyBorder="1" applyAlignment="1">
      <alignment horizontal="left" vertical="center"/>
    </xf>
    <xf numFmtId="0" fontId="19" fillId="12" borderId="51" xfId="0" applyFont="1" applyFill="1" applyBorder="1" applyAlignment="1">
      <alignment horizontal="left" vertical="center" wrapText="1"/>
    </xf>
    <xf numFmtId="0" fontId="19" fillId="12" borderId="14" xfId="0" applyFont="1" applyFill="1" applyBorder="1" applyAlignment="1">
      <alignment horizontal="left" vertical="center" wrapText="1"/>
    </xf>
    <xf numFmtId="0" fontId="19" fillId="10" borderId="45" xfId="0" applyFont="1" applyFill="1" applyBorder="1" applyAlignment="1">
      <alignment horizontal="left" vertical="center"/>
    </xf>
    <xf numFmtId="0" fontId="18" fillId="4" borderId="34" xfId="0" applyFont="1" applyFill="1" applyBorder="1" applyAlignment="1">
      <alignment horizontal="center" vertical="center" wrapText="1"/>
    </xf>
    <xf numFmtId="0" fontId="19" fillId="8" borderId="34" xfId="0" applyFont="1" applyFill="1" applyBorder="1" applyAlignment="1">
      <alignment vertical="center" wrapText="1"/>
    </xf>
    <xf numFmtId="0" fontId="33" fillId="12" borderId="34" xfId="0" applyFont="1" applyFill="1" applyBorder="1" applyAlignment="1">
      <alignment vertical="center" wrapText="1"/>
    </xf>
    <xf numFmtId="0" fontId="35" fillId="12" borderId="34" xfId="0" applyFont="1" applyFill="1" applyBorder="1" applyAlignment="1">
      <alignment horizontal="left" vertical="center" wrapText="1"/>
    </xf>
    <xf numFmtId="0" fontId="35" fillId="12" borderId="34" xfId="0" applyFont="1" applyFill="1" applyBorder="1" applyAlignment="1">
      <alignment horizontal="left" vertical="top" wrapText="1"/>
    </xf>
    <xf numFmtId="0" fontId="33" fillId="12" borderId="34" xfId="0" applyFont="1" applyFill="1" applyBorder="1" applyAlignment="1">
      <alignment horizontal="left" vertical="center" wrapText="1"/>
    </xf>
    <xf numFmtId="0" fontId="21" fillId="13" borderId="34" xfId="0" applyFont="1" applyFill="1" applyBorder="1" applyAlignment="1">
      <alignment horizontal="left" vertical="top" wrapText="1"/>
    </xf>
    <xf numFmtId="0" fontId="35" fillId="12" borderId="34" xfId="0" applyFont="1" applyFill="1" applyBorder="1" applyAlignment="1">
      <alignment horizontal="center" vertical="center" wrapText="1"/>
    </xf>
    <xf numFmtId="0" fontId="41" fillId="10" borderId="34" xfId="0" applyFont="1" applyFill="1" applyBorder="1" applyAlignment="1">
      <alignment vertical="center"/>
    </xf>
    <xf numFmtId="0" fontId="41" fillId="10" borderId="34" xfId="0" applyFont="1" applyFill="1" applyBorder="1" applyAlignment="1">
      <alignment vertical="center" wrapText="1"/>
    </xf>
    <xf numFmtId="0" fontId="35" fillId="10" borderId="34" xfId="0" applyFont="1" applyFill="1" applyBorder="1" applyAlignment="1">
      <alignment vertical="center" wrapText="1"/>
    </xf>
    <xf numFmtId="0" fontId="33" fillId="10" borderId="34" xfId="0" applyFont="1" applyFill="1" applyBorder="1" applyAlignment="1">
      <alignment vertical="center"/>
    </xf>
    <xf numFmtId="0" fontId="19" fillId="8" borderId="34" xfId="0" applyFont="1" applyFill="1" applyBorder="1" applyAlignment="1">
      <alignment wrapText="1"/>
    </xf>
    <xf numFmtId="0" fontId="19" fillId="10" borderId="14" xfId="0" applyFont="1" applyFill="1" applyBorder="1" applyAlignment="1">
      <alignment wrapText="1"/>
    </xf>
    <xf numFmtId="9" fontId="19" fillId="10" borderId="14" xfId="0" applyNumberFormat="1" applyFont="1" applyFill="1" applyBorder="1"/>
    <xf numFmtId="0" fontId="19" fillId="10" borderId="46" xfId="0" applyFont="1" applyFill="1" applyBorder="1"/>
    <xf numFmtId="0" fontId="19" fillId="10" borderId="59" xfId="0" applyFont="1" applyFill="1" applyBorder="1"/>
    <xf numFmtId="0" fontId="19" fillId="10" borderId="38" xfId="0" applyFont="1" applyFill="1" applyBorder="1" applyAlignment="1">
      <alignment horizontal="left" vertical="center" wrapText="1"/>
    </xf>
    <xf numFmtId="0" fontId="19" fillId="10" borderId="62" xfId="0" applyFont="1" applyFill="1" applyBorder="1" applyAlignment="1">
      <alignment horizontal="center" vertical="center"/>
    </xf>
    <xf numFmtId="0" fontId="19" fillId="10" borderId="64" xfId="0" applyFont="1" applyFill="1" applyBorder="1" applyAlignment="1">
      <alignment horizontal="center" vertical="center"/>
    </xf>
    <xf numFmtId="0" fontId="19" fillId="10" borderId="60" xfId="0" applyFont="1" applyFill="1" applyBorder="1" applyAlignment="1">
      <alignment horizontal="left" vertical="center" wrapText="1"/>
    </xf>
    <xf numFmtId="0" fontId="33" fillId="10" borderId="60" xfId="0" applyFont="1" applyFill="1" applyBorder="1" applyAlignment="1">
      <alignment horizontal="left" vertical="center" wrapText="1"/>
    </xf>
    <xf numFmtId="0" fontId="33" fillId="10" borderId="38" xfId="0" applyFont="1" applyFill="1" applyBorder="1" applyAlignment="1">
      <alignment horizontal="left" vertical="center" wrapText="1"/>
    </xf>
    <xf numFmtId="0" fontId="19" fillId="8" borderId="34" xfId="0" applyFont="1" applyFill="1" applyBorder="1" applyAlignment="1">
      <alignment horizontal="center" vertical="center"/>
    </xf>
    <xf numFmtId="0" fontId="19" fillId="8" borderId="56" xfId="0" applyFont="1" applyFill="1" applyBorder="1" applyAlignment="1">
      <alignment horizontal="left" wrapText="1"/>
    </xf>
    <xf numFmtId="0" fontId="19" fillId="8" borderId="64" xfId="0" applyFont="1" applyFill="1" applyBorder="1" applyAlignment="1">
      <alignment horizontal="center" vertical="center" wrapText="1"/>
    </xf>
    <xf numFmtId="0" fontId="19" fillId="8" borderId="72" xfId="0" applyFont="1" applyFill="1" applyBorder="1" applyAlignment="1">
      <alignment horizontal="left" vertical="center" wrapText="1"/>
    </xf>
    <xf numFmtId="0" fontId="19" fillId="8" borderId="52" xfId="0" applyFont="1" applyFill="1" applyBorder="1" applyAlignment="1">
      <alignment horizontal="left" vertical="center" wrapText="1"/>
    </xf>
    <xf numFmtId="9" fontId="19" fillId="10" borderId="46" xfId="0" applyNumberFormat="1" applyFont="1" applyFill="1" applyBorder="1"/>
    <xf numFmtId="1" fontId="19" fillId="10" borderId="14" xfId="0" applyNumberFormat="1" applyFont="1" applyFill="1" applyBorder="1"/>
    <xf numFmtId="0" fontId="51" fillId="8" borderId="34" xfId="0" applyFont="1" applyFill="1" applyBorder="1" applyAlignment="1">
      <alignment wrapText="1"/>
    </xf>
    <xf numFmtId="0" fontId="19" fillId="10" borderId="64" xfId="0" applyFont="1" applyFill="1" applyBorder="1" applyAlignment="1">
      <alignment horizontal="center" vertical="center"/>
    </xf>
    <xf numFmtId="0" fontId="19" fillId="10" borderId="63" xfId="0" applyFont="1" applyFill="1" applyBorder="1" applyAlignment="1">
      <alignment horizontal="center" vertical="center"/>
    </xf>
    <xf numFmtId="0" fontId="19" fillId="10" borderId="60" xfId="0" applyFont="1" applyFill="1" applyBorder="1" applyAlignment="1">
      <alignment horizontal="left" vertical="center" wrapText="1"/>
    </xf>
    <xf numFmtId="0" fontId="19" fillId="10" borderId="61" xfId="0" applyFont="1" applyFill="1" applyBorder="1" applyAlignment="1">
      <alignment horizontal="left" vertical="center" wrapText="1"/>
    </xf>
    <xf numFmtId="0" fontId="19" fillId="10" borderId="69" xfId="0" applyFont="1" applyFill="1" applyBorder="1" applyAlignment="1">
      <alignment horizontal="center" vertical="center"/>
    </xf>
    <xf numFmtId="0" fontId="33" fillId="10" borderId="45" xfId="0" applyFont="1" applyFill="1" applyBorder="1" applyAlignment="1">
      <alignment horizontal="center" vertical="center" wrapText="1"/>
    </xf>
    <xf numFmtId="0" fontId="33" fillId="10" borderId="59" xfId="0" applyFont="1" applyFill="1" applyBorder="1" applyAlignment="1">
      <alignment horizontal="left" vertical="center" wrapText="1"/>
    </xf>
    <xf numFmtId="0" fontId="33" fillId="10" borderId="64" xfId="0" applyFont="1" applyFill="1" applyBorder="1" applyAlignment="1">
      <alignment horizontal="center" vertical="center"/>
    </xf>
    <xf numFmtId="0" fontId="33" fillId="10" borderId="63" xfId="0" applyFont="1" applyFill="1" applyBorder="1" applyAlignment="1">
      <alignment horizontal="center" vertical="center"/>
    </xf>
    <xf numFmtId="0" fontId="33" fillId="10" borderId="60" xfId="0" applyFont="1" applyFill="1" applyBorder="1" applyAlignment="1">
      <alignment horizontal="left" vertical="center" wrapText="1"/>
    </xf>
    <xf numFmtId="0" fontId="33" fillId="10" borderId="61" xfId="0" applyFont="1" applyFill="1" applyBorder="1" applyAlignment="1">
      <alignment horizontal="left" vertical="center" wrapText="1"/>
    </xf>
    <xf numFmtId="0" fontId="19" fillId="10" borderId="45" xfId="0" applyFont="1" applyFill="1" applyBorder="1" applyAlignment="1">
      <alignment horizontal="center" vertical="center"/>
    </xf>
    <xf numFmtId="0" fontId="19" fillId="10" borderId="38" xfId="0" applyFont="1" applyFill="1" applyBorder="1" applyAlignment="1">
      <alignment horizontal="left" vertical="center" wrapText="1"/>
    </xf>
    <xf numFmtId="0" fontId="19" fillId="10" borderId="39" xfId="0" applyFont="1" applyFill="1" applyBorder="1" applyAlignment="1">
      <alignment horizontal="left" vertical="center" wrapText="1"/>
    </xf>
    <xf numFmtId="0" fontId="33" fillId="10" borderId="38" xfId="0" applyFont="1" applyFill="1" applyBorder="1" applyAlignment="1">
      <alignment horizontal="left" vertical="center" wrapText="1"/>
    </xf>
    <xf numFmtId="0" fontId="33" fillId="10" borderId="39" xfId="0" applyFont="1" applyFill="1" applyBorder="1" applyAlignment="1">
      <alignment horizontal="left" vertical="center" wrapText="1"/>
    </xf>
    <xf numFmtId="0" fontId="33" fillId="10" borderId="34" xfId="0" applyFont="1" applyFill="1" applyBorder="1" applyAlignment="1">
      <alignment horizontal="left" vertical="center" wrapText="1"/>
    </xf>
    <xf numFmtId="0" fontId="19" fillId="10" borderId="0" xfId="0" applyFont="1" applyFill="1" applyAlignment="1">
      <alignment horizontal="center" vertical="center"/>
    </xf>
    <xf numFmtId="0" fontId="19" fillId="10" borderId="58" xfId="0" applyFont="1" applyFill="1" applyBorder="1" applyAlignment="1">
      <alignment horizontal="center" vertical="center"/>
    </xf>
    <xf numFmtId="0" fontId="19" fillId="10" borderId="59" xfId="0" applyFont="1" applyFill="1" applyBorder="1" applyAlignment="1">
      <alignment horizontal="left" vertical="center" wrapText="1"/>
    </xf>
    <xf numFmtId="0" fontId="19" fillId="10" borderId="62" xfId="0" applyFont="1" applyFill="1" applyBorder="1" applyAlignment="1">
      <alignment horizontal="center" vertical="center"/>
    </xf>
    <xf numFmtId="0" fontId="19" fillId="10" borderId="65" xfId="0" applyFont="1" applyFill="1" applyBorder="1" applyAlignment="1">
      <alignment horizontal="center" vertical="center"/>
    </xf>
    <xf numFmtId="0" fontId="35" fillId="10" borderId="60" xfId="0" applyFont="1" applyFill="1" applyBorder="1" applyAlignment="1">
      <alignment horizontal="left" vertical="center" wrapText="1"/>
    </xf>
    <xf numFmtId="0" fontId="35" fillId="10" borderId="61" xfId="0" applyFont="1" applyFill="1" applyBorder="1" applyAlignment="1">
      <alignment horizontal="left" vertical="center" wrapText="1"/>
    </xf>
    <xf numFmtId="0" fontId="41" fillId="10" borderId="59" xfId="0" applyFont="1" applyFill="1" applyBorder="1" applyAlignment="1">
      <alignment horizontal="left" vertical="center" wrapText="1"/>
    </xf>
    <xf numFmtId="0" fontId="41" fillId="10" borderId="67" xfId="0" applyFont="1" applyFill="1" applyBorder="1" applyAlignment="1">
      <alignment horizontal="center" vertical="center"/>
    </xf>
    <xf numFmtId="0" fontId="41" fillId="10" borderId="58" xfId="0" applyFont="1" applyFill="1" applyBorder="1" applyAlignment="1">
      <alignment horizontal="center" vertical="center"/>
    </xf>
    <xf numFmtId="0" fontId="19" fillId="10" borderId="34" xfId="0" applyFont="1" applyFill="1" applyBorder="1" applyAlignment="1">
      <alignment horizontal="left" vertical="center" wrapText="1"/>
    </xf>
    <xf numFmtId="0" fontId="41" fillId="10" borderId="34" xfId="0" applyFont="1" applyFill="1" applyBorder="1" applyAlignment="1">
      <alignment horizontal="left" vertical="center" wrapText="1"/>
    </xf>
    <xf numFmtId="0" fontId="35" fillId="10" borderId="38" xfId="0" applyFont="1" applyFill="1" applyBorder="1" applyAlignment="1">
      <alignment horizontal="left" vertical="center" wrapText="1"/>
    </xf>
    <xf numFmtId="0" fontId="35" fillId="10" borderId="39" xfId="0" applyFont="1" applyFill="1" applyBorder="1" applyAlignment="1">
      <alignment horizontal="left" vertical="center" wrapText="1"/>
    </xf>
    <xf numFmtId="0" fontId="19" fillId="6" borderId="34" xfId="0" applyFont="1" applyFill="1" applyBorder="1" applyAlignment="1">
      <alignment horizontal="left" vertical="center" wrapText="1"/>
    </xf>
    <xf numFmtId="0" fontId="19" fillId="8" borderId="34" xfId="0" applyFont="1" applyFill="1" applyBorder="1" applyAlignment="1">
      <alignment horizontal="center" vertical="center"/>
    </xf>
    <xf numFmtId="0" fontId="19" fillId="8" borderId="34" xfId="0" applyFont="1" applyFill="1" applyBorder="1" applyAlignment="1">
      <alignment horizontal="left" vertical="center" wrapText="1"/>
    </xf>
    <xf numFmtId="0" fontId="19" fillId="8" borderId="34" xfId="0" applyFont="1" applyFill="1" applyBorder="1" applyAlignment="1">
      <alignment horizontal="left" vertical="top" wrapText="1"/>
    </xf>
    <xf numFmtId="0" fontId="19" fillId="8" borderId="34" xfId="0" applyFont="1" applyFill="1" applyBorder="1" applyAlignment="1">
      <alignment horizontal="center" vertical="center" wrapText="1"/>
    </xf>
    <xf numFmtId="0" fontId="19" fillId="8" borderId="34" xfId="0" applyFont="1" applyFill="1" applyBorder="1" applyAlignment="1">
      <alignment horizontal="left" vertical="center"/>
    </xf>
    <xf numFmtId="0" fontId="19" fillId="6" borderId="34" xfId="0" applyFont="1" applyFill="1" applyBorder="1" applyAlignment="1">
      <alignment horizontal="center" vertical="center"/>
    </xf>
    <xf numFmtId="0" fontId="20" fillId="5" borderId="35" xfId="0" applyFont="1" applyFill="1" applyBorder="1" applyAlignment="1">
      <alignment vertical="center"/>
    </xf>
    <xf numFmtId="0" fontId="20" fillId="7" borderId="35" xfId="0" applyFont="1" applyFill="1" applyBorder="1" applyAlignment="1">
      <alignment vertical="center" wrapText="1"/>
    </xf>
    <xf numFmtId="0" fontId="3" fillId="0" borderId="35" xfId="0" applyFont="1" applyBorder="1" applyAlignment="1">
      <alignment wrapText="1"/>
    </xf>
    <xf numFmtId="0" fontId="3" fillId="12" borderId="34" xfId="0" applyFont="1" applyFill="1" applyBorder="1" applyAlignment="1">
      <alignment horizontal="left" vertical="top" wrapText="1"/>
    </xf>
    <xf numFmtId="0" fontId="21" fillId="9" borderId="35" xfId="0" applyFont="1" applyFill="1" applyBorder="1" applyAlignment="1">
      <alignment vertical="center" wrapText="1"/>
    </xf>
    <xf numFmtId="0" fontId="19" fillId="6" borderId="59" xfId="0" applyFont="1" applyFill="1" applyBorder="1" applyAlignment="1">
      <alignment horizontal="left" vertical="center" wrapText="1"/>
    </xf>
    <xf numFmtId="0" fontId="19" fillId="6" borderId="45" xfId="0" applyFont="1" applyFill="1" applyBorder="1" applyAlignment="1">
      <alignment horizontal="center" vertical="center"/>
    </xf>
    <xf numFmtId="0" fontId="19" fillId="8" borderId="59" xfId="0" applyFont="1" applyFill="1" applyBorder="1" applyAlignment="1">
      <alignment horizontal="left" vertical="center" wrapText="1"/>
    </xf>
    <xf numFmtId="0" fontId="19" fillId="8" borderId="60" xfId="0" applyFont="1" applyFill="1" applyBorder="1" applyAlignment="1">
      <alignment horizontal="left" vertical="center" wrapText="1"/>
    </xf>
    <xf numFmtId="0" fontId="19" fillId="8" borderId="45" xfId="0" applyFont="1" applyFill="1" applyBorder="1" applyAlignment="1">
      <alignment horizontal="center" vertical="center"/>
    </xf>
    <xf numFmtId="0" fontId="19" fillId="8" borderId="64" xfId="0" applyFont="1" applyFill="1" applyBorder="1" applyAlignment="1">
      <alignment horizontal="center" vertical="center"/>
    </xf>
    <xf numFmtId="0" fontId="19" fillId="8" borderId="45" xfId="0" applyFont="1" applyFill="1" applyBorder="1" applyAlignment="1">
      <alignment horizontal="center" vertical="top" wrapText="1"/>
    </xf>
    <xf numFmtId="0" fontId="19" fillId="8" borderId="70" xfId="0" applyFont="1" applyFill="1" applyBorder="1" applyAlignment="1">
      <alignment horizontal="left" vertical="center" wrapText="1"/>
    </xf>
    <xf numFmtId="0" fontId="19" fillId="8" borderId="61" xfId="0" applyFont="1" applyFill="1" applyBorder="1" applyAlignment="1">
      <alignment horizontal="left" vertical="center" wrapText="1"/>
    </xf>
    <xf numFmtId="0" fontId="19" fillId="6" borderId="64" xfId="0" applyFont="1" applyFill="1" applyBorder="1" applyAlignment="1">
      <alignment horizontal="center" vertical="center" wrapText="1"/>
    </xf>
    <xf numFmtId="0" fontId="19" fillId="6" borderId="65" xfId="0" applyFont="1" applyFill="1" applyBorder="1" applyAlignment="1">
      <alignment horizontal="center" vertical="center" wrapText="1"/>
    </xf>
    <xf numFmtId="0" fontId="19" fillId="6" borderId="63" xfId="0" applyFont="1" applyFill="1" applyBorder="1" applyAlignment="1">
      <alignment horizontal="center" vertical="center" wrapText="1"/>
    </xf>
    <xf numFmtId="0" fontId="19" fillId="6" borderId="60" xfId="0" applyFont="1" applyFill="1" applyBorder="1" applyAlignment="1">
      <alignment horizontal="left" vertical="center" wrapText="1"/>
    </xf>
    <xf numFmtId="0" fontId="19" fillId="6" borderId="70" xfId="0" applyFont="1" applyFill="1" applyBorder="1" applyAlignment="1">
      <alignment horizontal="left" vertical="center" wrapText="1"/>
    </xf>
    <xf numFmtId="0" fontId="19" fillId="6" borderId="61" xfId="0" applyFont="1" applyFill="1" applyBorder="1" applyAlignment="1">
      <alignment horizontal="left" vertical="center" wrapText="1"/>
    </xf>
    <xf numFmtId="0" fontId="38" fillId="8" borderId="42" xfId="0" applyFont="1" applyFill="1" applyBorder="1" applyAlignment="1">
      <alignment horizontal="left" vertical="center" wrapText="1"/>
    </xf>
    <xf numFmtId="0" fontId="38" fillId="8" borderId="47" xfId="0" applyFont="1" applyFill="1" applyBorder="1" applyAlignment="1">
      <alignment horizontal="left" vertical="center" wrapText="1"/>
    </xf>
    <xf numFmtId="0" fontId="38" fillId="8" borderId="38" xfId="0" applyFont="1" applyFill="1" applyBorder="1" applyAlignment="1">
      <alignment horizontal="left" vertical="top" wrapText="1"/>
    </xf>
    <xf numFmtId="0" fontId="38" fillId="8" borderId="40" xfId="0" applyFont="1" applyFill="1" applyBorder="1" applyAlignment="1">
      <alignment horizontal="left" vertical="top"/>
    </xf>
    <xf numFmtId="0" fontId="38" fillId="8" borderId="39" xfId="0" applyFont="1" applyFill="1" applyBorder="1" applyAlignment="1">
      <alignment horizontal="left" vertical="top"/>
    </xf>
    <xf numFmtId="0" fontId="19" fillId="6" borderId="38" xfId="0" applyFont="1" applyFill="1" applyBorder="1" applyAlignment="1">
      <alignment horizontal="left" vertical="center" wrapText="1"/>
    </xf>
    <xf numFmtId="0" fontId="19" fillId="6" borderId="40" xfId="0" applyFont="1" applyFill="1" applyBorder="1" applyAlignment="1">
      <alignment horizontal="left" vertical="center" wrapText="1"/>
    </xf>
    <xf numFmtId="0" fontId="19" fillId="6" borderId="39" xfId="0" applyFont="1" applyFill="1" applyBorder="1" applyAlignment="1">
      <alignment horizontal="left" vertical="center" wrapText="1"/>
    </xf>
    <xf numFmtId="0" fontId="38" fillId="8" borderId="34" xfId="0" applyFont="1" applyFill="1" applyBorder="1" applyAlignment="1">
      <alignment horizontal="left" vertical="top" wrapText="1"/>
    </xf>
    <xf numFmtId="0" fontId="19" fillId="8" borderId="54" xfId="0" applyFont="1" applyFill="1" applyBorder="1" applyAlignment="1">
      <alignment horizontal="left" vertical="top" wrapText="1"/>
    </xf>
    <xf numFmtId="0" fontId="19" fillId="8" borderId="55" xfId="0" applyFont="1" applyFill="1" applyBorder="1" applyAlignment="1">
      <alignment horizontal="left" vertical="top" wrapText="1"/>
    </xf>
    <xf numFmtId="0" fontId="19" fillId="8" borderId="48" xfId="0" applyFont="1" applyFill="1" applyBorder="1" applyAlignment="1">
      <alignment horizontal="left" vertical="center" wrapText="1"/>
    </xf>
    <xf numFmtId="0" fontId="19" fillId="8" borderId="49" xfId="0" applyFont="1" applyFill="1" applyBorder="1" applyAlignment="1">
      <alignment horizontal="left" vertical="center" wrapText="1"/>
    </xf>
    <xf numFmtId="0" fontId="19" fillId="8" borderId="64" xfId="0" applyFont="1" applyFill="1" applyBorder="1" applyAlignment="1">
      <alignment horizontal="center" vertical="center" wrapText="1"/>
    </xf>
    <xf numFmtId="0" fontId="19" fillId="8" borderId="63" xfId="0" applyFont="1" applyFill="1" applyBorder="1" applyAlignment="1">
      <alignment horizontal="center" vertical="center" wrapText="1"/>
    </xf>
    <xf numFmtId="0" fontId="19" fillId="8" borderId="71" xfId="0" applyFont="1" applyFill="1" applyBorder="1" applyAlignment="1">
      <alignment horizontal="left" vertical="center" wrapText="1"/>
    </xf>
    <xf numFmtId="0" fontId="19" fillId="8" borderId="63" xfId="0" applyFont="1" applyFill="1" applyBorder="1" applyAlignment="1">
      <alignment horizontal="center" vertical="center"/>
    </xf>
    <xf numFmtId="0" fontId="19" fillId="8" borderId="38" xfId="0" applyFont="1" applyFill="1" applyBorder="1" applyAlignment="1">
      <alignment horizontal="left" vertical="center" wrapText="1"/>
    </xf>
    <xf numFmtId="0" fontId="19" fillId="8" borderId="40" xfId="0" applyFont="1" applyFill="1" applyBorder="1" applyAlignment="1">
      <alignment horizontal="left" vertical="center" wrapText="1"/>
    </xf>
    <xf numFmtId="0" fontId="19" fillId="8" borderId="39" xfId="0" applyFont="1" applyFill="1" applyBorder="1" applyAlignment="1">
      <alignment horizontal="left" vertical="center" wrapText="1"/>
    </xf>
    <xf numFmtId="0" fontId="19" fillId="8" borderId="53" xfId="0" applyFont="1" applyFill="1" applyBorder="1" applyAlignment="1">
      <alignment horizontal="left" vertical="center" wrapText="1"/>
    </xf>
    <xf numFmtId="0" fontId="15" fillId="0" borderId="3" xfId="0" applyFont="1" applyBorder="1" applyAlignment="1">
      <alignment vertical="center"/>
    </xf>
    <xf numFmtId="0" fontId="31" fillId="0" borderId="4" xfId="0" applyFont="1" applyBorder="1" applyAlignment="1">
      <alignment vertical="center"/>
    </xf>
    <xf numFmtId="0" fontId="1" fillId="0" borderId="34" xfId="0" applyFont="1" applyBorder="1" applyAlignment="1">
      <alignment vertical="top" wrapText="1"/>
    </xf>
    <xf numFmtId="0" fontId="3" fillId="0" borderId="34" xfId="0" applyFont="1" applyBorder="1" applyAlignment="1">
      <alignment vertical="top"/>
    </xf>
    <xf numFmtId="0" fontId="6" fillId="3" borderId="7" xfId="0" applyFont="1" applyFill="1" applyBorder="1" applyAlignment="1">
      <alignment horizontal="left" vertical="top" wrapText="1"/>
    </xf>
    <xf numFmtId="0" fontId="9" fillId="2" borderId="8" xfId="0" applyFont="1" applyFill="1" applyBorder="1" applyAlignment="1">
      <alignment vertical="top" wrapText="1"/>
    </xf>
    <xf numFmtId="0" fontId="7" fillId="2" borderId="8" xfId="0" applyFont="1" applyFill="1" applyBorder="1" applyAlignment="1">
      <alignment vertical="top" wrapText="1"/>
    </xf>
    <xf numFmtId="0" fontId="6" fillId="3" borderId="15" xfId="0" applyFont="1" applyFill="1" applyBorder="1" applyAlignment="1">
      <alignment horizontal="left" vertical="top" wrapText="1"/>
    </xf>
    <xf numFmtId="0" fontId="6" fillId="3" borderId="11" xfId="0" applyFont="1" applyFill="1" applyBorder="1" applyAlignment="1">
      <alignment horizontal="left" vertical="top" wrapText="1"/>
    </xf>
    <xf numFmtId="0" fontId="9" fillId="2" borderId="21" xfId="0" applyFont="1" applyFill="1" applyBorder="1" applyAlignment="1">
      <alignment horizontal="left" vertical="top" wrapText="1"/>
    </xf>
    <xf numFmtId="0" fontId="9" fillId="2" borderId="23" xfId="0" applyFont="1" applyFill="1" applyBorder="1" applyAlignment="1">
      <alignment horizontal="left" vertical="top" wrapText="1"/>
    </xf>
    <xf numFmtId="0" fontId="9" fillId="2" borderId="30" xfId="0" applyFont="1" applyFill="1" applyBorder="1" applyAlignment="1">
      <alignment horizontal="left" vertical="top" wrapText="1"/>
    </xf>
    <xf numFmtId="0" fontId="17" fillId="2" borderId="16" xfId="0" applyFont="1" applyFill="1" applyBorder="1" applyAlignment="1">
      <alignment vertical="center" wrapText="1"/>
    </xf>
    <xf numFmtId="0" fontId="17" fillId="2" borderId="0" xfId="0" applyFont="1" applyFill="1" applyAlignment="1">
      <alignment vertical="center" wrapText="1"/>
    </xf>
    <xf numFmtId="0" fontId="9" fillId="2" borderId="6" xfId="0" applyFont="1" applyFill="1" applyBorder="1" applyAlignment="1">
      <alignment vertical="top" wrapText="1"/>
    </xf>
    <xf numFmtId="0" fontId="12" fillId="2" borderId="8" xfId="0" applyFont="1" applyFill="1" applyBorder="1" applyAlignment="1">
      <alignment vertical="center" wrapText="1"/>
    </xf>
    <xf numFmtId="0" fontId="11" fillId="2" borderId="21" xfId="0" applyFont="1" applyFill="1" applyBorder="1" applyAlignment="1">
      <alignment vertical="center" wrapText="1"/>
    </xf>
    <xf numFmtId="0" fontId="3" fillId="0" borderId="30" xfId="0" applyFont="1" applyBorder="1" applyAlignment="1">
      <alignment wrapText="1"/>
    </xf>
    <xf numFmtId="0" fontId="1" fillId="0" borderId="3" xfId="0" applyFont="1" applyBorder="1" applyAlignment="1"/>
    <xf numFmtId="0" fontId="3" fillId="0" borderId="4" xfId="0" applyFont="1" applyBorder="1" applyAlignment="1"/>
    <xf numFmtId="0" fontId="3" fillId="0" borderId="11" xfId="0" applyFont="1" applyBorder="1" applyAlignment="1"/>
    <xf numFmtId="0" fontId="3" fillId="0" borderId="12" xfId="0" applyFont="1" applyBorder="1" applyAlignment="1"/>
    <xf numFmtId="0" fontId="1" fillId="0" borderId="57" xfId="0" applyFont="1" applyBorder="1" applyAlignment="1"/>
    <xf numFmtId="0" fontId="3" fillId="0" borderId="18" xfId="0" applyFont="1" applyBorder="1" applyAlignment="1"/>
    <xf numFmtId="0" fontId="3" fillId="0" borderId="15" xfId="0" applyFont="1" applyBorder="1" applyAlignment="1"/>
    <xf numFmtId="0" fontId="3" fillId="0" borderId="16" xfId="0" applyFont="1" applyBorder="1" applyAlignment="1"/>
    <xf numFmtId="0" fontId="3" fillId="0" borderId="19" xfId="0" applyFont="1" applyBorder="1" applyAlignment="1"/>
    <xf numFmtId="0" fontId="3" fillId="0" borderId="13" xfId="0" applyFont="1" applyBorder="1" applyAlignment="1"/>
    <xf numFmtId="0" fontId="3" fillId="0" borderId="23" xfId="0" applyFont="1" applyBorder="1" applyAlignment="1"/>
    <xf numFmtId="0" fontId="3" fillId="0" borderId="25" xfId="0" applyFont="1" applyBorder="1" applyAlignment="1"/>
    <xf numFmtId="0" fontId="3" fillId="0" borderId="31" xfId="0" applyFont="1" applyBorder="1" applyAlignment="1"/>
    <xf numFmtId="0" fontId="3" fillId="0" borderId="9" xfId="0" applyFont="1" applyBorder="1" applyAlignment="1"/>
    <xf numFmtId="0" fontId="3" fillId="0" borderId="30" xfId="0" applyFont="1" applyBorder="1" applyAlignment="1"/>
    <xf numFmtId="0" fontId="0" fillId="0" borderId="0" xfId="0" applyAlignment="1"/>
  </cellXfs>
  <cellStyles count="3">
    <cellStyle name="Lien hypertexte" xfId="2" builtinId="8"/>
    <cellStyle name="Milliers" xfId="1" builtinId="3"/>
    <cellStyle name="Normal" xfId="0" builtinId="0"/>
  </cellStyles>
  <dxfs count="0"/>
  <tableStyles count="1" defaultTableStyle="TableStyleMedium2" defaultPivotStyle="PivotStyleLight16">
    <tableStyle name="Invisible" pivot="0" table="0" count="0" xr9:uid="{C8DB0A47-9635-4951-8A44-42A8FFE9A7C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FFA0A95D-29FF-4A50-A4DE-1729710D2286}">
    <Anchor>
      <Comment id="{A7922BFC-E11D-428E-81FA-B7BAD6F903ED}"/>
    </Anchor>
    <History>
      <Event time="2025-07-10T15:08:02.63" id="{B460F7D3-CAAC-4B56-B49E-624B9B045F11}">
        <Attribution userId="S::anjiraini@wwfint.org::d557b7a7-4bb2-40fd-91c0-864ae5da9c3c" userName="Andrew Njiraini" userProvider="AD"/>
        <Anchor>
          <Comment id="{A7922BFC-E11D-428E-81FA-B7BAD6F903ED}"/>
        </Anchor>
        <Create/>
      </Event>
      <Event time="2025-07-10T15:08:02.63" id="{2274967F-5000-4F71-8BA2-C26CBA82C533}">
        <Attribution userId="S::anjiraini@wwfint.org::d557b7a7-4bb2-40fd-91c0-864ae5da9c3c" userName="Andrew Njiraini" userProvider="AD"/>
        <Anchor>
          <Comment id="{A7922BFC-E11D-428E-81FA-B7BAD6F903ED}"/>
        </Anchor>
        <Assign userId="S::elonge@wwfdrc.org::1a01076f-cf7e-4bda-a1ae-3f0db63e7abd" userName="Etienne Longe" userProvider="AD"/>
      </Event>
      <Event time="2025-07-10T15:08:02.63" id="{28C0555E-75AE-460D-80F3-694089A46EF4}">
        <Attribution userId="S::anjiraini@wwfint.org::d557b7a7-4bb2-40fd-91c0-864ae5da9c3c" userName="Andrew Njiraini" userProvider="AD"/>
        <Anchor>
          <Comment id="{A7922BFC-E11D-428E-81FA-B7BAD6F903ED}"/>
        </Anchor>
        <SetTitle title="@Etienne Longe The OSP risk assessment needs to be completed as already mentioned before"/>
      </Event>
    </History>
  </Task>
</Tasks>
</file>

<file path=xl/persons/person.xml><?xml version="1.0" encoding="utf-8"?>
<personList xmlns="http://schemas.microsoft.com/office/spreadsheetml/2018/threadedcomments" xmlns:x="http://schemas.openxmlformats.org/spreadsheetml/2006/main">
  <person displayName="Etienne Longe" id="{BDC72C1A-850D-4663-AB18-CA446C1EB813}" userId="elonge@wwfdrc.org" providerId="PeoplePicker"/>
  <person displayName="Andrew Njiraini" id="{8109895F-4866-4638-B10A-44E85296E62B}" userId="S::anjiraini@wwfint.org::d557b7a7-4bb2-40fd-91c0-864ae5da9c3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 dT="2025-07-10T15:08:03.01" personId="{8109895F-4866-4638-B10A-44E85296E62B}" id="{A7922BFC-E11D-428E-81FA-B7BAD6F903ED}">
    <text xml:space="preserve">@Etienne Longe The OSP risk assessment needs to be completed as already mentioned before </text>
    <mentions>
      <mention mentionpersonId="{BDC72C1A-850D-4663-AB18-CA446C1EB813}" mentionId="{A1D1B1DB-1A7B-44D1-A582-272757E6589B}" startIndex="0" length="14"/>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sites.google.com/wwf.panda.org/networkstandards/policy-areas/project-and-initiative-management/2-4-guidance-by-ppms-step" TargetMode="External"/></Relationships>
</file>

<file path=xl/worksheets/_rels/sheet8.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hyperlink" Target="https://rris.biopama.org/node/18795" TargetMode="External"/><Relationship Id="rId7" Type="http://schemas.microsoft.com/office/2017/10/relationships/threadedComment" Target="../threadedComments/threadedComment1.xml"/><Relationship Id="rId2" Type="http://schemas.openxmlformats.org/officeDocument/2006/relationships/hyperlink" Target="https://rris.biopama.org/node/18795" TargetMode="External"/><Relationship Id="rId1" Type="http://schemas.openxmlformats.org/officeDocument/2006/relationships/hyperlink" Target="https://rris.biopama.org/node/18795"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outlinePr summaryBelow="0" summaryRight="0"/>
  </sheetPr>
  <dimension ref="A1:H1014"/>
  <sheetViews>
    <sheetView workbookViewId="0">
      <selection activeCell="C2" sqref="C2:D2"/>
    </sheetView>
  </sheetViews>
  <sheetFormatPr defaultColWidth="12.7109375" defaultRowHeight="15.75" customHeight="1"/>
  <cols>
    <col min="1" max="1" width="14.7109375" customWidth="1"/>
    <col min="2" max="2" width="32.7109375" customWidth="1"/>
    <col min="3" max="3" width="22.28515625" customWidth="1"/>
    <col min="4" max="4" width="140.5703125" customWidth="1"/>
  </cols>
  <sheetData>
    <row r="1" spans="1:8" ht="13.15">
      <c r="A1" s="1"/>
      <c r="B1" s="2" t="s">
        <v>0</v>
      </c>
      <c r="C1" s="348"/>
      <c r="D1" s="349"/>
    </row>
    <row r="2" spans="1:8" ht="66">
      <c r="A2" s="3" t="s">
        <v>1</v>
      </c>
      <c r="B2" s="4" t="s">
        <v>2</v>
      </c>
      <c r="C2" s="330" t="s">
        <v>3</v>
      </c>
      <c r="D2" s="331"/>
    </row>
    <row r="3" spans="1:8" ht="80.25" customHeight="1">
      <c r="A3" s="3" t="s">
        <v>4</v>
      </c>
      <c r="B3" s="4" t="s">
        <v>5</v>
      </c>
      <c r="C3" s="348"/>
      <c r="D3" s="349"/>
    </row>
    <row r="4" spans="1:8" ht="80.25" customHeight="1">
      <c r="A4" s="3" t="s">
        <v>6</v>
      </c>
      <c r="B4" s="4" t="s">
        <v>7</v>
      </c>
      <c r="C4" s="348"/>
      <c r="D4" s="349"/>
    </row>
    <row r="5" spans="1:8" ht="29.25" customHeight="1">
      <c r="A5" s="334" t="s">
        <v>8</v>
      </c>
      <c r="B5" s="336" t="s">
        <v>9</v>
      </c>
      <c r="C5" s="5" t="s">
        <v>10</v>
      </c>
      <c r="D5" s="6" t="s">
        <v>11</v>
      </c>
      <c r="E5" s="7"/>
      <c r="F5" s="7"/>
      <c r="G5" s="7"/>
      <c r="H5" s="7"/>
    </row>
    <row r="6" spans="1:8" ht="32.25" customHeight="1">
      <c r="A6" s="350"/>
      <c r="B6" s="351"/>
      <c r="C6" s="136" t="s">
        <v>12</v>
      </c>
      <c r="D6" s="14" t="s">
        <v>13</v>
      </c>
      <c r="E6" s="7"/>
      <c r="F6" s="7"/>
      <c r="G6" s="7"/>
      <c r="H6" s="7"/>
    </row>
    <row r="7" spans="1:8" ht="197.45" customHeight="1">
      <c r="A7" s="3" t="s">
        <v>14</v>
      </c>
      <c r="B7" s="4" t="s">
        <v>15</v>
      </c>
      <c r="C7" s="332" t="s">
        <v>16</v>
      </c>
      <c r="D7" s="333"/>
    </row>
    <row r="8" spans="1:8" ht="92.45">
      <c r="A8" s="3" t="s">
        <v>17</v>
      </c>
      <c r="B8" s="4" t="s">
        <v>18</v>
      </c>
      <c r="C8" s="352"/>
      <c r="D8" s="353"/>
    </row>
    <row r="9" spans="1:8" ht="13.15" customHeight="1">
      <c r="A9" s="334" t="s">
        <v>19</v>
      </c>
      <c r="B9" s="339" t="s">
        <v>20</v>
      </c>
      <c r="C9" s="9" t="s">
        <v>21</v>
      </c>
      <c r="D9" s="10" t="s">
        <v>22</v>
      </c>
    </row>
    <row r="10" spans="1:8" ht="105.6">
      <c r="A10" s="337"/>
      <c r="B10" s="340"/>
      <c r="C10" s="11" t="s">
        <v>23</v>
      </c>
      <c r="D10" s="134" t="s">
        <v>24</v>
      </c>
    </row>
    <row r="11" spans="1:8" ht="118.9">
      <c r="A11" s="337"/>
      <c r="B11" s="340"/>
      <c r="C11" s="11" t="s">
        <v>25</v>
      </c>
      <c r="D11" s="134" t="s">
        <v>26</v>
      </c>
    </row>
    <row r="12" spans="1:8" ht="198">
      <c r="A12" s="337"/>
      <c r="B12" s="340"/>
      <c r="C12" s="11" t="s">
        <v>27</v>
      </c>
      <c r="D12" s="134" t="s">
        <v>28</v>
      </c>
    </row>
    <row r="13" spans="1:8" ht="132">
      <c r="A13" s="337"/>
      <c r="B13" s="340"/>
      <c r="C13" s="13" t="s">
        <v>29</v>
      </c>
      <c r="D13" s="135" t="s">
        <v>30</v>
      </c>
    </row>
    <row r="14" spans="1:8" ht="66">
      <c r="A14" s="338"/>
      <c r="B14" s="341"/>
      <c r="C14" s="13" t="s">
        <v>31</v>
      </c>
      <c r="D14" s="135" t="s">
        <v>32</v>
      </c>
    </row>
    <row r="15" spans="1:8" ht="27.6" customHeight="1">
      <c r="A15" s="334" t="s">
        <v>33</v>
      </c>
      <c r="B15" s="335" t="s">
        <v>34</v>
      </c>
      <c r="C15" s="9" t="s">
        <v>35</v>
      </c>
      <c r="D15" s="10" t="s">
        <v>22</v>
      </c>
    </row>
    <row r="16" spans="1:8" ht="61.5" customHeight="1">
      <c r="A16" s="354"/>
      <c r="B16" s="355"/>
      <c r="C16" s="137" t="s">
        <v>36</v>
      </c>
      <c r="D16" s="12"/>
    </row>
    <row r="17" spans="1:4" ht="61.5" customHeight="1">
      <c r="A17" s="354"/>
      <c r="B17" s="355"/>
      <c r="C17" s="11"/>
      <c r="D17" s="12"/>
    </row>
    <row r="18" spans="1:4" ht="61.5" customHeight="1">
      <c r="A18" s="354"/>
      <c r="B18" s="355"/>
      <c r="C18" s="11"/>
      <c r="D18" s="12"/>
    </row>
    <row r="19" spans="1:4" ht="61.5" customHeight="1">
      <c r="A19" s="356"/>
      <c r="B19" s="357"/>
      <c r="C19" s="15"/>
      <c r="D19" s="8"/>
    </row>
    <row r="20" spans="1:4" ht="13.15">
      <c r="A20" s="16"/>
      <c r="B20" s="17"/>
      <c r="C20" s="348"/>
      <c r="D20" s="349"/>
    </row>
    <row r="21" spans="1:4" ht="13.15">
      <c r="A21" s="18"/>
      <c r="B21" s="19"/>
    </row>
    <row r="22" spans="1:4" ht="13.15">
      <c r="A22" s="18"/>
      <c r="B22" s="19"/>
    </row>
    <row r="23" spans="1:4" ht="13.15">
      <c r="A23" s="18"/>
      <c r="B23" s="19"/>
    </row>
    <row r="24" spans="1:4" ht="13.15">
      <c r="A24" s="18"/>
      <c r="B24" s="19"/>
    </row>
    <row r="25" spans="1:4" ht="13.15">
      <c r="A25" s="18"/>
      <c r="B25" s="19"/>
    </row>
    <row r="26" spans="1:4" ht="13.15">
      <c r="A26" s="18"/>
      <c r="B26" s="19"/>
    </row>
    <row r="27" spans="1:4" ht="13.15">
      <c r="A27" s="18"/>
      <c r="B27" s="19"/>
    </row>
    <row r="28" spans="1:4" ht="13.15">
      <c r="A28" s="18"/>
      <c r="B28" s="19"/>
    </row>
    <row r="29" spans="1:4" ht="13.15">
      <c r="A29" s="18"/>
      <c r="B29" s="19"/>
    </row>
    <row r="30" spans="1:4" ht="13.15">
      <c r="A30" s="18"/>
      <c r="B30" s="19"/>
    </row>
    <row r="31" spans="1:4" ht="13.15">
      <c r="A31" s="18"/>
      <c r="B31" s="19"/>
    </row>
    <row r="32" spans="1:4" ht="13.15">
      <c r="A32" s="18"/>
      <c r="B32" s="19"/>
    </row>
    <row r="33" spans="1:2" ht="13.15">
      <c r="A33" s="18"/>
      <c r="B33" s="19"/>
    </row>
    <row r="34" spans="1:2" ht="13.15">
      <c r="A34" s="18"/>
      <c r="B34" s="19"/>
    </row>
    <row r="35" spans="1:2" ht="13.15">
      <c r="A35" s="18"/>
      <c r="B35" s="19"/>
    </row>
    <row r="36" spans="1:2" ht="13.15">
      <c r="A36" s="18"/>
      <c r="B36" s="19"/>
    </row>
    <row r="37" spans="1:2" ht="13.15">
      <c r="A37" s="18"/>
      <c r="B37" s="19"/>
    </row>
    <row r="38" spans="1:2" ht="13.15">
      <c r="A38" s="18"/>
      <c r="B38" s="19"/>
    </row>
    <row r="39" spans="1:2" ht="13.15">
      <c r="A39" s="18"/>
      <c r="B39" s="19"/>
    </row>
    <row r="40" spans="1:2" ht="13.15">
      <c r="A40" s="18"/>
      <c r="B40" s="19"/>
    </row>
    <row r="41" spans="1:2" ht="13.15">
      <c r="A41" s="18"/>
      <c r="B41" s="19"/>
    </row>
    <row r="42" spans="1:2" ht="13.15">
      <c r="A42" s="18"/>
      <c r="B42" s="19"/>
    </row>
    <row r="43" spans="1:2" ht="13.15">
      <c r="A43" s="18"/>
      <c r="B43" s="19"/>
    </row>
    <row r="44" spans="1:2" ht="13.15">
      <c r="A44" s="18"/>
      <c r="B44" s="19"/>
    </row>
    <row r="45" spans="1:2" ht="13.15">
      <c r="A45" s="18"/>
      <c r="B45" s="19"/>
    </row>
    <row r="46" spans="1:2" ht="13.15">
      <c r="A46" s="18"/>
      <c r="B46" s="19"/>
    </row>
    <row r="47" spans="1:2" ht="13.15">
      <c r="A47" s="18"/>
      <c r="B47" s="19"/>
    </row>
    <row r="48" spans="1:2" ht="13.15">
      <c r="A48" s="18"/>
      <c r="B48" s="19"/>
    </row>
    <row r="49" spans="1:2" ht="13.15">
      <c r="A49" s="18"/>
      <c r="B49" s="19"/>
    </row>
    <row r="50" spans="1:2" ht="13.15">
      <c r="A50" s="18"/>
      <c r="B50" s="19"/>
    </row>
    <row r="51" spans="1:2" ht="13.15">
      <c r="A51" s="18"/>
      <c r="B51" s="19"/>
    </row>
    <row r="52" spans="1:2" ht="13.15">
      <c r="A52" s="18"/>
      <c r="B52" s="19"/>
    </row>
    <row r="53" spans="1:2" ht="13.15">
      <c r="A53" s="18"/>
      <c r="B53" s="19"/>
    </row>
    <row r="54" spans="1:2" ht="13.15">
      <c r="A54" s="18"/>
      <c r="B54" s="19"/>
    </row>
    <row r="55" spans="1:2" ht="13.15">
      <c r="A55" s="18"/>
      <c r="B55" s="19"/>
    </row>
    <row r="56" spans="1:2" ht="13.15">
      <c r="A56" s="18"/>
      <c r="B56" s="19"/>
    </row>
    <row r="57" spans="1:2" ht="13.15">
      <c r="A57" s="18"/>
      <c r="B57" s="19"/>
    </row>
    <row r="58" spans="1:2" ht="13.15">
      <c r="A58" s="18"/>
      <c r="B58" s="19"/>
    </row>
    <row r="59" spans="1:2" ht="13.15">
      <c r="A59" s="18"/>
      <c r="B59" s="19"/>
    </row>
    <row r="60" spans="1:2" ht="13.15">
      <c r="A60" s="18"/>
      <c r="B60" s="19"/>
    </row>
    <row r="61" spans="1:2" ht="13.15">
      <c r="A61" s="18"/>
      <c r="B61" s="19"/>
    </row>
    <row r="62" spans="1:2" ht="13.15">
      <c r="A62" s="18"/>
      <c r="B62" s="19"/>
    </row>
    <row r="63" spans="1:2" ht="13.15">
      <c r="A63" s="18"/>
      <c r="B63" s="19"/>
    </row>
    <row r="64" spans="1:2" ht="13.15">
      <c r="A64" s="18"/>
      <c r="B64" s="19"/>
    </row>
    <row r="65" spans="1:2" ht="13.15">
      <c r="A65" s="18"/>
      <c r="B65" s="19"/>
    </row>
    <row r="66" spans="1:2" ht="13.15">
      <c r="A66" s="18"/>
      <c r="B66" s="19"/>
    </row>
    <row r="67" spans="1:2" ht="13.15">
      <c r="A67" s="18"/>
      <c r="B67" s="19"/>
    </row>
    <row r="68" spans="1:2" ht="13.15">
      <c r="A68" s="18"/>
      <c r="B68" s="19"/>
    </row>
    <row r="69" spans="1:2" ht="13.15">
      <c r="A69" s="18"/>
      <c r="B69" s="19"/>
    </row>
    <row r="70" spans="1:2" ht="13.15">
      <c r="A70" s="18"/>
      <c r="B70" s="19"/>
    </row>
    <row r="71" spans="1:2" ht="13.15">
      <c r="A71" s="18"/>
      <c r="B71" s="19"/>
    </row>
    <row r="72" spans="1:2" ht="13.15">
      <c r="A72" s="18"/>
      <c r="B72" s="19"/>
    </row>
    <row r="73" spans="1:2" ht="13.15">
      <c r="A73" s="18"/>
      <c r="B73" s="19"/>
    </row>
    <row r="74" spans="1:2" ht="13.15">
      <c r="A74" s="18"/>
      <c r="B74" s="19"/>
    </row>
    <row r="75" spans="1:2" ht="13.15">
      <c r="A75" s="18"/>
      <c r="B75" s="19"/>
    </row>
    <row r="76" spans="1:2" ht="13.15">
      <c r="A76" s="18"/>
      <c r="B76" s="19"/>
    </row>
    <row r="77" spans="1:2" ht="13.15">
      <c r="A77" s="18"/>
      <c r="B77" s="19"/>
    </row>
    <row r="78" spans="1:2" ht="13.15">
      <c r="A78" s="18"/>
      <c r="B78" s="19"/>
    </row>
    <row r="79" spans="1:2" ht="13.15">
      <c r="A79" s="18"/>
      <c r="B79" s="19"/>
    </row>
    <row r="80" spans="1:2" ht="13.15">
      <c r="A80" s="18"/>
      <c r="B80" s="19"/>
    </row>
    <row r="81" spans="1:2" ht="13.15">
      <c r="A81" s="18"/>
      <c r="B81" s="19"/>
    </row>
    <row r="82" spans="1:2" ht="13.15">
      <c r="A82" s="18"/>
      <c r="B82" s="19"/>
    </row>
    <row r="83" spans="1:2" ht="13.15">
      <c r="A83" s="18"/>
      <c r="B83" s="19"/>
    </row>
    <row r="84" spans="1:2" ht="13.15">
      <c r="A84" s="18"/>
      <c r="B84" s="19"/>
    </row>
    <row r="85" spans="1:2" ht="13.15">
      <c r="A85" s="18"/>
      <c r="B85" s="19"/>
    </row>
    <row r="86" spans="1:2" ht="13.15">
      <c r="A86" s="18"/>
      <c r="B86" s="19"/>
    </row>
    <row r="87" spans="1:2" ht="13.15">
      <c r="A87" s="18"/>
      <c r="B87" s="19"/>
    </row>
    <row r="88" spans="1:2" ht="13.15">
      <c r="A88" s="18"/>
      <c r="B88" s="19"/>
    </row>
    <row r="89" spans="1:2" ht="13.15">
      <c r="A89" s="18"/>
      <c r="B89" s="19"/>
    </row>
    <row r="90" spans="1:2" ht="13.15">
      <c r="A90" s="18"/>
      <c r="B90" s="19"/>
    </row>
    <row r="91" spans="1:2" ht="13.15">
      <c r="A91" s="18"/>
      <c r="B91" s="19"/>
    </row>
    <row r="92" spans="1:2" ht="13.15">
      <c r="A92" s="18"/>
      <c r="B92" s="19"/>
    </row>
    <row r="93" spans="1:2" ht="13.15">
      <c r="A93" s="18"/>
      <c r="B93" s="19"/>
    </row>
    <row r="94" spans="1:2" ht="13.15">
      <c r="A94" s="18"/>
      <c r="B94" s="19"/>
    </row>
    <row r="95" spans="1:2" ht="13.15">
      <c r="A95" s="18"/>
      <c r="B95" s="19"/>
    </row>
    <row r="96" spans="1:2" ht="13.15">
      <c r="A96" s="18"/>
      <c r="B96" s="19"/>
    </row>
    <row r="97" spans="1:2" ht="13.15">
      <c r="A97" s="18"/>
      <c r="B97" s="19"/>
    </row>
    <row r="98" spans="1:2" ht="13.15">
      <c r="A98" s="18"/>
      <c r="B98" s="19"/>
    </row>
    <row r="99" spans="1:2" ht="13.15">
      <c r="A99" s="18"/>
      <c r="B99" s="19"/>
    </row>
    <row r="100" spans="1:2" ht="13.15">
      <c r="A100" s="18"/>
      <c r="B100" s="19"/>
    </row>
    <row r="101" spans="1:2" ht="13.15">
      <c r="A101" s="18"/>
      <c r="B101" s="19"/>
    </row>
    <row r="102" spans="1:2" ht="13.15">
      <c r="A102" s="18"/>
      <c r="B102" s="19"/>
    </row>
    <row r="103" spans="1:2" ht="13.15">
      <c r="A103" s="18"/>
      <c r="B103" s="19"/>
    </row>
    <row r="104" spans="1:2" ht="13.15">
      <c r="A104" s="18"/>
      <c r="B104" s="19"/>
    </row>
    <row r="105" spans="1:2" ht="13.15">
      <c r="A105" s="18"/>
      <c r="B105" s="19"/>
    </row>
    <row r="106" spans="1:2" ht="13.15">
      <c r="A106" s="18"/>
      <c r="B106" s="19"/>
    </row>
    <row r="107" spans="1:2" ht="13.15">
      <c r="A107" s="18"/>
      <c r="B107" s="19"/>
    </row>
    <row r="108" spans="1:2" ht="13.15">
      <c r="A108" s="18"/>
      <c r="B108" s="19"/>
    </row>
    <row r="109" spans="1:2" ht="13.15">
      <c r="A109" s="18"/>
      <c r="B109" s="19"/>
    </row>
    <row r="110" spans="1:2" ht="13.15">
      <c r="A110" s="18"/>
      <c r="B110" s="19"/>
    </row>
    <row r="111" spans="1:2" ht="13.15">
      <c r="A111" s="18"/>
      <c r="B111" s="19"/>
    </row>
    <row r="112" spans="1:2" ht="13.15">
      <c r="A112" s="18"/>
      <c r="B112" s="19"/>
    </row>
    <row r="113" spans="1:2" ht="13.15">
      <c r="A113" s="18"/>
      <c r="B113" s="19"/>
    </row>
    <row r="114" spans="1:2" ht="13.15">
      <c r="A114" s="18"/>
      <c r="B114" s="19"/>
    </row>
    <row r="115" spans="1:2" ht="13.15">
      <c r="A115" s="18"/>
      <c r="B115" s="19"/>
    </row>
    <row r="116" spans="1:2" ht="13.15">
      <c r="A116" s="18"/>
      <c r="B116" s="19"/>
    </row>
    <row r="117" spans="1:2" ht="13.15">
      <c r="A117" s="18"/>
      <c r="B117" s="19"/>
    </row>
    <row r="118" spans="1:2" ht="13.15">
      <c r="A118" s="18"/>
      <c r="B118" s="19"/>
    </row>
    <row r="119" spans="1:2" ht="13.15">
      <c r="A119" s="18"/>
      <c r="B119" s="19"/>
    </row>
    <row r="120" spans="1:2" ht="13.15">
      <c r="A120" s="18"/>
      <c r="B120" s="19"/>
    </row>
    <row r="121" spans="1:2" ht="13.15">
      <c r="A121" s="18"/>
      <c r="B121" s="19"/>
    </row>
    <row r="122" spans="1:2" ht="13.15">
      <c r="A122" s="18"/>
      <c r="B122" s="19"/>
    </row>
    <row r="123" spans="1:2" ht="13.15">
      <c r="A123" s="18"/>
      <c r="B123" s="19"/>
    </row>
    <row r="124" spans="1:2" ht="13.15">
      <c r="A124" s="18"/>
      <c r="B124" s="19"/>
    </row>
    <row r="125" spans="1:2" ht="13.15">
      <c r="A125" s="18"/>
      <c r="B125" s="19"/>
    </row>
    <row r="126" spans="1:2" ht="13.15">
      <c r="A126" s="18"/>
      <c r="B126" s="19"/>
    </row>
    <row r="127" spans="1:2" ht="13.15">
      <c r="A127" s="18"/>
      <c r="B127" s="19"/>
    </row>
    <row r="128" spans="1:2" ht="13.15">
      <c r="A128" s="18"/>
      <c r="B128" s="19"/>
    </row>
    <row r="129" spans="1:2" ht="13.15">
      <c r="A129" s="18"/>
      <c r="B129" s="19"/>
    </row>
    <row r="130" spans="1:2" ht="13.15">
      <c r="A130" s="18"/>
      <c r="B130" s="19"/>
    </row>
    <row r="131" spans="1:2" ht="13.15">
      <c r="A131" s="18"/>
      <c r="B131" s="19"/>
    </row>
    <row r="132" spans="1:2" ht="13.15">
      <c r="A132" s="18"/>
      <c r="B132" s="19"/>
    </row>
    <row r="133" spans="1:2" ht="13.15">
      <c r="A133" s="18"/>
      <c r="B133" s="19"/>
    </row>
    <row r="134" spans="1:2" ht="13.15">
      <c r="A134" s="18"/>
      <c r="B134" s="19"/>
    </row>
    <row r="135" spans="1:2" ht="13.15">
      <c r="A135" s="18"/>
      <c r="B135" s="19"/>
    </row>
    <row r="136" spans="1:2" ht="13.15">
      <c r="A136" s="18"/>
      <c r="B136" s="19"/>
    </row>
    <row r="137" spans="1:2" ht="13.15">
      <c r="A137" s="18"/>
      <c r="B137" s="19"/>
    </row>
    <row r="138" spans="1:2" ht="13.15">
      <c r="A138" s="18"/>
      <c r="B138" s="19"/>
    </row>
    <row r="139" spans="1:2" ht="13.15">
      <c r="A139" s="18"/>
      <c r="B139" s="19"/>
    </row>
    <row r="140" spans="1:2" ht="13.15">
      <c r="A140" s="18"/>
      <c r="B140" s="19"/>
    </row>
    <row r="141" spans="1:2" ht="13.15">
      <c r="A141" s="18"/>
      <c r="B141" s="19"/>
    </row>
    <row r="142" spans="1:2" ht="13.15">
      <c r="A142" s="18"/>
      <c r="B142" s="19"/>
    </row>
    <row r="143" spans="1:2" ht="13.15">
      <c r="A143" s="18"/>
      <c r="B143" s="19"/>
    </row>
    <row r="144" spans="1:2" ht="13.15">
      <c r="A144" s="18"/>
      <c r="B144" s="19"/>
    </row>
    <row r="145" spans="1:2" ht="13.15">
      <c r="A145" s="18"/>
      <c r="B145" s="19"/>
    </row>
    <row r="146" spans="1:2" ht="13.15">
      <c r="A146" s="18"/>
      <c r="B146" s="19"/>
    </row>
    <row r="147" spans="1:2" ht="13.15">
      <c r="A147" s="18"/>
      <c r="B147" s="19"/>
    </row>
    <row r="148" spans="1:2" ht="13.15">
      <c r="A148" s="18"/>
      <c r="B148" s="19"/>
    </row>
    <row r="149" spans="1:2" ht="13.15">
      <c r="A149" s="18"/>
      <c r="B149" s="19"/>
    </row>
    <row r="150" spans="1:2" ht="13.15">
      <c r="A150" s="18"/>
      <c r="B150" s="19"/>
    </row>
    <row r="151" spans="1:2" ht="13.15">
      <c r="A151" s="18"/>
      <c r="B151" s="19"/>
    </row>
    <row r="152" spans="1:2" ht="13.15">
      <c r="A152" s="18"/>
      <c r="B152" s="19"/>
    </row>
    <row r="153" spans="1:2" ht="13.15">
      <c r="A153" s="18"/>
      <c r="B153" s="19"/>
    </row>
    <row r="154" spans="1:2" ht="13.15">
      <c r="A154" s="18"/>
      <c r="B154" s="19"/>
    </row>
    <row r="155" spans="1:2" ht="13.15">
      <c r="A155" s="18"/>
      <c r="B155" s="19"/>
    </row>
    <row r="156" spans="1:2" ht="13.15">
      <c r="A156" s="18"/>
      <c r="B156" s="19"/>
    </row>
    <row r="157" spans="1:2" ht="13.15">
      <c r="A157" s="18"/>
      <c r="B157" s="19"/>
    </row>
    <row r="158" spans="1:2" ht="13.15">
      <c r="A158" s="18"/>
      <c r="B158" s="19"/>
    </row>
    <row r="159" spans="1:2" ht="13.15">
      <c r="A159" s="18"/>
      <c r="B159" s="19"/>
    </row>
    <row r="160" spans="1:2" ht="13.15">
      <c r="A160" s="18"/>
      <c r="B160" s="19"/>
    </row>
    <row r="161" spans="1:2" ht="13.15">
      <c r="A161" s="18"/>
      <c r="B161" s="19"/>
    </row>
    <row r="162" spans="1:2" ht="13.15">
      <c r="A162" s="18"/>
      <c r="B162" s="19"/>
    </row>
    <row r="163" spans="1:2" ht="13.15">
      <c r="A163" s="18"/>
      <c r="B163" s="19"/>
    </row>
    <row r="164" spans="1:2" ht="13.15">
      <c r="A164" s="18"/>
      <c r="B164" s="19"/>
    </row>
    <row r="165" spans="1:2" ht="13.15">
      <c r="A165" s="18"/>
      <c r="B165" s="19"/>
    </row>
    <row r="166" spans="1:2" ht="13.15">
      <c r="A166" s="18"/>
      <c r="B166" s="19"/>
    </row>
    <row r="167" spans="1:2" ht="13.15">
      <c r="A167" s="18"/>
      <c r="B167" s="19"/>
    </row>
    <row r="168" spans="1:2" ht="13.15">
      <c r="A168" s="18"/>
      <c r="B168" s="19"/>
    </row>
    <row r="169" spans="1:2" ht="13.15">
      <c r="A169" s="18"/>
      <c r="B169" s="19"/>
    </row>
    <row r="170" spans="1:2" ht="13.15">
      <c r="A170" s="18"/>
      <c r="B170" s="19"/>
    </row>
    <row r="171" spans="1:2" ht="13.15">
      <c r="A171" s="18"/>
      <c r="B171" s="19"/>
    </row>
    <row r="172" spans="1:2" ht="13.15">
      <c r="A172" s="18"/>
      <c r="B172" s="19"/>
    </row>
    <row r="173" spans="1:2" ht="13.15">
      <c r="A173" s="18"/>
      <c r="B173" s="19"/>
    </row>
    <row r="174" spans="1:2" ht="13.15">
      <c r="A174" s="18"/>
      <c r="B174" s="19"/>
    </row>
    <row r="175" spans="1:2" ht="13.15">
      <c r="A175" s="18"/>
      <c r="B175" s="19"/>
    </row>
    <row r="176" spans="1:2" ht="13.15">
      <c r="A176" s="18"/>
      <c r="B176" s="19"/>
    </row>
    <row r="177" spans="1:2" ht="13.15">
      <c r="A177" s="18"/>
      <c r="B177" s="19"/>
    </row>
    <row r="178" spans="1:2" ht="13.15">
      <c r="A178" s="18"/>
      <c r="B178" s="19"/>
    </row>
    <row r="179" spans="1:2" ht="13.15">
      <c r="A179" s="18"/>
      <c r="B179" s="19"/>
    </row>
    <row r="180" spans="1:2" ht="13.15">
      <c r="A180" s="18"/>
      <c r="B180" s="19"/>
    </row>
    <row r="181" spans="1:2" ht="13.15">
      <c r="A181" s="18"/>
      <c r="B181" s="19"/>
    </row>
    <row r="182" spans="1:2" ht="13.15">
      <c r="A182" s="18"/>
      <c r="B182" s="19"/>
    </row>
    <row r="183" spans="1:2" ht="13.15">
      <c r="A183" s="18"/>
      <c r="B183" s="19"/>
    </row>
    <row r="184" spans="1:2" ht="13.15">
      <c r="A184" s="18"/>
      <c r="B184" s="19"/>
    </row>
    <row r="185" spans="1:2" ht="13.15">
      <c r="A185" s="18"/>
      <c r="B185" s="19"/>
    </row>
    <row r="186" spans="1:2" ht="13.15">
      <c r="A186" s="18"/>
      <c r="B186" s="19"/>
    </row>
    <row r="187" spans="1:2" ht="13.15">
      <c r="A187" s="18"/>
      <c r="B187" s="19"/>
    </row>
    <row r="188" spans="1:2" ht="13.15">
      <c r="A188" s="18"/>
      <c r="B188" s="19"/>
    </row>
    <row r="189" spans="1:2" ht="13.15">
      <c r="A189" s="18"/>
      <c r="B189" s="19"/>
    </row>
    <row r="190" spans="1:2" ht="13.15">
      <c r="A190" s="18"/>
      <c r="B190" s="19"/>
    </row>
    <row r="191" spans="1:2" ht="13.15">
      <c r="A191" s="18"/>
      <c r="B191" s="19"/>
    </row>
    <row r="192" spans="1:2" ht="13.15">
      <c r="A192" s="18"/>
      <c r="B192" s="19"/>
    </row>
    <row r="193" spans="1:2" ht="13.15">
      <c r="A193" s="18"/>
      <c r="B193" s="19"/>
    </row>
    <row r="194" spans="1:2" ht="13.15">
      <c r="A194" s="18"/>
      <c r="B194" s="19"/>
    </row>
    <row r="195" spans="1:2" ht="13.15">
      <c r="A195" s="18"/>
      <c r="B195" s="19"/>
    </row>
    <row r="196" spans="1:2" ht="13.15">
      <c r="A196" s="18"/>
      <c r="B196" s="19"/>
    </row>
    <row r="197" spans="1:2" ht="13.15">
      <c r="A197" s="18"/>
      <c r="B197" s="19"/>
    </row>
    <row r="198" spans="1:2" ht="13.15">
      <c r="A198" s="18"/>
      <c r="B198" s="19"/>
    </row>
    <row r="199" spans="1:2" ht="13.15">
      <c r="A199" s="18"/>
      <c r="B199" s="19"/>
    </row>
    <row r="200" spans="1:2" ht="13.15">
      <c r="A200" s="18"/>
      <c r="B200" s="19"/>
    </row>
    <row r="201" spans="1:2" ht="13.15">
      <c r="A201" s="18"/>
      <c r="B201" s="19"/>
    </row>
    <row r="202" spans="1:2" ht="13.15">
      <c r="A202" s="18"/>
      <c r="B202" s="19"/>
    </row>
    <row r="203" spans="1:2" ht="13.15">
      <c r="A203" s="18"/>
      <c r="B203" s="19"/>
    </row>
    <row r="204" spans="1:2" ht="13.15">
      <c r="A204" s="18"/>
      <c r="B204" s="19"/>
    </row>
    <row r="205" spans="1:2" ht="13.15">
      <c r="A205" s="18"/>
      <c r="B205" s="19"/>
    </row>
    <row r="206" spans="1:2" ht="13.15">
      <c r="A206" s="18"/>
      <c r="B206" s="19"/>
    </row>
    <row r="207" spans="1:2" ht="13.15">
      <c r="A207" s="18"/>
      <c r="B207" s="19"/>
    </row>
    <row r="208" spans="1:2" ht="13.15">
      <c r="A208" s="18"/>
      <c r="B208" s="19"/>
    </row>
    <row r="209" spans="1:2" ht="13.15">
      <c r="A209" s="18"/>
      <c r="B209" s="19"/>
    </row>
    <row r="210" spans="1:2" ht="13.15">
      <c r="A210" s="18"/>
      <c r="B210" s="19"/>
    </row>
    <row r="211" spans="1:2" ht="13.15">
      <c r="A211" s="18"/>
      <c r="B211" s="19"/>
    </row>
    <row r="212" spans="1:2" ht="13.15">
      <c r="A212" s="18"/>
      <c r="B212" s="19"/>
    </row>
    <row r="213" spans="1:2" ht="13.15">
      <c r="A213" s="18"/>
      <c r="B213" s="19"/>
    </row>
    <row r="214" spans="1:2" ht="13.15">
      <c r="A214" s="18"/>
      <c r="B214" s="19"/>
    </row>
    <row r="215" spans="1:2" ht="13.15">
      <c r="A215" s="18"/>
      <c r="B215" s="19"/>
    </row>
    <row r="216" spans="1:2" ht="13.15">
      <c r="A216" s="18"/>
      <c r="B216" s="19"/>
    </row>
    <row r="217" spans="1:2" ht="13.15">
      <c r="A217" s="18"/>
      <c r="B217" s="19"/>
    </row>
    <row r="218" spans="1:2" ht="13.15">
      <c r="A218" s="18"/>
      <c r="B218" s="19"/>
    </row>
    <row r="219" spans="1:2" ht="13.15">
      <c r="A219" s="18"/>
      <c r="B219" s="19"/>
    </row>
    <row r="220" spans="1:2" ht="13.15">
      <c r="A220" s="18"/>
      <c r="B220" s="19"/>
    </row>
    <row r="221" spans="1:2" ht="13.15">
      <c r="A221" s="18"/>
      <c r="B221" s="19"/>
    </row>
    <row r="222" spans="1:2" ht="13.15">
      <c r="A222" s="18"/>
      <c r="B222" s="19"/>
    </row>
    <row r="223" spans="1:2" ht="13.15">
      <c r="A223" s="18"/>
      <c r="B223" s="19"/>
    </row>
    <row r="224" spans="1:2" ht="13.15">
      <c r="A224" s="18"/>
      <c r="B224" s="19"/>
    </row>
    <row r="225" spans="1:2" ht="13.15">
      <c r="A225" s="18"/>
      <c r="B225" s="19"/>
    </row>
    <row r="226" spans="1:2" ht="13.15">
      <c r="A226" s="18"/>
      <c r="B226" s="19"/>
    </row>
    <row r="227" spans="1:2" ht="13.15">
      <c r="A227" s="18"/>
      <c r="B227" s="19"/>
    </row>
    <row r="228" spans="1:2" ht="13.15">
      <c r="A228" s="18"/>
      <c r="B228" s="19"/>
    </row>
    <row r="229" spans="1:2" ht="13.15">
      <c r="A229" s="18"/>
      <c r="B229" s="19"/>
    </row>
    <row r="230" spans="1:2" ht="13.15">
      <c r="A230" s="18"/>
      <c r="B230" s="19"/>
    </row>
    <row r="231" spans="1:2" ht="13.15">
      <c r="A231" s="18"/>
      <c r="B231" s="19"/>
    </row>
    <row r="232" spans="1:2" ht="13.15">
      <c r="A232" s="18"/>
      <c r="B232" s="19"/>
    </row>
    <row r="233" spans="1:2" ht="13.15">
      <c r="A233" s="18"/>
      <c r="B233" s="19"/>
    </row>
    <row r="234" spans="1:2" ht="13.15">
      <c r="A234" s="18"/>
      <c r="B234" s="19"/>
    </row>
    <row r="235" spans="1:2" ht="13.15">
      <c r="A235" s="18"/>
      <c r="B235" s="19"/>
    </row>
    <row r="236" spans="1:2" ht="13.15">
      <c r="A236" s="18"/>
      <c r="B236" s="19"/>
    </row>
    <row r="237" spans="1:2" ht="13.15">
      <c r="A237" s="18"/>
      <c r="B237" s="19"/>
    </row>
    <row r="238" spans="1:2" ht="13.15">
      <c r="A238" s="18"/>
      <c r="B238" s="19"/>
    </row>
    <row r="239" spans="1:2" ht="13.15">
      <c r="A239" s="18"/>
      <c r="B239" s="19"/>
    </row>
    <row r="240" spans="1:2" ht="13.15">
      <c r="A240" s="18"/>
      <c r="B240" s="19"/>
    </row>
    <row r="241" spans="1:2" ht="13.15">
      <c r="A241" s="18"/>
      <c r="B241" s="19"/>
    </row>
    <row r="242" spans="1:2" ht="13.15">
      <c r="A242" s="18"/>
      <c r="B242" s="19"/>
    </row>
    <row r="243" spans="1:2" ht="13.15">
      <c r="A243" s="18"/>
      <c r="B243" s="19"/>
    </row>
    <row r="244" spans="1:2" ht="13.15">
      <c r="A244" s="18"/>
      <c r="B244" s="19"/>
    </row>
    <row r="245" spans="1:2" ht="13.15">
      <c r="A245" s="18"/>
      <c r="B245" s="19"/>
    </row>
    <row r="246" spans="1:2" ht="13.15">
      <c r="A246" s="18"/>
      <c r="B246" s="19"/>
    </row>
    <row r="247" spans="1:2" ht="13.15">
      <c r="A247" s="18"/>
      <c r="B247" s="19"/>
    </row>
    <row r="248" spans="1:2" ht="13.15">
      <c r="A248" s="18"/>
      <c r="B248" s="19"/>
    </row>
    <row r="249" spans="1:2" ht="13.15">
      <c r="A249" s="18"/>
      <c r="B249" s="19"/>
    </row>
    <row r="250" spans="1:2" ht="13.15">
      <c r="A250" s="18"/>
      <c r="B250" s="19"/>
    </row>
    <row r="251" spans="1:2" ht="13.15">
      <c r="A251" s="18"/>
      <c r="B251" s="19"/>
    </row>
    <row r="252" spans="1:2" ht="13.15">
      <c r="A252" s="18"/>
      <c r="B252" s="19"/>
    </row>
    <row r="253" spans="1:2" ht="13.15">
      <c r="A253" s="18"/>
      <c r="B253" s="19"/>
    </row>
    <row r="254" spans="1:2" ht="13.15">
      <c r="A254" s="18"/>
      <c r="B254" s="19"/>
    </row>
    <row r="255" spans="1:2" ht="13.15">
      <c r="A255" s="18"/>
      <c r="B255" s="19"/>
    </row>
    <row r="256" spans="1:2" ht="13.15">
      <c r="A256" s="18"/>
      <c r="B256" s="19"/>
    </row>
    <row r="257" spans="1:2" ht="13.15">
      <c r="A257" s="18"/>
      <c r="B257" s="19"/>
    </row>
    <row r="258" spans="1:2" ht="13.15">
      <c r="A258" s="18"/>
      <c r="B258" s="19"/>
    </row>
    <row r="259" spans="1:2" ht="13.15">
      <c r="A259" s="18"/>
      <c r="B259" s="19"/>
    </row>
    <row r="260" spans="1:2" ht="13.15">
      <c r="A260" s="18"/>
      <c r="B260" s="19"/>
    </row>
    <row r="261" spans="1:2" ht="13.15">
      <c r="A261" s="18"/>
      <c r="B261" s="19"/>
    </row>
    <row r="262" spans="1:2" ht="13.15">
      <c r="A262" s="18"/>
      <c r="B262" s="19"/>
    </row>
    <row r="263" spans="1:2" ht="13.15">
      <c r="A263" s="18"/>
      <c r="B263" s="19"/>
    </row>
    <row r="264" spans="1:2" ht="13.15">
      <c r="A264" s="18"/>
      <c r="B264" s="19"/>
    </row>
    <row r="265" spans="1:2" ht="13.15">
      <c r="A265" s="18"/>
      <c r="B265" s="19"/>
    </row>
    <row r="266" spans="1:2" ht="13.15">
      <c r="A266" s="18"/>
      <c r="B266" s="19"/>
    </row>
    <row r="267" spans="1:2" ht="13.15">
      <c r="A267" s="18"/>
      <c r="B267" s="19"/>
    </row>
    <row r="268" spans="1:2" ht="13.15">
      <c r="A268" s="18"/>
      <c r="B268" s="19"/>
    </row>
    <row r="269" spans="1:2" ht="13.15">
      <c r="A269" s="18"/>
      <c r="B269" s="19"/>
    </row>
    <row r="270" spans="1:2" ht="13.15">
      <c r="A270" s="18"/>
      <c r="B270" s="19"/>
    </row>
    <row r="271" spans="1:2" ht="13.15">
      <c r="A271" s="18"/>
      <c r="B271" s="19"/>
    </row>
    <row r="272" spans="1:2" ht="13.15">
      <c r="A272" s="18"/>
      <c r="B272" s="19"/>
    </row>
    <row r="273" spans="1:2" ht="13.15">
      <c r="A273" s="18"/>
      <c r="B273" s="19"/>
    </row>
    <row r="274" spans="1:2" ht="13.15">
      <c r="A274" s="18"/>
      <c r="B274" s="19"/>
    </row>
    <row r="275" spans="1:2" ht="13.15">
      <c r="A275" s="18"/>
      <c r="B275" s="19"/>
    </row>
    <row r="276" spans="1:2" ht="13.15">
      <c r="A276" s="18"/>
      <c r="B276" s="19"/>
    </row>
    <row r="277" spans="1:2" ht="13.15">
      <c r="A277" s="18"/>
      <c r="B277" s="19"/>
    </row>
    <row r="278" spans="1:2" ht="13.15">
      <c r="A278" s="18"/>
      <c r="B278" s="19"/>
    </row>
    <row r="279" spans="1:2" ht="13.15">
      <c r="A279" s="18"/>
      <c r="B279" s="19"/>
    </row>
    <row r="280" spans="1:2" ht="13.15">
      <c r="A280" s="18"/>
      <c r="B280" s="19"/>
    </row>
    <row r="281" spans="1:2" ht="13.15">
      <c r="A281" s="18"/>
      <c r="B281" s="19"/>
    </row>
    <row r="282" spans="1:2" ht="13.15">
      <c r="A282" s="18"/>
      <c r="B282" s="19"/>
    </row>
    <row r="283" spans="1:2" ht="13.15">
      <c r="A283" s="18"/>
      <c r="B283" s="19"/>
    </row>
    <row r="284" spans="1:2" ht="13.15">
      <c r="A284" s="18"/>
      <c r="B284" s="19"/>
    </row>
    <row r="285" spans="1:2" ht="13.15">
      <c r="A285" s="18"/>
      <c r="B285" s="19"/>
    </row>
    <row r="286" spans="1:2" ht="13.15">
      <c r="A286" s="18"/>
      <c r="B286" s="19"/>
    </row>
    <row r="287" spans="1:2" ht="13.15">
      <c r="A287" s="18"/>
      <c r="B287" s="19"/>
    </row>
    <row r="288" spans="1:2" ht="13.15">
      <c r="A288" s="18"/>
      <c r="B288" s="19"/>
    </row>
    <row r="289" spans="1:2" ht="13.15">
      <c r="A289" s="18"/>
      <c r="B289" s="19"/>
    </row>
    <row r="290" spans="1:2" ht="13.15">
      <c r="A290" s="18"/>
      <c r="B290" s="19"/>
    </row>
    <row r="291" spans="1:2" ht="13.15">
      <c r="A291" s="18"/>
      <c r="B291" s="19"/>
    </row>
    <row r="292" spans="1:2" ht="13.15">
      <c r="A292" s="18"/>
      <c r="B292" s="19"/>
    </row>
    <row r="293" spans="1:2" ht="13.15">
      <c r="A293" s="18"/>
      <c r="B293" s="19"/>
    </row>
    <row r="294" spans="1:2" ht="13.15">
      <c r="A294" s="18"/>
      <c r="B294" s="19"/>
    </row>
    <row r="295" spans="1:2" ht="13.15">
      <c r="A295" s="18"/>
      <c r="B295" s="19"/>
    </row>
    <row r="296" spans="1:2" ht="13.15">
      <c r="A296" s="18"/>
      <c r="B296" s="19"/>
    </row>
    <row r="297" spans="1:2" ht="13.15">
      <c r="A297" s="18"/>
      <c r="B297" s="19"/>
    </row>
    <row r="298" spans="1:2" ht="13.15">
      <c r="A298" s="18"/>
      <c r="B298" s="19"/>
    </row>
    <row r="299" spans="1:2" ht="13.15">
      <c r="A299" s="18"/>
      <c r="B299" s="19"/>
    </row>
    <row r="300" spans="1:2" ht="13.15">
      <c r="A300" s="18"/>
      <c r="B300" s="19"/>
    </row>
    <row r="301" spans="1:2" ht="13.15">
      <c r="A301" s="18"/>
      <c r="B301" s="19"/>
    </row>
    <row r="302" spans="1:2" ht="13.15">
      <c r="A302" s="18"/>
      <c r="B302" s="19"/>
    </row>
    <row r="303" spans="1:2" ht="13.15">
      <c r="A303" s="18"/>
      <c r="B303" s="19"/>
    </row>
    <row r="304" spans="1:2" ht="13.15">
      <c r="A304" s="18"/>
      <c r="B304" s="19"/>
    </row>
    <row r="305" spans="1:2" ht="13.15">
      <c r="A305" s="18"/>
      <c r="B305" s="19"/>
    </row>
    <row r="306" spans="1:2" ht="13.15">
      <c r="A306" s="18"/>
      <c r="B306" s="19"/>
    </row>
    <row r="307" spans="1:2" ht="13.15">
      <c r="A307" s="18"/>
      <c r="B307" s="19"/>
    </row>
    <row r="308" spans="1:2" ht="13.15">
      <c r="A308" s="18"/>
      <c r="B308" s="19"/>
    </row>
    <row r="309" spans="1:2" ht="13.15">
      <c r="A309" s="18"/>
      <c r="B309" s="19"/>
    </row>
    <row r="310" spans="1:2" ht="13.15">
      <c r="A310" s="18"/>
      <c r="B310" s="19"/>
    </row>
    <row r="311" spans="1:2" ht="13.15">
      <c r="A311" s="18"/>
      <c r="B311" s="19"/>
    </row>
    <row r="312" spans="1:2" ht="13.15">
      <c r="A312" s="18"/>
      <c r="B312" s="19"/>
    </row>
    <row r="313" spans="1:2" ht="13.15">
      <c r="A313" s="18"/>
      <c r="B313" s="19"/>
    </row>
    <row r="314" spans="1:2" ht="13.15">
      <c r="A314" s="18"/>
      <c r="B314" s="19"/>
    </row>
    <row r="315" spans="1:2" ht="13.15">
      <c r="A315" s="18"/>
      <c r="B315" s="19"/>
    </row>
    <row r="316" spans="1:2" ht="13.15">
      <c r="A316" s="18"/>
      <c r="B316" s="19"/>
    </row>
    <row r="317" spans="1:2" ht="13.15">
      <c r="A317" s="18"/>
      <c r="B317" s="19"/>
    </row>
    <row r="318" spans="1:2" ht="13.15">
      <c r="A318" s="18"/>
      <c r="B318" s="19"/>
    </row>
    <row r="319" spans="1:2" ht="13.15">
      <c r="A319" s="18"/>
      <c r="B319" s="19"/>
    </row>
    <row r="320" spans="1:2" ht="13.15">
      <c r="A320" s="18"/>
      <c r="B320" s="19"/>
    </row>
    <row r="321" spans="1:2" ht="13.15">
      <c r="A321" s="18"/>
      <c r="B321" s="19"/>
    </row>
    <row r="322" spans="1:2" ht="13.15">
      <c r="A322" s="18"/>
      <c r="B322" s="19"/>
    </row>
    <row r="323" spans="1:2" ht="13.15">
      <c r="A323" s="18"/>
      <c r="B323" s="19"/>
    </row>
    <row r="324" spans="1:2" ht="13.15">
      <c r="A324" s="18"/>
      <c r="B324" s="19"/>
    </row>
    <row r="325" spans="1:2" ht="13.15">
      <c r="A325" s="18"/>
      <c r="B325" s="19"/>
    </row>
    <row r="326" spans="1:2" ht="13.15">
      <c r="A326" s="18"/>
      <c r="B326" s="19"/>
    </row>
    <row r="327" spans="1:2" ht="13.15">
      <c r="A327" s="18"/>
      <c r="B327" s="19"/>
    </row>
    <row r="328" spans="1:2" ht="13.15">
      <c r="A328" s="18"/>
      <c r="B328" s="19"/>
    </row>
    <row r="329" spans="1:2" ht="13.15">
      <c r="A329" s="18"/>
      <c r="B329" s="19"/>
    </row>
    <row r="330" spans="1:2" ht="13.15">
      <c r="A330" s="18"/>
      <c r="B330" s="19"/>
    </row>
    <row r="331" spans="1:2" ht="13.15">
      <c r="A331" s="18"/>
      <c r="B331" s="19"/>
    </row>
    <row r="332" spans="1:2" ht="13.15">
      <c r="A332" s="18"/>
      <c r="B332" s="19"/>
    </row>
    <row r="333" spans="1:2" ht="13.15">
      <c r="A333" s="18"/>
      <c r="B333" s="19"/>
    </row>
    <row r="334" spans="1:2" ht="13.15">
      <c r="A334" s="18"/>
      <c r="B334" s="19"/>
    </row>
    <row r="335" spans="1:2" ht="13.15">
      <c r="A335" s="18"/>
      <c r="B335" s="19"/>
    </row>
    <row r="336" spans="1:2" ht="13.15">
      <c r="A336" s="18"/>
      <c r="B336" s="19"/>
    </row>
    <row r="337" spans="1:2" ht="13.15">
      <c r="A337" s="18"/>
      <c r="B337" s="19"/>
    </row>
    <row r="338" spans="1:2" ht="13.15">
      <c r="A338" s="18"/>
      <c r="B338" s="19"/>
    </row>
    <row r="339" spans="1:2" ht="13.15">
      <c r="A339" s="18"/>
      <c r="B339" s="19"/>
    </row>
    <row r="340" spans="1:2" ht="13.15">
      <c r="A340" s="18"/>
      <c r="B340" s="19"/>
    </row>
    <row r="341" spans="1:2" ht="13.15">
      <c r="A341" s="18"/>
      <c r="B341" s="19"/>
    </row>
    <row r="342" spans="1:2" ht="13.15">
      <c r="A342" s="18"/>
      <c r="B342" s="19"/>
    </row>
    <row r="343" spans="1:2" ht="13.15">
      <c r="A343" s="18"/>
      <c r="B343" s="19"/>
    </row>
    <row r="344" spans="1:2" ht="13.15">
      <c r="A344" s="18"/>
      <c r="B344" s="19"/>
    </row>
    <row r="345" spans="1:2" ht="13.15">
      <c r="A345" s="18"/>
      <c r="B345" s="19"/>
    </row>
    <row r="346" spans="1:2" ht="13.15">
      <c r="A346" s="18"/>
      <c r="B346" s="19"/>
    </row>
    <row r="347" spans="1:2" ht="13.15">
      <c r="A347" s="18"/>
      <c r="B347" s="19"/>
    </row>
    <row r="348" spans="1:2" ht="13.15">
      <c r="A348" s="18"/>
      <c r="B348" s="19"/>
    </row>
    <row r="349" spans="1:2" ht="13.15">
      <c r="A349" s="18"/>
      <c r="B349" s="19"/>
    </row>
    <row r="350" spans="1:2" ht="13.15">
      <c r="A350" s="18"/>
      <c r="B350" s="19"/>
    </row>
    <row r="351" spans="1:2" ht="13.15">
      <c r="A351" s="18"/>
      <c r="B351" s="19"/>
    </row>
    <row r="352" spans="1:2" ht="13.15">
      <c r="A352" s="18"/>
      <c r="B352" s="19"/>
    </row>
    <row r="353" spans="1:2" ht="13.15">
      <c r="A353" s="18"/>
      <c r="B353" s="19"/>
    </row>
    <row r="354" spans="1:2" ht="13.15">
      <c r="A354" s="18"/>
      <c r="B354" s="19"/>
    </row>
    <row r="355" spans="1:2" ht="13.15">
      <c r="A355" s="18"/>
      <c r="B355" s="19"/>
    </row>
    <row r="356" spans="1:2" ht="13.15">
      <c r="A356" s="18"/>
      <c r="B356" s="19"/>
    </row>
    <row r="357" spans="1:2" ht="13.15">
      <c r="A357" s="18"/>
      <c r="B357" s="19"/>
    </row>
    <row r="358" spans="1:2" ht="13.15">
      <c r="A358" s="18"/>
      <c r="B358" s="19"/>
    </row>
    <row r="359" spans="1:2" ht="13.15">
      <c r="A359" s="18"/>
      <c r="B359" s="19"/>
    </row>
    <row r="360" spans="1:2" ht="13.15">
      <c r="A360" s="18"/>
      <c r="B360" s="19"/>
    </row>
    <row r="361" spans="1:2" ht="13.15">
      <c r="A361" s="18"/>
      <c r="B361" s="19"/>
    </row>
    <row r="362" spans="1:2" ht="13.15">
      <c r="A362" s="18"/>
      <c r="B362" s="19"/>
    </row>
    <row r="363" spans="1:2" ht="13.15">
      <c r="A363" s="18"/>
      <c r="B363" s="19"/>
    </row>
    <row r="364" spans="1:2" ht="13.15">
      <c r="A364" s="18"/>
      <c r="B364" s="19"/>
    </row>
    <row r="365" spans="1:2" ht="13.15">
      <c r="A365" s="18"/>
      <c r="B365" s="19"/>
    </row>
    <row r="366" spans="1:2" ht="13.15">
      <c r="A366" s="18"/>
      <c r="B366" s="19"/>
    </row>
    <row r="367" spans="1:2" ht="13.15">
      <c r="A367" s="18"/>
      <c r="B367" s="19"/>
    </row>
    <row r="368" spans="1:2" ht="13.15">
      <c r="A368" s="18"/>
      <c r="B368" s="19"/>
    </row>
    <row r="369" spans="1:2" ht="13.15">
      <c r="A369" s="18"/>
      <c r="B369" s="19"/>
    </row>
    <row r="370" spans="1:2" ht="13.15">
      <c r="A370" s="18"/>
      <c r="B370" s="19"/>
    </row>
    <row r="371" spans="1:2" ht="13.15">
      <c r="A371" s="18"/>
      <c r="B371" s="19"/>
    </row>
    <row r="372" spans="1:2" ht="13.15">
      <c r="A372" s="18"/>
      <c r="B372" s="19"/>
    </row>
    <row r="373" spans="1:2" ht="13.15">
      <c r="A373" s="18"/>
      <c r="B373" s="19"/>
    </row>
    <row r="374" spans="1:2" ht="13.15">
      <c r="A374" s="18"/>
      <c r="B374" s="19"/>
    </row>
    <row r="375" spans="1:2" ht="13.15">
      <c r="A375" s="18"/>
      <c r="B375" s="19"/>
    </row>
    <row r="376" spans="1:2" ht="13.15">
      <c r="A376" s="18"/>
      <c r="B376" s="19"/>
    </row>
    <row r="377" spans="1:2" ht="13.15">
      <c r="A377" s="18"/>
      <c r="B377" s="19"/>
    </row>
    <row r="378" spans="1:2" ht="13.15">
      <c r="A378" s="18"/>
      <c r="B378" s="19"/>
    </row>
    <row r="379" spans="1:2" ht="13.15">
      <c r="A379" s="18"/>
      <c r="B379" s="19"/>
    </row>
    <row r="380" spans="1:2" ht="13.15">
      <c r="A380" s="18"/>
      <c r="B380" s="19"/>
    </row>
    <row r="381" spans="1:2" ht="13.15">
      <c r="A381" s="18"/>
      <c r="B381" s="19"/>
    </row>
    <row r="382" spans="1:2" ht="13.15">
      <c r="A382" s="18"/>
      <c r="B382" s="19"/>
    </row>
    <row r="383" spans="1:2" ht="13.15">
      <c r="A383" s="18"/>
      <c r="B383" s="19"/>
    </row>
    <row r="384" spans="1:2" ht="13.15">
      <c r="A384" s="18"/>
      <c r="B384" s="19"/>
    </row>
    <row r="385" spans="1:2" ht="13.15">
      <c r="A385" s="18"/>
      <c r="B385" s="19"/>
    </row>
    <row r="386" spans="1:2" ht="13.15">
      <c r="A386" s="18"/>
      <c r="B386" s="19"/>
    </row>
    <row r="387" spans="1:2" ht="13.15">
      <c r="A387" s="18"/>
      <c r="B387" s="19"/>
    </row>
    <row r="388" spans="1:2" ht="13.15">
      <c r="A388" s="18"/>
      <c r="B388" s="19"/>
    </row>
    <row r="389" spans="1:2" ht="13.15">
      <c r="A389" s="18"/>
      <c r="B389" s="19"/>
    </row>
    <row r="390" spans="1:2" ht="13.15">
      <c r="A390" s="18"/>
      <c r="B390" s="19"/>
    </row>
    <row r="391" spans="1:2" ht="13.15">
      <c r="A391" s="18"/>
      <c r="B391" s="19"/>
    </row>
    <row r="392" spans="1:2" ht="13.15">
      <c r="A392" s="18"/>
      <c r="B392" s="19"/>
    </row>
    <row r="393" spans="1:2" ht="13.15">
      <c r="A393" s="18"/>
      <c r="B393" s="19"/>
    </row>
    <row r="394" spans="1:2" ht="13.15">
      <c r="A394" s="18"/>
      <c r="B394" s="19"/>
    </row>
    <row r="395" spans="1:2" ht="13.15">
      <c r="A395" s="18"/>
      <c r="B395" s="19"/>
    </row>
    <row r="396" spans="1:2" ht="13.15">
      <c r="A396" s="18"/>
      <c r="B396" s="19"/>
    </row>
    <row r="397" spans="1:2" ht="13.15">
      <c r="A397" s="18"/>
      <c r="B397" s="19"/>
    </row>
    <row r="398" spans="1:2" ht="13.15">
      <c r="A398" s="18"/>
      <c r="B398" s="19"/>
    </row>
    <row r="399" spans="1:2" ht="13.15">
      <c r="A399" s="18"/>
      <c r="B399" s="19"/>
    </row>
    <row r="400" spans="1:2" ht="13.15">
      <c r="A400" s="18"/>
      <c r="B400" s="19"/>
    </row>
    <row r="401" spans="1:2" ht="13.15">
      <c r="A401" s="18"/>
      <c r="B401" s="19"/>
    </row>
    <row r="402" spans="1:2" ht="13.15">
      <c r="A402" s="18"/>
      <c r="B402" s="19"/>
    </row>
    <row r="403" spans="1:2" ht="13.15">
      <c r="A403" s="18"/>
      <c r="B403" s="19"/>
    </row>
    <row r="404" spans="1:2" ht="13.15">
      <c r="A404" s="18"/>
      <c r="B404" s="19"/>
    </row>
    <row r="405" spans="1:2" ht="13.15">
      <c r="A405" s="18"/>
      <c r="B405" s="19"/>
    </row>
    <row r="406" spans="1:2" ht="13.15">
      <c r="A406" s="18"/>
      <c r="B406" s="19"/>
    </row>
    <row r="407" spans="1:2" ht="13.15">
      <c r="A407" s="18"/>
      <c r="B407" s="19"/>
    </row>
    <row r="408" spans="1:2" ht="13.15">
      <c r="A408" s="18"/>
      <c r="B408" s="19"/>
    </row>
    <row r="409" spans="1:2" ht="13.15">
      <c r="A409" s="18"/>
      <c r="B409" s="19"/>
    </row>
    <row r="410" spans="1:2" ht="13.15">
      <c r="A410" s="18"/>
      <c r="B410" s="19"/>
    </row>
    <row r="411" spans="1:2" ht="13.15">
      <c r="A411" s="18"/>
      <c r="B411" s="19"/>
    </row>
    <row r="412" spans="1:2" ht="13.15">
      <c r="A412" s="18"/>
      <c r="B412" s="19"/>
    </row>
    <row r="413" spans="1:2" ht="13.15">
      <c r="A413" s="18"/>
      <c r="B413" s="19"/>
    </row>
    <row r="414" spans="1:2" ht="13.15">
      <c r="A414" s="18"/>
      <c r="B414" s="19"/>
    </row>
    <row r="415" spans="1:2" ht="13.15">
      <c r="A415" s="18"/>
      <c r="B415" s="19"/>
    </row>
    <row r="416" spans="1:2" ht="13.15">
      <c r="A416" s="18"/>
      <c r="B416" s="19"/>
    </row>
    <row r="417" spans="1:2" ht="13.15">
      <c r="A417" s="18"/>
      <c r="B417" s="19"/>
    </row>
    <row r="418" spans="1:2" ht="13.15">
      <c r="A418" s="18"/>
      <c r="B418" s="19"/>
    </row>
    <row r="419" spans="1:2" ht="13.15">
      <c r="A419" s="18"/>
      <c r="B419" s="19"/>
    </row>
    <row r="420" spans="1:2" ht="13.15">
      <c r="A420" s="18"/>
      <c r="B420" s="19"/>
    </row>
    <row r="421" spans="1:2" ht="13.15">
      <c r="A421" s="18"/>
      <c r="B421" s="19"/>
    </row>
    <row r="422" spans="1:2" ht="13.15">
      <c r="A422" s="18"/>
      <c r="B422" s="19"/>
    </row>
    <row r="423" spans="1:2" ht="13.15">
      <c r="A423" s="18"/>
      <c r="B423" s="19"/>
    </row>
    <row r="424" spans="1:2" ht="13.15">
      <c r="A424" s="18"/>
      <c r="B424" s="19"/>
    </row>
    <row r="425" spans="1:2" ht="13.15">
      <c r="A425" s="18"/>
      <c r="B425" s="19"/>
    </row>
    <row r="426" spans="1:2" ht="13.15">
      <c r="A426" s="18"/>
      <c r="B426" s="19"/>
    </row>
    <row r="427" spans="1:2" ht="13.15">
      <c r="A427" s="18"/>
      <c r="B427" s="19"/>
    </row>
    <row r="428" spans="1:2" ht="13.15">
      <c r="A428" s="18"/>
      <c r="B428" s="19"/>
    </row>
    <row r="429" spans="1:2" ht="13.15">
      <c r="A429" s="18"/>
      <c r="B429" s="19"/>
    </row>
    <row r="430" spans="1:2" ht="13.15">
      <c r="A430" s="18"/>
      <c r="B430" s="19"/>
    </row>
    <row r="431" spans="1:2" ht="13.15">
      <c r="A431" s="18"/>
      <c r="B431" s="19"/>
    </row>
    <row r="432" spans="1:2" ht="13.15">
      <c r="A432" s="18"/>
      <c r="B432" s="19"/>
    </row>
    <row r="433" spans="1:2" ht="13.15">
      <c r="A433" s="18"/>
      <c r="B433" s="19"/>
    </row>
    <row r="434" spans="1:2" ht="13.15">
      <c r="A434" s="18"/>
      <c r="B434" s="19"/>
    </row>
    <row r="435" spans="1:2" ht="13.15">
      <c r="A435" s="18"/>
      <c r="B435" s="19"/>
    </row>
    <row r="436" spans="1:2" ht="13.15">
      <c r="A436" s="18"/>
      <c r="B436" s="19"/>
    </row>
    <row r="437" spans="1:2" ht="13.15">
      <c r="A437" s="18"/>
      <c r="B437" s="19"/>
    </row>
    <row r="438" spans="1:2" ht="13.15">
      <c r="A438" s="18"/>
      <c r="B438" s="19"/>
    </row>
    <row r="439" spans="1:2" ht="13.15">
      <c r="A439" s="18"/>
      <c r="B439" s="19"/>
    </row>
    <row r="440" spans="1:2" ht="13.15">
      <c r="A440" s="18"/>
      <c r="B440" s="19"/>
    </row>
    <row r="441" spans="1:2" ht="13.15">
      <c r="A441" s="18"/>
      <c r="B441" s="19"/>
    </row>
    <row r="442" spans="1:2" ht="13.15">
      <c r="A442" s="18"/>
      <c r="B442" s="19"/>
    </row>
    <row r="443" spans="1:2" ht="13.15">
      <c r="A443" s="18"/>
      <c r="B443" s="19"/>
    </row>
    <row r="444" spans="1:2" ht="13.15">
      <c r="A444" s="18"/>
      <c r="B444" s="19"/>
    </row>
    <row r="445" spans="1:2" ht="13.15">
      <c r="A445" s="18"/>
      <c r="B445" s="19"/>
    </row>
    <row r="446" spans="1:2" ht="13.15">
      <c r="A446" s="18"/>
      <c r="B446" s="19"/>
    </row>
    <row r="447" spans="1:2" ht="13.15">
      <c r="A447" s="18"/>
      <c r="B447" s="19"/>
    </row>
    <row r="448" spans="1:2" ht="13.15">
      <c r="A448" s="18"/>
      <c r="B448" s="19"/>
    </row>
    <row r="449" spans="1:2" ht="13.15">
      <c r="A449" s="18"/>
      <c r="B449" s="19"/>
    </row>
    <row r="450" spans="1:2" ht="13.15">
      <c r="A450" s="18"/>
      <c r="B450" s="19"/>
    </row>
    <row r="451" spans="1:2" ht="13.15">
      <c r="A451" s="18"/>
      <c r="B451" s="19"/>
    </row>
    <row r="452" spans="1:2" ht="13.15">
      <c r="A452" s="18"/>
      <c r="B452" s="19"/>
    </row>
    <row r="453" spans="1:2" ht="13.15">
      <c r="A453" s="18"/>
      <c r="B453" s="19"/>
    </row>
    <row r="454" spans="1:2" ht="13.15">
      <c r="A454" s="18"/>
      <c r="B454" s="19"/>
    </row>
    <row r="455" spans="1:2" ht="13.15">
      <c r="A455" s="18"/>
      <c r="B455" s="19"/>
    </row>
    <row r="456" spans="1:2" ht="13.15">
      <c r="A456" s="18"/>
      <c r="B456" s="19"/>
    </row>
    <row r="457" spans="1:2" ht="13.15">
      <c r="A457" s="18"/>
      <c r="B457" s="19"/>
    </row>
    <row r="458" spans="1:2" ht="13.15">
      <c r="A458" s="18"/>
      <c r="B458" s="19"/>
    </row>
    <row r="459" spans="1:2" ht="13.15">
      <c r="A459" s="18"/>
      <c r="B459" s="19"/>
    </row>
    <row r="460" spans="1:2" ht="13.15">
      <c r="A460" s="18"/>
      <c r="B460" s="19"/>
    </row>
    <row r="461" spans="1:2" ht="13.15">
      <c r="A461" s="18"/>
      <c r="B461" s="19"/>
    </row>
    <row r="462" spans="1:2" ht="13.15">
      <c r="A462" s="18"/>
      <c r="B462" s="19"/>
    </row>
    <row r="463" spans="1:2" ht="13.15">
      <c r="A463" s="18"/>
      <c r="B463" s="19"/>
    </row>
    <row r="464" spans="1:2" ht="13.15">
      <c r="A464" s="18"/>
      <c r="B464" s="19"/>
    </row>
    <row r="465" spans="1:2" ht="13.15">
      <c r="A465" s="18"/>
      <c r="B465" s="19"/>
    </row>
    <row r="466" spans="1:2" ht="13.15">
      <c r="A466" s="18"/>
      <c r="B466" s="19"/>
    </row>
    <row r="467" spans="1:2" ht="13.15">
      <c r="A467" s="18"/>
      <c r="B467" s="19"/>
    </row>
    <row r="468" spans="1:2" ht="13.15">
      <c r="A468" s="18"/>
      <c r="B468" s="19"/>
    </row>
    <row r="469" spans="1:2" ht="13.15">
      <c r="A469" s="18"/>
      <c r="B469" s="19"/>
    </row>
    <row r="470" spans="1:2" ht="13.15">
      <c r="A470" s="18"/>
      <c r="B470" s="19"/>
    </row>
    <row r="471" spans="1:2" ht="13.15">
      <c r="A471" s="18"/>
      <c r="B471" s="19"/>
    </row>
    <row r="472" spans="1:2" ht="13.15">
      <c r="A472" s="18"/>
      <c r="B472" s="19"/>
    </row>
    <row r="473" spans="1:2" ht="13.15">
      <c r="A473" s="18"/>
      <c r="B473" s="19"/>
    </row>
    <row r="474" spans="1:2" ht="13.15">
      <c r="A474" s="18"/>
      <c r="B474" s="19"/>
    </row>
    <row r="475" spans="1:2" ht="13.15">
      <c r="A475" s="18"/>
      <c r="B475" s="19"/>
    </row>
    <row r="476" spans="1:2" ht="13.15">
      <c r="A476" s="18"/>
      <c r="B476" s="19"/>
    </row>
    <row r="477" spans="1:2" ht="13.15">
      <c r="A477" s="18"/>
      <c r="B477" s="19"/>
    </row>
    <row r="478" spans="1:2" ht="13.15">
      <c r="A478" s="18"/>
      <c r="B478" s="19"/>
    </row>
    <row r="479" spans="1:2" ht="13.15">
      <c r="A479" s="18"/>
      <c r="B479" s="19"/>
    </row>
    <row r="480" spans="1:2" ht="13.15">
      <c r="A480" s="18"/>
      <c r="B480" s="19"/>
    </row>
    <row r="481" spans="1:2" ht="13.15">
      <c r="A481" s="18"/>
      <c r="B481" s="19"/>
    </row>
    <row r="482" spans="1:2" ht="13.15">
      <c r="A482" s="18"/>
      <c r="B482" s="19"/>
    </row>
    <row r="483" spans="1:2" ht="13.15">
      <c r="A483" s="18"/>
      <c r="B483" s="19"/>
    </row>
    <row r="484" spans="1:2" ht="13.15">
      <c r="A484" s="18"/>
      <c r="B484" s="19"/>
    </row>
    <row r="485" spans="1:2" ht="13.15">
      <c r="A485" s="18"/>
      <c r="B485" s="19"/>
    </row>
    <row r="486" spans="1:2" ht="13.15">
      <c r="A486" s="18"/>
      <c r="B486" s="19"/>
    </row>
    <row r="487" spans="1:2" ht="13.15">
      <c r="A487" s="18"/>
      <c r="B487" s="19"/>
    </row>
    <row r="488" spans="1:2" ht="13.15">
      <c r="A488" s="18"/>
      <c r="B488" s="19"/>
    </row>
    <row r="489" spans="1:2" ht="13.15">
      <c r="A489" s="18"/>
      <c r="B489" s="19"/>
    </row>
    <row r="490" spans="1:2" ht="13.15">
      <c r="A490" s="18"/>
      <c r="B490" s="19"/>
    </row>
    <row r="491" spans="1:2" ht="13.15">
      <c r="A491" s="18"/>
      <c r="B491" s="19"/>
    </row>
    <row r="492" spans="1:2" ht="13.15">
      <c r="A492" s="18"/>
      <c r="B492" s="19"/>
    </row>
    <row r="493" spans="1:2" ht="13.15">
      <c r="A493" s="18"/>
      <c r="B493" s="19"/>
    </row>
    <row r="494" spans="1:2" ht="13.15">
      <c r="A494" s="18"/>
      <c r="B494" s="19"/>
    </row>
    <row r="495" spans="1:2" ht="13.15">
      <c r="A495" s="18"/>
      <c r="B495" s="19"/>
    </row>
    <row r="496" spans="1:2" ht="13.15">
      <c r="A496" s="18"/>
      <c r="B496" s="19"/>
    </row>
    <row r="497" spans="1:2" ht="13.15">
      <c r="A497" s="18"/>
      <c r="B497" s="19"/>
    </row>
    <row r="498" spans="1:2" ht="13.15">
      <c r="A498" s="18"/>
      <c r="B498" s="19"/>
    </row>
    <row r="499" spans="1:2" ht="13.15">
      <c r="A499" s="18"/>
      <c r="B499" s="19"/>
    </row>
    <row r="500" spans="1:2" ht="13.15">
      <c r="A500" s="18"/>
      <c r="B500" s="19"/>
    </row>
    <row r="501" spans="1:2" ht="13.15">
      <c r="A501" s="18"/>
      <c r="B501" s="19"/>
    </row>
    <row r="502" spans="1:2" ht="13.15">
      <c r="A502" s="18"/>
      <c r="B502" s="19"/>
    </row>
    <row r="503" spans="1:2" ht="13.15">
      <c r="A503" s="18"/>
      <c r="B503" s="19"/>
    </row>
    <row r="504" spans="1:2" ht="13.15">
      <c r="A504" s="18"/>
      <c r="B504" s="19"/>
    </row>
    <row r="505" spans="1:2" ht="13.15">
      <c r="A505" s="18"/>
      <c r="B505" s="19"/>
    </row>
    <row r="506" spans="1:2" ht="13.15">
      <c r="A506" s="18"/>
      <c r="B506" s="19"/>
    </row>
    <row r="507" spans="1:2" ht="13.15">
      <c r="A507" s="18"/>
      <c r="B507" s="19"/>
    </row>
    <row r="508" spans="1:2" ht="13.15">
      <c r="A508" s="18"/>
      <c r="B508" s="19"/>
    </row>
    <row r="509" spans="1:2" ht="13.15">
      <c r="A509" s="18"/>
      <c r="B509" s="19"/>
    </row>
    <row r="510" spans="1:2" ht="13.15">
      <c r="A510" s="18"/>
      <c r="B510" s="19"/>
    </row>
    <row r="511" spans="1:2" ht="13.15">
      <c r="A511" s="18"/>
      <c r="B511" s="19"/>
    </row>
    <row r="512" spans="1:2" ht="13.15">
      <c r="A512" s="18"/>
      <c r="B512" s="19"/>
    </row>
    <row r="513" spans="1:2" ht="13.15">
      <c r="A513" s="18"/>
      <c r="B513" s="19"/>
    </row>
    <row r="514" spans="1:2" ht="13.15">
      <c r="A514" s="18"/>
      <c r="B514" s="19"/>
    </row>
    <row r="515" spans="1:2" ht="13.15">
      <c r="A515" s="18"/>
      <c r="B515" s="19"/>
    </row>
    <row r="516" spans="1:2" ht="13.15">
      <c r="A516" s="18"/>
      <c r="B516" s="19"/>
    </row>
    <row r="517" spans="1:2" ht="13.15">
      <c r="A517" s="18"/>
      <c r="B517" s="19"/>
    </row>
    <row r="518" spans="1:2" ht="13.15">
      <c r="A518" s="18"/>
      <c r="B518" s="19"/>
    </row>
    <row r="519" spans="1:2" ht="13.15">
      <c r="A519" s="18"/>
      <c r="B519" s="19"/>
    </row>
    <row r="520" spans="1:2" ht="13.15">
      <c r="A520" s="18"/>
      <c r="B520" s="19"/>
    </row>
    <row r="521" spans="1:2" ht="13.15">
      <c r="A521" s="18"/>
      <c r="B521" s="19"/>
    </row>
    <row r="522" spans="1:2" ht="13.15">
      <c r="A522" s="18"/>
      <c r="B522" s="19"/>
    </row>
    <row r="523" spans="1:2" ht="13.15">
      <c r="A523" s="18"/>
      <c r="B523" s="19"/>
    </row>
    <row r="524" spans="1:2" ht="13.15">
      <c r="A524" s="18"/>
      <c r="B524" s="19"/>
    </row>
    <row r="525" spans="1:2" ht="13.15">
      <c r="A525" s="18"/>
      <c r="B525" s="19"/>
    </row>
    <row r="526" spans="1:2" ht="13.15">
      <c r="A526" s="18"/>
      <c r="B526" s="19"/>
    </row>
    <row r="527" spans="1:2" ht="13.15">
      <c r="A527" s="18"/>
      <c r="B527" s="19"/>
    </row>
    <row r="528" spans="1:2" ht="13.15">
      <c r="A528" s="18"/>
      <c r="B528" s="19"/>
    </row>
    <row r="529" spans="1:2" ht="13.15">
      <c r="A529" s="18"/>
      <c r="B529" s="19"/>
    </row>
    <row r="530" spans="1:2" ht="13.15">
      <c r="A530" s="18"/>
      <c r="B530" s="19"/>
    </row>
    <row r="531" spans="1:2" ht="13.15">
      <c r="A531" s="18"/>
      <c r="B531" s="19"/>
    </row>
    <row r="532" spans="1:2" ht="13.15">
      <c r="A532" s="18"/>
      <c r="B532" s="19"/>
    </row>
    <row r="533" spans="1:2" ht="13.15">
      <c r="A533" s="18"/>
      <c r="B533" s="19"/>
    </row>
    <row r="534" spans="1:2" ht="13.15">
      <c r="A534" s="18"/>
      <c r="B534" s="19"/>
    </row>
    <row r="535" spans="1:2" ht="13.15">
      <c r="A535" s="18"/>
      <c r="B535" s="19"/>
    </row>
    <row r="536" spans="1:2" ht="13.15">
      <c r="A536" s="18"/>
      <c r="B536" s="19"/>
    </row>
    <row r="537" spans="1:2" ht="13.15">
      <c r="A537" s="18"/>
      <c r="B537" s="19"/>
    </row>
    <row r="538" spans="1:2" ht="13.15">
      <c r="A538" s="18"/>
      <c r="B538" s="19"/>
    </row>
    <row r="539" spans="1:2" ht="13.15">
      <c r="A539" s="18"/>
      <c r="B539" s="19"/>
    </row>
    <row r="540" spans="1:2" ht="13.15">
      <c r="A540" s="18"/>
      <c r="B540" s="19"/>
    </row>
    <row r="541" spans="1:2" ht="13.15">
      <c r="A541" s="18"/>
      <c r="B541" s="19"/>
    </row>
    <row r="542" spans="1:2" ht="13.15">
      <c r="A542" s="18"/>
      <c r="B542" s="19"/>
    </row>
    <row r="543" spans="1:2" ht="13.15">
      <c r="A543" s="18"/>
      <c r="B543" s="19"/>
    </row>
    <row r="544" spans="1:2" ht="13.15">
      <c r="A544" s="18"/>
      <c r="B544" s="19"/>
    </row>
    <row r="545" spans="1:2" ht="13.15">
      <c r="A545" s="18"/>
      <c r="B545" s="19"/>
    </row>
    <row r="546" spans="1:2" ht="13.15">
      <c r="A546" s="18"/>
      <c r="B546" s="19"/>
    </row>
    <row r="547" spans="1:2" ht="13.15">
      <c r="A547" s="18"/>
      <c r="B547" s="19"/>
    </row>
    <row r="548" spans="1:2" ht="13.15">
      <c r="A548" s="18"/>
      <c r="B548" s="19"/>
    </row>
    <row r="549" spans="1:2" ht="13.15">
      <c r="A549" s="18"/>
      <c r="B549" s="19"/>
    </row>
    <row r="550" spans="1:2" ht="13.15">
      <c r="A550" s="18"/>
      <c r="B550" s="19"/>
    </row>
    <row r="551" spans="1:2" ht="13.15">
      <c r="A551" s="18"/>
      <c r="B551" s="19"/>
    </row>
    <row r="552" spans="1:2" ht="13.15">
      <c r="A552" s="18"/>
      <c r="B552" s="19"/>
    </row>
    <row r="553" spans="1:2" ht="13.15">
      <c r="A553" s="18"/>
      <c r="B553" s="19"/>
    </row>
    <row r="554" spans="1:2" ht="13.15">
      <c r="A554" s="18"/>
      <c r="B554" s="19"/>
    </row>
    <row r="555" spans="1:2" ht="13.15">
      <c r="A555" s="18"/>
      <c r="B555" s="19"/>
    </row>
    <row r="556" spans="1:2" ht="13.15">
      <c r="A556" s="18"/>
      <c r="B556" s="19"/>
    </row>
    <row r="557" spans="1:2" ht="13.15">
      <c r="A557" s="18"/>
      <c r="B557" s="19"/>
    </row>
    <row r="558" spans="1:2" ht="13.15">
      <c r="A558" s="18"/>
      <c r="B558" s="19"/>
    </row>
    <row r="559" spans="1:2" ht="13.15">
      <c r="A559" s="18"/>
      <c r="B559" s="19"/>
    </row>
    <row r="560" spans="1:2" ht="13.15">
      <c r="A560" s="18"/>
      <c r="B560" s="19"/>
    </row>
    <row r="561" spans="1:2" ht="13.15">
      <c r="A561" s="18"/>
      <c r="B561" s="19"/>
    </row>
    <row r="562" spans="1:2" ht="13.15">
      <c r="A562" s="18"/>
      <c r="B562" s="19"/>
    </row>
    <row r="563" spans="1:2" ht="13.15">
      <c r="A563" s="18"/>
      <c r="B563" s="19"/>
    </row>
    <row r="564" spans="1:2" ht="13.15">
      <c r="A564" s="18"/>
      <c r="B564" s="19"/>
    </row>
    <row r="565" spans="1:2" ht="13.15">
      <c r="A565" s="18"/>
      <c r="B565" s="19"/>
    </row>
    <row r="566" spans="1:2" ht="13.15">
      <c r="A566" s="18"/>
      <c r="B566" s="19"/>
    </row>
    <row r="567" spans="1:2" ht="13.15">
      <c r="A567" s="18"/>
      <c r="B567" s="19"/>
    </row>
    <row r="568" spans="1:2" ht="13.15">
      <c r="A568" s="18"/>
      <c r="B568" s="19"/>
    </row>
    <row r="569" spans="1:2" ht="13.15">
      <c r="A569" s="18"/>
      <c r="B569" s="19"/>
    </row>
    <row r="570" spans="1:2" ht="13.15">
      <c r="A570" s="18"/>
      <c r="B570" s="19"/>
    </row>
    <row r="571" spans="1:2" ht="13.15">
      <c r="A571" s="18"/>
      <c r="B571" s="19"/>
    </row>
    <row r="572" spans="1:2" ht="13.15">
      <c r="A572" s="18"/>
      <c r="B572" s="19"/>
    </row>
    <row r="573" spans="1:2" ht="13.15">
      <c r="A573" s="18"/>
      <c r="B573" s="19"/>
    </row>
    <row r="574" spans="1:2" ht="13.15">
      <c r="A574" s="18"/>
      <c r="B574" s="19"/>
    </row>
    <row r="575" spans="1:2" ht="13.15">
      <c r="A575" s="18"/>
      <c r="B575" s="19"/>
    </row>
    <row r="576" spans="1:2" ht="13.15">
      <c r="A576" s="18"/>
      <c r="B576" s="19"/>
    </row>
    <row r="577" spans="1:2" ht="13.15">
      <c r="A577" s="18"/>
      <c r="B577" s="19"/>
    </row>
    <row r="578" spans="1:2" ht="13.15">
      <c r="A578" s="18"/>
      <c r="B578" s="19"/>
    </row>
    <row r="579" spans="1:2" ht="13.15">
      <c r="A579" s="18"/>
      <c r="B579" s="19"/>
    </row>
    <row r="580" spans="1:2" ht="13.15">
      <c r="A580" s="18"/>
      <c r="B580" s="19"/>
    </row>
    <row r="581" spans="1:2" ht="13.15">
      <c r="A581" s="18"/>
      <c r="B581" s="19"/>
    </row>
    <row r="582" spans="1:2" ht="13.15">
      <c r="A582" s="18"/>
      <c r="B582" s="19"/>
    </row>
    <row r="583" spans="1:2" ht="13.15">
      <c r="A583" s="18"/>
      <c r="B583" s="19"/>
    </row>
    <row r="584" spans="1:2" ht="13.15">
      <c r="A584" s="18"/>
      <c r="B584" s="19"/>
    </row>
    <row r="585" spans="1:2" ht="13.15">
      <c r="A585" s="18"/>
      <c r="B585" s="19"/>
    </row>
    <row r="586" spans="1:2" ht="13.15">
      <c r="A586" s="18"/>
      <c r="B586" s="19"/>
    </row>
    <row r="587" spans="1:2" ht="13.15">
      <c r="A587" s="18"/>
      <c r="B587" s="19"/>
    </row>
    <row r="588" spans="1:2" ht="13.15">
      <c r="A588" s="18"/>
      <c r="B588" s="19"/>
    </row>
    <row r="589" spans="1:2" ht="13.15">
      <c r="A589" s="18"/>
      <c r="B589" s="19"/>
    </row>
    <row r="590" spans="1:2" ht="13.15">
      <c r="A590" s="18"/>
      <c r="B590" s="19"/>
    </row>
    <row r="591" spans="1:2" ht="13.15">
      <c r="A591" s="18"/>
      <c r="B591" s="19"/>
    </row>
    <row r="592" spans="1:2" ht="13.15">
      <c r="A592" s="18"/>
      <c r="B592" s="19"/>
    </row>
    <row r="593" spans="1:2" ht="13.15">
      <c r="A593" s="18"/>
      <c r="B593" s="19"/>
    </row>
    <row r="594" spans="1:2" ht="13.15">
      <c r="A594" s="18"/>
      <c r="B594" s="19"/>
    </row>
    <row r="595" spans="1:2" ht="13.15">
      <c r="A595" s="18"/>
      <c r="B595" s="19"/>
    </row>
    <row r="596" spans="1:2" ht="13.15">
      <c r="A596" s="18"/>
      <c r="B596" s="19"/>
    </row>
    <row r="597" spans="1:2" ht="13.15">
      <c r="A597" s="18"/>
      <c r="B597" s="19"/>
    </row>
    <row r="598" spans="1:2" ht="13.15">
      <c r="A598" s="18"/>
      <c r="B598" s="19"/>
    </row>
    <row r="599" spans="1:2" ht="13.15">
      <c r="A599" s="18"/>
      <c r="B599" s="19"/>
    </row>
    <row r="600" spans="1:2" ht="13.15">
      <c r="A600" s="18"/>
      <c r="B600" s="19"/>
    </row>
    <row r="601" spans="1:2" ht="13.15">
      <c r="A601" s="18"/>
      <c r="B601" s="19"/>
    </row>
    <row r="602" spans="1:2" ht="13.15">
      <c r="A602" s="18"/>
      <c r="B602" s="19"/>
    </row>
    <row r="603" spans="1:2" ht="13.15">
      <c r="A603" s="18"/>
      <c r="B603" s="19"/>
    </row>
    <row r="604" spans="1:2" ht="13.15">
      <c r="A604" s="18"/>
      <c r="B604" s="19"/>
    </row>
    <row r="605" spans="1:2" ht="13.15">
      <c r="A605" s="18"/>
      <c r="B605" s="19"/>
    </row>
    <row r="606" spans="1:2" ht="13.15">
      <c r="A606" s="18"/>
      <c r="B606" s="19"/>
    </row>
    <row r="607" spans="1:2" ht="13.15">
      <c r="A607" s="18"/>
      <c r="B607" s="19"/>
    </row>
    <row r="608" spans="1:2" ht="13.15">
      <c r="A608" s="18"/>
      <c r="B608" s="19"/>
    </row>
    <row r="609" spans="1:2" ht="13.15">
      <c r="A609" s="18"/>
      <c r="B609" s="19"/>
    </row>
    <row r="610" spans="1:2" ht="13.15">
      <c r="A610" s="18"/>
      <c r="B610" s="19"/>
    </row>
    <row r="611" spans="1:2" ht="13.15">
      <c r="A611" s="18"/>
      <c r="B611" s="19"/>
    </row>
    <row r="612" spans="1:2" ht="13.15">
      <c r="A612" s="18"/>
      <c r="B612" s="19"/>
    </row>
    <row r="613" spans="1:2" ht="13.15">
      <c r="A613" s="18"/>
      <c r="B613" s="19"/>
    </row>
    <row r="614" spans="1:2" ht="13.15">
      <c r="A614" s="18"/>
      <c r="B614" s="19"/>
    </row>
    <row r="615" spans="1:2" ht="13.15">
      <c r="A615" s="18"/>
      <c r="B615" s="19"/>
    </row>
    <row r="616" spans="1:2" ht="13.15">
      <c r="A616" s="18"/>
      <c r="B616" s="19"/>
    </row>
    <row r="617" spans="1:2" ht="13.15">
      <c r="A617" s="18"/>
      <c r="B617" s="19"/>
    </row>
    <row r="618" spans="1:2" ht="13.15">
      <c r="A618" s="18"/>
      <c r="B618" s="19"/>
    </row>
    <row r="619" spans="1:2" ht="13.15">
      <c r="A619" s="18"/>
      <c r="B619" s="19"/>
    </row>
    <row r="620" spans="1:2" ht="13.15">
      <c r="A620" s="18"/>
      <c r="B620" s="19"/>
    </row>
    <row r="621" spans="1:2" ht="13.15">
      <c r="A621" s="18"/>
      <c r="B621" s="19"/>
    </row>
    <row r="622" spans="1:2" ht="13.15">
      <c r="A622" s="18"/>
      <c r="B622" s="19"/>
    </row>
    <row r="623" spans="1:2" ht="13.15">
      <c r="A623" s="18"/>
      <c r="B623" s="19"/>
    </row>
    <row r="624" spans="1:2" ht="13.15">
      <c r="A624" s="18"/>
      <c r="B624" s="19"/>
    </row>
    <row r="625" spans="1:2" ht="13.15">
      <c r="A625" s="18"/>
      <c r="B625" s="19"/>
    </row>
    <row r="626" spans="1:2" ht="13.15">
      <c r="A626" s="18"/>
      <c r="B626" s="19"/>
    </row>
    <row r="627" spans="1:2" ht="13.15">
      <c r="A627" s="18"/>
      <c r="B627" s="19"/>
    </row>
    <row r="628" spans="1:2" ht="13.15">
      <c r="A628" s="18"/>
      <c r="B628" s="19"/>
    </row>
    <row r="629" spans="1:2" ht="13.15">
      <c r="A629" s="18"/>
      <c r="B629" s="19"/>
    </row>
    <row r="630" spans="1:2" ht="13.15">
      <c r="A630" s="18"/>
      <c r="B630" s="19"/>
    </row>
    <row r="631" spans="1:2" ht="13.15">
      <c r="A631" s="18"/>
      <c r="B631" s="19"/>
    </row>
    <row r="632" spans="1:2" ht="13.15">
      <c r="A632" s="18"/>
      <c r="B632" s="19"/>
    </row>
    <row r="633" spans="1:2" ht="13.15">
      <c r="A633" s="18"/>
      <c r="B633" s="19"/>
    </row>
    <row r="634" spans="1:2" ht="13.15">
      <c r="A634" s="18"/>
      <c r="B634" s="19"/>
    </row>
    <row r="635" spans="1:2" ht="13.15">
      <c r="A635" s="18"/>
      <c r="B635" s="19"/>
    </row>
    <row r="636" spans="1:2" ht="13.15">
      <c r="A636" s="18"/>
      <c r="B636" s="19"/>
    </row>
    <row r="637" spans="1:2" ht="13.15">
      <c r="A637" s="18"/>
      <c r="B637" s="19"/>
    </row>
    <row r="638" spans="1:2" ht="13.15">
      <c r="A638" s="18"/>
      <c r="B638" s="19"/>
    </row>
    <row r="639" spans="1:2" ht="13.15">
      <c r="A639" s="18"/>
      <c r="B639" s="19"/>
    </row>
    <row r="640" spans="1:2" ht="13.15">
      <c r="A640" s="18"/>
      <c r="B640" s="19"/>
    </row>
    <row r="641" spans="1:2" ht="13.15">
      <c r="A641" s="18"/>
      <c r="B641" s="19"/>
    </row>
    <row r="642" spans="1:2" ht="13.15">
      <c r="A642" s="18"/>
      <c r="B642" s="19"/>
    </row>
    <row r="643" spans="1:2" ht="13.15">
      <c r="A643" s="18"/>
      <c r="B643" s="19"/>
    </row>
    <row r="644" spans="1:2" ht="13.15">
      <c r="A644" s="18"/>
      <c r="B644" s="19"/>
    </row>
    <row r="645" spans="1:2" ht="13.15">
      <c r="A645" s="18"/>
      <c r="B645" s="19"/>
    </row>
    <row r="646" spans="1:2" ht="13.15">
      <c r="A646" s="18"/>
      <c r="B646" s="19"/>
    </row>
    <row r="647" spans="1:2" ht="13.15">
      <c r="A647" s="18"/>
      <c r="B647" s="19"/>
    </row>
    <row r="648" spans="1:2" ht="13.15">
      <c r="A648" s="18"/>
      <c r="B648" s="19"/>
    </row>
    <row r="649" spans="1:2" ht="13.15">
      <c r="A649" s="18"/>
      <c r="B649" s="19"/>
    </row>
    <row r="650" spans="1:2" ht="13.15">
      <c r="A650" s="18"/>
      <c r="B650" s="19"/>
    </row>
    <row r="651" spans="1:2" ht="13.15">
      <c r="A651" s="18"/>
      <c r="B651" s="19"/>
    </row>
    <row r="652" spans="1:2" ht="13.15">
      <c r="A652" s="18"/>
      <c r="B652" s="19"/>
    </row>
    <row r="653" spans="1:2" ht="13.15">
      <c r="A653" s="18"/>
      <c r="B653" s="19"/>
    </row>
    <row r="654" spans="1:2" ht="13.15">
      <c r="A654" s="18"/>
      <c r="B654" s="19"/>
    </row>
    <row r="655" spans="1:2" ht="13.15">
      <c r="A655" s="18"/>
      <c r="B655" s="19"/>
    </row>
    <row r="656" spans="1:2" ht="13.15">
      <c r="A656" s="18"/>
      <c r="B656" s="19"/>
    </row>
    <row r="657" spans="1:2" ht="13.15">
      <c r="A657" s="18"/>
      <c r="B657" s="19"/>
    </row>
    <row r="658" spans="1:2" ht="13.15">
      <c r="A658" s="18"/>
      <c r="B658" s="19"/>
    </row>
    <row r="659" spans="1:2" ht="13.15">
      <c r="A659" s="18"/>
      <c r="B659" s="19"/>
    </row>
    <row r="660" spans="1:2" ht="13.15">
      <c r="A660" s="18"/>
      <c r="B660" s="19"/>
    </row>
    <row r="661" spans="1:2" ht="13.15">
      <c r="A661" s="18"/>
      <c r="B661" s="19"/>
    </row>
    <row r="662" spans="1:2" ht="13.15">
      <c r="A662" s="18"/>
      <c r="B662" s="19"/>
    </row>
    <row r="663" spans="1:2" ht="13.15">
      <c r="A663" s="18"/>
      <c r="B663" s="19"/>
    </row>
    <row r="664" spans="1:2" ht="13.15">
      <c r="A664" s="18"/>
      <c r="B664" s="19"/>
    </row>
    <row r="665" spans="1:2" ht="13.15">
      <c r="A665" s="18"/>
      <c r="B665" s="19"/>
    </row>
    <row r="666" spans="1:2" ht="13.15">
      <c r="A666" s="18"/>
      <c r="B666" s="19"/>
    </row>
    <row r="667" spans="1:2" ht="13.15">
      <c r="A667" s="18"/>
      <c r="B667" s="19"/>
    </row>
    <row r="668" spans="1:2" ht="13.15">
      <c r="A668" s="18"/>
      <c r="B668" s="19"/>
    </row>
    <row r="669" spans="1:2" ht="13.15">
      <c r="A669" s="18"/>
      <c r="B669" s="19"/>
    </row>
    <row r="670" spans="1:2" ht="13.15">
      <c r="A670" s="18"/>
      <c r="B670" s="19"/>
    </row>
    <row r="671" spans="1:2" ht="13.15">
      <c r="A671" s="18"/>
      <c r="B671" s="19"/>
    </row>
    <row r="672" spans="1:2" ht="13.15">
      <c r="A672" s="18"/>
      <c r="B672" s="19"/>
    </row>
    <row r="673" spans="1:2" ht="13.15">
      <c r="A673" s="18"/>
      <c r="B673" s="19"/>
    </row>
    <row r="674" spans="1:2" ht="13.15">
      <c r="A674" s="18"/>
      <c r="B674" s="19"/>
    </row>
    <row r="675" spans="1:2" ht="13.15">
      <c r="A675" s="18"/>
      <c r="B675" s="19"/>
    </row>
    <row r="676" spans="1:2" ht="13.15">
      <c r="A676" s="18"/>
      <c r="B676" s="19"/>
    </row>
    <row r="677" spans="1:2" ht="13.15">
      <c r="A677" s="18"/>
      <c r="B677" s="19"/>
    </row>
    <row r="678" spans="1:2" ht="13.15">
      <c r="A678" s="18"/>
      <c r="B678" s="19"/>
    </row>
    <row r="679" spans="1:2" ht="13.15">
      <c r="A679" s="18"/>
      <c r="B679" s="19"/>
    </row>
    <row r="680" spans="1:2" ht="13.15">
      <c r="A680" s="18"/>
      <c r="B680" s="19"/>
    </row>
    <row r="681" spans="1:2" ht="13.15">
      <c r="A681" s="18"/>
      <c r="B681" s="19"/>
    </row>
    <row r="682" spans="1:2" ht="13.15">
      <c r="A682" s="18"/>
      <c r="B682" s="19"/>
    </row>
    <row r="683" spans="1:2" ht="13.15">
      <c r="A683" s="18"/>
      <c r="B683" s="19"/>
    </row>
    <row r="684" spans="1:2" ht="13.15">
      <c r="A684" s="18"/>
      <c r="B684" s="19"/>
    </row>
    <row r="685" spans="1:2" ht="13.15">
      <c r="A685" s="18"/>
      <c r="B685" s="19"/>
    </row>
    <row r="686" spans="1:2" ht="13.15">
      <c r="A686" s="18"/>
      <c r="B686" s="19"/>
    </row>
    <row r="687" spans="1:2" ht="13.15">
      <c r="A687" s="18"/>
      <c r="B687" s="19"/>
    </row>
    <row r="688" spans="1:2" ht="13.15">
      <c r="A688" s="18"/>
      <c r="B688" s="19"/>
    </row>
    <row r="689" spans="1:2" ht="13.15">
      <c r="A689" s="18"/>
      <c r="B689" s="19"/>
    </row>
    <row r="690" spans="1:2" ht="13.15">
      <c r="A690" s="18"/>
      <c r="B690" s="19"/>
    </row>
    <row r="691" spans="1:2" ht="13.15">
      <c r="A691" s="18"/>
      <c r="B691" s="19"/>
    </row>
    <row r="692" spans="1:2" ht="13.15">
      <c r="A692" s="18"/>
      <c r="B692" s="19"/>
    </row>
    <row r="693" spans="1:2" ht="13.15">
      <c r="A693" s="18"/>
      <c r="B693" s="19"/>
    </row>
    <row r="694" spans="1:2" ht="13.15">
      <c r="A694" s="18"/>
      <c r="B694" s="19"/>
    </row>
    <row r="695" spans="1:2" ht="13.15">
      <c r="A695" s="18"/>
      <c r="B695" s="19"/>
    </row>
    <row r="696" spans="1:2" ht="13.15">
      <c r="A696" s="18"/>
      <c r="B696" s="19"/>
    </row>
    <row r="697" spans="1:2" ht="13.15">
      <c r="A697" s="18"/>
      <c r="B697" s="19"/>
    </row>
    <row r="698" spans="1:2" ht="13.15">
      <c r="A698" s="18"/>
      <c r="B698" s="19"/>
    </row>
    <row r="699" spans="1:2" ht="13.15">
      <c r="A699" s="18"/>
      <c r="B699" s="19"/>
    </row>
    <row r="700" spans="1:2" ht="13.15">
      <c r="A700" s="18"/>
      <c r="B700" s="19"/>
    </row>
    <row r="701" spans="1:2" ht="13.15">
      <c r="A701" s="18"/>
      <c r="B701" s="19"/>
    </row>
    <row r="702" spans="1:2" ht="13.15">
      <c r="A702" s="18"/>
      <c r="B702" s="19"/>
    </row>
    <row r="703" spans="1:2" ht="13.15">
      <c r="A703" s="18"/>
      <c r="B703" s="19"/>
    </row>
    <row r="704" spans="1:2" ht="13.15">
      <c r="A704" s="18"/>
      <c r="B704" s="19"/>
    </row>
    <row r="705" spans="1:2" ht="13.15">
      <c r="A705" s="18"/>
      <c r="B705" s="19"/>
    </row>
    <row r="706" spans="1:2" ht="13.15">
      <c r="A706" s="18"/>
      <c r="B706" s="19"/>
    </row>
    <row r="707" spans="1:2" ht="13.15">
      <c r="A707" s="18"/>
      <c r="B707" s="19"/>
    </row>
    <row r="708" spans="1:2" ht="13.15">
      <c r="A708" s="18"/>
      <c r="B708" s="19"/>
    </row>
    <row r="709" spans="1:2" ht="13.15">
      <c r="A709" s="18"/>
      <c r="B709" s="19"/>
    </row>
    <row r="710" spans="1:2" ht="13.15">
      <c r="A710" s="18"/>
      <c r="B710" s="19"/>
    </row>
    <row r="711" spans="1:2" ht="13.15">
      <c r="A711" s="18"/>
      <c r="B711" s="19"/>
    </row>
    <row r="712" spans="1:2" ht="13.15">
      <c r="A712" s="18"/>
      <c r="B712" s="19"/>
    </row>
    <row r="713" spans="1:2" ht="13.15">
      <c r="A713" s="18"/>
      <c r="B713" s="19"/>
    </row>
    <row r="714" spans="1:2" ht="13.15">
      <c r="A714" s="18"/>
      <c r="B714" s="19"/>
    </row>
    <row r="715" spans="1:2" ht="13.15">
      <c r="A715" s="18"/>
      <c r="B715" s="19"/>
    </row>
    <row r="716" spans="1:2" ht="13.15">
      <c r="A716" s="18"/>
      <c r="B716" s="19"/>
    </row>
    <row r="717" spans="1:2" ht="13.15">
      <c r="A717" s="18"/>
      <c r="B717" s="19"/>
    </row>
    <row r="718" spans="1:2" ht="13.15">
      <c r="A718" s="18"/>
      <c r="B718" s="19"/>
    </row>
    <row r="719" spans="1:2" ht="13.15">
      <c r="A719" s="18"/>
      <c r="B719" s="19"/>
    </row>
    <row r="720" spans="1:2" ht="13.15">
      <c r="A720" s="18"/>
      <c r="B720" s="19"/>
    </row>
    <row r="721" spans="1:2" ht="13.15">
      <c r="A721" s="18"/>
      <c r="B721" s="19"/>
    </row>
    <row r="722" spans="1:2" ht="13.15">
      <c r="A722" s="18"/>
      <c r="B722" s="19"/>
    </row>
    <row r="723" spans="1:2" ht="13.15">
      <c r="A723" s="18"/>
      <c r="B723" s="19"/>
    </row>
    <row r="724" spans="1:2" ht="13.15">
      <c r="A724" s="18"/>
      <c r="B724" s="19"/>
    </row>
    <row r="725" spans="1:2" ht="13.15">
      <c r="A725" s="18"/>
      <c r="B725" s="19"/>
    </row>
    <row r="726" spans="1:2" ht="13.15">
      <c r="A726" s="18"/>
      <c r="B726" s="19"/>
    </row>
    <row r="727" spans="1:2" ht="13.15">
      <c r="A727" s="18"/>
      <c r="B727" s="19"/>
    </row>
    <row r="728" spans="1:2" ht="13.15">
      <c r="A728" s="18"/>
      <c r="B728" s="19"/>
    </row>
    <row r="729" spans="1:2" ht="13.15">
      <c r="A729" s="18"/>
      <c r="B729" s="19"/>
    </row>
    <row r="730" spans="1:2" ht="13.15">
      <c r="A730" s="18"/>
      <c r="B730" s="19"/>
    </row>
    <row r="731" spans="1:2" ht="13.15">
      <c r="A731" s="18"/>
      <c r="B731" s="19"/>
    </row>
    <row r="732" spans="1:2" ht="13.15">
      <c r="A732" s="18"/>
      <c r="B732" s="19"/>
    </row>
    <row r="733" spans="1:2" ht="13.15">
      <c r="A733" s="18"/>
      <c r="B733" s="19"/>
    </row>
    <row r="734" spans="1:2" ht="13.15">
      <c r="A734" s="18"/>
      <c r="B734" s="19"/>
    </row>
    <row r="735" spans="1:2" ht="13.15">
      <c r="A735" s="18"/>
      <c r="B735" s="19"/>
    </row>
    <row r="736" spans="1:2" ht="13.15">
      <c r="A736" s="18"/>
      <c r="B736" s="19"/>
    </row>
    <row r="737" spans="1:2" ht="13.15">
      <c r="A737" s="18"/>
      <c r="B737" s="19"/>
    </row>
    <row r="738" spans="1:2" ht="13.15">
      <c r="A738" s="18"/>
      <c r="B738" s="19"/>
    </row>
    <row r="739" spans="1:2" ht="13.15">
      <c r="A739" s="18"/>
      <c r="B739" s="19"/>
    </row>
    <row r="740" spans="1:2" ht="13.15">
      <c r="A740" s="18"/>
      <c r="B740" s="19"/>
    </row>
    <row r="741" spans="1:2" ht="13.15">
      <c r="A741" s="18"/>
      <c r="B741" s="19"/>
    </row>
    <row r="742" spans="1:2" ht="13.15">
      <c r="A742" s="18"/>
      <c r="B742" s="19"/>
    </row>
    <row r="743" spans="1:2" ht="13.15">
      <c r="A743" s="18"/>
      <c r="B743" s="19"/>
    </row>
    <row r="744" spans="1:2" ht="13.15">
      <c r="A744" s="18"/>
      <c r="B744" s="19"/>
    </row>
    <row r="745" spans="1:2" ht="13.15">
      <c r="A745" s="18"/>
      <c r="B745" s="19"/>
    </row>
    <row r="746" spans="1:2" ht="13.15">
      <c r="A746" s="18"/>
      <c r="B746" s="19"/>
    </row>
    <row r="747" spans="1:2" ht="13.15">
      <c r="A747" s="18"/>
      <c r="B747" s="19"/>
    </row>
    <row r="748" spans="1:2" ht="13.15">
      <c r="A748" s="18"/>
      <c r="B748" s="19"/>
    </row>
    <row r="749" spans="1:2" ht="13.15">
      <c r="A749" s="18"/>
      <c r="B749" s="19"/>
    </row>
    <row r="750" spans="1:2" ht="13.15">
      <c r="A750" s="18"/>
      <c r="B750" s="19"/>
    </row>
    <row r="751" spans="1:2" ht="13.15">
      <c r="A751" s="18"/>
      <c r="B751" s="19"/>
    </row>
    <row r="752" spans="1:2" ht="13.15">
      <c r="A752" s="18"/>
      <c r="B752" s="19"/>
    </row>
    <row r="753" spans="1:2" ht="13.15">
      <c r="A753" s="18"/>
      <c r="B753" s="19"/>
    </row>
    <row r="754" spans="1:2" ht="13.15">
      <c r="A754" s="18"/>
      <c r="B754" s="19"/>
    </row>
    <row r="755" spans="1:2" ht="13.15">
      <c r="A755" s="18"/>
      <c r="B755" s="19"/>
    </row>
    <row r="756" spans="1:2" ht="13.15">
      <c r="A756" s="18"/>
      <c r="B756" s="19"/>
    </row>
    <row r="757" spans="1:2" ht="13.15">
      <c r="A757" s="18"/>
      <c r="B757" s="19"/>
    </row>
    <row r="758" spans="1:2" ht="13.15">
      <c r="A758" s="18"/>
      <c r="B758" s="19"/>
    </row>
    <row r="759" spans="1:2" ht="13.15">
      <c r="A759" s="18"/>
      <c r="B759" s="19"/>
    </row>
    <row r="760" spans="1:2" ht="13.15">
      <c r="A760" s="18"/>
      <c r="B760" s="19"/>
    </row>
    <row r="761" spans="1:2" ht="13.15">
      <c r="A761" s="18"/>
      <c r="B761" s="19"/>
    </row>
    <row r="762" spans="1:2" ht="13.15">
      <c r="A762" s="18"/>
      <c r="B762" s="19"/>
    </row>
    <row r="763" spans="1:2" ht="13.15">
      <c r="A763" s="18"/>
      <c r="B763" s="19"/>
    </row>
    <row r="764" spans="1:2" ht="13.15">
      <c r="A764" s="18"/>
      <c r="B764" s="19"/>
    </row>
    <row r="765" spans="1:2" ht="13.15">
      <c r="A765" s="18"/>
      <c r="B765" s="19"/>
    </row>
    <row r="766" spans="1:2" ht="13.15">
      <c r="A766" s="18"/>
      <c r="B766" s="19"/>
    </row>
    <row r="767" spans="1:2" ht="13.15">
      <c r="A767" s="18"/>
      <c r="B767" s="19"/>
    </row>
    <row r="768" spans="1:2" ht="13.15">
      <c r="A768" s="18"/>
      <c r="B768" s="19"/>
    </row>
    <row r="769" spans="1:2" ht="13.15">
      <c r="A769" s="18"/>
      <c r="B769" s="19"/>
    </row>
    <row r="770" spans="1:2" ht="13.15">
      <c r="A770" s="18"/>
      <c r="B770" s="19"/>
    </row>
    <row r="771" spans="1:2" ht="13.15">
      <c r="A771" s="18"/>
      <c r="B771" s="19"/>
    </row>
    <row r="772" spans="1:2" ht="13.15">
      <c r="A772" s="18"/>
      <c r="B772" s="19"/>
    </row>
    <row r="773" spans="1:2" ht="13.15">
      <c r="A773" s="18"/>
      <c r="B773" s="19"/>
    </row>
    <row r="774" spans="1:2" ht="13.15">
      <c r="A774" s="18"/>
      <c r="B774" s="19"/>
    </row>
    <row r="775" spans="1:2" ht="13.15">
      <c r="A775" s="18"/>
      <c r="B775" s="19"/>
    </row>
    <row r="776" spans="1:2" ht="13.15">
      <c r="A776" s="18"/>
      <c r="B776" s="19"/>
    </row>
    <row r="777" spans="1:2" ht="13.15">
      <c r="A777" s="18"/>
      <c r="B777" s="19"/>
    </row>
    <row r="778" spans="1:2" ht="13.15">
      <c r="A778" s="18"/>
      <c r="B778" s="19"/>
    </row>
    <row r="779" spans="1:2" ht="13.15">
      <c r="A779" s="18"/>
      <c r="B779" s="19"/>
    </row>
    <row r="780" spans="1:2" ht="13.15">
      <c r="A780" s="18"/>
      <c r="B780" s="19"/>
    </row>
    <row r="781" spans="1:2" ht="13.15">
      <c r="A781" s="18"/>
      <c r="B781" s="19"/>
    </row>
    <row r="782" spans="1:2" ht="13.15">
      <c r="A782" s="18"/>
      <c r="B782" s="19"/>
    </row>
    <row r="783" spans="1:2" ht="13.15">
      <c r="A783" s="18"/>
      <c r="B783" s="19"/>
    </row>
    <row r="784" spans="1:2" ht="13.15">
      <c r="A784" s="18"/>
      <c r="B784" s="19"/>
    </row>
    <row r="785" spans="1:2" ht="13.15">
      <c r="A785" s="18"/>
      <c r="B785" s="19"/>
    </row>
    <row r="786" spans="1:2" ht="13.15">
      <c r="A786" s="18"/>
      <c r="B786" s="19"/>
    </row>
    <row r="787" spans="1:2" ht="13.15">
      <c r="A787" s="18"/>
      <c r="B787" s="19"/>
    </row>
    <row r="788" spans="1:2" ht="13.15">
      <c r="A788" s="18"/>
      <c r="B788" s="19"/>
    </row>
    <row r="789" spans="1:2" ht="13.15">
      <c r="A789" s="18"/>
      <c r="B789" s="19"/>
    </row>
    <row r="790" spans="1:2" ht="13.15">
      <c r="A790" s="18"/>
      <c r="B790" s="19"/>
    </row>
    <row r="791" spans="1:2" ht="13.15">
      <c r="A791" s="18"/>
      <c r="B791" s="19"/>
    </row>
    <row r="792" spans="1:2" ht="13.15">
      <c r="A792" s="18"/>
      <c r="B792" s="19"/>
    </row>
    <row r="793" spans="1:2" ht="13.15">
      <c r="A793" s="18"/>
      <c r="B793" s="19"/>
    </row>
    <row r="794" spans="1:2" ht="13.15">
      <c r="A794" s="18"/>
      <c r="B794" s="19"/>
    </row>
    <row r="795" spans="1:2" ht="13.15">
      <c r="A795" s="18"/>
      <c r="B795" s="19"/>
    </row>
    <row r="796" spans="1:2" ht="13.15">
      <c r="A796" s="18"/>
      <c r="B796" s="19"/>
    </row>
    <row r="797" spans="1:2" ht="13.15">
      <c r="A797" s="18"/>
      <c r="B797" s="19"/>
    </row>
    <row r="798" spans="1:2" ht="13.15">
      <c r="A798" s="18"/>
      <c r="B798" s="19"/>
    </row>
    <row r="799" spans="1:2" ht="13.15">
      <c r="A799" s="18"/>
      <c r="B799" s="19"/>
    </row>
    <row r="800" spans="1:2" ht="13.15">
      <c r="A800" s="18"/>
      <c r="B800" s="19"/>
    </row>
    <row r="801" spans="1:2" ht="13.15">
      <c r="A801" s="18"/>
      <c r="B801" s="19"/>
    </row>
    <row r="802" spans="1:2" ht="13.15">
      <c r="A802" s="18"/>
      <c r="B802" s="19"/>
    </row>
    <row r="803" spans="1:2" ht="13.15">
      <c r="A803" s="18"/>
      <c r="B803" s="19"/>
    </row>
    <row r="804" spans="1:2" ht="13.15">
      <c r="A804" s="18"/>
      <c r="B804" s="19"/>
    </row>
    <row r="805" spans="1:2" ht="13.15">
      <c r="A805" s="18"/>
      <c r="B805" s="19"/>
    </row>
    <row r="806" spans="1:2" ht="13.15">
      <c r="A806" s="18"/>
      <c r="B806" s="19"/>
    </row>
    <row r="807" spans="1:2" ht="13.15">
      <c r="A807" s="18"/>
      <c r="B807" s="19"/>
    </row>
    <row r="808" spans="1:2" ht="13.15">
      <c r="A808" s="18"/>
      <c r="B808" s="19"/>
    </row>
    <row r="809" spans="1:2" ht="13.15">
      <c r="A809" s="18"/>
      <c r="B809" s="19"/>
    </row>
    <row r="810" spans="1:2" ht="13.15">
      <c r="A810" s="18"/>
      <c r="B810" s="19"/>
    </row>
    <row r="811" spans="1:2" ht="13.15">
      <c r="A811" s="18"/>
      <c r="B811" s="19"/>
    </row>
    <row r="812" spans="1:2" ht="13.15">
      <c r="A812" s="18"/>
      <c r="B812" s="19"/>
    </row>
    <row r="813" spans="1:2" ht="13.15">
      <c r="A813" s="18"/>
      <c r="B813" s="19"/>
    </row>
    <row r="814" spans="1:2" ht="13.15">
      <c r="A814" s="18"/>
      <c r="B814" s="19"/>
    </row>
    <row r="815" spans="1:2" ht="13.15">
      <c r="A815" s="18"/>
      <c r="B815" s="19"/>
    </row>
    <row r="816" spans="1:2" ht="13.15">
      <c r="A816" s="18"/>
      <c r="B816" s="19"/>
    </row>
    <row r="817" spans="1:2" ht="13.15">
      <c r="A817" s="18"/>
      <c r="B817" s="19"/>
    </row>
    <row r="818" spans="1:2" ht="13.15">
      <c r="A818" s="18"/>
      <c r="B818" s="19"/>
    </row>
    <row r="819" spans="1:2" ht="13.15">
      <c r="A819" s="18"/>
      <c r="B819" s="19"/>
    </row>
    <row r="820" spans="1:2" ht="13.15">
      <c r="A820" s="18"/>
      <c r="B820" s="19"/>
    </row>
    <row r="821" spans="1:2" ht="13.15">
      <c r="A821" s="18"/>
      <c r="B821" s="19"/>
    </row>
    <row r="822" spans="1:2" ht="13.15">
      <c r="A822" s="18"/>
      <c r="B822" s="19"/>
    </row>
    <row r="823" spans="1:2" ht="13.15">
      <c r="A823" s="18"/>
      <c r="B823" s="19"/>
    </row>
    <row r="824" spans="1:2" ht="13.15">
      <c r="A824" s="18"/>
      <c r="B824" s="19"/>
    </row>
    <row r="825" spans="1:2" ht="13.15">
      <c r="A825" s="18"/>
      <c r="B825" s="19"/>
    </row>
    <row r="826" spans="1:2" ht="13.15">
      <c r="A826" s="18"/>
      <c r="B826" s="19"/>
    </row>
    <row r="827" spans="1:2" ht="13.15">
      <c r="A827" s="18"/>
      <c r="B827" s="19"/>
    </row>
    <row r="828" spans="1:2" ht="13.15">
      <c r="A828" s="18"/>
      <c r="B828" s="19"/>
    </row>
    <row r="829" spans="1:2" ht="13.15">
      <c r="A829" s="18"/>
      <c r="B829" s="19"/>
    </row>
    <row r="830" spans="1:2" ht="13.15">
      <c r="A830" s="18"/>
      <c r="B830" s="19"/>
    </row>
    <row r="831" spans="1:2" ht="13.15">
      <c r="A831" s="18"/>
      <c r="B831" s="19"/>
    </row>
    <row r="832" spans="1:2" ht="13.15">
      <c r="A832" s="18"/>
      <c r="B832" s="19"/>
    </row>
    <row r="833" spans="1:2" ht="13.15">
      <c r="A833" s="18"/>
      <c r="B833" s="19"/>
    </row>
    <row r="834" spans="1:2" ht="13.15">
      <c r="A834" s="18"/>
      <c r="B834" s="19"/>
    </row>
    <row r="835" spans="1:2" ht="13.15">
      <c r="A835" s="18"/>
      <c r="B835" s="19"/>
    </row>
    <row r="836" spans="1:2" ht="13.15">
      <c r="A836" s="18"/>
      <c r="B836" s="19"/>
    </row>
    <row r="837" spans="1:2" ht="13.15">
      <c r="A837" s="18"/>
      <c r="B837" s="19"/>
    </row>
    <row r="838" spans="1:2" ht="13.15">
      <c r="A838" s="18"/>
      <c r="B838" s="19"/>
    </row>
    <row r="839" spans="1:2" ht="13.15">
      <c r="A839" s="18"/>
      <c r="B839" s="19"/>
    </row>
    <row r="840" spans="1:2" ht="13.15">
      <c r="A840" s="18"/>
      <c r="B840" s="19"/>
    </row>
    <row r="841" spans="1:2" ht="13.15">
      <c r="A841" s="18"/>
      <c r="B841" s="19"/>
    </row>
    <row r="842" spans="1:2" ht="13.15">
      <c r="A842" s="18"/>
      <c r="B842" s="19"/>
    </row>
    <row r="843" spans="1:2" ht="13.15">
      <c r="A843" s="18"/>
      <c r="B843" s="19"/>
    </row>
    <row r="844" spans="1:2" ht="13.15">
      <c r="A844" s="18"/>
      <c r="B844" s="19"/>
    </row>
    <row r="845" spans="1:2" ht="13.15">
      <c r="A845" s="18"/>
      <c r="B845" s="19"/>
    </row>
    <row r="846" spans="1:2" ht="13.15">
      <c r="A846" s="18"/>
      <c r="B846" s="19"/>
    </row>
    <row r="847" spans="1:2" ht="13.15">
      <c r="A847" s="18"/>
      <c r="B847" s="19"/>
    </row>
    <row r="848" spans="1:2" ht="13.15">
      <c r="A848" s="18"/>
      <c r="B848" s="19"/>
    </row>
    <row r="849" spans="1:2" ht="13.15">
      <c r="A849" s="18"/>
      <c r="B849" s="19"/>
    </row>
    <row r="850" spans="1:2" ht="13.15">
      <c r="A850" s="18"/>
      <c r="B850" s="19"/>
    </row>
    <row r="851" spans="1:2" ht="13.15">
      <c r="A851" s="18"/>
      <c r="B851" s="19"/>
    </row>
    <row r="852" spans="1:2" ht="13.15">
      <c r="A852" s="18"/>
      <c r="B852" s="19"/>
    </row>
    <row r="853" spans="1:2" ht="13.15">
      <c r="A853" s="18"/>
      <c r="B853" s="19"/>
    </row>
    <row r="854" spans="1:2" ht="13.15">
      <c r="A854" s="18"/>
      <c r="B854" s="19"/>
    </row>
    <row r="855" spans="1:2" ht="13.15">
      <c r="A855" s="18"/>
      <c r="B855" s="19"/>
    </row>
    <row r="856" spans="1:2" ht="13.15">
      <c r="A856" s="18"/>
      <c r="B856" s="19"/>
    </row>
    <row r="857" spans="1:2" ht="13.15">
      <c r="A857" s="18"/>
      <c r="B857" s="19"/>
    </row>
    <row r="858" spans="1:2" ht="13.15">
      <c r="A858" s="18"/>
      <c r="B858" s="19"/>
    </row>
    <row r="859" spans="1:2" ht="13.15">
      <c r="A859" s="18"/>
      <c r="B859" s="19"/>
    </row>
    <row r="860" spans="1:2" ht="13.15">
      <c r="A860" s="18"/>
      <c r="B860" s="19"/>
    </row>
    <row r="861" spans="1:2" ht="13.15">
      <c r="A861" s="18"/>
      <c r="B861" s="19"/>
    </row>
    <row r="862" spans="1:2" ht="13.15">
      <c r="A862" s="18"/>
      <c r="B862" s="19"/>
    </row>
    <row r="863" spans="1:2" ht="13.15">
      <c r="A863" s="18"/>
      <c r="B863" s="19"/>
    </row>
    <row r="864" spans="1:2" ht="13.15">
      <c r="A864" s="18"/>
      <c r="B864" s="19"/>
    </row>
    <row r="865" spans="1:2" ht="13.15">
      <c r="A865" s="18"/>
      <c r="B865" s="19"/>
    </row>
    <row r="866" spans="1:2" ht="13.15">
      <c r="A866" s="18"/>
      <c r="B866" s="19"/>
    </row>
    <row r="867" spans="1:2" ht="13.15">
      <c r="A867" s="18"/>
      <c r="B867" s="19"/>
    </row>
    <row r="868" spans="1:2" ht="13.15">
      <c r="A868" s="18"/>
      <c r="B868" s="19"/>
    </row>
    <row r="869" spans="1:2" ht="13.15">
      <c r="A869" s="18"/>
      <c r="B869" s="19"/>
    </row>
    <row r="870" spans="1:2" ht="13.15">
      <c r="A870" s="18"/>
      <c r="B870" s="19"/>
    </row>
    <row r="871" spans="1:2" ht="13.15">
      <c r="A871" s="18"/>
      <c r="B871" s="19"/>
    </row>
    <row r="872" spans="1:2" ht="13.15">
      <c r="A872" s="18"/>
      <c r="B872" s="19"/>
    </row>
    <row r="873" spans="1:2" ht="13.15">
      <c r="A873" s="18"/>
      <c r="B873" s="19"/>
    </row>
    <row r="874" spans="1:2" ht="13.15">
      <c r="A874" s="18"/>
      <c r="B874" s="19"/>
    </row>
    <row r="875" spans="1:2" ht="13.15">
      <c r="A875" s="18"/>
      <c r="B875" s="19"/>
    </row>
    <row r="876" spans="1:2" ht="13.15">
      <c r="A876" s="18"/>
      <c r="B876" s="19"/>
    </row>
    <row r="877" spans="1:2" ht="13.15">
      <c r="A877" s="18"/>
      <c r="B877" s="19"/>
    </row>
    <row r="878" spans="1:2" ht="13.15">
      <c r="A878" s="18"/>
      <c r="B878" s="19"/>
    </row>
    <row r="879" spans="1:2" ht="13.15">
      <c r="A879" s="18"/>
      <c r="B879" s="19"/>
    </row>
    <row r="880" spans="1:2" ht="13.15">
      <c r="A880" s="18"/>
      <c r="B880" s="19"/>
    </row>
    <row r="881" spans="1:2" ht="13.15">
      <c r="A881" s="18"/>
      <c r="B881" s="19"/>
    </row>
    <row r="882" spans="1:2" ht="13.15">
      <c r="A882" s="18"/>
      <c r="B882" s="19"/>
    </row>
    <row r="883" spans="1:2" ht="13.15">
      <c r="A883" s="18"/>
      <c r="B883" s="19"/>
    </row>
    <row r="884" spans="1:2" ht="13.15">
      <c r="A884" s="18"/>
      <c r="B884" s="19"/>
    </row>
    <row r="885" spans="1:2" ht="13.15">
      <c r="A885" s="18"/>
      <c r="B885" s="19"/>
    </row>
    <row r="886" spans="1:2" ht="13.15">
      <c r="A886" s="18"/>
      <c r="B886" s="19"/>
    </row>
    <row r="887" spans="1:2" ht="13.15">
      <c r="A887" s="18"/>
      <c r="B887" s="19"/>
    </row>
    <row r="888" spans="1:2" ht="13.15">
      <c r="A888" s="18"/>
      <c r="B888" s="19"/>
    </row>
    <row r="889" spans="1:2" ht="13.15">
      <c r="A889" s="18"/>
      <c r="B889" s="19"/>
    </row>
    <row r="890" spans="1:2" ht="13.15">
      <c r="A890" s="18"/>
      <c r="B890" s="19"/>
    </row>
    <row r="891" spans="1:2" ht="13.15">
      <c r="A891" s="18"/>
      <c r="B891" s="19"/>
    </row>
    <row r="892" spans="1:2" ht="13.15">
      <c r="A892" s="18"/>
      <c r="B892" s="19"/>
    </row>
    <row r="893" spans="1:2" ht="13.15">
      <c r="A893" s="18"/>
      <c r="B893" s="19"/>
    </row>
    <row r="894" spans="1:2" ht="13.15">
      <c r="A894" s="18"/>
      <c r="B894" s="19"/>
    </row>
    <row r="895" spans="1:2" ht="13.15">
      <c r="A895" s="18"/>
      <c r="B895" s="19"/>
    </row>
    <row r="896" spans="1:2" ht="13.15">
      <c r="A896" s="18"/>
      <c r="B896" s="19"/>
    </row>
    <row r="897" spans="1:2" ht="13.15">
      <c r="A897" s="18"/>
      <c r="B897" s="19"/>
    </row>
    <row r="898" spans="1:2" ht="13.15">
      <c r="A898" s="18"/>
      <c r="B898" s="19"/>
    </row>
    <row r="899" spans="1:2" ht="13.15">
      <c r="A899" s="18"/>
      <c r="B899" s="19"/>
    </row>
    <row r="900" spans="1:2" ht="13.15">
      <c r="A900" s="18"/>
      <c r="B900" s="19"/>
    </row>
    <row r="901" spans="1:2" ht="13.15">
      <c r="A901" s="18"/>
      <c r="B901" s="19"/>
    </row>
    <row r="902" spans="1:2" ht="13.15">
      <c r="A902" s="18"/>
      <c r="B902" s="19"/>
    </row>
    <row r="903" spans="1:2" ht="13.15">
      <c r="A903" s="18"/>
      <c r="B903" s="19"/>
    </row>
    <row r="904" spans="1:2" ht="13.15">
      <c r="A904" s="18"/>
      <c r="B904" s="19"/>
    </row>
    <row r="905" spans="1:2" ht="13.15">
      <c r="A905" s="18"/>
      <c r="B905" s="19"/>
    </row>
    <row r="906" spans="1:2" ht="13.15">
      <c r="A906" s="18"/>
      <c r="B906" s="19"/>
    </row>
    <row r="907" spans="1:2" ht="13.15">
      <c r="A907" s="18"/>
      <c r="B907" s="19"/>
    </row>
    <row r="908" spans="1:2" ht="13.15">
      <c r="A908" s="18"/>
      <c r="B908" s="19"/>
    </row>
    <row r="909" spans="1:2" ht="13.15">
      <c r="A909" s="18"/>
      <c r="B909" s="19"/>
    </row>
    <row r="910" spans="1:2" ht="13.15">
      <c r="A910" s="18"/>
      <c r="B910" s="19"/>
    </row>
    <row r="911" spans="1:2" ht="13.15">
      <c r="A911" s="18"/>
      <c r="B911" s="19"/>
    </row>
    <row r="912" spans="1:2" ht="13.15">
      <c r="A912" s="18"/>
      <c r="B912" s="19"/>
    </row>
    <row r="913" spans="1:2" ht="13.15">
      <c r="A913" s="18"/>
      <c r="B913" s="19"/>
    </row>
    <row r="914" spans="1:2" ht="13.15">
      <c r="A914" s="18"/>
      <c r="B914" s="19"/>
    </row>
    <row r="915" spans="1:2" ht="13.15">
      <c r="A915" s="18"/>
      <c r="B915" s="19"/>
    </row>
    <row r="916" spans="1:2" ht="13.15">
      <c r="A916" s="18"/>
      <c r="B916" s="19"/>
    </row>
    <row r="917" spans="1:2" ht="13.15">
      <c r="A917" s="18"/>
      <c r="B917" s="19"/>
    </row>
    <row r="918" spans="1:2" ht="13.15">
      <c r="A918" s="18"/>
      <c r="B918" s="19"/>
    </row>
    <row r="919" spans="1:2" ht="13.15">
      <c r="A919" s="18"/>
      <c r="B919" s="19"/>
    </row>
    <row r="920" spans="1:2" ht="13.15">
      <c r="A920" s="18"/>
      <c r="B920" s="19"/>
    </row>
    <row r="921" spans="1:2" ht="13.15">
      <c r="A921" s="18"/>
      <c r="B921" s="19"/>
    </row>
    <row r="922" spans="1:2" ht="13.15">
      <c r="A922" s="18"/>
      <c r="B922" s="19"/>
    </row>
    <row r="923" spans="1:2" ht="13.15">
      <c r="A923" s="18"/>
      <c r="B923" s="19"/>
    </row>
    <row r="924" spans="1:2" ht="13.15">
      <c r="A924" s="18"/>
      <c r="B924" s="19"/>
    </row>
    <row r="925" spans="1:2" ht="13.15">
      <c r="A925" s="18"/>
      <c r="B925" s="19"/>
    </row>
    <row r="926" spans="1:2" ht="13.15">
      <c r="A926" s="18"/>
      <c r="B926" s="19"/>
    </row>
    <row r="927" spans="1:2" ht="13.15">
      <c r="A927" s="18"/>
      <c r="B927" s="19"/>
    </row>
    <row r="928" spans="1:2" ht="13.15">
      <c r="A928" s="18"/>
      <c r="B928" s="19"/>
    </row>
    <row r="929" spans="1:2" ht="13.15">
      <c r="A929" s="18"/>
      <c r="B929" s="19"/>
    </row>
    <row r="930" spans="1:2" ht="13.15">
      <c r="A930" s="18"/>
      <c r="B930" s="19"/>
    </row>
    <row r="931" spans="1:2" ht="13.15">
      <c r="A931" s="18"/>
      <c r="B931" s="19"/>
    </row>
    <row r="932" spans="1:2" ht="13.15">
      <c r="A932" s="18"/>
      <c r="B932" s="19"/>
    </row>
    <row r="933" spans="1:2" ht="13.15">
      <c r="A933" s="18"/>
      <c r="B933" s="19"/>
    </row>
    <row r="934" spans="1:2" ht="13.15">
      <c r="A934" s="18"/>
      <c r="B934" s="19"/>
    </row>
    <row r="935" spans="1:2" ht="13.15">
      <c r="A935" s="18"/>
      <c r="B935" s="19"/>
    </row>
    <row r="936" spans="1:2" ht="13.15">
      <c r="A936" s="18"/>
      <c r="B936" s="19"/>
    </row>
    <row r="937" spans="1:2" ht="13.15">
      <c r="A937" s="18"/>
      <c r="B937" s="19"/>
    </row>
    <row r="938" spans="1:2" ht="13.15">
      <c r="A938" s="18"/>
      <c r="B938" s="19"/>
    </row>
    <row r="939" spans="1:2" ht="13.15">
      <c r="A939" s="18"/>
      <c r="B939" s="19"/>
    </row>
    <row r="940" spans="1:2" ht="13.15">
      <c r="A940" s="18"/>
      <c r="B940" s="19"/>
    </row>
    <row r="941" spans="1:2" ht="13.15">
      <c r="A941" s="18"/>
      <c r="B941" s="19"/>
    </row>
    <row r="942" spans="1:2" ht="13.15">
      <c r="A942" s="18"/>
      <c r="B942" s="19"/>
    </row>
    <row r="943" spans="1:2" ht="13.15">
      <c r="A943" s="18"/>
      <c r="B943" s="19"/>
    </row>
    <row r="944" spans="1:2" ht="13.15">
      <c r="A944" s="18"/>
      <c r="B944" s="19"/>
    </row>
    <row r="945" spans="1:2" ht="13.15">
      <c r="A945" s="18"/>
      <c r="B945" s="19"/>
    </row>
    <row r="946" spans="1:2" ht="13.15">
      <c r="A946" s="18"/>
      <c r="B946" s="19"/>
    </row>
    <row r="947" spans="1:2" ht="13.15">
      <c r="A947" s="18"/>
      <c r="B947" s="19"/>
    </row>
    <row r="948" spans="1:2" ht="13.15">
      <c r="A948" s="18"/>
      <c r="B948" s="19"/>
    </row>
    <row r="949" spans="1:2" ht="13.15">
      <c r="A949" s="18"/>
      <c r="B949" s="19"/>
    </row>
    <row r="950" spans="1:2" ht="13.15">
      <c r="A950" s="18"/>
      <c r="B950" s="19"/>
    </row>
    <row r="951" spans="1:2" ht="13.15">
      <c r="A951" s="18"/>
      <c r="B951" s="19"/>
    </row>
    <row r="952" spans="1:2" ht="13.15">
      <c r="A952" s="18"/>
      <c r="B952" s="19"/>
    </row>
    <row r="953" spans="1:2" ht="13.15">
      <c r="A953" s="18"/>
      <c r="B953" s="19"/>
    </row>
    <row r="954" spans="1:2" ht="13.15">
      <c r="A954" s="18"/>
      <c r="B954" s="19"/>
    </row>
    <row r="955" spans="1:2" ht="13.15">
      <c r="A955" s="18"/>
      <c r="B955" s="19"/>
    </row>
    <row r="956" spans="1:2" ht="13.15">
      <c r="A956" s="18"/>
      <c r="B956" s="19"/>
    </row>
    <row r="957" spans="1:2" ht="13.15">
      <c r="A957" s="18"/>
      <c r="B957" s="19"/>
    </row>
    <row r="958" spans="1:2" ht="13.15">
      <c r="A958" s="18"/>
      <c r="B958" s="19"/>
    </row>
    <row r="959" spans="1:2" ht="13.15">
      <c r="A959" s="18"/>
      <c r="B959" s="19"/>
    </row>
    <row r="960" spans="1:2" ht="13.15">
      <c r="A960" s="18"/>
      <c r="B960" s="19"/>
    </row>
    <row r="961" spans="1:2" ht="13.15">
      <c r="A961" s="18"/>
      <c r="B961" s="19"/>
    </row>
    <row r="962" spans="1:2" ht="13.15">
      <c r="A962" s="18"/>
      <c r="B962" s="19"/>
    </row>
    <row r="963" spans="1:2" ht="13.15">
      <c r="A963" s="18"/>
      <c r="B963" s="19"/>
    </row>
    <row r="964" spans="1:2" ht="13.15">
      <c r="A964" s="18"/>
      <c r="B964" s="19"/>
    </row>
    <row r="965" spans="1:2" ht="13.15">
      <c r="A965" s="18"/>
      <c r="B965" s="19"/>
    </row>
    <row r="966" spans="1:2" ht="13.15">
      <c r="A966" s="18"/>
      <c r="B966" s="19"/>
    </row>
    <row r="967" spans="1:2" ht="13.15">
      <c r="A967" s="18"/>
      <c r="B967" s="19"/>
    </row>
    <row r="968" spans="1:2" ht="13.15">
      <c r="A968" s="18"/>
      <c r="B968" s="19"/>
    </row>
    <row r="969" spans="1:2" ht="13.15">
      <c r="A969" s="18"/>
      <c r="B969" s="19"/>
    </row>
    <row r="970" spans="1:2" ht="13.15">
      <c r="A970" s="18"/>
      <c r="B970" s="19"/>
    </row>
    <row r="971" spans="1:2" ht="13.15">
      <c r="A971" s="18"/>
      <c r="B971" s="19"/>
    </row>
    <row r="972" spans="1:2" ht="13.15">
      <c r="A972" s="18"/>
      <c r="B972" s="19"/>
    </row>
    <row r="973" spans="1:2" ht="13.15">
      <c r="A973" s="18"/>
      <c r="B973" s="19"/>
    </row>
    <row r="974" spans="1:2" ht="13.15">
      <c r="A974" s="18"/>
      <c r="B974" s="19"/>
    </row>
    <row r="975" spans="1:2" ht="13.15">
      <c r="A975" s="18"/>
      <c r="B975" s="19"/>
    </row>
    <row r="976" spans="1:2" ht="13.15">
      <c r="A976" s="18"/>
      <c r="B976" s="19"/>
    </row>
    <row r="977" spans="1:2" ht="13.15">
      <c r="A977" s="18"/>
      <c r="B977" s="19"/>
    </row>
    <row r="978" spans="1:2" ht="13.15">
      <c r="A978" s="18"/>
      <c r="B978" s="19"/>
    </row>
    <row r="979" spans="1:2" ht="13.15">
      <c r="A979" s="18"/>
      <c r="B979" s="19"/>
    </row>
    <row r="980" spans="1:2" ht="13.15">
      <c r="A980" s="18"/>
      <c r="B980" s="19"/>
    </row>
    <row r="981" spans="1:2" ht="13.15">
      <c r="A981" s="18"/>
      <c r="B981" s="19"/>
    </row>
    <row r="982" spans="1:2" ht="13.15">
      <c r="A982" s="18"/>
      <c r="B982" s="19"/>
    </row>
    <row r="983" spans="1:2" ht="13.15">
      <c r="A983" s="18"/>
      <c r="B983" s="19"/>
    </row>
    <row r="984" spans="1:2" ht="13.15">
      <c r="A984" s="18"/>
      <c r="B984" s="19"/>
    </row>
    <row r="985" spans="1:2" ht="13.15">
      <c r="A985" s="18"/>
      <c r="B985" s="19"/>
    </row>
    <row r="986" spans="1:2" ht="13.15">
      <c r="A986" s="18"/>
      <c r="B986" s="19"/>
    </row>
    <row r="987" spans="1:2" ht="13.15">
      <c r="A987" s="18"/>
      <c r="B987" s="19"/>
    </row>
    <row r="988" spans="1:2" ht="13.15">
      <c r="A988" s="18"/>
      <c r="B988" s="19"/>
    </row>
    <row r="989" spans="1:2" ht="13.15">
      <c r="A989" s="18"/>
      <c r="B989" s="19"/>
    </row>
    <row r="990" spans="1:2" ht="13.15">
      <c r="A990" s="18"/>
      <c r="B990" s="19"/>
    </row>
    <row r="991" spans="1:2" ht="13.15">
      <c r="A991" s="18"/>
      <c r="B991" s="19"/>
    </row>
    <row r="992" spans="1:2" ht="13.15">
      <c r="A992" s="18"/>
      <c r="B992" s="19"/>
    </row>
    <row r="993" spans="1:2" ht="13.15">
      <c r="A993" s="18"/>
      <c r="B993" s="19"/>
    </row>
    <row r="994" spans="1:2" ht="13.15">
      <c r="A994" s="18"/>
      <c r="B994" s="19"/>
    </row>
    <row r="995" spans="1:2" ht="13.15">
      <c r="A995" s="18"/>
      <c r="B995" s="19"/>
    </row>
    <row r="996" spans="1:2" ht="13.15">
      <c r="A996" s="18"/>
      <c r="B996" s="19"/>
    </row>
    <row r="997" spans="1:2" ht="13.15">
      <c r="A997" s="18"/>
      <c r="B997" s="19"/>
    </row>
    <row r="998" spans="1:2" ht="13.15">
      <c r="A998" s="18"/>
      <c r="B998" s="19"/>
    </row>
    <row r="999" spans="1:2" ht="13.15">
      <c r="A999" s="18"/>
      <c r="B999" s="19"/>
    </row>
    <row r="1000" spans="1:2" ht="13.15">
      <c r="A1000" s="18"/>
      <c r="B1000" s="19"/>
    </row>
    <row r="1001" spans="1:2" ht="13.15">
      <c r="A1001" s="18"/>
      <c r="B1001" s="19"/>
    </row>
    <row r="1002" spans="1:2" ht="13.15">
      <c r="A1002" s="18"/>
      <c r="B1002" s="19"/>
    </row>
    <row r="1003" spans="1:2" ht="13.15">
      <c r="A1003" s="18"/>
      <c r="B1003" s="19"/>
    </row>
    <row r="1004" spans="1:2" ht="13.15">
      <c r="A1004" s="18"/>
      <c r="B1004" s="19"/>
    </row>
    <row r="1005" spans="1:2" ht="13.15">
      <c r="A1005" s="18"/>
      <c r="B1005" s="19"/>
    </row>
    <row r="1006" spans="1:2" ht="13.15">
      <c r="A1006" s="18"/>
      <c r="B1006" s="19"/>
    </row>
    <row r="1007" spans="1:2" ht="13.15">
      <c r="A1007" s="18"/>
      <c r="B1007" s="19"/>
    </row>
    <row r="1008" spans="1:2" ht="13.15">
      <c r="A1008" s="18"/>
      <c r="B1008" s="19"/>
    </row>
    <row r="1009" spans="1:2" ht="13.15">
      <c r="A1009" s="18"/>
      <c r="B1009" s="19"/>
    </row>
    <row r="1010" spans="1:2" ht="13.15">
      <c r="A1010" s="18"/>
      <c r="B1010" s="19"/>
    </row>
    <row r="1011" spans="1:2" ht="13.15">
      <c r="A1011" s="18"/>
      <c r="B1011" s="19"/>
    </row>
    <row r="1012" spans="1:2" ht="13.15">
      <c r="A1012" s="18"/>
      <c r="B1012" s="19"/>
    </row>
    <row r="1013" spans="1:2" ht="13.15">
      <c r="A1013" s="18"/>
      <c r="B1013" s="19"/>
    </row>
    <row r="1014" spans="1:2" ht="13.15">
      <c r="A1014" s="18"/>
      <c r="B1014" s="19"/>
    </row>
  </sheetData>
  <mergeCells count="13">
    <mergeCell ref="A5:A6"/>
    <mergeCell ref="A15:A19"/>
    <mergeCell ref="B15:B19"/>
    <mergeCell ref="B5:B6"/>
    <mergeCell ref="A9:A14"/>
    <mergeCell ref="B9:B14"/>
    <mergeCell ref="C20:D20"/>
    <mergeCell ref="C1:D1"/>
    <mergeCell ref="C2:D2"/>
    <mergeCell ref="C3:D3"/>
    <mergeCell ref="C4:D4"/>
    <mergeCell ref="C7:D7"/>
    <mergeCell ref="C8:D8"/>
  </mergeCells>
  <hyperlinks>
    <hyperlink ref="B9" r:id="rId1" xr:uid="{00000000-0004-0000-0000-000000000000}"/>
    <hyperlink ref="B15"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7"/>
  <sheetViews>
    <sheetView topLeftCell="C17" workbookViewId="0"/>
  </sheetViews>
  <sheetFormatPr defaultColWidth="12.7109375" defaultRowHeight="15.75" customHeight="1"/>
  <cols>
    <col min="1" max="1" width="17.28515625" customWidth="1"/>
    <col min="2" max="2" width="37.28515625" customWidth="1"/>
    <col min="3" max="3" width="75.7109375" customWidth="1"/>
    <col min="4" max="4" width="154.42578125" style="192" customWidth="1"/>
  </cols>
  <sheetData>
    <row r="1" spans="1:4" ht="13.15">
      <c r="A1" s="1"/>
      <c r="B1" s="20" t="s">
        <v>0</v>
      </c>
      <c r="C1" s="21"/>
    </row>
    <row r="2" spans="1:4" ht="211.15">
      <c r="A2" s="3" t="s">
        <v>37</v>
      </c>
      <c r="B2" s="339" t="s">
        <v>38</v>
      </c>
      <c r="C2" s="22"/>
      <c r="D2" s="193" t="s">
        <v>39</v>
      </c>
    </row>
    <row r="3" spans="1:4" ht="211.15">
      <c r="A3" s="3" t="s">
        <v>40</v>
      </c>
      <c r="B3" s="358"/>
      <c r="C3" s="22"/>
      <c r="D3" s="193" t="s">
        <v>41</v>
      </c>
    </row>
    <row r="4" spans="1:4" ht="211.15">
      <c r="A4" s="3" t="s">
        <v>42</v>
      </c>
      <c r="B4" s="358"/>
      <c r="C4" s="22"/>
      <c r="D4" s="193" t="s">
        <v>43</v>
      </c>
    </row>
    <row r="5" spans="1:4" ht="224.45">
      <c r="A5" s="3" t="s">
        <v>44</v>
      </c>
      <c r="B5" s="358"/>
      <c r="C5" s="22"/>
      <c r="D5" s="193" t="s">
        <v>45</v>
      </c>
    </row>
    <row r="6" spans="1:4" ht="237.6">
      <c r="A6" s="23" t="s">
        <v>46</v>
      </c>
      <c r="B6" s="359"/>
      <c r="C6" s="24"/>
      <c r="D6" s="193" t="s">
        <v>47</v>
      </c>
    </row>
    <row r="7" spans="1:4" ht="13.15">
      <c r="A7" s="18"/>
      <c r="B7" s="25"/>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7"/>
  <sheetViews>
    <sheetView workbookViewId="0"/>
  </sheetViews>
  <sheetFormatPr defaultColWidth="12.7109375" defaultRowHeight="15.75" customHeight="1"/>
  <cols>
    <col min="1" max="1" width="6.7109375" customWidth="1"/>
    <col min="2" max="2" width="28.28515625" customWidth="1"/>
    <col min="3" max="3" width="40.28515625" customWidth="1"/>
    <col min="4" max="4" width="28.28515625" customWidth="1"/>
    <col min="5" max="5" width="37.85546875" customWidth="1"/>
    <col min="6" max="6" width="75.7109375" customWidth="1"/>
    <col min="7" max="7" width="20" customWidth="1"/>
    <col min="8" max="8" width="4.28515625" customWidth="1"/>
  </cols>
  <sheetData>
    <row r="1" spans="1:8" ht="13.15">
      <c r="A1" s="26"/>
      <c r="B1" s="26"/>
      <c r="C1" s="26"/>
      <c r="D1" s="26"/>
      <c r="E1" s="27"/>
    </row>
    <row r="2" spans="1:8" ht="26.45">
      <c r="A2" s="28"/>
      <c r="B2" s="29" t="s">
        <v>48</v>
      </c>
      <c r="C2" s="29" t="s">
        <v>49</v>
      </c>
      <c r="D2" s="29" t="s">
        <v>50</v>
      </c>
      <c r="E2" s="30" t="s">
        <v>51</v>
      </c>
      <c r="F2" s="29" t="s">
        <v>52</v>
      </c>
      <c r="G2" s="31" t="s">
        <v>53</v>
      </c>
      <c r="H2" s="32"/>
    </row>
    <row r="3" spans="1:8" ht="237.6">
      <c r="A3" s="33" t="s">
        <v>54</v>
      </c>
      <c r="B3" s="139" t="s">
        <v>55</v>
      </c>
      <c r="C3" s="34" t="s">
        <v>56</v>
      </c>
      <c r="D3" s="34" t="s">
        <v>57</v>
      </c>
      <c r="E3" s="35" t="s">
        <v>58</v>
      </c>
      <c r="F3" s="36" t="s">
        <v>59</v>
      </c>
      <c r="G3" s="140" t="s">
        <v>60</v>
      </c>
      <c r="H3" s="37"/>
    </row>
    <row r="4" spans="1:8" ht="26.45">
      <c r="A4" s="185" t="s">
        <v>61</v>
      </c>
      <c r="B4" s="188" t="s">
        <v>62</v>
      </c>
      <c r="C4" s="188" t="s">
        <v>63</v>
      </c>
      <c r="D4" s="188" t="s">
        <v>64</v>
      </c>
      <c r="E4" s="189" t="s">
        <v>65</v>
      </c>
      <c r="F4" s="188" t="s">
        <v>66</v>
      </c>
      <c r="G4" s="188" t="s">
        <v>67</v>
      </c>
    </row>
    <row r="5" spans="1:8" ht="26.45">
      <c r="A5" s="185" t="s">
        <v>61</v>
      </c>
      <c r="B5" s="190" t="s">
        <v>68</v>
      </c>
      <c r="C5" s="188" t="s">
        <v>69</v>
      </c>
      <c r="D5" s="188" t="s">
        <v>70</v>
      </c>
      <c r="E5" s="189" t="s">
        <v>71</v>
      </c>
      <c r="F5" s="188" t="s">
        <v>66</v>
      </c>
      <c r="G5" s="188" t="s">
        <v>67</v>
      </c>
    </row>
    <row r="6" spans="1:8" ht="13.9">
      <c r="A6" s="185" t="s">
        <v>61</v>
      </c>
      <c r="B6" s="190" t="s">
        <v>72</v>
      </c>
      <c r="C6" s="188" t="s">
        <v>73</v>
      </c>
      <c r="D6" s="188" t="s">
        <v>64</v>
      </c>
      <c r="E6" s="189" t="s">
        <v>71</v>
      </c>
      <c r="F6" s="188" t="s">
        <v>74</v>
      </c>
      <c r="G6" s="188" t="s">
        <v>67</v>
      </c>
    </row>
    <row r="7" spans="1:8" ht="26.45">
      <c r="A7" s="185" t="s">
        <v>61</v>
      </c>
      <c r="B7" s="190" t="s">
        <v>75</v>
      </c>
      <c r="C7" s="188" t="s">
        <v>76</v>
      </c>
      <c r="D7" s="188" t="s">
        <v>64</v>
      </c>
      <c r="E7" s="189" t="s">
        <v>71</v>
      </c>
      <c r="F7" s="188" t="s">
        <v>77</v>
      </c>
      <c r="G7" s="188" t="s">
        <v>67</v>
      </c>
    </row>
    <row r="8" spans="1:8" ht="13.9">
      <c r="A8" s="185" t="s">
        <v>61</v>
      </c>
      <c r="B8" s="188" t="s">
        <v>78</v>
      </c>
      <c r="C8" s="188" t="s">
        <v>79</v>
      </c>
      <c r="D8" s="188" t="s">
        <v>70</v>
      </c>
      <c r="E8" s="188" t="s">
        <v>71</v>
      </c>
      <c r="F8" s="188" t="s">
        <v>74</v>
      </c>
      <c r="G8" s="188" t="s">
        <v>67</v>
      </c>
    </row>
    <row r="9" spans="1:8" ht="26.45">
      <c r="A9" s="185" t="s">
        <v>61</v>
      </c>
      <c r="B9" s="188" t="s">
        <v>80</v>
      </c>
      <c r="C9" s="188" t="s">
        <v>81</v>
      </c>
      <c r="D9" s="188" t="s">
        <v>70</v>
      </c>
      <c r="E9" s="188" t="s">
        <v>71</v>
      </c>
      <c r="F9" s="188" t="s">
        <v>74</v>
      </c>
      <c r="G9" s="188" t="s">
        <v>67</v>
      </c>
    </row>
    <row r="10" spans="1:8" ht="39" customHeight="1">
      <c r="A10" s="185" t="s">
        <v>61</v>
      </c>
      <c r="B10" s="188" t="s">
        <v>82</v>
      </c>
      <c r="C10" s="188" t="s">
        <v>83</v>
      </c>
      <c r="D10" s="188" t="s">
        <v>70</v>
      </c>
      <c r="E10" s="188" t="s">
        <v>71</v>
      </c>
      <c r="F10" s="188" t="s">
        <v>74</v>
      </c>
      <c r="G10" s="188" t="s">
        <v>67</v>
      </c>
    </row>
    <row r="11" spans="1:8" ht="31.9" customHeight="1">
      <c r="A11" s="185" t="s">
        <v>61</v>
      </c>
      <c r="B11" s="188" t="s">
        <v>84</v>
      </c>
      <c r="C11" s="188" t="s">
        <v>85</v>
      </c>
      <c r="D11" s="188" t="s">
        <v>64</v>
      </c>
      <c r="E11" s="188" t="s">
        <v>65</v>
      </c>
      <c r="F11" s="188" t="s">
        <v>74</v>
      </c>
      <c r="G11" s="188" t="s">
        <v>67</v>
      </c>
    </row>
    <row r="12" spans="1:8" ht="26.45">
      <c r="A12" s="185" t="s">
        <v>61</v>
      </c>
      <c r="B12" s="188" t="s">
        <v>86</v>
      </c>
      <c r="C12" s="188" t="s">
        <v>87</v>
      </c>
      <c r="D12" s="188" t="s">
        <v>70</v>
      </c>
      <c r="E12" s="188" t="s">
        <v>71</v>
      </c>
      <c r="F12" s="188" t="s">
        <v>74</v>
      </c>
      <c r="G12" s="188" t="s">
        <v>67</v>
      </c>
    </row>
    <row r="13" spans="1:8" ht="15.75" customHeight="1">
      <c r="A13" s="185" t="s">
        <v>61</v>
      </c>
      <c r="B13" s="188" t="s">
        <v>88</v>
      </c>
      <c r="C13" s="188" t="s">
        <v>61</v>
      </c>
      <c r="D13" s="188" t="s">
        <v>89</v>
      </c>
      <c r="E13" s="189" t="s">
        <v>90</v>
      </c>
      <c r="F13" s="188" t="s">
        <v>91</v>
      </c>
      <c r="G13" s="188" t="s">
        <v>67</v>
      </c>
    </row>
    <row r="14" spans="1:8" ht="15.75" customHeight="1">
      <c r="A14" s="185" t="s">
        <v>61</v>
      </c>
      <c r="B14" s="188" t="s">
        <v>92</v>
      </c>
      <c r="C14" s="188" t="s">
        <v>61</v>
      </c>
      <c r="D14" s="188" t="s">
        <v>89</v>
      </c>
      <c r="E14" s="189" t="s">
        <v>93</v>
      </c>
      <c r="F14" s="191" t="s">
        <v>61</v>
      </c>
      <c r="G14" s="188" t="s">
        <v>67</v>
      </c>
    </row>
    <row r="15" spans="1:8" ht="15.75" customHeight="1">
      <c r="A15" s="185" t="s">
        <v>61</v>
      </c>
      <c r="B15" s="188" t="s">
        <v>94</v>
      </c>
      <c r="C15" s="188" t="s">
        <v>61</v>
      </c>
      <c r="D15" s="188" t="s">
        <v>95</v>
      </c>
      <c r="E15" s="189" t="s">
        <v>90</v>
      </c>
      <c r="F15" s="191" t="s">
        <v>61</v>
      </c>
      <c r="G15" s="188" t="s">
        <v>61</v>
      </c>
    </row>
    <row r="16" spans="1:8" ht="15.75" customHeight="1">
      <c r="A16" s="185" t="s">
        <v>61</v>
      </c>
      <c r="B16" s="188" t="s">
        <v>96</v>
      </c>
      <c r="C16" s="188" t="s">
        <v>61</v>
      </c>
      <c r="D16" s="188" t="s">
        <v>95</v>
      </c>
      <c r="E16" s="189" t="s">
        <v>97</v>
      </c>
      <c r="F16" s="191" t="s">
        <v>61</v>
      </c>
      <c r="G16" s="188" t="s">
        <v>61</v>
      </c>
    </row>
    <row r="17" spans="1:7" ht="15.75" customHeight="1">
      <c r="A17" s="185" t="s">
        <v>61</v>
      </c>
      <c r="B17" s="188" t="s">
        <v>98</v>
      </c>
      <c r="C17" s="188" t="s">
        <v>61</v>
      </c>
      <c r="D17" s="188" t="s">
        <v>95</v>
      </c>
      <c r="E17" s="189" t="s">
        <v>97</v>
      </c>
      <c r="F17" s="191" t="s">
        <v>61</v>
      </c>
      <c r="G17" s="188" t="s">
        <v>61</v>
      </c>
    </row>
    <row r="18" spans="1:7" ht="15.75" customHeight="1">
      <c r="A18" s="185" t="s">
        <v>61</v>
      </c>
      <c r="B18" s="188" t="s">
        <v>99</v>
      </c>
      <c r="C18" s="188" t="s">
        <v>61</v>
      </c>
      <c r="D18" s="188" t="s">
        <v>100</v>
      </c>
      <c r="E18" s="189" t="s">
        <v>93</v>
      </c>
      <c r="F18" s="191" t="s">
        <v>61</v>
      </c>
      <c r="G18" s="188" t="s">
        <v>61</v>
      </c>
    </row>
    <row r="19" spans="1:7" ht="15.75" customHeight="1">
      <c r="A19" s="185" t="s">
        <v>61</v>
      </c>
      <c r="B19" s="188" t="s">
        <v>101</v>
      </c>
      <c r="C19" s="188" t="s">
        <v>61</v>
      </c>
      <c r="D19" s="188" t="s">
        <v>102</v>
      </c>
      <c r="E19" s="189" t="s">
        <v>97</v>
      </c>
      <c r="F19" s="191" t="s">
        <v>61</v>
      </c>
      <c r="G19" s="188" t="s">
        <v>61</v>
      </c>
    </row>
    <row r="20" spans="1:7" ht="15.75" customHeight="1">
      <c r="A20" s="185" t="s">
        <v>61</v>
      </c>
      <c r="B20" s="188" t="s">
        <v>103</v>
      </c>
      <c r="C20" s="188" t="s">
        <v>61</v>
      </c>
      <c r="D20" s="188" t="s">
        <v>102</v>
      </c>
      <c r="E20" s="189" t="s">
        <v>97</v>
      </c>
      <c r="F20" s="191" t="s">
        <v>61</v>
      </c>
      <c r="G20" s="188" t="s">
        <v>61</v>
      </c>
    </row>
    <row r="21" spans="1:7" ht="15.75" customHeight="1">
      <c r="A21" s="185" t="s">
        <v>61</v>
      </c>
      <c r="B21" s="188" t="s">
        <v>104</v>
      </c>
      <c r="C21" s="188" t="s">
        <v>61</v>
      </c>
      <c r="D21" s="188" t="s">
        <v>105</v>
      </c>
      <c r="E21" s="189" t="s">
        <v>106</v>
      </c>
      <c r="F21" s="191" t="s">
        <v>61</v>
      </c>
      <c r="G21" s="188" t="s">
        <v>61</v>
      </c>
    </row>
    <row r="22" spans="1:7" ht="15.75" customHeight="1">
      <c r="A22" s="185" t="s">
        <v>61</v>
      </c>
      <c r="B22" s="188" t="s">
        <v>107</v>
      </c>
      <c r="C22" s="188" t="s">
        <v>61</v>
      </c>
      <c r="D22" s="188" t="s">
        <v>105</v>
      </c>
      <c r="E22" s="189" t="s">
        <v>90</v>
      </c>
      <c r="F22" s="191" t="s">
        <v>61</v>
      </c>
      <c r="G22" s="188" t="s">
        <v>61</v>
      </c>
    </row>
    <row r="23" spans="1:7" ht="15.75" customHeight="1">
      <c r="A23" s="185" t="s">
        <v>61</v>
      </c>
      <c r="B23" s="188" t="s">
        <v>108</v>
      </c>
      <c r="C23" s="188" t="s">
        <v>61</v>
      </c>
      <c r="D23" s="188" t="s">
        <v>105</v>
      </c>
      <c r="E23" s="189" t="s">
        <v>90</v>
      </c>
      <c r="F23" s="191" t="s">
        <v>109</v>
      </c>
      <c r="G23" s="188" t="s">
        <v>61</v>
      </c>
    </row>
    <row r="24" spans="1:7" ht="15.75" customHeight="1">
      <c r="A24" s="185" t="s">
        <v>61</v>
      </c>
      <c r="B24" s="188" t="s">
        <v>110</v>
      </c>
      <c r="C24" s="188" t="s">
        <v>61</v>
      </c>
      <c r="D24" s="188" t="s">
        <v>89</v>
      </c>
      <c r="E24" s="189" t="s">
        <v>97</v>
      </c>
      <c r="F24" s="188" t="s">
        <v>61</v>
      </c>
      <c r="G24" s="188" t="s">
        <v>61</v>
      </c>
    </row>
    <row r="25" spans="1:7" ht="15.75" customHeight="1">
      <c r="A25" s="185" t="s">
        <v>61</v>
      </c>
      <c r="B25" s="188" t="s">
        <v>111</v>
      </c>
      <c r="C25" s="188" t="s">
        <v>61</v>
      </c>
      <c r="D25" s="188" t="s">
        <v>112</v>
      </c>
      <c r="E25" s="189" t="s">
        <v>90</v>
      </c>
      <c r="F25" s="188" t="s">
        <v>113</v>
      </c>
      <c r="G25" s="188" t="s">
        <v>61</v>
      </c>
    </row>
    <row r="26" spans="1:7" ht="15.75" customHeight="1">
      <c r="A26" s="185" t="s">
        <v>61</v>
      </c>
      <c r="B26" s="188" t="s">
        <v>114</v>
      </c>
      <c r="C26" s="188" t="s">
        <v>61</v>
      </c>
      <c r="D26" s="188" t="s">
        <v>115</v>
      </c>
      <c r="E26" s="189" t="s">
        <v>93</v>
      </c>
      <c r="F26" s="188" t="s">
        <v>116</v>
      </c>
      <c r="G26" s="188" t="s">
        <v>61</v>
      </c>
    </row>
    <row r="27" spans="1:7" ht="15.75" customHeight="1">
      <c r="A27" s="185" t="s">
        <v>61</v>
      </c>
      <c r="B27" s="188" t="s">
        <v>117</v>
      </c>
      <c r="C27" s="188" t="s">
        <v>61</v>
      </c>
      <c r="D27" s="188" t="s">
        <v>115</v>
      </c>
      <c r="E27" s="189" t="s">
        <v>93</v>
      </c>
      <c r="F27" s="188" t="s">
        <v>116</v>
      </c>
      <c r="G27" s="188" t="s">
        <v>61</v>
      </c>
    </row>
    <row r="28" spans="1:7" ht="15.75" customHeight="1">
      <c r="A28" s="185" t="s">
        <v>61</v>
      </c>
      <c r="B28" s="188" t="s">
        <v>118</v>
      </c>
      <c r="C28" s="188" t="s">
        <v>61</v>
      </c>
      <c r="D28" s="188" t="s">
        <v>115</v>
      </c>
      <c r="E28" s="189" t="s">
        <v>93</v>
      </c>
      <c r="F28" s="188" t="s">
        <v>116</v>
      </c>
      <c r="G28" s="188" t="s">
        <v>61</v>
      </c>
    </row>
    <row r="29" spans="1:7" ht="15.75" customHeight="1">
      <c r="A29" s="185" t="s">
        <v>61</v>
      </c>
      <c r="B29" s="188" t="s">
        <v>119</v>
      </c>
      <c r="C29" s="188" t="s">
        <v>61</v>
      </c>
      <c r="D29" s="188" t="s">
        <v>115</v>
      </c>
      <c r="E29" s="189" t="s">
        <v>93</v>
      </c>
      <c r="F29" s="188" t="s">
        <v>116</v>
      </c>
      <c r="G29" s="188" t="s">
        <v>61</v>
      </c>
    </row>
    <row r="30" spans="1:7" ht="15.75" customHeight="1">
      <c r="A30" s="185" t="s">
        <v>61</v>
      </c>
      <c r="B30" s="188" t="s">
        <v>120</v>
      </c>
      <c r="C30" s="188" t="s">
        <v>61</v>
      </c>
      <c r="D30" s="188" t="s">
        <v>121</v>
      </c>
      <c r="E30" s="189" t="s">
        <v>122</v>
      </c>
      <c r="F30" s="188" t="s">
        <v>123</v>
      </c>
      <c r="G30" s="188" t="s">
        <v>61</v>
      </c>
    </row>
    <row r="31" spans="1:7" ht="15.75" customHeight="1">
      <c r="A31" s="185" t="s">
        <v>61</v>
      </c>
      <c r="B31" s="188" t="s">
        <v>124</v>
      </c>
      <c r="C31" s="188" t="s">
        <v>61</v>
      </c>
      <c r="D31" s="188" t="s">
        <v>102</v>
      </c>
      <c r="E31" s="189" t="s">
        <v>125</v>
      </c>
      <c r="F31" s="188" t="s">
        <v>126</v>
      </c>
      <c r="G31" s="188" t="s">
        <v>61</v>
      </c>
    </row>
    <row r="32" spans="1:7" ht="15.75" customHeight="1">
      <c r="A32" s="185" t="s">
        <v>61</v>
      </c>
      <c r="B32" s="188" t="s">
        <v>127</v>
      </c>
      <c r="C32" s="188" t="s">
        <v>61</v>
      </c>
      <c r="D32" s="188" t="s">
        <v>128</v>
      </c>
      <c r="E32" s="189" t="s">
        <v>125</v>
      </c>
      <c r="F32" s="188" t="s">
        <v>126</v>
      </c>
      <c r="G32" s="188" t="s">
        <v>61</v>
      </c>
    </row>
    <row r="33" spans="1:7" ht="15.75" customHeight="1">
      <c r="A33" s="185" t="s">
        <v>61</v>
      </c>
      <c r="B33" s="188" t="s">
        <v>129</v>
      </c>
      <c r="C33" s="188" t="s">
        <v>61</v>
      </c>
      <c r="D33" s="188" t="s">
        <v>130</v>
      </c>
      <c r="E33" s="189" t="s">
        <v>93</v>
      </c>
      <c r="F33" s="188" t="s">
        <v>131</v>
      </c>
      <c r="G33" s="188" t="s">
        <v>61</v>
      </c>
    </row>
    <row r="34" spans="1:7" ht="15.75" customHeight="1">
      <c r="A34" s="185" t="s">
        <v>61</v>
      </c>
      <c r="B34" s="188" t="s">
        <v>132</v>
      </c>
      <c r="C34" s="188" t="s">
        <v>61</v>
      </c>
      <c r="D34" s="188" t="s">
        <v>130</v>
      </c>
      <c r="E34" s="189" t="s">
        <v>133</v>
      </c>
      <c r="F34" s="188" t="s">
        <v>131</v>
      </c>
      <c r="G34" s="188" t="s">
        <v>61</v>
      </c>
    </row>
    <row r="35" spans="1:7" ht="15.75" customHeight="1">
      <c r="A35" s="185" t="s">
        <v>61</v>
      </c>
      <c r="B35" s="188" t="s">
        <v>134</v>
      </c>
      <c r="C35" s="188" t="s">
        <v>61</v>
      </c>
      <c r="D35" s="188" t="s">
        <v>130</v>
      </c>
      <c r="E35" s="189" t="s">
        <v>106</v>
      </c>
      <c r="F35" s="188" t="s">
        <v>135</v>
      </c>
      <c r="G35" s="188" t="s">
        <v>61</v>
      </c>
    </row>
    <row r="36" spans="1:7" ht="15.75" customHeight="1">
      <c r="A36" s="185" t="s">
        <v>61</v>
      </c>
      <c r="B36" s="188" t="s">
        <v>136</v>
      </c>
      <c r="C36" s="188" t="s">
        <v>61</v>
      </c>
      <c r="D36" s="188" t="s">
        <v>137</v>
      </c>
      <c r="E36" s="189" t="s">
        <v>71</v>
      </c>
      <c r="F36" s="188" t="s">
        <v>138</v>
      </c>
      <c r="G36" s="188" t="s">
        <v>61</v>
      </c>
    </row>
    <row r="37" spans="1:7" ht="15.75" customHeight="1">
      <c r="B37" s="184"/>
      <c r="C37" s="184"/>
      <c r="D37" s="184"/>
      <c r="E37" s="184"/>
      <c r="F37" s="184"/>
      <c r="G37" s="184"/>
    </row>
  </sheetData>
  <hyperlinks>
    <hyperlink ref="B3" r:id="rId1" xr:uid="{00000000-0004-0000-0200-000000000000}"/>
    <hyperlink ref="G3"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5"/>
  <sheetViews>
    <sheetView topLeftCell="A2" workbookViewId="0"/>
  </sheetViews>
  <sheetFormatPr defaultColWidth="12.7109375" defaultRowHeight="15.75" customHeight="1"/>
  <cols>
    <col min="1" max="1" width="8.140625" customWidth="1"/>
    <col min="2" max="3" width="41.28515625" customWidth="1"/>
    <col min="4" max="4" width="59.28515625" customWidth="1"/>
    <col min="5" max="5" width="4.28515625" customWidth="1"/>
  </cols>
  <sheetData>
    <row r="1" spans="1:5" ht="13.15">
      <c r="A1" s="39"/>
      <c r="B1" s="40" t="s">
        <v>139</v>
      </c>
      <c r="C1" s="40" t="s">
        <v>140</v>
      </c>
      <c r="D1" s="41" t="s">
        <v>141</v>
      </c>
      <c r="E1" s="42"/>
    </row>
    <row r="2" spans="1:5" ht="158.44999999999999">
      <c r="A2" s="43" t="s">
        <v>54</v>
      </c>
      <c r="B2" s="36" t="s">
        <v>142</v>
      </c>
      <c r="C2" s="36" t="s">
        <v>143</v>
      </c>
      <c r="D2" s="34" t="s">
        <v>144</v>
      </c>
      <c r="E2" s="44"/>
    </row>
    <row r="3" spans="1:5" ht="39.6">
      <c r="A3" s="43" t="s">
        <v>145</v>
      </c>
      <c r="B3" s="45" t="s">
        <v>146</v>
      </c>
      <c r="C3" s="36" t="s">
        <v>147</v>
      </c>
      <c r="D3" s="36" t="s">
        <v>148</v>
      </c>
      <c r="E3" s="44"/>
    </row>
    <row r="4" spans="1:5" ht="66">
      <c r="A4" s="46"/>
      <c r="B4" s="186" t="s">
        <v>149</v>
      </c>
      <c r="C4" s="187" t="s">
        <v>150</v>
      </c>
      <c r="D4" s="187" t="s">
        <v>151</v>
      </c>
    </row>
    <row r="5" spans="1:5" ht="66">
      <c r="A5" s="46"/>
      <c r="B5" s="186" t="s">
        <v>152</v>
      </c>
      <c r="C5" s="187" t="s">
        <v>153</v>
      </c>
      <c r="D5" s="187" t="s">
        <v>151</v>
      </c>
    </row>
    <row r="6" spans="1:5" ht="66">
      <c r="A6" s="46"/>
      <c r="B6" s="186" t="s">
        <v>154</v>
      </c>
      <c r="C6" s="187" t="s">
        <v>155</v>
      </c>
      <c r="D6" s="187" t="s">
        <v>151</v>
      </c>
    </row>
    <row r="7" spans="1:5" ht="66">
      <c r="A7" s="46"/>
      <c r="B7" s="186" t="s">
        <v>156</v>
      </c>
      <c r="C7" s="187" t="s">
        <v>157</v>
      </c>
      <c r="D7" s="187" t="s">
        <v>151</v>
      </c>
    </row>
    <row r="8" spans="1:5" ht="66">
      <c r="A8" s="46"/>
      <c r="B8" s="186" t="s">
        <v>158</v>
      </c>
      <c r="C8" s="187" t="s">
        <v>159</v>
      </c>
      <c r="D8" s="187" t="s">
        <v>151</v>
      </c>
    </row>
    <row r="9" spans="1:5" ht="13.15">
      <c r="A9" s="46"/>
      <c r="D9" s="38"/>
    </row>
    <row r="10" spans="1:5" ht="13.15">
      <c r="A10" s="46"/>
      <c r="D10" s="38"/>
    </row>
    <row r="11" spans="1:5" ht="13.15">
      <c r="A11" s="46"/>
      <c r="D11" s="38"/>
    </row>
    <row r="12" spans="1:5" ht="13.15">
      <c r="A12" s="46"/>
      <c r="D12" s="38"/>
    </row>
    <row r="13" spans="1:5" ht="13.15">
      <c r="A13" s="46"/>
      <c r="D13" s="38"/>
    </row>
    <row r="14" spans="1:5" ht="13.15">
      <c r="A14" s="46"/>
      <c r="D14" s="38"/>
    </row>
    <row r="15" spans="1:5" ht="13.15">
      <c r="A15" s="46"/>
      <c r="D15" s="38"/>
    </row>
    <row r="16" spans="1:5" ht="13.15">
      <c r="A16" s="46"/>
      <c r="D16" s="38"/>
    </row>
    <row r="17" spans="1:4" ht="13.15">
      <c r="A17" s="46"/>
      <c r="D17" s="38"/>
    </row>
    <row r="18" spans="1:4" ht="13.15">
      <c r="A18" s="46"/>
      <c r="D18" s="38"/>
    </row>
    <row r="19" spans="1:4" ht="13.15">
      <c r="A19" s="46"/>
      <c r="D19" s="38"/>
    </row>
    <row r="20" spans="1:4" ht="13.15">
      <c r="A20" s="46"/>
      <c r="D20" s="38"/>
    </row>
    <row r="21" spans="1:4" ht="13.15">
      <c r="A21" s="46"/>
      <c r="D21" s="38"/>
    </row>
    <row r="22" spans="1:4" ht="13.15">
      <c r="A22" s="46"/>
      <c r="D22" s="38"/>
    </row>
    <row r="23" spans="1:4" ht="13.15">
      <c r="A23" s="46"/>
      <c r="D23" s="38"/>
    </row>
    <row r="24" spans="1:4" ht="13.15">
      <c r="A24" s="46"/>
      <c r="D24" s="38"/>
    </row>
    <row r="25" spans="1:4" ht="13.15">
      <c r="A25" s="46"/>
      <c r="D25"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topLeftCell="A2" workbookViewId="0"/>
  </sheetViews>
  <sheetFormatPr defaultColWidth="12.7109375" defaultRowHeight="15.75" customHeight="1"/>
  <cols>
    <col min="1" max="1" width="24.28515625" customWidth="1"/>
    <col min="2" max="2" width="50.7109375" customWidth="1"/>
    <col min="3" max="3" width="102.42578125" customWidth="1"/>
  </cols>
  <sheetData>
    <row r="1" spans="1:4" ht="13.15">
      <c r="A1" s="49"/>
      <c r="B1" s="20" t="s">
        <v>0</v>
      </c>
      <c r="C1" s="130" t="s">
        <v>36</v>
      </c>
      <c r="D1" s="131"/>
    </row>
    <row r="2" spans="1:4" ht="409.6" customHeight="1">
      <c r="A2" s="50" t="s">
        <v>160</v>
      </c>
      <c r="B2" s="141" t="s">
        <v>161</v>
      </c>
      <c r="C2" s="179" t="s">
        <v>162</v>
      </c>
    </row>
    <row r="3" spans="1:4" ht="409.6" customHeight="1">
      <c r="A3" s="50" t="s">
        <v>163</v>
      </c>
      <c r="B3" s="35" t="s">
        <v>164</v>
      </c>
      <c r="C3" s="22"/>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topLeftCell="E15" workbookViewId="0"/>
  </sheetViews>
  <sheetFormatPr defaultColWidth="12.7109375" defaultRowHeight="15.75" customHeight="1"/>
  <cols>
    <col min="1" max="1" width="8.28515625" customWidth="1"/>
    <col min="2" max="7" width="25" customWidth="1"/>
    <col min="8" max="8" width="39.7109375" customWidth="1"/>
    <col min="9" max="12" width="25" hidden="1" customWidth="1"/>
    <col min="13" max="13" width="25" customWidth="1"/>
    <col min="14" max="14" width="31.28515625" customWidth="1"/>
    <col min="15" max="15" width="5.42578125" customWidth="1"/>
  </cols>
  <sheetData>
    <row r="1" spans="1:15" ht="39.6">
      <c r="A1" s="51"/>
      <c r="B1" s="41" t="s">
        <v>165</v>
      </c>
      <c r="C1" s="41" t="s">
        <v>166</v>
      </c>
      <c r="D1" s="41" t="s">
        <v>167</v>
      </c>
      <c r="E1" s="41" t="s">
        <v>168</v>
      </c>
      <c r="F1" s="52" t="s">
        <v>169</v>
      </c>
      <c r="G1" s="53" t="s">
        <v>170</v>
      </c>
      <c r="H1" s="41" t="s">
        <v>171</v>
      </c>
      <c r="I1" s="41" t="s">
        <v>172</v>
      </c>
      <c r="J1" s="41" t="s">
        <v>173</v>
      </c>
      <c r="K1" s="41" t="s">
        <v>174</v>
      </c>
      <c r="L1" s="41" t="s">
        <v>175</v>
      </c>
      <c r="M1" s="52" t="s">
        <v>176</v>
      </c>
      <c r="N1" s="54" t="s">
        <v>177</v>
      </c>
      <c r="O1" s="55"/>
    </row>
    <row r="2" spans="1:15" ht="369.6">
      <c r="A2" s="56" t="s">
        <v>54</v>
      </c>
      <c r="B2" s="36" t="s">
        <v>178</v>
      </c>
      <c r="C2" s="139" t="s">
        <v>179</v>
      </c>
      <c r="D2" s="139"/>
      <c r="E2" s="36" t="s">
        <v>180</v>
      </c>
      <c r="F2" s="57" t="s">
        <v>181</v>
      </c>
      <c r="G2" s="58" t="s">
        <v>182</v>
      </c>
      <c r="H2" s="344" t="s">
        <v>183</v>
      </c>
      <c r="I2" s="360"/>
      <c r="J2" s="360"/>
      <c r="K2" s="360"/>
      <c r="L2" s="361"/>
      <c r="M2" s="142" t="s">
        <v>184</v>
      </c>
      <c r="N2" s="143" t="s">
        <v>185</v>
      </c>
      <c r="O2" s="44"/>
    </row>
    <row r="3" spans="1:15" ht="52.9">
      <c r="A3" s="345" t="s">
        <v>145</v>
      </c>
      <c r="B3" s="346" t="s">
        <v>186</v>
      </c>
      <c r="C3" s="346" t="s">
        <v>187</v>
      </c>
      <c r="D3" s="97"/>
      <c r="E3" s="346" t="s">
        <v>188</v>
      </c>
      <c r="F3" s="59" t="s">
        <v>189</v>
      </c>
      <c r="G3" s="59" t="s">
        <v>190</v>
      </c>
      <c r="H3" s="59" t="s">
        <v>191</v>
      </c>
      <c r="I3" s="59" t="s">
        <v>192</v>
      </c>
      <c r="J3" s="59" t="s">
        <v>193</v>
      </c>
      <c r="K3" s="59" t="s">
        <v>194</v>
      </c>
      <c r="L3" s="59"/>
      <c r="M3" s="342" t="s">
        <v>195</v>
      </c>
      <c r="N3" s="343" t="s">
        <v>196</v>
      </c>
      <c r="O3" s="44"/>
    </row>
    <row r="4" spans="1:15" ht="76.5" customHeight="1">
      <c r="A4" s="351"/>
      <c r="B4" s="347"/>
      <c r="C4" s="362"/>
      <c r="D4" s="96"/>
      <c r="E4" s="362"/>
      <c r="F4" s="59" t="s">
        <v>189</v>
      </c>
      <c r="G4" s="59" t="s">
        <v>190</v>
      </c>
      <c r="H4" s="59" t="s">
        <v>197</v>
      </c>
      <c r="I4" s="59"/>
      <c r="J4" s="59"/>
      <c r="K4" s="59" t="s">
        <v>198</v>
      </c>
      <c r="L4" s="59" t="s">
        <v>199</v>
      </c>
      <c r="M4" s="351"/>
      <c r="N4" s="363"/>
      <c r="O4" s="26"/>
    </row>
    <row r="5" spans="1:15" ht="13.15">
      <c r="A5" s="60"/>
      <c r="B5" s="38"/>
      <c r="C5" s="38"/>
      <c r="D5" s="38"/>
      <c r="E5" s="38"/>
      <c r="F5" s="38"/>
      <c r="G5" s="38"/>
      <c r="H5" s="38"/>
      <c r="I5" s="38"/>
      <c r="J5" s="38"/>
      <c r="K5" s="38"/>
      <c r="L5" s="38"/>
      <c r="M5" s="38"/>
    </row>
    <row r="6" spans="1:15" ht="13.15">
      <c r="A6" s="60"/>
      <c r="B6" s="38"/>
      <c r="C6" s="38"/>
      <c r="D6" s="38"/>
      <c r="E6" s="38"/>
      <c r="F6" s="38"/>
      <c r="G6" s="38"/>
      <c r="H6" s="38"/>
      <c r="I6" s="38"/>
      <c r="J6" s="38"/>
      <c r="K6" s="38"/>
      <c r="L6" s="38"/>
      <c r="M6" s="38"/>
    </row>
    <row r="7" spans="1:15" ht="13.15">
      <c r="A7" s="60"/>
      <c r="B7" s="38"/>
      <c r="C7" s="38"/>
      <c r="D7" s="38"/>
      <c r="E7" s="38"/>
      <c r="F7" s="38"/>
      <c r="G7" s="38"/>
      <c r="H7" s="38"/>
      <c r="I7" s="38"/>
      <c r="J7" s="38"/>
      <c r="K7" s="38"/>
      <c r="L7" s="38"/>
      <c r="M7" s="38"/>
    </row>
    <row r="8" spans="1:15" ht="13.15">
      <c r="A8" s="60"/>
      <c r="B8" s="38"/>
      <c r="C8" s="38"/>
      <c r="D8" s="38"/>
      <c r="E8" s="38"/>
      <c r="F8" s="38"/>
      <c r="G8" s="38"/>
      <c r="H8" s="38"/>
      <c r="I8" s="38"/>
      <c r="J8" s="38"/>
      <c r="K8" s="38"/>
      <c r="L8" s="38"/>
      <c r="M8" s="38"/>
    </row>
    <row r="9" spans="1:15" ht="13.15">
      <c r="A9" s="60"/>
      <c r="B9" s="38"/>
      <c r="C9" s="38"/>
      <c r="D9" s="38"/>
      <c r="E9" s="38"/>
      <c r="F9" s="38"/>
      <c r="G9" s="38"/>
      <c r="H9" s="38"/>
      <c r="I9" s="38"/>
      <c r="J9" s="38"/>
      <c r="K9" s="38"/>
      <c r="L9" s="38"/>
      <c r="M9" s="38"/>
    </row>
    <row r="10" spans="1:15" ht="13.15">
      <c r="A10" s="60"/>
      <c r="B10" s="38"/>
      <c r="C10" s="38"/>
      <c r="D10" s="38"/>
      <c r="E10" s="38"/>
      <c r="F10" s="38"/>
      <c r="G10" s="38"/>
      <c r="H10" s="38"/>
      <c r="I10" s="38"/>
      <c r="J10" s="38"/>
      <c r="K10" s="38"/>
      <c r="L10" s="38"/>
      <c r="M10" s="38"/>
    </row>
    <row r="11" spans="1:15" ht="13.15">
      <c r="A11" s="60"/>
      <c r="B11" s="38"/>
      <c r="C11" s="38"/>
      <c r="D11" s="38"/>
      <c r="E11" s="38"/>
      <c r="F11" s="38"/>
      <c r="G11" s="38"/>
      <c r="H11" s="38"/>
      <c r="I11" s="38"/>
      <c r="J11" s="38"/>
      <c r="K11" s="38"/>
      <c r="L11" s="38"/>
      <c r="M11" s="38"/>
    </row>
    <row r="12" spans="1:15" ht="13.15">
      <c r="A12" s="60"/>
      <c r="B12" s="38"/>
      <c r="C12" s="38"/>
      <c r="D12" s="38"/>
      <c r="E12" s="38"/>
      <c r="F12" s="38"/>
      <c r="G12" s="38"/>
      <c r="H12" s="38"/>
      <c r="I12" s="38"/>
      <c r="J12" s="38"/>
      <c r="K12" s="38"/>
      <c r="L12" s="38"/>
      <c r="M12" s="38"/>
    </row>
    <row r="13" spans="1:15" ht="13.15">
      <c r="A13" s="60"/>
      <c r="B13" s="38"/>
      <c r="C13" s="38"/>
      <c r="D13" s="38"/>
      <c r="E13" s="38"/>
      <c r="F13" s="38"/>
      <c r="G13" s="38"/>
      <c r="H13" s="38"/>
      <c r="I13" s="38"/>
      <c r="J13" s="38"/>
      <c r="K13" s="38"/>
      <c r="L13" s="38"/>
      <c r="M13" s="38"/>
    </row>
    <row r="14" spans="1:15" ht="13.15">
      <c r="A14" s="60"/>
      <c r="B14" s="38"/>
      <c r="C14" s="38"/>
      <c r="D14" s="38"/>
      <c r="E14" s="38"/>
      <c r="F14" s="38"/>
      <c r="G14" s="38"/>
      <c r="H14" s="38"/>
      <c r="I14" s="38"/>
      <c r="J14" s="38"/>
      <c r="K14" s="38"/>
      <c r="L14" s="38"/>
      <c r="M14" s="38"/>
    </row>
    <row r="15" spans="1:15" ht="13.15">
      <c r="A15" s="60"/>
      <c r="B15" s="38"/>
      <c r="C15" s="38"/>
      <c r="D15" s="38"/>
      <c r="E15" s="38"/>
      <c r="F15" s="38"/>
      <c r="G15" s="38"/>
      <c r="H15" s="38"/>
      <c r="I15" s="38"/>
      <c r="J15" s="38"/>
      <c r="K15" s="38"/>
      <c r="L15" s="38"/>
      <c r="M15" s="38"/>
    </row>
    <row r="16" spans="1:15" ht="13.15">
      <c r="A16" s="60"/>
      <c r="B16" s="38"/>
      <c r="C16" s="38"/>
      <c r="D16" s="38"/>
      <c r="E16" s="38"/>
      <c r="F16" s="38"/>
      <c r="G16" s="38"/>
      <c r="H16" s="38"/>
      <c r="I16" s="38"/>
      <c r="J16" s="38"/>
      <c r="K16" s="38"/>
      <c r="L16" s="38"/>
      <c r="M16" s="38"/>
    </row>
    <row r="17" spans="1:13" ht="13.15">
      <c r="A17" s="60"/>
      <c r="B17" s="38"/>
      <c r="C17" s="38"/>
      <c r="D17" s="38"/>
      <c r="E17" s="38"/>
      <c r="F17" s="38"/>
      <c r="G17" s="38"/>
      <c r="H17" s="38"/>
      <c r="I17" s="38"/>
      <c r="J17" s="38"/>
      <c r="K17" s="38"/>
      <c r="L17" s="38"/>
      <c r="M17" s="38"/>
    </row>
    <row r="18" spans="1:13" ht="13.15">
      <c r="A18" s="60"/>
      <c r="B18" s="38"/>
      <c r="C18" s="38"/>
      <c r="D18" s="38"/>
      <c r="E18" s="38"/>
      <c r="F18" s="38"/>
      <c r="G18" s="38"/>
      <c r="H18" s="38"/>
      <c r="I18" s="38"/>
      <c r="J18" s="38"/>
      <c r="K18" s="38"/>
      <c r="L18" s="38"/>
      <c r="M18" s="38"/>
    </row>
    <row r="19" spans="1:13" ht="13.15">
      <c r="A19" s="60"/>
      <c r="B19" s="38"/>
      <c r="C19" s="38"/>
      <c r="D19" s="38"/>
      <c r="E19" s="38"/>
      <c r="F19" s="38"/>
      <c r="G19" s="38"/>
      <c r="H19" s="38"/>
      <c r="I19" s="38"/>
      <c r="J19" s="38"/>
      <c r="K19" s="38"/>
      <c r="L19" s="38"/>
      <c r="M19" s="38"/>
    </row>
    <row r="20" spans="1:13" ht="13.15">
      <c r="A20" s="60"/>
      <c r="B20" s="38"/>
      <c r="C20" s="38"/>
      <c r="D20" s="38"/>
      <c r="E20" s="38"/>
      <c r="F20" s="38"/>
      <c r="G20" s="38"/>
      <c r="H20" s="38"/>
      <c r="I20" s="38"/>
      <c r="J20" s="38"/>
      <c r="K20" s="38"/>
      <c r="L20" s="38"/>
      <c r="M20" s="38"/>
    </row>
    <row r="21" spans="1:13" ht="13.15">
      <c r="A21" s="60"/>
      <c r="B21" s="38"/>
      <c r="C21" s="38"/>
      <c r="D21" s="38"/>
      <c r="E21" s="38"/>
      <c r="F21" s="38"/>
      <c r="G21" s="38"/>
      <c r="H21" s="38"/>
      <c r="I21" s="38"/>
      <c r="J21" s="38"/>
      <c r="K21" s="38"/>
      <c r="L21" s="38"/>
      <c r="M21" s="38"/>
    </row>
    <row r="22" spans="1:13" ht="13.15">
      <c r="A22" s="61"/>
    </row>
    <row r="23" spans="1:13" ht="13.15">
      <c r="A23" s="61"/>
    </row>
    <row r="24" spans="1:13" ht="13.15">
      <c r="A24" s="61"/>
    </row>
    <row r="25" spans="1:13" ht="13.15">
      <c r="A25" s="61"/>
    </row>
    <row r="26" spans="1:13" ht="13.15">
      <c r="A26" s="61"/>
    </row>
    <row r="27" spans="1:13" ht="13.15">
      <c r="A27" s="61"/>
    </row>
    <row r="28" spans="1:13" ht="13.15">
      <c r="A28" s="61"/>
    </row>
    <row r="29" spans="1:13" ht="13.15">
      <c r="A29" s="61"/>
    </row>
    <row r="30" spans="1:13" ht="13.15">
      <c r="A30" s="61"/>
    </row>
    <row r="31" spans="1:13" ht="13.15">
      <c r="A31" s="61"/>
    </row>
    <row r="32" spans="1:13" ht="13.15">
      <c r="A32" s="61"/>
    </row>
    <row r="33" spans="1:1" ht="13.15">
      <c r="A33" s="61"/>
    </row>
    <row r="34" spans="1:1" ht="13.15">
      <c r="A34" s="61"/>
    </row>
    <row r="35" spans="1:1" ht="13.15">
      <c r="A35" s="61"/>
    </row>
    <row r="36" spans="1:1" ht="13.15">
      <c r="A36" s="61"/>
    </row>
    <row r="37" spans="1:1" ht="13.15">
      <c r="A37" s="61"/>
    </row>
    <row r="38" spans="1:1" ht="13.15">
      <c r="A38" s="61"/>
    </row>
    <row r="39" spans="1:1" ht="13.15">
      <c r="A39" s="61"/>
    </row>
    <row r="40" spans="1:1" ht="13.15">
      <c r="A40" s="61"/>
    </row>
    <row r="41" spans="1:1" ht="13.15">
      <c r="A41" s="61"/>
    </row>
    <row r="42" spans="1:1" ht="13.15">
      <c r="A42" s="61"/>
    </row>
    <row r="43" spans="1:1" ht="13.15">
      <c r="A43" s="61"/>
    </row>
    <row r="44" spans="1:1" ht="13.15">
      <c r="A44" s="61"/>
    </row>
    <row r="45" spans="1:1" ht="13.15">
      <c r="A45" s="61"/>
    </row>
    <row r="46" spans="1:1" ht="13.15">
      <c r="A46" s="61"/>
    </row>
    <row r="47" spans="1:1" ht="13.15">
      <c r="A47" s="61"/>
    </row>
    <row r="48" spans="1:1" ht="13.15">
      <c r="A48" s="61"/>
    </row>
    <row r="49" spans="1:1" ht="13.15">
      <c r="A49" s="61"/>
    </row>
    <row r="50" spans="1:1" ht="13.15">
      <c r="A50" s="61"/>
    </row>
    <row r="51" spans="1:1" ht="13.15">
      <c r="A51" s="61"/>
    </row>
    <row r="52" spans="1:1" ht="13.15">
      <c r="A52" s="61"/>
    </row>
    <row r="53" spans="1:1" ht="13.15">
      <c r="A53" s="61"/>
    </row>
    <row r="54" spans="1:1" ht="13.15">
      <c r="A54" s="61"/>
    </row>
    <row r="55" spans="1:1" ht="13.15">
      <c r="A55" s="61"/>
    </row>
    <row r="56" spans="1:1" ht="13.15">
      <c r="A56" s="61"/>
    </row>
    <row r="57" spans="1:1" ht="13.15">
      <c r="A57" s="61"/>
    </row>
    <row r="58" spans="1:1" ht="13.15">
      <c r="A58" s="61"/>
    </row>
    <row r="59" spans="1:1" ht="13.15">
      <c r="A59" s="61"/>
    </row>
    <row r="60" spans="1:1" ht="13.15">
      <c r="A60" s="61"/>
    </row>
    <row r="61" spans="1:1" ht="13.15">
      <c r="A61" s="61"/>
    </row>
    <row r="62" spans="1:1" ht="13.15">
      <c r="A62" s="61"/>
    </row>
    <row r="63" spans="1:1" ht="13.15">
      <c r="A63" s="61"/>
    </row>
    <row r="64" spans="1:1" ht="13.15">
      <c r="A64" s="61"/>
    </row>
    <row r="65" spans="1:1" ht="13.15">
      <c r="A65" s="61"/>
    </row>
    <row r="66" spans="1:1" ht="13.15">
      <c r="A66" s="61"/>
    </row>
    <row r="67" spans="1:1" ht="13.15">
      <c r="A67" s="61"/>
    </row>
    <row r="68" spans="1:1" ht="13.15">
      <c r="A68" s="61"/>
    </row>
    <row r="69" spans="1:1" ht="13.15">
      <c r="A69" s="61"/>
    </row>
    <row r="70" spans="1:1" ht="13.15">
      <c r="A70" s="61"/>
    </row>
    <row r="71" spans="1:1" ht="13.15">
      <c r="A71" s="61"/>
    </row>
    <row r="72" spans="1:1" ht="13.15">
      <c r="A72" s="61"/>
    </row>
    <row r="73" spans="1:1" ht="13.15">
      <c r="A73" s="61"/>
    </row>
    <row r="74" spans="1:1" ht="13.15">
      <c r="A74" s="61"/>
    </row>
    <row r="75" spans="1:1" ht="13.15">
      <c r="A75" s="61"/>
    </row>
    <row r="76" spans="1:1" ht="13.15">
      <c r="A76" s="61"/>
    </row>
    <row r="77" spans="1:1" ht="13.15">
      <c r="A77" s="61"/>
    </row>
    <row r="78" spans="1:1" ht="13.15">
      <c r="A78" s="61"/>
    </row>
    <row r="79" spans="1:1" ht="13.15">
      <c r="A79" s="61"/>
    </row>
    <row r="80" spans="1:1" ht="13.15">
      <c r="A80" s="61"/>
    </row>
    <row r="81" spans="1:1" ht="13.15">
      <c r="A81" s="61"/>
    </row>
    <row r="82" spans="1:1" ht="13.15">
      <c r="A82" s="61"/>
    </row>
    <row r="83" spans="1:1" ht="13.15">
      <c r="A83" s="61"/>
    </row>
    <row r="84" spans="1:1" ht="13.15">
      <c r="A84" s="61"/>
    </row>
    <row r="85" spans="1:1" ht="13.15">
      <c r="A85" s="61"/>
    </row>
    <row r="86" spans="1:1" ht="13.15">
      <c r="A86" s="61"/>
    </row>
    <row r="87" spans="1:1" ht="13.15">
      <c r="A87" s="61"/>
    </row>
    <row r="88" spans="1:1" ht="13.15">
      <c r="A88" s="61"/>
    </row>
    <row r="89" spans="1:1" ht="13.15">
      <c r="A89" s="61"/>
    </row>
    <row r="90" spans="1:1" ht="13.15">
      <c r="A90" s="61"/>
    </row>
    <row r="91" spans="1:1" ht="13.15">
      <c r="A91" s="61"/>
    </row>
    <row r="92" spans="1:1" ht="13.15">
      <c r="A92" s="61"/>
    </row>
    <row r="93" spans="1:1" ht="13.15">
      <c r="A93" s="61"/>
    </row>
    <row r="94" spans="1:1" ht="13.15">
      <c r="A94" s="61"/>
    </row>
    <row r="95" spans="1:1" ht="13.15">
      <c r="A95" s="61"/>
    </row>
    <row r="96" spans="1:1" ht="13.15">
      <c r="A96" s="61"/>
    </row>
    <row r="97" spans="1:1" ht="13.15">
      <c r="A97" s="61"/>
    </row>
    <row r="98" spans="1:1" ht="13.15">
      <c r="A98" s="61"/>
    </row>
    <row r="99" spans="1:1" ht="13.15">
      <c r="A99" s="61"/>
    </row>
    <row r="100" spans="1:1" ht="13.15">
      <c r="A100" s="61"/>
    </row>
    <row r="101" spans="1:1" ht="13.15">
      <c r="A101" s="61"/>
    </row>
    <row r="102" spans="1:1" ht="13.15">
      <c r="A102" s="61"/>
    </row>
    <row r="103" spans="1:1" ht="13.15">
      <c r="A103" s="61"/>
    </row>
    <row r="104" spans="1:1" ht="13.15">
      <c r="A104" s="61"/>
    </row>
    <row r="105" spans="1:1" ht="13.15">
      <c r="A105" s="61"/>
    </row>
    <row r="106" spans="1:1" ht="13.15">
      <c r="A106" s="61"/>
    </row>
    <row r="107" spans="1:1" ht="13.15">
      <c r="A107" s="61"/>
    </row>
    <row r="108" spans="1:1" ht="13.15">
      <c r="A108" s="61"/>
    </row>
    <row r="109" spans="1:1" ht="13.15">
      <c r="A109" s="61"/>
    </row>
    <row r="110" spans="1:1" ht="13.15">
      <c r="A110" s="61"/>
    </row>
    <row r="111" spans="1:1" ht="13.15">
      <c r="A111" s="61"/>
    </row>
    <row r="112" spans="1:1" ht="13.15">
      <c r="A112" s="61"/>
    </row>
    <row r="113" spans="1:1" ht="13.15">
      <c r="A113" s="61"/>
    </row>
    <row r="114" spans="1:1" ht="13.15">
      <c r="A114" s="61"/>
    </row>
    <row r="115" spans="1:1" ht="13.15">
      <c r="A115" s="61"/>
    </row>
    <row r="116" spans="1:1" ht="13.15">
      <c r="A116" s="61"/>
    </row>
    <row r="117" spans="1:1" ht="13.15">
      <c r="A117" s="61"/>
    </row>
    <row r="118" spans="1:1" ht="13.15">
      <c r="A118" s="61"/>
    </row>
    <row r="119" spans="1:1" ht="13.15">
      <c r="A119" s="61"/>
    </row>
    <row r="120" spans="1:1" ht="13.15">
      <c r="A120" s="61"/>
    </row>
    <row r="121" spans="1:1" ht="13.15">
      <c r="A121" s="61"/>
    </row>
    <row r="122" spans="1:1" ht="13.15">
      <c r="A122" s="61"/>
    </row>
    <row r="123" spans="1:1" ht="13.15">
      <c r="A123" s="61"/>
    </row>
    <row r="124" spans="1:1" ht="13.15">
      <c r="A124" s="61"/>
    </row>
    <row r="125" spans="1:1" ht="13.15">
      <c r="A125" s="61"/>
    </row>
    <row r="126" spans="1:1" ht="13.15">
      <c r="A126" s="61"/>
    </row>
    <row r="127" spans="1:1" ht="13.15">
      <c r="A127" s="61"/>
    </row>
    <row r="128" spans="1:1" ht="13.15">
      <c r="A128" s="61"/>
    </row>
    <row r="129" spans="1:1" ht="13.15">
      <c r="A129" s="61"/>
    </row>
    <row r="130" spans="1:1" ht="13.15">
      <c r="A130" s="61"/>
    </row>
    <row r="131" spans="1:1" ht="13.15">
      <c r="A131" s="61"/>
    </row>
    <row r="132" spans="1:1" ht="13.15">
      <c r="A132" s="61"/>
    </row>
    <row r="133" spans="1:1" ht="13.15">
      <c r="A133" s="61"/>
    </row>
    <row r="134" spans="1:1" ht="13.15">
      <c r="A134" s="61"/>
    </row>
    <row r="135" spans="1:1" ht="13.15">
      <c r="A135" s="61"/>
    </row>
    <row r="136" spans="1:1" ht="13.15">
      <c r="A136" s="61"/>
    </row>
    <row r="137" spans="1:1" ht="13.15">
      <c r="A137" s="61"/>
    </row>
    <row r="138" spans="1:1" ht="13.15">
      <c r="A138" s="61"/>
    </row>
    <row r="139" spans="1:1" ht="13.15">
      <c r="A139" s="61"/>
    </row>
    <row r="140" spans="1:1" ht="13.15">
      <c r="A140" s="61"/>
    </row>
    <row r="141" spans="1:1" ht="13.15">
      <c r="A141" s="61"/>
    </row>
    <row r="142" spans="1:1" ht="13.15">
      <c r="A142" s="61"/>
    </row>
    <row r="143" spans="1:1" ht="13.15">
      <c r="A143" s="61"/>
    </row>
    <row r="144" spans="1:1" ht="13.15">
      <c r="A144" s="61"/>
    </row>
    <row r="145" spans="1:1" ht="13.15">
      <c r="A145" s="61"/>
    </row>
    <row r="146" spans="1:1" ht="13.15">
      <c r="A146" s="61"/>
    </row>
    <row r="147" spans="1:1" ht="13.15">
      <c r="A147" s="61"/>
    </row>
    <row r="148" spans="1:1" ht="13.15">
      <c r="A148" s="61"/>
    </row>
    <row r="149" spans="1:1" ht="13.15">
      <c r="A149" s="61"/>
    </row>
    <row r="150" spans="1:1" ht="13.15">
      <c r="A150" s="61"/>
    </row>
    <row r="151" spans="1:1" ht="13.15">
      <c r="A151" s="61"/>
    </row>
    <row r="152" spans="1:1" ht="13.15">
      <c r="A152" s="61"/>
    </row>
    <row r="153" spans="1:1" ht="13.15">
      <c r="A153" s="61"/>
    </row>
    <row r="154" spans="1:1" ht="13.15">
      <c r="A154" s="61"/>
    </row>
    <row r="155" spans="1:1" ht="13.15">
      <c r="A155" s="61"/>
    </row>
    <row r="156" spans="1:1" ht="13.15">
      <c r="A156" s="61"/>
    </row>
    <row r="157" spans="1:1" ht="13.15">
      <c r="A157" s="61"/>
    </row>
    <row r="158" spans="1:1" ht="13.15">
      <c r="A158" s="61"/>
    </row>
    <row r="159" spans="1:1" ht="13.15">
      <c r="A159" s="61"/>
    </row>
    <row r="160" spans="1:1" ht="13.15">
      <c r="A160" s="61"/>
    </row>
    <row r="161" spans="1:1" ht="13.15">
      <c r="A161" s="61"/>
    </row>
    <row r="162" spans="1:1" ht="13.15">
      <c r="A162" s="61"/>
    </row>
    <row r="163" spans="1:1" ht="13.15">
      <c r="A163" s="61"/>
    </row>
    <row r="164" spans="1:1" ht="13.15">
      <c r="A164" s="61"/>
    </row>
    <row r="165" spans="1:1" ht="13.15">
      <c r="A165" s="61"/>
    </row>
    <row r="166" spans="1:1" ht="13.15">
      <c r="A166" s="61"/>
    </row>
    <row r="167" spans="1:1" ht="13.15">
      <c r="A167" s="61"/>
    </row>
    <row r="168" spans="1:1" ht="13.15">
      <c r="A168" s="61"/>
    </row>
    <row r="169" spans="1:1" ht="13.15">
      <c r="A169" s="61"/>
    </row>
    <row r="170" spans="1:1" ht="13.15">
      <c r="A170" s="61"/>
    </row>
    <row r="171" spans="1:1" ht="13.15">
      <c r="A171" s="61"/>
    </row>
    <row r="172" spans="1:1" ht="13.15">
      <c r="A172" s="61"/>
    </row>
    <row r="173" spans="1:1" ht="13.15">
      <c r="A173" s="61"/>
    </row>
    <row r="174" spans="1:1" ht="13.15">
      <c r="A174" s="61"/>
    </row>
    <row r="175" spans="1:1" ht="13.15">
      <c r="A175" s="61"/>
    </row>
    <row r="176" spans="1:1" ht="13.15">
      <c r="A176" s="61"/>
    </row>
    <row r="177" spans="1:1" ht="13.15">
      <c r="A177" s="61"/>
    </row>
    <row r="178" spans="1:1" ht="13.15">
      <c r="A178" s="61"/>
    </row>
    <row r="179" spans="1:1" ht="13.15">
      <c r="A179" s="61"/>
    </row>
    <row r="180" spans="1:1" ht="13.15">
      <c r="A180" s="61"/>
    </row>
    <row r="181" spans="1:1" ht="13.15">
      <c r="A181" s="61"/>
    </row>
    <row r="182" spans="1:1" ht="13.15">
      <c r="A182" s="61"/>
    </row>
    <row r="183" spans="1:1" ht="13.15">
      <c r="A183" s="61"/>
    </row>
    <row r="184" spans="1:1" ht="13.15">
      <c r="A184" s="61"/>
    </row>
    <row r="185" spans="1:1" ht="13.15">
      <c r="A185" s="61"/>
    </row>
    <row r="186" spans="1:1" ht="13.15">
      <c r="A186" s="61"/>
    </row>
    <row r="187" spans="1:1" ht="13.15">
      <c r="A187" s="61"/>
    </row>
    <row r="188" spans="1:1" ht="13.15">
      <c r="A188" s="61"/>
    </row>
    <row r="189" spans="1:1" ht="13.15">
      <c r="A189" s="61"/>
    </row>
    <row r="190" spans="1:1" ht="13.15">
      <c r="A190" s="61"/>
    </row>
    <row r="191" spans="1:1" ht="13.15">
      <c r="A191" s="61"/>
    </row>
    <row r="192" spans="1:1" ht="13.15">
      <c r="A192" s="61"/>
    </row>
    <row r="193" spans="1:1" ht="13.15">
      <c r="A193" s="61"/>
    </row>
    <row r="194" spans="1:1" ht="13.15">
      <c r="A194" s="61"/>
    </row>
    <row r="195" spans="1:1" ht="13.15">
      <c r="A195" s="61"/>
    </row>
    <row r="196" spans="1:1" ht="13.15">
      <c r="A196" s="61"/>
    </row>
    <row r="197" spans="1:1" ht="13.15">
      <c r="A197" s="61"/>
    </row>
    <row r="198" spans="1:1" ht="13.15">
      <c r="A198" s="61"/>
    </row>
    <row r="199" spans="1:1" ht="13.15">
      <c r="A199" s="61"/>
    </row>
    <row r="200" spans="1:1" ht="13.15">
      <c r="A200" s="61"/>
    </row>
    <row r="201" spans="1:1" ht="13.15">
      <c r="A201" s="61"/>
    </row>
    <row r="202" spans="1:1" ht="13.15">
      <c r="A202" s="61"/>
    </row>
    <row r="203" spans="1:1" ht="13.15">
      <c r="A203" s="61"/>
    </row>
    <row r="204" spans="1:1" ht="13.15">
      <c r="A204" s="61"/>
    </row>
    <row r="205" spans="1:1" ht="13.15">
      <c r="A205" s="61"/>
    </row>
    <row r="206" spans="1:1" ht="13.15">
      <c r="A206" s="61"/>
    </row>
    <row r="207" spans="1:1" ht="13.15">
      <c r="A207" s="61"/>
    </row>
    <row r="208" spans="1:1" ht="13.15">
      <c r="A208" s="61"/>
    </row>
    <row r="209" spans="1:1" ht="13.15">
      <c r="A209" s="61"/>
    </row>
    <row r="210" spans="1:1" ht="13.15">
      <c r="A210" s="61"/>
    </row>
    <row r="211" spans="1:1" ht="13.15">
      <c r="A211" s="61"/>
    </row>
    <row r="212" spans="1:1" ht="13.15">
      <c r="A212" s="61"/>
    </row>
    <row r="213" spans="1:1" ht="13.15">
      <c r="A213" s="61"/>
    </row>
    <row r="214" spans="1:1" ht="13.15">
      <c r="A214" s="61"/>
    </row>
    <row r="215" spans="1:1" ht="13.15">
      <c r="A215" s="61"/>
    </row>
    <row r="216" spans="1:1" ht="13.15">
      <c r="A216" s="61"/>
    </row>
    <row r="217" spans="1:1" ht="13.15">
      <c r="A217" s="61"/>
    </row>
    <row r="218" spans="1:1" ht="13.15">
      <c r="A218" s="61"/>
    </row>
    <row r="219" spans="1:1" ht="13.15">
      <c r="A219" s="61"/>
    </row>
    <row r="220" spans="1:1" ht="13.15">
      <c r="A220" s="61"/>
    </row>
    <row r="221" spans="1:1" ht="13.15">
      <c r="A221" s="61"/>
    </row>
    <row r="222" spans="1:1" ht="13.15">
      <c r="A222" s="61"/>
    </row>
    <row r="223" spans="1:1" ht="13.15">
      <c r="A223" s="61"/>
    </row>
    <row r="224" spans="1:1" ht="13.15">
      <c r="A224" s="61"/>
    </row>
    <row r="225" spans="1:1" ht="13.15">
      <c r="A225" s="61"/>
    </row>
    <row r="226" spans="1:1" ht="13.15">
      <c r="A226" s="61"/>
    </row>
    <row r="227" spans="1:1" ht="13.15">
      <c r="A227" s="61"/>
    </row>
    <row r="228" spans="1:1" ht="13.15">
      <c r="A228" s="61"/>
    </row>
    <row r="229" spans="1:1" ht="13.15">
      <c r="A229" s="61"/>
    </row>
    <row r="230" spans="1:1" ht="13.15">
      <c r="A230" s="61"/>
    </row>
    <row r="231" spans="1:1" ht="13.15">
      <c r="A231" s="61"/>
    </row>
    <row r="232" spans="1:1" ht="13.15">
      <c r="A232" s="61"/>
    </row>
    <row r="233" spans="1:1" ht="13.15">
      <c r="A233" s="61"/>
    </row>
    <row r="234" spans="1:1" ht="13.15">
      <c r="A234" s="61"/>
    </row>
    <row r="235" spans="1:1" ht="13.15">
      <c r="A235" s="61"/>
    </row>
    <row r="236" spans="1:1" ht="13.15">
      <c r="A236" s="61"/>
    </row>
    <row r="237" spans="1:1" ht="13.15">
      <c r="A237" s="61"/>
    </row>
    <row r="238" spans="1:1" ht="13.15">
      <c r="A238" s="61"/>
    </row>
    <row r="239" spans="1:1" ht="13.15">
      <c r="A239" s="61"/>
    </row>
    <row r="240" spans="1:1" ht="13.15">
      <c r="A240" s="61"/>
    </row>
    <row r="241" spans="1:1" ht="13.15">
      <c r="A241" s="61"/>
    </row>
    <row r="242" spans="1:1" ht="13.15">
      <c r="A242" s="61"/>
    </row>
    <row r="243" spans="1:1" ht="13.15">
      <c r="A243" s="61"/>
    </row>
    <row r="244" spans="1:1" ht="13.15">
      <c r="A244" s="61"/>
    </row>
    <row r="245" spans="1:1" ht="13.15">
      <c r="A245" s="61"/>
    </row>
    <row r="246" spans="1:1" ht="13.15">
      <c r="A246" s="61"/>
    </row>
    <row r="247" spans="1:1" ht="13.15">
      <c r="A247" s="61"/>
    </row>
    <row r="248" spans="1:1" ht="13.15">
      <c r="A248" s="61"/>
    </row>
    <row r="249" spans="1:1" ht="13.15">
      <c r="A249" s="61"/>
    </row>
    <row r="250" spans="1:1" ht="13.15">
      <c r="A250" s="61"/>
    </row>
    <row r="251" spans="1:1" ht="13.15">
      <c r="A251" s="61"/>
    </row>
    <row r="252" spans="1:1" ht="13.15">
      <c r="A252" s="61"/>
    </row>
    <row r="253" spans="1:1" ht="13.15">
      <c r="A253" s="61"/>
    </row>
    <row r="254" spans="1:1" ht="13.15">
      <c r="A254" s="61"/>
    </row>
    <row r="255" spans="1:1" ht="13.15">
      <c r="A255" s="61"/>
    </row>
    <row r="256" spans="1:1" ht="13.15">
      <c r="A256" s="61"/>
    </row>
    <row r="257" spans="1:1" ht="13.15">
      <c r="A257" s="61"/>
    </row>
    <row r="258" spans="1:1" ht="13.15">
      <c r="A258" s="61"/>
    </row>
    <row r="259" spans="1:1" ht="13.15">
      <c r="A259" s="61"/>
    </row>
    <row r="260" spans="1:1" ht="13.15">
      <c r="A260" s="61"/>
    </row>
    <row r="261" spans="1:1" ht="13.15">
      <c r="A261" s="61"/>
    </row>
    <row r="262" spans="1:1" ht="13.15">
      <c r="A262" s="61"/>
    </row>
    <row r="263" spans="1:1" ht="13.15">
      <c r="A263" s="61"/>
    </row>
    <row r="264" spans="1:1" ht="13.15">
      <c r="A264" s="61"/>
    </row>
    <row r="265" spans="1:1" ht="13.15">
      <c r="A265" s="61"/>
    </row>
    <row r="266" spans="1:1" ht="13.15">
      <c r="A266" s="61"/>
    </row>
    <row r="267" spans="1:1" ht="13.15">
      <c r="A267" s="61"/>
    </row>
    <row r="268" spans="1:1" ht="13.15">
      <c r="A268" s="61"/>
    </row>
    <row r="269" spans="1:1" ht="13.15">
      <c r="A269" s="61"/>
    </row>
    <row r="270" spans="1:1" ht="13.15">
      <c r="A270" s="61"/>
    </row>
    <row r="271" spans="1:1" ht="13.15">
      <c r="A271" s="61"/>
    </row>
    <row r="272" spans="1:1" ht="13.15">
      <c r="A272" s="61"/>
    </row>
    <row r="273" spans="1:1" ht="13.15">
      <c r="A273" s="61"/>
    </row>
    <row r="274" spans="1:1" ht="13.15">
      <c r="A274" s="61"/>
    </row>
    <row r="275" spans="1:1" ht="13.15">
      <c r="A275" s="61"/>
    </row>
    <row r="276" spans="1:1" ht="13.15">
      <c r="A276" s="61"/>
    </row>
    <row r="277" spans="1:1" ht="13.15">
      <c r="A277" s="61"/>
    </row>
    <row r="278" spans="1:1" ht="13.15">
      <c r="A278" s="61"/>
    </row>
    <row r="279" spans="1:1" ht="13.15">
      <c r="A279" s="61"/>
    </row>
    <row r="280" spans="1:1" ht="13.15">
      <c r="A280" s="61"/>
    </row>
    <row r="281" spans="1:1" ht="13.15">
      <c r="A281" s="61"/>
    </row>
    <row r="282" spans="1:1" ht="13.15">
      <c r="A282" s="61"/>
    </row>
    <row r="283" spans="1:1" ht="13.15">
      <c r="A283" s="61"/>
    </row>
    <row r="284" spans="1:1" ht="13.15">
      <c r="A284" s="61"/>
    </row>
    <row r="285" spans="1:1" ht="13.15">
      <c r="A285" s="61"/>
    </row>
    <row r="286" spans="1:1" ht="13.15">
      <c r="A286" s="61"/>
    </row>
    <row r="287" spans="1:1" ht="13.15">
      <c r="A287" s="61"/>
    </row>
    <row r="288" spans="1:1" ht="13.15">
      <c r="A288" s="61"/>
    </row>
    <row r="289" spans="1:1" ht="13.15">
      <c r="A289" s="61"/>
    </row>
    <row r="290" spans="1:1" ht="13.15">
      <c r="A290" s="61"/>
    </row>
    <row r="291" spans="1:1" ht="13.15">
      <c r="A291" s="61"/>
    </row>
    <row r="292" spans="1:1" ht="13.15">
      <c r="A292" s="61"/>
    </row>
    <row r="293" spans="1:1" ht="13.15">
      <c r="A293" s="61"/>
    </row>
    <row r="294" spans="1:1" ht="13.15">
      <c r="A294" s="61"/>
    </row>
    <row r="295" spans="1:1" ht="13.15">
      <c r="A295" s="61"/>
    </row>
    <row r="296" spans="1:1" ht="13.15">
      <c r="A296" s="61"/>
    </row>
    <row r="297" spans="1:1" ht="13.15">
      <c r="A297" s="61"/>
    </row>
    <row r="298" spans="1:1" ht="13.15">
      <c r="A298" s="61"/>
    </row>
    <row r="299" spans="1:1" ht="13.15">
      <c r="A299" s="61"/>
    </row>
    <row r="300" spans="1:1" ht="13.15">
      <c r="A300" s="61"/>
    </row>
    <row r="301" spans="1:1" ht="13.15">
      <c r="A301" s="61"/>
    </row>
    <row r="302" spans="1:1" ht="13.15">
      <c r="A302" s="61"/>
    </row>
    <row r="303" spans="1:1" ht="13.15">
      <c r="A303" s="61"/>
    </row>
    <row r="304" spans="1:1" ht="13.15">
      <c r="A304" s="61"/>
    </row>
    <row r="305" spans="1:1" ht="13.15">
      <c r="A305" s="61"/>
    </row>
    <row r="306" spans="1:1" ht="13.15">
      <c r="A306" s="61"/>
    </row>
    <row r="307" spans="1:1" ht="13.15">
      <c r="A307" s="61"/>
    </row>
    <row r="308" spans="1:1" ht="13.15">
      <c r="A308" s="61"/>
    </row>
    <row r="309" spans="1:1" ht="13.15">
      <c r="A309" s="61"/>
    </row>
    <row r="310" spans="1:1" ht="13.15">
      <c r="A310" s="61"/>
    </row>
    <row r="311" spans="1:1" ht="13.15">
      <c r="A311" s="61"/>
    </row>
    <row r="312" spans="1:1" ht="13.15">
      <c r="A312" s="61"/>
    </row>
    <row r="313" spans="1:1" ht="13.15">
      <c r="A313" s="61"/>
    </row>
    <row r="314" spans="1:1" ht="13.15">
      <c r="A314" s="61"/>
    </row>
    <row r="315" spans="1:1" ht="13.15">
      <c r="A315" s="61"/>
    </row>
    <row r="316" spans="1:1" ht="13.15">
      <c r="A316" s="61"/>
    </row>
    <row r="317" spans="1:1" ht="13.15">
      <c r="A317" s="61"/>
    </row>
    <row r="318" spans="1:1" ht="13.15">
      <c r="A318" s="61"/>
    </row>
    <row r="319" spans="1:1" ht="13.15">
      <c r="A319" s="61"/>
    </row>
    <row r="320" spans="1:1" ht="13.15">
      <c r="A320" s="61"/>
    </row>
    <row r="321" spans="1:1" ht="13.15">
      <c r="A321" s="61"/>
    </row>
    <row r="322" spans="1:1" ht="13.15">
      <c r="A322" s="61"/>
    </row>
    <row r="323" spans="1:1" ht="13.15">
      <c r="A323" s="61"/>
    </row>
    <row r="324" spans="1:1" ht="13.15">
      <c r="A324" s="61"/>
    </row>
    <row r="325" spans="1:1" ht="13.15">
      <c r="A325" s="61"/>
    </row>
    <row r="326" spans="1:1" ht="13.15">
      <c r="A326" s="61"/>
    </row>
    <row r="327" spans="1:1" ht="13.15">
      <c r="A327" s="61"/>
    </row>
    <row r="328" spans="1:1" ht="13.15">
      <c r="A328" s="61"/>
    </row>
    <row r="329" spans="1:1" ht="13.15">
      <c r="A329" s="61"/>
    </row>
    <row r="330" spans="1:1" ht="13.15">
      <c r="A330" s="61"/>
    </row>
    <row r="331" spans="1:1" ht="13.15">
      <c r="A331" s="61"/>
    </row>
    <row r="332" spans="1:1" ht="13.15">
      <c r="A332" s="61"/>
    </row>
    <row r="333" spans="1:1" ht="13.15">
      <c r="A333" s="61"/>
    </row>
    <row r="334" spans="1:1" ht="13.15">
      <c r="A334" s="61"/>
    </row>
    <row r="335" spans="1:1" ht="13.15">
      <c r="A335" s="61"/>
    </row>
    <row r="336" spans="1:1" ht="13.15">
      <c r="A336" s="61"/>
    </row>
    <row r="337" spans="1:1" ht="13.15">
      <c r="A337" s="61"/>
    </row>
    <row r="338" spans="1:1" ht="13.15">
      <c r="A338" s="61"/>
    </row>
    <row r="339" spans="1:1" ht="13.15">
      <c r="A339" s="61"/>
    </row>
    <row r="340" spans="1:1" ht="13.15">
      <c r="A340" s="61"/>
    </row>
    <row r="341" spans="1:1" ht="13.15">
      <c r="A341" s="61"/>
    </row>
    <row r="342" spans="1:1" ht="13.15">
      <c r="A342" s="61"/>
    </row>
    <row r="343" spans="1:1" ht="13.15">
      <c r="A343" s="61"/>
    </row>
    <row r="344" spans="1:1" ht="13.15">
      <c r="A344" s="61"/>
    </row>
    <row r="345" spans="1:1" ht="13.15">
      <c r="A345" s="61"/>
    </row>
    <row r="346" spans="1:1" ht="13.15">
      <c r="A346" s="61"/>
    </row>
    <row r="347" spans="1:1" ht="13.15">
      <c r="A347" s="61"/>
    </row>
    <row r="348" spans="1:1" ht="13.15">
      <c r="A348" s="61"/>
    </row>
    <row r="349" spans="1:1" ht="13.15">
      <c r="A349" s="61"/>
    </row>
    <row r="350" spans="1:1" ht="13.15">
      <c r="A350" s="61"/>
    </row>
    <row r="351" spans="1:1" ht="13.15">
      <c r="A351" s="61"/>
    </row>
    <row r="352" spans="1:1" ht="13.15">
      <c r="A352" s="61"/>
    </row>
    <row r="353" spans="1:1" ht="13.15">
      <c r="A353" s="61"/>
    </row>
    <row r="354" spans="1:1" ht="13.15">
      <c r="A354" s="61"/>
    </row>
    <row r="355" spans="1:1" ht="13.15">
      <c r="A355" s="61"/>
    </row>
    <row r="356" spans="1:1" ht="13.15">
      <c r="A356" s="61"/>
    </row>
    <row r="357" spans="1:1" ht="13.15">
      <c r="A357" s="61"/>
    </row>
    <row r="358" spans="1:1" ht="13.15">
      <c r="A358" s="61"/>
    </row>
    <row r="359" spans="1:1" ht="13.15">
      <c r="A359" s="61"/>
    </row>
    <row r="360" spans="1:1" ht="13.15">
      <c r="A360" s="61"/>
    </row>
    <row r="361" spans="1:1" ht="13.15">
      <c r="A361" s="61"/>
    </row>
    <row r="362" spans="1:1" ht="13.15">
      <c r="A362" s="61"/>
    </row>
    <row r="363" spans="1:1" ht="13.15">
      <c r="A363" s="61"/>
    </row>
    <row r="364" spans="1:1" ht="13.15">
      <c r="A364" s="61"/>
    </row>
    <row r="365" spans="1:1" ht="13.15">
      <c r="A365" s="61"/>
    </row>
    <row r="366" spans="1:1" ht="13.15">
      <c r="A366" s="61"/>
    </row>
    <row r="367" spans="1:1" ht="13.15">
      <c r="A367" s="61"/>
    </row>
    <row r="368" spans="1:1" ht="13.15">
      <c r="A368" s="61"/>
    </row>
    <row r="369" spans="1:1" ht="13.15">
      <c r="A369" s="61"/>
    </row>
    <row r="370" spans="1:1" ht="13.15">
      <c r="A370" s="61"/>
    </row>
    <row r="371" spans="1:1" ht="13.15">
      <c r="A371" s="61"/>
    </row>
    <row r="372" spans="1:1" ht="13.15">
      <c r="A372" s="61"/>
    </row>
    <row r="373" spans="1:1" ht="13.15">
      <c r="A373" s="61"/>
    </row>
    <row r="374" spans="1:1" ht="13.15">
      <c r="A374" s="61"/>
    </row>
    <row r="375" spans="1:1" ht="13.15">
      <c r="A375" s="61"/>
    </row>
    <row r="376" spans="1:1" ht="13.15">
      <c r="A376" s="61"/>
    </row>
    <row r="377" spans="1:1" ht="13.15">
      <c r="A377" s="61"/>
    </row>
    <row r="378" spans="1:1" ht="13.15">
      <c r="A378" s="61"/>
    </row>
    <row r="379" spans="1:1" ht="13.15">
      <c r="A379" s="61"/>
    </row>
    <row r="380" spans="1:1" ht="13.15">
      <c r="A380" s="61"/>
    </row>
    <row r="381" spans="1:1" ht="13.15">
      <c r="A381" s="61"/>
    </row>
    <row r="382" spans="1:1" ht="13.15">
      <c r="A382" s="61"/>
    </row>
    <row r="383" spans="1:1" ht="13.15">
      <c r="A383" s="61"/>
    </row>
    <row r="384" spans="1:1" ht="13.15">
      <c r="A384" s="61"/>
    </row>
    <row r="385" spans="1:1" ht="13.15">
      <c r="A385" s="61"/>
    </row>
    <row r="386" spans="1:1" ht="13.15">
      <c r="A386" s="61"/>
    </row>
    <row r="387" spans="1:1" ht="13.15">
      <c r="A387" s="61"/>
    </row>
    <row r="388" spans="1:1" ht="13.15">
      <c r="A388" s="61"/>
    </row>
    <row r="389" spans="1:1" ht="13.15">
      <c r="A389" s="61"/>
    </row>
    <row r="390" spans="1:1" ht="13.15">
      <c r="A390" s="61"/>
    </row>
    <row r="391" spans="1:1" ht="13.15">
      <c r="A391" s="61"/>
    </row>
    <row r="392" spans="1:1" ht="13.15">
      <c r="A392" s="61"/>
    </row>
    <row r="393" spans="1:1" ht="13.15">
      <c r="A393" s="61"/>
    </row>
    <row r="394" spans="1:1" ht="13.15">
      <c r="A394" s="61"/>
    </row>
    <row r="395" spans="1:1" ht="13.15">
      <c r="A395" s="61"/>
    </row>
    <row r="396" spans="1:1" ht="13.15">
      <c r="A396" s="61"/>
    </row>
    <row r="397" spans="1:1" ht="13.15">
      <c r="A397" s="61"/>
    </row>
    <row r="398" spans="1:1" ht="13.15">
      <c r="A398" s="61"/>
    </row>
    <row r="399" spans="1:1" ht="13.15">
      <c r="A399" s="61"/>
    </row>
    <row r="400" spans="1:1" ht="13.15">
      <c r="A400" s="61"/>
    </row>
    <row r="401" spans="1:1" ht="13.15">
      <c r="A401" s="61"/>
    </row>
    <row r="402" spans="1:1" ht="13.15">
      <c r="A402" s="61"/>
    </row>
    <row r="403" spans="1:1" ht="13.15">
      <c r="A403" s="61"/>
    </row>
    <row r="404" spans="1:1" ht="13.15">
      <c r="A404" s="61"/>
    </row>
    <row r="405" spans="1:1" ht="13.15">
      <c r="A405" s="61"/>
    </row>
    <row r="406" spans="1:1" ht="13.15">
      <c r="A406" s="61"/>
    </row>
    <row r="407" spans="1:1" ht="13.15">
      <c r="A407" s="61"/>
    </row>
    <row r="408" spans="1:1" ht="13.15">
      <c r="A408" s="61"/>
    </row>
    <row r="409" spans="1:1" ht="13.15">
      <c r="A409" s="61"/>
    </row>
    <row r="410" spans="1:1" ht="13.15">
      <c r="A410" s="61"/>
    </row>
    <row r="411" spans="1:1" ht="13.15">
      <c r="A411" s="61"/>
    </row>
    <row r="412" spans="1:1" ht="13.15">
      <c r="A412" s="61"/>
    </row>
    <row r="413" spans="1:1" ht="13.15">
      <c r="A413" s="61"/>
    </row>
    <row r="414" spans="1:1" ht="13.15">
      <c r="A414" s="61"/>
    </row>
    <row r="415" spans="1:1" ht="13.15">
      <c r="A415" s="61"/>
    </row>
    <row r="416" spans="1:1" ht="13.15">
      <c r="A416" s="61"/>
    </row>
    <row r="417" spans="1:1" ht="13.15">
      <c r="A417" s="61"/>
    </row>
    <row r="418" spans="1:1" ht="13.15">
      <c r="A418" s="61"/>
    </row>
    <row r="419" spans="1:1" ht="13.15">
      <c r="A419" s="61"/>
    </row>
    <row r="420" spans="1:1" ht="13.15">
      <c r="A420" s="61"/>
    </row>
    <row r="421" spans="1:1" ht="13.15">
      <c r="A421" s="61"/>
    </row>
    <row r="422" spans="1:1" ht="13.15">
      <c r="A422" s="61"/>
    </row>
    <row r="423" spans="1:1" ht="13.15">
      <c r="A423" s="61"/>
    </row>
    <row r="424" spans="1:1" ht="13.15">
      <c r="A424" s="61"/>
    </row>
    <row r="425" spans="1:1" ht="13.15">
      <c r="A425" s="61"/>
    </row>
    <row r="426" spans="1:1" ht="13.15">
      <c r="A426" s="61"/>
    </row>
    <row r="427" spans="1:1" ht="13.15">
      <c r="A427" s="61"/>
    </row>
    <row r="428" spans="1:1" ht="13.15">
      <c r="A428" s="61"/>
    </row>
    <row r="429" spans="1:1" ht="13.15">
      <c r="A429" s="61"/>
    </row>
    <row r="430" spans="1:1" ht="13.15">
      <c r="A430" s="61"/>
    </row>
    <row r="431" spans="1:1" ht="13.15">
      <c r="A431" s="61"/>
    </row>
    <row r="432" spans="1:1" ht="13.15">
      <c r="A432" s="61"/>
    </row>
    <row r="433" spans="1:1" ht="13.15">
      <c r="A433" s="61"/>
    </row>
    <row r="434" spans="1:1" ht="13.15">
      <c r="A434" s="61"/>
    </row>
    <row r="435" spans="1:1" ht="13.15">
      <c r="A435" s="61"/>
    </row>
    <row r="436" spans="1:1" ht="13.15">
      <c r="A436" s="61"/>
    </row>
    <row r="437" spans="1:1" ht="13.15">
      <c r="A437" s="61"/>
    </row>
    <row r="438" spans="1:1" ht="13.15">
      <c r="A438" s="61"/>
    </row>
    <row r="439" spans="1:1" ht="13.15">
      <c r="A439" s="61"/>
    </row>
    <row r="440" spans="1:1" ht="13.15">
      <c r="A440" s="61"/>
    </row>
    <row r="441" spans="1:1" ht="13.15">
      <c r="A441" s="61"/>
    </row>
    <row r="442" spans="1:1" ht="13.15">
      <c r="A442" s="61"/>
    </row>
    <row r="443" spans="1:1" ht="13.15">
      <c r="A443" s="61"/>
    </row>
    <row r="444" spans="1:1" ht="13.15">
      <c r="A444" s="61"/>
    </row>
    <row r="445" spans="1:1" ht="13.15">
      <c r="A445" s="61"/>
    </row>
    <row r="446" spans="1:1" ht="13.15">
      <c r="A446" s="61"/>
    </row>
    <row r="447" spans="1:1" ht="13.15">
      <c r="A447" s="61"/>
    </row>
    <row r="448" spans="1:1" ht="13.15">
      <c r="A448" s="61"/>
    </row>
    <row r="449" spans="1:1" ht="13.15">
      <c r="A449" s="61"/>
    </row>
    <row r="450" spans="1:1" ht="13.15">
      <c r="A450" s="61"/>
    </row>
    <row r="451" spans="1:1" ht="13.15">
      <c r="A451" s="61"/>
    </row>
    <row r="452" spans="1:1" ht="13.15">
      <c r="A452" s="61"/>
    </row>
    <row r="453" spans="1:1" ht="13.15">
      <c r="A453" s="61"/>
    </row>
    <row r="454" spans="1:1" ht="13.15">
      <c r="A454" s="61"/>
    </row>
    <row r="455" spans="1:1" ht="13.15">
      <c r="A455" s="61"/>
    </row>
    <row r="456" spans="1:1" ht="13.15">
      <c r="A456" s="61"/>
    </row>
    <row r="457" spans="1:1" ht="13.15">
      <c r="A457" s="61"/>
    </row>
    <row r="458" spans="1:1" ht="13.15">
      <c r="A458" s="61"/>
    </row>
    <row r="459" spans="1:1" ht="13.15">
      <c r="A459" s="61"/>
    </row>
    <row r="460" spans="1:1" ht="13.15">
      <c r="A460" s="61"/>
    </row>
    <row r="461" spans="1:1" ht="13.15">
      <c r="A461" s="61"/>
    </row>
    <row r="462" spans="1:1" ht="13.15">
      <c r="A462" s="61"/>
    </row>
    <row r="463" spans="1:1" ht="13.15">
      <c r="A463" s="61"/>
    </row>
    <row r="464" spans="1:1" ht="13.15">
      <c r="A464" s="61"/>
    </row>
    <row r="465" spans="1:1" ht="13.15">
      <c r="A465" s="61"/>
    </row>
    <row r="466" spans="1:1" ht="13.15">
      <c r="A466" s="61"/>
    </row>
    <row r="467" spans="1:1" ht="13.15">
      <c r="A467" s="61"/>
    </row>
    <row r="468" spans="1:1" ht="13.15">
      <c r="A468" s="61"/>
    </row>
    <row r="469" spans="1:1" ht="13.15">
      <c r="A469" s="61"/>
    </row>
    <row r="470" spans="1:1" ht="13.15">
      <c r="A470" s="61"/>
    </row>
    <row r="471" spans="1:1" ht="13.15">
      <c r="A471" s="61"/>
    </row>
    <row r="472" spans="1:1" ht="13.15">
      <c r="A472" s="61"/>
    </row>
    <row r="473" spans="1:1" ht="13.15">
      <c r="A473" s="61"/>
    </row>
    <row r="474" spans="1:1" ht="13.15">
      <c r="A474" s="61"/>
    </row>
    <row r="475" spans="1:1" ht="13.15">
      <c r="A475" s="61"/>
    </row>
    <row r="476" spans="1:1" ht="13.15">
      <c r="A476" s="61"/>
    </row>
    <row r="477" spans="1:1" ht="13.15">
      <c r="A477" s="61"/>
    </row>
    <row r="478" spans="1:1" ht="13.15">
      <c r="A478" s="61"/>
    </row>
    <row r="479" spans="1:1" ht="13.15">
      <c r="A479" s="61"/>
    </row>
    <row r="480" spans="1:1" ht="13.15">
      <c r="A480" s="61"/>
    </row>
    <row r="481" spans="1:1" ht="13.15">
      <c r="A481" s="61"/>
    </row>
    <row r="482" spans="1:1" ht="13.15">
      <c r="A482" s="61"/>
    </row>
    <row r="483" spans="1:1" ht="13.15">
      <c r="A483" s="61"/>
    </row>
    <row r="484" spans="1:1" ht="13.15">
      <c r="A484" s="61"/>
    </row>
    <row r="485" spans="1:1" ht="13.15">
      <c r="A485" s="61"/>
    </row>
    <row r="486" spans="1:1" ht="13.15">
      <c r="A486" s="61"/>
    </row>
    <row r="487" spans="1:1" ht="13.15">
      <c r="A487" s="61"/>
    </row>
    <row r="488" spans="1:1" ht="13.15">
      <c r="A488" s="61"/>
    </row>
    <row r="489" spans="1:1" ht="13.15">
      <c r="A489" s="61"/>
    </row>
    <row r="490" spans="1:1" ht="13.15">
      <c r="A490" s="61"/>
    </row>
    <row r="491" spans="1:1" ht="13.15">
      <c r="A491" s="61"/>
    </row>
    <row r="492" spans="1:1" ht="13.15">
      <c r="A492" s="61"/>
    </row>
    <row r="493" spans="1:1" ht="13.15">
      <c r="A493" s="61"/>
    </row>
    <row r="494" spans="1:1" ht="13.15">
      <c r="A494" s="61"/>
    </row>
    <row r="495" spans="1:1" ht="13.15">
      <c r="A495" s="61"/>
    </row>
    <row r="496" spans="1:1" ht="13.15">
      <c r="A496" s="61"/>
    </row>
    <row r="497" spans="1:1" ht="13.15">
      <c r="A497" s="61"/>
    </row>
    <row r="498" spans="1:1" ht="13.15">
      <c r="A498" s="61"/>
    </row>
    <row r="499" spans="1:1" ht="13.15">
      <c r="A499" s="61"/>
    </row>
    <row r="500" spans="1:1" ht="13.15">
      <c r="A500" s="61"/>
    </row>
    <row r="501" spans="1:1" ht="13.15">
      <c r="A501" s="61"/>
    </row>
    <row r="502" spans="1:1" ht="13.15">
      <c r="A502" s="61"/>
    </row>
    <row r="503" spans="1:1" ht="13.15">
      <c r="A503" s="61"/>
    </row>
    <row r="504" spans="1:1" ht="13.15">
      <c r="A504" s="61"/>
    </row>
    <row r="505" spans="1:1" ht="13.15">
      <c r="A505" s="61"/>
    </row>
    <row r="506" spans="1:1" ht="13.15">
      <c r="A506" s="61"/>
    </row>
    <row r="507" spans="1:1" ht="13.15">
      <c r="A507" s="61"/>
    </row>
    <row r="508" spans="1:1" ht="13.15">
      <c r="A508" s="61"/>
    </row>
    <row r="509" spans="1:1" ht="13.15">
      <c r="A509" s="61"/>
    </row>
    <row r="510" spans="1:1" ht="13.15">
      <c r="A510" s="61"/>
    </row>
    <row r="511" spans="1:1" ht="13.15">
      <c r="A511" s="61"/>
    </row>
    <row r="512" spans="1:1" ht="13.15">
      <c r="A512" s="61"/>
    </row>
    <row r="513" spans="1:1" ht="13.15">
      <c r="A513" s="61"/>
    </row>
    <row r="514" spans="1:1" ht="13.15">
      <c r="A514" s="61"/>
    </row>
    <row r="515" spans="1:1" ht="13.15">
      <c r="A515" s="61"/>
    </row>
    <row r="516" spans="1:1" ht="13.15">
      <c r="A516" s="61"/>
    </row>
    <row r="517" spans="1:1" ht="13.15">
      <c r="A517" s="61"/>
    </row>
    <row r="518" spans="1:1" ht="13.15">
      <c r="A518" s="61"/>
    </row>
    <row r="519" spans="1:1" ht="13.15">
      <c r="A519" s="61"/>
    </row>
    <row r="520" spans="1:1" ht="13.15">
      <c r="A520" s="61"/>
    </row>
    <row r="521" spans="1:1" ht="13.15">
      <c r="A521" s="61"/>
    </row>
    <row r="522" spans="1:1" ht="13.15">
      <c r="A522" s="61"/>
    </row>
    <row r="523" spans="1:1" ht="13.15">
      <c r="A523" s="61"/>
    </row>
    <row r="524" spans="1:1" ht="13.15">
      <c r="A524" s="61"/>
    </row>
    <row r="525" spans="1:1" ht="13.15">
      <c r="A525" s="61"/>
    </row>
    <row r="526" spans="1:1" ht="13.15">
      <c r="A526" s="61"/>
    </row>
    <row r="527" spans="1:1" ht="13.15">
      <c r="A527" s="61"/>
    </row>
    <row r="528" spans="1:1" ht="13.15">
      <c r="A528" s="61"/>
    </row>
    <row r="529" spans="1:1" ht="13.15">
      <c r="A529" s="61"/>
    </row>
    <row r="530" spans="1:1" ht="13.15">
      <c r="A530" s="61"/>
    </row>
    <row r="531" spans="1:1" ht="13.15">
      <c r="A531" s="61"/>
    </row>
    <row r="532" spans="1:1" ht="13.15">
      <c r="A532" s="61"/>
    </row>
    <row r="533" spans="1:1" ht="13.15">
      <c r="A533" s="61"/>
    </row>
    <row r="534" spans="1:1" ht="13.15">
      <c r="A534" s="61"/>
    </row>
    <row r="535" spans="1:1" ht="13.15">
      <c r="A535" s="61"/>
    </row>
    <row r="536" spans="1:1" ht="13.15">
      <c r="A536" s="61"/>
    </row>
    <row r="537" spans="1:1" ht="13.15">
      <c r="A537" s="61"/>
    </row>
    <row r="538" spans="1:1" ht="13.15">
      <c r="A538" s="61"/>
    </row>
    <row r="539" spans="1:1" ht="13.15">
      <c r="A539" s="61"/>
    </row>
    <row r="540" spans="1:1" ht="13.15">
      <c r="A540" s="61"/>
    </row>
    <row r="541" spans="1:1" ht="13.15">
      <c r="A541" s="61"/>
    </row>
    <row r="542" spans="1:1" ht="13.15">
      <c r="A542" s="61"/>
    </row>
    <row r="543" spans="1:1" ht="13.15">
      <c r="A543" s="61"/>
    </row>
    <row r="544" spans="1:1" ht="13.15">
      <c r="A544" s="61"/>
    </row>
    <row r="545" spans="1:1" ht="13.15">
      <c r="A545" s="61"/>
    </row>
    <row r="546" spans="1:1" ht="13.15">
      <c r="A546" s="61"/>
    </row>
    <row r="547" spans="1:1" ht="13.15">
      <c r="A547" s="61"/>
    </row>
    <row r="548" spans="1:1" ht="13.15">
      <c r="A548" s="61"/>
    </row>
    <row r="549" spans="1:1" ht="13.15">
      <c r="A549" s="61"/>
    </row>
    <row r="550" spans="1:1" ht="13.15">
      <c r="A550" s="61"/>
    </row>
    <row r="551" spans="1:1" ht="13.15">
      <c r="A551" s="61"/>
    </row>
    <row r="552" spans="1:1" ht="13.15">
      <c r="A552" s="61"/>
    </row>
    <row r="553" spans="1:1" ht="13.15">
      <c r="A553" s="61"/>
    </row>
    <row r="554" spans="1:1" ht="13.15">
      <c r="A554" s="61"/>
    </row>
    <row r="555" spans="1:1" ht="13.15">
      <c r="A555" s="61"/>
    </row>
    <row r="556" spans="1:1" ht="13.15">
      <c r="A556" s="61"/>
    </row>
    <row r="557" spans="1:1" ht="13.15">
      <c r="A557" s="61"/>
    </row>
    <row r="558" spans="1:1" ht="13.15">
      <c r="A558" s="61"/>
    </row>
    <row r="559" spans="1:1" ht="13.15">
      <c r="A559" s="61"/>
    </row>
    <row r="560" spans="1:1" ht="13.15">
      <c r="A560" s="61"/>
    </row>
    <row r="561" spans="1:1" ht="13.15">
      <c r="A561" s="61"/>
    </row>
    <row r="562" spans="1:1" ht="13.15">
      <c r="A562" s="61"/>
    </row>
    <row r="563" spans="1:1" ht="13.15">
      <c r="A563" s="61"/>
    </row>
    <row r="564" spans="1:1" ht="13.15">
      <c r="A564" s="61"/>
    </row>
    <row r="565" spans="1:1" ht="13.15">
      <c r="A565" s="61"/>
    </row>
    <row r="566" spans="1:1" ht="13.15">
      <c r="A566" s="61"/>
    </row>
    <row r="567" spans="1:1" ht="13.15">
      <c r="A567" s="61"/>
    </row>
    <row r="568" spans="1:1" ht="13.15">
      <c r="A568" s="61"/>
    </row>
    <row r="569" spans="1:1" ht="13.15">
      <c r="A569" s="61"/>
    </row>
    <row r="570" spans="1:1" ht="13.15">
      <c r="A570" s="61"/>
    </row>
    <row r="571" spans="1:1" ht="13.15">
      <c r="A571" s="61"/>
    </row>
    <row r="572" spans="1:1" ht="13.15">
      <c r="A572" s="61"/>
    </row>
    <row r="573" spans="1:1" ht="13.15">
      <c r="A573" s="61"/>
    </row>
    <row r="574" spans="1:1" ht="13.15">
      <c r="A574" s="61"/>
    </row>
    <row r="575" spans="1:1" ht="13.15">
      <c r="A575" s="61"/>
    </row>
    <row r="576" spans="1:1" ht="13.15">
      <c r="A576" s="61"/>
    </row>
    <row r="577" spans="1:1" ht="13.15">
      <c r="A577" s="61"/>
    </row>
    <row r="578" spans="1:1" ht="13.15">
      <c r="A578" s="61"/>
    </row>
    <row r="579" spans="1:1" ht="13.15">
      <c r="A579" s="61"/>
    </row>
    <row r="580" spans="1:1" ht="13.15">
      <c r="A580" s="61"/>
    </row>
    <row r="581" spans="1:1" ht="13.15">
      <c r="A581" s="61"/>
    </row>
    <row r="582" spans="1:1" ht="13.15">
      <c r="A582" s="61"/>
    </row>
    <row r="583" spans="1:1" ht="13.15">
      <c r="A583" s="61"/>
    </row>
    <row r="584" spans="1:1" ht="13.15">
      <c r="A584" s="61"/>
    </row>
    <row r="585" spans="1:1" ht="13.15">
      <c r="A585" s="61"/>
    </row>
    <row r="586" spans="1:1" ht="13.15">
      <c r="A586" s="61"/>
    </row>
    <row r="587" spans="1:1" ht="13.15">
      <c r="A587" s="61"/>
    </row>
    <row r="588" spans="1:1" ht="13.15">
      <c r="A588" s="61"/>
    </row>
    <row r="589" spans="1:1" ht="13.15">
      <c r="A589" s="61"/>
    </row>
    <row r="590" spans="1:1" ht="13.15">
      <c r="A590" s="61"/>
    </row>
    <row r="591" spans="1:1" ht="13.15">
      <c r="A591" s="61"/>
    </row>
    <row r="592" spans="1:1" ht="13.15">
      <c r="A592" s="61"/>
    </row>
    <row r="593" spans="1:1" ht="13.15">
      <c r="A593" s="61"/>
    </row>
    <row r="594" spans="1:1" ht="13.15">
      <c r="A594" s="61"/>
    </row>
    <row r="595" spans="1:1" ht="13.15">
      <c r="A595" s="61"/>
    </row>
    <row r="596" spans="1:1" ht="13.15">
      <c r="A596" s="61"/>
    </row>
    <row r="597" spans="1:1" ht="13.15">
      <c r="A597" s="61"/>
    </row>
    <row r="598" spans="1:1" ht="13.15">
      <c r="A598" s="61"/>
    </row>
    <row r="599" spans="1:1" ht="13.15">
      <c r="A599" s="61"/>
    </row>
    <row r="600" spans="1:1" ht="13.15">
      <c r="A600" s="61"/>
    </row>
    <row r="601" spans="1:1" ht="13.15">
      <c r="A601" s="61"/>
    </row>
    <row r="602" spans="1:1" ht="13.15">
      <c r="A602" s="61"/>
    </row>
    <row r="603" spans="1:1" ht="13.15">
      <c r="A603" s="61"/>
    </row>
    <row r="604" spans="1:1" ht="13.15">
      <c r="A604" s="61"/>
    </row>
    <row r="605" spans="1:1" ht="13.15">
      <c r="A605" s="61"/>
    </row>
    <row r="606" spans="1:1" ht="13.15">
      <c r="A606" s="61"/>
    </row>
    <row r="607" spans="1:1" ht="13.15">
      <c r="A607" s="61"/>
    </row>
    <row r="608" spans="1:1" ht="13.15">
      <c r="A608" s="61"/>
    </row>
    <row r="609" spans="1:1" ht="13.15">
      <c r="A609" s="61"/>
    </row>
    <row r="610" spans="1:1" ht="13.15">
      <c r="A610" s="61"/>
    </row>
    <row r="611" spans="1:1" ht="13.15">
      <c r="A611" s="61"/>
    </row>
    <row r="612" spans="1:1" ht="13.15">
      <c r="A612" s="61"/>
    </row>
    <row r="613" spans="1:1" ht="13.15">
      <c r="A613" s="61"/>
    </row>
    <row r="614" spans="1:1" ht="13.15">
      <c r="A614" s="61"/>
    </row>
    <row r="615" spans="1:1" ht="13.15">
      <c r="A615" s="61"/>
    </row>
    <row r="616" spans="1:1" ht="13.15">
      <c r="A616" s="61"/>
    </row>
    <row r="617" spans="1:1" ht="13.15">
      <c r="A617" s="61"/>
    </row>
    <row r="618" spans="1:1" ht="13.15">
      <c r="A618" s="61"/>
    </row>
    <row r="619" spans="1:1" ht="13.15">
      <c r="A619" s="61"/>
    </row>
    <row r="620" spans="1:1" ht="13.15">
      <c r="A620" s="61"/>
    </row>
    <row r="621" spans="1:1" ht="13.15">
      <c r="A621" s="61"/>
    </row>
    <row r="622" spans="1:1" ht="13.15">
      <c r="A622" s="61"/>
    </row>
    <row r="623" spans="1:1" ht="13.15">
      <c r="A623" s="61"/>
    </row>
    <row r="624" spans="1:1" ht="13.15">
      <c r="A624" s="61"/>
    </row>
    <row r="625" spans="1:1" ht="13.15">
      <c r="A625" s="61"/>
    </row>
    <row r="626" spans="1:1" ht="13.15">
      <c r="A626" s="61"/>
    </row>
    <row r="627" spans="1:1" ht="13.15">
      <c r="A627" s="61"/>
    </row>
    <row r="628" spans="1:1" ht="13.15">
      <c r="A628" s="61"/>
    </row>
    <row r="629" spans="1:1" ht="13.15">
      <c r="A629" s="61"/>
    </row>
    <row r="630" spans="1:1" ht="13.15">
      <c r="A630" s="61"/>
    </row>
    <row r="631" spans="1:1" ht="13.15">
      <c r="A631" s="61"/>
    </row>
    <row r="632" spans="1:1" ht="13.15">
      <c r="A632" s="61"/>
    </row>
    <row r="633" spans="1:1" ht="13.15">
      <c r="A633" s="61"/>
    </row>
    <row r="634" spans="1:1" ht="13.15">
      <c r="A634" s="61"/>
    </row>
    <row r="635" spans="1:1" ht="13.15">
      <c r="A635" s="61"/>
    </row>
    <row r="636" spans="1:1" ht="13.15">
      <c r="A636" s="61"/>
    </row>
    <row r="637" spans="1:1" ht="13.15">
      <c r="A637" s="61"/>
    </row>
    <row r="638" spans="1:1" ht="13.15">
      <c r="A638" s="61"/>
    </row>
    <row r="639" spans="1:1" ht="13.15">
      <c r="A639" s="61"/>
    </row>
    <row r="640" spans="1:1" ht="13.15">
      <c r="A640" s="61"/>
    </row>
    <row r="641" spans="1:1" ht="13.15">
      <c r="A641" s="61"/>
    </row>
    <row r="642" spans="1:1" ht="13.15">
      <c r="A642" s="61"/>
    </row>
    <row r="643" spans="1:1" ht="13.15">
      <c r="A643" s="61"/>
    </row>
    <row r="644" spans="1:1" ht="13.15">
      <c r="A644" s="61"/>
    </row>
    <row r="645" spans="1:1" ht="13.15">
      <c r="A645" s="61"/>
    </row>
    <row r="646" spans="1:1" ht="13.15">
      <c r="A646" s="61"/>
    </row>
    <row r="647" spans="1:1" ht="13.15">
      <c r="A647" s="61"/>
    </row>
    <row r="648" spans="1:1" ht="13.15">
      <c r="A648" s="61"/>
    </row>
    <row r="649" spans="1:1" ht="13.15">
      <c r="A649" s="61"/>
    </row>
    <row r="650" spans="1:1" ht="13.15">
      <c r="A650" s="61"/>
    </row>
    <row r="651" spans="1:1" ht="13.15">
      <c r="A651" s="61"/>
    </row>
    <row r="652" spans="1:1" ht="13.15">
      <c r="A652" s="61"/>
    </row>
    <row r="653" spans="1:1" ht="13.15">
      <c r="A653" s="61"/>
    </row>
    <row r="654" spans="1:1" ht="13.15">
      <c r="A654" s="61"/>
    </row>
    <row r="655" spans="1:1" ht="13.15">
      <c r="A655" s="61"/>
    </row>
    <row r="656" spans="1:1" ht="13.15">
      <c r="A656" s="61"/>
    </row>
    <row r="657" spans="1:1" ht="13.15">
      <c r="A657" s="61"/>
    </row>
    <row r="658" spans="1:1" ht="13.15">
      <c r="A658" s="61"/>
    </row>
    <row r="659" spans="1:1" ht="13.15">
      <c r="A659" s="61"/>
    </row>
    <row r="660" spans="1:1" ht="13.15">
      <c r="A660" s="61"/>
    </row>
    <row r="661" spans="1:1" ht="13.15">
      <c r="A661" s="61"/>
    </row>
    <row r="662" spans="1:1" ht="13.15">
      <c r="A662" s="61"/>
    </row>
    <row r="663" spans="1:1" ht="13.15">
      <c r="A663" s="61"/>
    </row>
    <row r="664" spans="1:1" ht="13.15">
      <c r="A664" s="61"/>
    </row>
    <row r="665" spans="1:1" ht="13.15">
      <c r="A665" s="61"/>
    </row>
    <row r="666" spans="1:1" ht="13.15">
      <c r="A666" s="61"/>
    </row>
    <row r="667" spans="1:1" ht="13.15">
      <c r="A667" s="61"/>
    </row>
    <row r="668" spans="1:1" ht="13.15">
      <c r="A668" s="61"/>
    </row>
    <row r="669" spans="1:1" ht="13.15">
      <c r="A669" s="61"/>
    </row>
    <row r="670" spans="1:1" ht="13.15">
      <c r="A670" s="61"/>
    </row>
    <row r="671" spans="1:1" ht="13.15">
      <c r="A671" s="61"/>
    </row>
    <row r="672" spans="1:1" ht="13.15">
      <c r="A672" s="61"/>
    </row>
    <row r="673" spans="1:1" ht="13.15">
      <c r="A673" s="61"/>
    </row>
    <row r="674" spans="1:1" ht="13.15">
      <c r="A674" s="61"/>
    </row>
    <row r="675" spans="1:1" ht="13.15">
      <c r="A675" s="61"/>
    </row>
    <row r="676" spans="1:1" ht="13.15">
      <c r="A676" s="61"/>
    </row>
    <row r="677" spans="1:1" ht="13.15">
      <c r="A677" s="61"/>
    </row>
    <row r="678" spans="1:1" ht="13.15">
      <c r="A678" s="61"/>
    </row>
    <row r="679" spans="1:1" ht="13.15">
      <c r="A679" s="61"/>
    </row>
    <row r="680" spans="1:1" ht="13.15">
      <c r="A680" s="61"/>
    </row>
    <row r="681" spans="1:1" ht="13.15">
      <c r="A681" s="61"/>
    </row>
    <row r="682" spans="1:1" ht="13.15">
      <c r="A682" s="61"/>
    </row>
    <row r="683" spans="1:1" ht="13.15">
      <c r="A683" s="61"/>
    </row>
    <row r="684" spans="1:1" ht="13.15">
      <c r="A684" s="61"/>
    </row>
    <row r="685" spans="1:1" ht="13.15">
      <c r="A685" s="61"/>
    </row>
    <row r="686" spans="1:1" ht="13.15">
      <c r="A686" s="61"/>
    </row>
    <row r="687" spans="1:1" ht="13.15">
      <c r="A687" s="61"/>
    </row>
    <row r="688" spans="1:1" ht="13.15">
      <c r="A688" s="61"/>
    </row>
    <row r="689" spans="1:1" ht="13.15">
      <c r="A689" s="61"/>
    </row>
    <row r="690" spans="1:1" ht="13.15">
      <c r="A690" s="61"/>
    </row>
    <row r="691" spans="1:1" ht="13.15">
      <c r="A691" s="61"/>
    </row>
    <row r="692" spans="1:1" ht="13.15">
      <c r="A692" s="61"/>
    </row>
    <row r="693" spans="1:1" ht="13.15">
      <c r="A693" s="61"/>
    </row>
    <row r="694" spans="1:1" ht="13.15">
      <c r="A694" s="61"/>
    </row>
    <row r="695" spans="1:1" ht="13.15">
      <c r="A695" s="61"/>
    </row>
    <row r="696" spans="1:1" ht="13.15">
      <c r="A696" s="61"/>
    </row>
    <row r="697" spans="1:1" ht="13.15">
      <c r="A697" s="61"/>
    </row>
    <row r="698" spans="1:1" ht="13.15">
      <c r="A698" s="61"/>
    </row>
    <row r="699" spans="1:1" ht="13.15">
      <c r="A699" s="61"/>
    </row>
    <row r="700" spans="1:1" ht="13.15">
      <c r="A700" s="61"/>
    </row>
    <row r="701" spans="1:1" ht="13.15">
      <c r="A701" s="61"/>
    </row>
    <row r="702" spans="1:1" ht="13.15">
      <c r="A702" s="61"/>
    </row>
    <row r="703" spans="1:1" ht="13.15">
      <c r="A703" s="61"/>
    </row>
    <row r="704" spans="1:1" ht="13.15">
      <c r="A704" s="61"/>
    </row>
    <row r="705" spans="1:1" ht="13.15">
      <c r="A705" s="61"/>
    </row>
    <row r="706" spans="1:1" ht="13.15">
      <c r="A706" s="61"/>
    </row>
    <row r="707" spans="1:1" ht="13.15">
      <c r="A707" s="61"/>
    </row>
    <row r="708" spans="1:1" ht="13.15">
      <c r="A708" s="61"/>
    </row>
    <row r="709" spans="1:1" ht="13.15">
      <c r="A709" s="61"/>
    </row>
    <row r="710" spans="1:1" ht="13.15">
      <c r="A710" s="61"/>
    </row>
    <row r="711" spans="1:1" ht="13.15">
      <c r="A711" s="61"/>
    </row>
    <row r="712" spans="1:1" ht="13.15">
      <c r="A712" s="61"/>
    </row>
    <row r="713" spans="1:1" ht="13.15">
      <c r="A713" s="61"/>
    </row>
    <row r="714" spans="1:1" ht="13.15">
      <c r="A714" s="61"/>
    </row>
    <row r="715" spans="1:1" ht="13.15">
      <c r="A715" s="61"/>
    </row>
    <row r="716" spans="1:1" ht="13.15">
      <c r="A716" s="61"/>
    </row>
    <row r="717" spans="1:1" ht="13.15">
      <c r="A717" s="61"/>
    </row>
    <row r="718" spans="1:1" ht="13.15">
      <c r="A718" s="61"/>
    </row>
    <row r="719" spans="1:1" ht="13.15">
      <c r="A719" s="61"/>
    </row>
    <row r="720" spans="1:1" ht="13.15">
      <c r="A720" s="61"/>
    </row>
    <row r="721" spans="1:1" ht="13.15">
      <c r="A721" s="61"/>
    </row>
    <row r="722" spans="1:1" ht="13.15">
      <c r="A722" s="61"/>
    </row>
    <row r="723" spans="1:1" ht="13.15">
      <c r="A723" s="61"/>
    </row>
    <row r="724" spans="1:1" ht="13.15">
      <c r="A724" s="61"/>
    </row>
    <row r="725" spans="1:1" ht="13.15">
      <c r="A725" s="61"/>
    </row>
    <row r="726" spans="1:1" ht="13.15">
      <c r="A726" s="61"/>
    </row>
    <row r="727" spans="1:1" ht="13.15">
      <c r="A727" s="61"/>
    </row>
    <row r="728" spans="1:1" ht="13.15">
      <c r="A728" s="61"/>
    </row>
    <row r="729" spans="1:1" ht="13.15">
      <c r="A729" s="61"/>
    </row>
    <row r="730" spans="1:1" ht="13.15">
      <c r="A730" s="61"/>
    </row>
    <row r="731" spans="1:1" ht="13.15">
      <c r="A731" s="61"/>
    </row>
    <row r="732" spans="1:1" ht="13.15">
      <c r="A732" s="61"/>
    </row>
    <row r="733" spans="1:1" ht="13.15">
      <c r="A733" s="61"/>
    </row>
    <row r="734" spans="1:1" ht="13.15">
      <c r="A734" s="61"/>
    </row>
    <row r="735" spans="1:1" ht="13.15">
      <c r="A735" s="61"/>
    </row>
    <row r="736" spans="1:1" ht="13.15">
      <c r="A736" s="61"/>
    </row>
    <row r="737" spans="1:1" ht="13.15">
      <c r="A737" s="61"/>
    </row>
    <row r="738" spans="1:1" ht="13.15">
      <c r="A738" s="61"/>
    </row>
    <row r="739" spans="1:1" ht="13.15">
      <c r="A739" s="61"/>
    </row>
    <row r="740" spans="1:1" ht="13.15">
      <c r="A740" s="61"/>
    </row>
    <row r="741" spans="1:1" ht="13.15">
      <c r="A741" s="61"/>
    </row>
    <row r="742" spans="1:1" ht="13.15">
      <c r="A742" s="61"/>
    </row>
    <row r="743" spans="1:1" ht="13.15">
      <c r="A743" s="61"/>
    </row>
    <row r="744" spans="1:1" ht="13.15">
      <c r="A744" s="61"/>
    </row>
    <row r="745" spans="1:1" ht="13.15">
      <c r="A745" s="61"/>
    </row>
    <row r="746" spans="1:1" ht="13.15">
      <c r="A746" s="61"/>
    </row>
    <row r="747" spans="1:1" ht="13.15">
      <c r="A747" s="61"/>
    </row>
    <row r="748" spans="1:1" ht="13.15">
      <c r="A748" s="61"/>
    </row>
    <row r="749" spans="1:1" ht="13.15">
      <c r="A749" s="61"/>
    </row>
    <row r="750" spans="1:1" ht="13.15">
      <c r="A750" s="61"/>
    </row>
    <row r="751" spans="1:1" ht="13.15">
      <c r="A751" s="61"/>
    </row>
    <row r="752" spans="1:1" ht="13.15">
      <c r="A752" s="61"/>
    </row>
    <row r="753" spans="1:1" ht="13.15">
      <c r="A753" s="61"/>
    </row>
    <row r="754" spans="1:1" ht="13.15">
      <c r="A754" s="61"/>
    </row>
    <row r="755" spans="1:1" ht="13.15">
      <c r="A755" s="61"/>
    </row>
    <row r="756" spans="1:1" ht="13.15">
      <c r="A756" s="61"/>
    </row>
    <row r="757" spans="1:1" ht="13.15">
      <c r="A757" s="61"/>
    </row>
    <row r="758" spans="1:1" ht="13.15">
      <c r="A758" s="61"/>
    </row>
    <row r="759" spans="1:1" ht="13.15">
      <c r="A759" s="61"/>
    </row>
    <row r="760" spans="1:1" ht="13.15">
      <c r="A760" s="61"/>
    </row>
    <row r="761" spans="1:1" ht="13.15">
      <c r="A761" s="61"/>
    </row>
    <row r="762" spans="1:1" ht="13.15">
      <c r="A762" s="61"/>
    </row>
    <row r="763" spans="1:1" ht="13.15">
      <c r="A763" s="61"/>
    </row>
    <row r="764" spans="1:1" ht="13.15">
      <c r="A764" s="61"/>
    </row>
    <row r="765" spans="1:1" ht="13.15">
      <c r="A765" s="61"/>
    </row>
    <row r="766" spans="1:1" ht="13.15">
      <c r="A766" s="61"/>
    </row>
    <row r="767" spans="1:1" ht="13.15">
      <c r="A767" s="61"/>
    </row>
    <row r="768" spans="1:1" ht="13.15">
      <c r="A768" s="61"/>
    </row>
    <row r="769" spans="1:1" ht="13.15">
      <c r="A769" s="61"/>
    </row>
    <row r="770" spans="1:1" ht="13.15">
      <c r="A770" s="61"/>
    </row>
    <row r="771" spans="1:1" ht="13.15">
      <c r="A771" s="61"/>
    </row>
    <row r="772" spans="1:1" ht="13.15">
      <c r="A772" s="61"/>
    </row>
    <row r="773" spans="1:1" ht="13.15">
      <c r="A773" s="61"/>
    </row>
    <row r="774" spans="1:1" ht="13.15">
      <c r="A774" s="61"/>
    </row>
    <row r="775" spans="1:1" ht="13.15">
      <c r="A775" s="61"/>
    </row>
    <row r="776" spans="1:1" ht="13.15">
      <c r="A776" s="61"/>
    </row>
    <row r="777" spans="1:1" ht="13.15">
      <c r="A777" s="61"/>
    </row>
    <row r="778" spans="1:1" ht="13.15">
      <c r="A778" s="61"/>
    </row>
    <row r="779" spans="1:1" ht="13.15">
      <c r="A779" s="61"/>
    </row>
    <row r="780" spans="1:1" ht="13.15">
      <c r="A780" s="61"/>
    </row>
    <row r="781" spans="1:1" ht="13.15">
      <c r="A781" s="61"/>
    </row>
    <row r="782" spans="1:1" ht="13.15">
      <c r="A782" s="61"/>
    </row>
    <row r="783" spans="1:1" ht="13.15">
      <c r="A783" s="61"/>
    </row>
    <row r="784" spans="1:1" ht="13.15">
      <c r="A784" s="61"/>
    </row>
    <row r="785" spans="1:1" ht="13.15">
      <c r="A785" s="61"/>
    </row>
    <row r="786" spans="1:1" ht="13.15">
      <c r="A786" s="61"/>
    </row>
    <row r="787" spans="1:1" ht="13.15">
      <c r="A787" s="61"/>
    </row>
    <row r="788" spans="1:1" ht="13.15">
      <c r="A788" s="61"/>
    </row>
    <row r="789" spans="1:1" ht="13.15">
      <c r="A789" s="61"/>
    </row>
    <row r="790" spans="1:1" ht="13.15">
      <c r="A790" s="61"/>
    </row>
    <row r="791" spans="1:1" ht="13.15">
      <c r="A791" s="61"/>
    </row>
    <row r="792" spans="1:1" ht="13.15">
      <c r="A792" s="61"/>
    </row>
    <row r="793" spans="1:1" ht="13.15">
      <c r="A793" s="61"/>
    </row>
    <row r="794" spans="1:1" ht="13.15">
      <c r="A794" s="61"/>
    </row>
    <row r="795" spans="1:1" ht="13.15">
      <c r="A795" s="61"/>
    </row>
    <row r="796" spans="1:1" ht="13.15">
      <c r="A796" s="61"/>
    </row>
    <row r="797" spans="1:1" ht="13.15">
      <c r="A797" s="61"/>
    </row>
    <row r="798" spans="1:1" ht="13.15">
      <c r="A798" s="61"/>
    </row>
    <row r="799" spans="1:1" ht="13.15">
      <c r="A799" s="61"/>
    </row>
    <row r="800" spans="1:1" ht="13.15">
      <c r="A800" s="61"/>
    </row>
    <row r="801" spans="1:1" ht="13.15">
      <c r="A801" s="61"/>
    </row>
    <row r="802" spans="1:1" ht="13.15">
      <c r="A802" s="61"/>
    </row>
    <row r="803" spans="1:1" ht="13.15">
      <c r="A803" s="61"/>
    </row>
    <row r="804" spans="1:1" ht="13.15">
      <c r="A804" s="61"/>
    </row>
    <row r="805" spans="1:1" ht="13.15">
      <c r="A805" s="61"/>
    </row>
    <row r="806" spans="1:1" ht="13.15">
      <c r="A806" s="61"/>
    </row>
    <row r="807" spans="1:1" ht="13.15">
      <c r="A807" s="61"/>
    </row>
    <row r="808" spans="1:1" ht="13.15">
      <c r="A808" s="61"/>
    </row>
    <row r="809" spans="1:1" ht="13.15">
      <c r="A809" s="61"/>
    </row>
    <row r="810" spans="1:1" ht="13.15">
      <c r="A810" s="61"/>
    </row>
    <row r="811" spans="1:1" ht="13.15">
      <c r="A811" s="61"/>
    </row>
    <row r="812" spans="1:1" ht="13.15">
      <c r="A812" s="61"/>
    </row>
    <row r="813" spans="1:1" ht="13.15">
      <c r="A813" s="61"/>
    </row>
    <row r="814" spans="1:1" ht="13.15">
      <c r="A814" s="61"/>
    </row>
    <row r="815" spans="1:1" ht="13.15">
      <c r="A815" s="61"/>
    </row>
    <row r="816" spans="1:1" ht="13.15">
      <c r="A816" s="61"/>
    </row>
    <row r="817" spans="1:1" ht="13.15">
      <c r="A817" s="61"/>
    </row>
    <row r="818" spans="1:1" ht="13.15">
      <c r="A818" s="61"/>
    </row>
    <row r="819" spans="1:1" ht="13.15">
      <c r="A819" s="61"/>
    </row>
    <row r="820" spans="1:1" ht="13.15">
      <c r="A820" s="61"/>
    </row>
    <row r="821" spans="1:1" ht="13.15">
      <c r="A821" s="61"/>
    </row>
    <row r="822" spans="1:1" ht="13.15">
      <c r="A822" s="61"/>
    </row>
    <row r="823" spans="1:1" ht="13.15">
      <c r="A823" s="61"/>
    </row>
    <row r="824" spans="1:1" ht="13.15">
      <c r="A824" s="61"/>
    </row>
    <row r="825" spans="1:1" ht="13.15">
      <c r="A825" s="61"/>
    </row>
    <row r="826" spans="1:1" ht="13.15">
      <c r="A826" s="61"/>
    </row>
    <row r="827" spans="1:1" ht="13.15">
      <c r="A827" s="61"/>
    </row>
    <row r="828" spans="1:1" ht="13.15">
      <c r="A828" s="61"/>
    </row>
    <row r="829" spans="1:1" ht="13.15">
      <c r="A829" s="61"/>
    </row>
    <row r="830" spans="1:1" ht="13.15">
      <c r="A830" s="61"/>
    </row>
    <row r="831" spans="1:1" ht="13.15">
      <c r="A831" s="61"/>
    </row>
    <row r="832" spans="1:1" ht="13.15">
      <c r="A832" s="61"/>
    </row>
    <row r="833" spans="1:1" ht="13.15">
      <c r="A833" s="61"/>
    </row>
    <row r="834" spans="1:1" ht="13.15">
      <c r="A834" s="61"/>
    </row>
    <row r="835" spans="1:1" ht="13.15">
      <c r="A835" s="61"/>
    </row>
    <row r="836" spans="1:1" ht="13.15">
      <c r="A836" s="61"/>
    </row>
    <row r="837" spans="1:1" ht="13.15">
      <c r="A837" s="61"/>
    </row>
    <row r="838" spans="1:1" ht="13.15">
      <c r="A838" s="61"/>
    </row>
    <row r="839" spans="1:1" ht="13.15">
      <c r="A839" s="61"/>
    </row>
    <row r="840" spans="1:1" ht="13.15">
      <c r="A840" s="61"/>
    </row>
    <row r="841" spans="1:1" ht="13.15">
      <c r="A841" s="61"/>
    </row>
    <row r="842" spans="1:1" ht="13.15">
      <c r="A842" s="61"/>
    </row>
    <row r="843" spans="1:1" ht="13.15">
      <c r="A843" s="61"/>
    </row>
    <row r="844" spans="1:1" ht="13.15">
      <c r="A844" s="61"/>
    </row>
    <row r="845" spans="1:1" ht="13.15">
      <c r="A845" s="61"/>
    </row>
    <row r="846" spans="1:1" ht="13.15">
      <c r="A846" s="61"/>
    </row>
    <row r="847" spans="1:1" ht="13.15">
      <c r="A847" s="61"/>
    </row>
    <row r="848" spans="1:1" ht="13.15">
      <c r="A848" s="61"/>
    </row>
    <row r="849" spans="1:1" ht="13.15">
      <c r="A849" s="61"/>
    </row>
    <row r="850" spans="1:1" ht="13.15">
      <c r="A850" s="61"/>
    </row>
    <row r="851" spans="1:1" ht="13.15">
      <c r="A851" s="61"/>
    </row>
    <row r="852" spans="1:1" ht="13.15">
      <c r="A852" s="61"/>
    </row>
    <row r="853" spans="1:1" ht="13.15">
      <c r="A853" s="61"/>
    </row>
    <row r="854" spans="1:1" ht="13.15">
      <c r="A854" s="61"/>
    </row>
    <row r="855" spans="1:1" ht="13.15">
      <c r="A855" s="61"/>
    </row>
    <row r="856" spans="1:1" ht="13.15">
      <c r="A856" s="61"/>
    </row>
    <row r="857" spans="1:1" ht="13.15">
      <c r="A857" s="61"/>
    </row>
    <row r="858" spans="1:1" ht="13.15">
      <c r="A858" s="61"/>
    </row>
    <row r="859" spans="1:1" ht="13.15">
      <c r="A859" s="61"/>
    </row>
    <row r="860" spans="1:1" ht="13.15">
      <c r="A860" s="61"/>
    </row>
    <row r="861" spans="1:1" ht="13.15">
      <c r="A861" s="61"/>
    </row>
    <row r="862" spans="1:1" ht="13.15">
      <c r="A862" s="61"/>
    </row>
    <row r="863" spans="1:1" ht="13.15">
      <c r="A863" s="61"/>
    </row>
    <row r="864" spans="1:1" ht="13.15">
      <c r="A864" s="61"/>
    </row>
    <row r="865" spans="1:1" ht="13.15">
      <c r="A865" s="61"/>
    </row>
    <row r="866" spans="1:1" ht="13.15">
      <c r="A866" s="61"/>
    </row>
    <row r="867" spans="1:1" ht="13.15">
      <c r="A867" s="61"/>
    </row>
    <row r="868" spans="1:1" ht="13.15">
      <c r="A868" s="61"/>
    </row>
    <row r="869" spans="1:1" ht="13.15">
      <c r="A869" s="61"/>
    </row>
    <row r="870" spans="1:1" ht="13.15">
      <c r="A870" s="61"/>
    </row>
    <row r="871" spans="1:1" ht="13.15">
      <c r="A871" s="61"/>
    </row>
    <row r="872" spans="1:1" ht="13.15">
      <c r="A872" s="61"/>
    </row>
    <row r="873" spans="1:1" ht="13.15">
      <c r="A873" s="61"/>
    </row>
    <row r="874" spans="1:1" ht="13.15">
      <c r="A874" s="61"/>
    </row>
    <row r="875" spans="1:1" ht="13.15">
      <c r="A875" s="61"/>
    </row>
    <row r="876" spans="1:1" ht="13.15">
      <c r="A876" s="61"/>
    </row>
    <row r="877" spans="1:1" ht="13.15">
      <c r="A877" s="61"/>
    </row>
    <row r="878" spans="1:1" ht="13.15">
      <c r="A878" s="61"/>
    </row>
    <row r="879" spans="1:1" ht="13.15">
      <c r="A879" s="61"/>
    </row>
    <row r="880" spans="1:1" ht="13.15">
      <c r="A880" s="61"/>
    </row>
    <row r="881" spans="1:1" ht="13.15">
      <c r="A881" s="61"/>
    </row>
    <row r="882" spans="1:1" ht="13.15">
      <c r="A882" s="61"/>
    </row>
    <row r="883" spans="1:1" ht="13.15">
      <c r="A883" s="61"/>
    </row>
    <row r="884" spans="1:1" ht="13.15">
      <c r="A884" s="61"/>
    </row>
    <row r="885" spans="1:1" ht="13.15">
      <c r="A885" s="61"/>
    </row>
    <row r="886" spans="1:1" ht="13.15">
      <c r="A886" s="61"/>
    </row>
    <row r="887" spans="1:1" ht="13.15">
      <c r="A887" s="61"/>
    </row>
    <row r="888" spans="1:1" ht="13.15">
      <c r="A888" s="61"/>
    </row>
    <row r="889" spans="1:1" ht="13.15">
      <c r="A889" s="61"/>
    </row>
    <row r="890" spans="1:1" ht="13.15">
      <c r="A890" s="61"/>
    </row>
    <row r="891" spans="1:1" ht="13.15">
      <c r="A891" s="61"/>
    </row>
    <row r="892" spans="1:1" ht="13.15">
      <c r="A892" s="61"/>
    </row>
    <row r="893" spans="1:1" ht="13.15">
      <c r="A893" s="61"/>
    </row>
    <row r="894" spans="1:1" ht="13.15">
      <c r="A894" s="61"/>
    </row>
    <row r="895" spans="1:1" ht="13.15">
      <c r="A895" s="61"/>
    </row>
    <row r="896" spans="1:1" ht="13.15">
      <c r="A896" s="61"/>
    </row>
    <row r="897" spans="1:1" ht="13.15">
      <c r="A897" s="61"/>
    </row>
    <row r="898" spans="1:1" ht="13.15">
      <c r="A898" s="61"/>
    </row>
    <row r="899" spans="1:1" ht="13.15">
      <c r="A899" s="61"/>
    </row>
    <row r="900" spans="1:1" ht="13.15">
      <c r="A900" s="61"/>
    </row>
    <row r="901" spans="1:1" ht="13.15">
      <c r="A901" s="61"/>
    </row>
    <row r="902" spans="1:1" ht="13.15">
      <c r="A902" s="61"/>
    </row>
    <row r="903" spans="1:1" ht="13.15">
      <c r="A903" s="61"/>
    </row>
    <row r="904" spans="1:1" ht="13.15">
      <c r="A904" s="61"/>
    </row>
    <row r="905" spans="1:1" ht="13.15">
      <c r="A905" s="61"/>
    </row>
    <row r="906" spans="1:1" ht="13.15">
      <c r="A906" s="61"/>
    </row>
    <row r="907" spans="1:1" ht="13.15">
      <c r="A907" s="61"/>
    </row>
    <row r="908" spans="1:1" ht="13.15">
      <c r="A908" s="61"/>
    </row>
    <row r="909" spans="1:1" ht="13.15">
      <c r="A909" s="61"/>
    </row>
    <row r="910" spans="1:1" ht="13.15">
      <c r="A910" s="61"/>
    </row>
    <row r="911" spans="1:1" ht="13.15">
      <c r="A911" s="61"/>
    </row>
    <row r="912" spans="1:1" ht="13.15">
      <c r="A912" s="61"/>
    </row>
    <row r="913" spans="1:1" ht="13.15">
      <c r="A913" s="61"/>
    </row>
    <row r="914" spans="1:1" ht="13.15">
      <c r="A914" s="61"/>
    </row>
    <row r="915" spans="1:1" ht="13.15">
      <c r="A915" s="61"/>
    </row>
    <row r="916" spans="1:1" ht="13.15">
      <c r="A916" s="61"/>
    </row>
    <row r="917" spans="1:1" ht="13.15">
      <c r="A917" s="61"/>
    </row>
    <row r="918" spans="1:1" ht="13.15">
      <c r="A918" s="61"/>
    </row>
    <row r="919" spans="1:1" ht="13.15">
      <c r="A919" s="61"/>
    </row>
    <row r="920" spans="1:1" ht="13.15">
      <c r="A920" s="61"/>
    </row>
    <row r="921" spans="1:1" ht="13.15">
      <c r="A921" s="61"/>
    </row>
    <row r="922" spans="1:1" ht="13.15">
      <c r="A922" s="61"/>
    </row>
    <row r="923" spans="1:1" ht="13.15">
      <c r="A923" s="61"/>
    </row>
    <row r="924" spans="1:1" ht="13.15">
      <c r="A924" s="61"/>
    </row>
    <row r="925" spans="1:1" ht="13.15">
      <c r="A925" s="61"/>
    </row>
    <row r="926" spans="1:1" ht="13.15">
      <c r="A926" s="61"/>
    </row>
    <row r="927" spans="1:1" ht="13.15">
      <c r="A927" s="61"/>
    </row>
    <row r="928" spans="1:1" ht="13.15">
      <c r="A928" s="61"/>
    </row>
    <row r="929" spans="1:1" ht="13.15">
      <c r="A929" s="61"/>
    </row>
    <row r="930" spans="1:1" ht="13.15">
      <c r="A930" s="61"/>
    </row>
    <row r="931" spans="1:1" ht="13.15">
      <c r="A931" s="61"/>
    </row>
    <row r="932" spans="1:1" ht="13.15">
      <c r="A932" s="61"/>
    </row>
    <row r="933" spans="1:1" ht="13.15">
      <c r="A933" s="61"/>
    </row>
    <row r="934" spans="1:1" ht="13.15">
      <c r="A934" s="61"/>
    </row>
    <row r="935" spans="1:1" ht="13.15">
      <c r="A935" s="61"/>
    </row>
    <row r="936" spans="1:1" ht="13.15">
      <c r="A936" s="61"/>
    </row>
    <row r="937" spans="1:1" ht="13.15">
      <c r="A937" s="61"/>
    </row>
    <row r="938" spans="1:1" ht="13.15">
      <c r="A938" s="61"/>
    </row>
    <row r="939" spans="1:1" ht="13.15">
      <c r="A939" s="61"/>
    </row>
    <row r="940" spans="1:1" ht="13.15">
      <c r="A940" s="61"/>
    </row>
    <row r="941" spans="1:1" ht="13.15">
      <c r="A941" s="61"/>
    </row>
    <row r="942" spans="1:1" ht="13.15">
      <c r="A942" s="61"/>
    </row>
    <row r="943" spans="1:1" ht="13.15">
      <c r="A943" s="61"/>
    </row>
    <row r="944" spans="1:1" ht="13.15">
      <c r="A944" s="61"/>
    </row>
    <row r="945" spans="1:1" ht="13.15">
      <c r="A945" s="61"/>
    </row>
    <row r="946" spans="1:1" ht="13.15">
      <c r="A946" s="61"/>
    </row>
    <row r="947" spans="1:1" ht="13.15">
      <c r="A947" s="61"/>
    </row>
    <row r="948" spans="1:1" ht="13.15">
      <c r="A948" s="61"/>
    </row>
    <row r="949" spans="1:1" ht="13.15">
      <c r="A949" s="61"/>
    </row>
    <row r="950" spans="1:1" ht="13.15">
      <c r="A950" s="61"/>
    </row>
    <row r="951" spans="1:1" ht="13.15">
      <c r="A951" s="61"/>
    </row>
    <row r="952" spans="1:1" ht="13.15">
      <c r="A952" s="61"/>
    </row>
    <row r="953" spans="1:1" ht="13.15">
      <c r="A953" s="61"/>
    </row>
    <row r="954" spans="1:1" ht="13.15">
      <c r="A954" s="61"/>
    </row>
    <row r="955" spans="1:1" ht="13.15">
      <c r="A955" s="61"/>
    </row>
    <row r="956" spans="1:1" ht="13.15">
      <c r="A956" s="61"/>
    </row>
    <row r="957" spans="1:1" ht="13.15">
      <c r="A957" s="61"/>
    </row>
    <row r="958" spans="1:1" ht="13.15">
      <c r="A958" s="61"/>
    </row>
    <row r="959" spans="1:1" ht="13.15">
      <c r="A959" s="61"/>
    </row>
    <row r="960" spans="1:1" ht="13.15">
      <c r="A960" s="61"/>
    </row>
    <row r="961" spans="1:1" ht="13.15">
      <c r="A961" s="61"/>
    </row>
    <row r="962" spans="1:1" ht="13.15">
      <c r="A962" s="61"/>
    </row>
    <row r="963" spans="1:1" ht="13.15">
      <c r="A963" s="61"/>
    </row>
    <row r="964" spans="1:1" ht="13.15">
      <c r="A964" s="61"/>
    </row>
    <row r="965" spans="1:1" ht="13.15">
      <c r="A965" s="61"/>
    </row>
    <row r="966" spans="1:1" ht="13.15">
      <c r="A966" s="61"/>
    </row>
    <row r="967" spans="1:1" ht="13.15">
      <c r="A967" s="61"/>
    </row>
    <row r="968" spans="1:1" ht="13.15">
      <c r="A968" s="61"/>
    </row>
    <row r="969" spans="1:1" ht="13.15">
      <c r="A969" s="61"/>
    </row>
    <row r="970" spans="1:1" ht="13.15">
      <c r="A970" s="61"/>
    </row>
    <row r="971" spans="1:1" ht="13.15">
      <c r="A971" s="61"/>
    </row>
    <row r="972" spans="1:1" ht="13.15">
      <c r="A972" s="61"/>
    </row>
    <row r="973" spans="1:1" ht="13.15">
      <c r="A973" s="61"/>
    </row>
    <row r="974" spans="1:1" ht="13.15">
      <c r="A974" s="61"/>
    </row>
    <row r="975" spans="1:1" ht="13.15">
      <c r="A975" s="61"/>
    </row>
    <row r="976" spans="1:1" ht="13.15">
      <c r="A976" s="61"/>
    </row>
    <row r="977" spans="1:1" ht="13.15">
      <c r="A977" s="61"/>
    </row>
    <row r="978" spans="1:1" ht="13.15">
      <c r="A978" s="61"/>
    </row>
    <row r="979" spans="1:1" ht="13.15">
      <c r="A979" s="61"/>
    </row>
    <row r="980" spans="1:1" ht="13.15">
      <c r="A980" s="61"/>
    </row>
    <row r="981" spans="1:1" ht="13.15">
      <c r="A981" s="61"/>
    </row>
    <row r="982" spans="1:1" ht="13.15">
      <c r="A982" s="61"/>
    </row>
    <row r="983" spans="1:1" ht="13.15">
      <c r="A983" s="61"/>
    </row>
    <row r="984" spans="1:1" ht="13.15">
      <c r="A984" s="61"/>
    </row>
    <row r="985" spans="1:1" ht="13.15">
      <c r="A985" s="61"/>
    </row>
    <row r="986" spans="1:1" ht="13.15">
      <c r="A986" s="61"/>
    </row>
    <row r="987" spans="1:1" ht="13.15">
      <c r="A987" s="61"/>
    </row>
    <row r="988" spans="1:1" ht="13.15">
      <c r="A988" s="61"/>
    </row>
    <row r="989" spans="1:1" ht="13.15">
      <c r="A989" s="61"/>
    </row>
    <row r="990" spans="1:1" ht="13.15">
      <c r="A990" s="61"/>
    </row>
    <row r="991" spans="1:1" ht="13.15">
      <c r="A991" s="61"/>
    </row>
    <row r="992" spans="1:1" ht="13.15">
      <c r="A992" s="61"/>
    </row>
    <row r="993" spans="1:1" ht="13.15">
      <c r="A993" s="61"/>
    </row>
    <row r="994" spans="1:1" ht="13.15">
      <c r="A994" s="61"/>
    </row>
    <row r="995" spans="1:1" ht="13.15">
      <c r="A995" s="61"/>
    </row>
    <row r="996" spans="1:1" ht="13.15">
      <c r="A996" s="61"/>
    </row>
    <row r="997" spans="1:1" ht="13.15">
      <c r="A997" s="61"/>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011"/>
  <sheetViews>
    <sheetView topLeftCell="D1" workbookViewId="0">
      <pane ySplit="1" topLeftCell="A2" activePane="bottomLeft" state="frozen"/>
      <selection pane="bottomLeft" activeCell="E6" sqref="E6"/>
      <selection activeCell="D1" sqref="D1"/>
    </sheetView>
  </sheetViews>
  <sheetFormatPr defaultColWidth="12.7109375" defaultRowHeight="15.75" customHeight="1"/>
  <cols>
    <col min="1" max="3" width="17.7109375" customWidth="1"/>
    <col min="4" max="4" width="65" customWidth="1"/>
    <col min="5" max="9" width="14.42578125" customWidth="1"/>
    <col min="10" max="10" width="21.7109375" customWidth="1"/>
    <col min="11" max="11" width="19.7109375" customWidth="1"/>
    <col min="12" max="12" width="27.28515625" customWidth="1"/>
    <col min="13" max="13" width="5.42578125" customWidth="1"/>
  </cols>
  <sheetData>
    <row r="1" spans="1:13" ht="26.45">
      <c r="A1" s="138" t="s">
        <v>200</v>
      </c>
      <c r="B1" s="138" t="s">
        <v>201</v>
      </c>
      <c r="C1" s="138" t="s">
        <v>202</v>
      </c>
      <c r="D1" s="40" t="s">
        <v>203</v>
      </c>
      <c r="E1" s="69" t="s">
        <v>204</v>
      </c>
      <c r="F1" s="69" t="s">
        <v>205</v>
      </c>
      <c r="G1" s="69" t="s">
        <v>206</v>
      </c>
      <c r="H1" s="69" t="s">
        <v>207</v>
      </c>
      <c r="I1" s="69" t="s">
        <v>208</v>
      </c>
      <c r="J1" s="69" t="s">
        <v>209</v>
      </c>
      <c r="K1" s="69" t="s">
        <v>210</v>
      </c>
      <c r="L1" s="69" t="s">
        <v>211</v>
      </c>
      <c r="M1" s="70"/>
    </row>
    <row r="2" spans="1:13" ht="40.9" customHeight="1">
      <c r="A2" s="71" t="str">
        <f>LEFT(C2,5)</f>
        <v>1.1.1</v>
      </c>
      <c r="B2" s="196" t="str">
        <f>INDEX('Program M&amp;E Plan'!$H$23:$H$40,MATCH('Programme Implementation Plan'!A2,'Program M&amp;E Plan'!$G$23:$G$40,0))</f>
        <v>Revenge killing of elephants reduced</v>
      </c>
      <c r="C2" s="71" t="s">
        <v>212</v>
      </c>
      <c r="D2" s="59" t="s">
        <v>213</v>
      </c>
      <c r="E2" s="80">
        <v>0</v>
      </c>
      <c r="F2" s="80">
        <v>50000</v>
      </c>
      <c r="G2" s="80">
        <v>50000</v>
      </c>
      <c r="H2" s="80">
        <v>50000</v>
      </c>
      <c r="I2" s="80">
        <v>50000</v>
      </c>
      <c r="J2" s="81">
        <f>SUM(E2:I2)*1.125</f>
        <v>225000</v>
      </c>
      <c r="K2" s="59" t="s">
        <v>214</v>
      </c>
      <c r="L2" s="183"/>
      <c r="M2" s="44"/>
    </row>
    <row r="3" spans="1:13" ht="39.6">
      <c r="A3" s="71" t="str">
        <f t="shared" ref="A3:A37" si="0">LEFT(C3,5)</f>
        <v>1.1.2</v>
      </c>
      <c r="B3" s="196" t="str">
        <f>INDEX('Program M&amp;E Plan'!$H$23:$H$40,MATCH('Programme Implementation Plan'!A3,'Program M&amp;E Plan'!$G$23:$G$40,0))</f>
        <v>Positive perception of HEC increased</v>
      </c>
      <c r="C3" s="71" t="s">
        <v>215</v>
      </c>
      <c r="D3" s="59" t="s">
        <v>216</v>
      </c>
      <c r="E3" s="80">
        <v>0</v>
      </c>
      <c r="F3" s="80">
        <v>20000</v>
      </c>
      <c r="G3" s="80">
        <v>0</v>
      </c>
      <c r="H3" s="80">
        <v>0</v>
      </c>
      <c r="I3" s="80">
        <v>20000</v>
      </c>
      <c r="J3" s="81">
        <f t="shared" ref="J3:J37" si="1">SUM(E3:I3)*1.125</f>
        <v>45000</v>
      </c>
      <c r="K3" s="59" t="s">
        <v>217</v>
      </c>
      <c r="L3" s="59"/>
      <c r="M3" s="26"/>
    </row>
    <row r="4" spans="1:13" ht="39.6">
      <c r="A4" s="71" t="str">
        <f t="shared" si="0"/>
        <v>1.1.2</v>
      </c>
      <c r="B4" s="196" t="str">
        <f>INDEX('Program M&amp;E Plan'!$H$23:$H$40,MATCH('Programme Implementation Plan'!A4,'Program M&amp;E Plan'!$G$23:$G$40,0))</f>
        <v>Positive perception of HEC increased</v>
      </c>
      <c r="C4" s="71" t="s">
        <v>218</v>
      </c>
      <c r="D4" s="59" t="s">
        <v>219</v>
      </c>
      <c r="E4" s="80">
        <v>0</v>
      </c>
      <c r="F4" s="80">
        <v>5000</v>
      </c>
      <c r="G4" s="80">
        <v>5000</v>
      </c>
      <c r="H4" s="80">
        <v>5000</v>
      </c>
      <c r="I4" s="80">
        <v>5000</v>
      </c>
      <c r="J4" s="81">
        <f t="shared" si="1"/>
        <v>22500</v>
      </c>
      <c r="K4" s="59"/>
      <c r="L4" s="59"/>
      <c r="M4" s="26"/>
    </row>
    <row r="5" spans="1:13" ht="45.6" customHeight="1">
      <c r="A5" s="71" t="str">
        <f t="shared" si="0"/>
        <v>1.1.2</v>
      </c>
      <c r="B5" s="196" t="str">
        <f>INDEX('Program M&amp;E Plan'!$H$23:$H$40,MATCH('Programme Implementation Plan'!A5,'Program M&amp;E Plan'!$G$23:$G$40,0))</f>
        <v>Positive perception of HEC increased</v>
      </c>
      <c r="C5" s="71" t="s">
        <v>220</v>
      </c>
      <c r="D5" s="59" t="s">
        <v>221</v>
      </c>
      <c r="E5" s="80">
        <v>0</v>
      </c>
      <c r="F5" s="80">
        <v>5000</v>
      </c>
      <c r="G5" s="80">
        <v>5000</v>
      </c>
      <c r="H5" s="80">
        <v>5000</v>
      </c>
      <c r="I5" s="80">
        <v>5000</v>
      </c>
      <c r="J5" s="81">
        <f t="shared" si="1"/>
        <v>22500</v>
      </c>
      <c r="K5" s="59"/>
      <c r="L5" s="59"/>
      <c r="M5" s="26"/>
    </row>
    <row r="6" spans="1:13" ht="36.6" customHeight="1">
      <c r="A6" s="71" t="str">
        <f t="shared" si="0"/>
        <v>1.1.3</v>
      </c>
      <c r="B6" s="196" t="s">
        <v>222</v>
      </c>
      <c r="C6" s="71" t="s">
        <v>223</v>
      </c>
      <c r="D6" s="59" t="s">
        <v>224</v>
      </c>
      <c r="E6" s="80">
        <v>1600000</v>
      </c>
      <c r="F6" s="80">
        <v>1600000</v>
      </c>
      <c r="G6" s="80">
        <v>1600000</v>
      </c>
      <c r="H6" s="80">
        <v>1600000</v>
      </c>
      <c r="I6" s="80">
        <v>1600000</v>
      </c>
      <c r="J6" s="81">
        <f t="shared" si="1"/>
        <v>9000000</v>
      </c>
      <c r="K6" s="59" t="s">
        <v>217</v>
      </c>
      <c r="L6" s="59"/>
      <c r="M6" s="26"/>
    </row>
    <row r="7" spans="1:13" ht="36.6" customHeight="1">
      <c r="A7" s="71" t="str">
        <f t="shared" si="0"/>
        <v>1.1.3</v>
      </c>
      <c r="B7" s="196" t="s">
        <v>222</v>
      </c>
      <c r="C7" s="71" t="s">
        <v>225</v>
      </c>
      <c r="D7" s="59" t="s">
        <v>226</v>
      </c>
      <c r="E7" s="80">
        <v>350000</v>
      </c>
      <c r="F7" s="80">
        <v>350000</v>
      </c>
      <c r="G7" s="80">
        <v>350000</v>
      </c>
      <c r="H7" s="80">
        <v>350000</v>
      </c>
      <c r="I7" s="80">
        <v>350000</v>
      </c>
      <c r="J7" s="81">
        <f t="shared" si="1"/>
        <v>1968750</v>
      </c>
      <c r="K7" s="59"/>
      <c r="L7" s="59"/>
      <c r="M7" s="26"/>
    </row>
    <row r="8" spans="1:13" ht="36.6" customHeight="1">
      <c r="A8" s="71" t="str">
        <f t="shared" si="0"/>
        <v>1.1.3</v>
      </c>
      <c r="B8" s="196" t="s">
        <v>222</v>
      </c>
      <c r="C8" s="71" t="s">
        <v>227</v>
      </c>
      <c r="D8" s="59" t="s">
        <v>228</v>
      </c>
      <c r="E8" s="80">
        <v>70000</v>
      </c>
      <c r="F8" s="80">
        <v>50000</v>
      </c>
      <c r="G8" s="80">
        <v>70000</v>
      </c>
      <c r="H8" s="80">
        <v>60000</v>
      </c>
      <c r="I8" s="80">
        <v>60000</v>
      </c>
      <c r="J8" s="81">
        <f t="shared" si="1"/>
        <v>348750</v>
      </c>
      <c r="K8" s="59"/>
      <c r="L8" s="59"/>
      <c r="M8" s="26"/>
    </row>
    <row r="9" spans="1:13" ht="36.6" customHeight="1">
      <c r="A9" s="71" t="str">
        <f t="shared" si="0"/>
        <v>1.1.3</v>
      </c>
      <c r="B9" s="196" t="s">
        <v>222</v>
      </c>
      <c r="C9" s="71" t="s">
        <v>229</v>
      </c>
      <c r="D9" s="59" t="s">
        <v>230</v>
      </c>
      <c r="E9" s="80">
        <v>70000</v>
      </c>
      <c r="F9" s="80">
        <v>50000</v>
      </c>
      <c r="G9" s="80">
        <v>70000</v>
      </c>
      <c r="H9" s="80">
        <v>50000</v>
      </c>
      <c r="I9" s="80">
        <v>50000</v>
      </c>
      <c r="J9" s="81">
        <f t="shared" si="1"/>
        <v>326250</v>
      </c>
      <c r="K9" s="59"/>
      <c r="L9" s="59"/>
      <c r="M9" s="26"/>
    </row>
    <row r="10" spans="1:13" ht="43.5" customHeight="1">
      <c r="A10" s="71" t="str">
        <f t="shared" si="0"/>
        <v>1.1.3</v>
      </c>
      <c r="B10" s="196" t="s">
        <v>222</v>
      </c>
      <c r="C10" s="71" t="s">
        <v>231</v>
      </c>
      <c r="D10" s="59" t="s">
        <v>232</v>
      </c>
      <c r="E10" s="59">
        <v>250000</v>
      </c>
      <c r="F10" s="59">
        <v>250000</v>
      </c>
      <c r="G10" s="59">
        <v>250000</v>
      </c>
      <c r="H10" s="59">
        <v>250000</v>
      </c>
      <c r="I10" s="59">
        <v>250000</v>
      </c>
      <c r="J10" s="59">
        <f t="shared" si="1"/>
        <v>1406250</v>
      </c>
      <c r="K10" s="59"/>
      <c r="L10" s="59"/>
    </row>
    <row r="11" spans="1:13" ht="52.9">
      <c r="A11" s="71" t="str">
        <f t="shared" si="0"/>
        <v>1.1.4</v>
      </c>
      <c r="B11" s="196" t="s">
        <v>233</v>
      </c>
      <c r="C11" s="71" t="s">
        <v>234</v>
      </c>
      <c r="D11" s="59" t="s">
        <v>235</v>
      </c>
      <c r="E11" s="59">
        <v>60000</v>
      </c>
      <c r="F11" s="59">
        <v>60000</v>
      </c>
      <c r="G11" s="59">
        <v>60000</v>
      </c>
      <c r="H11" s="59">
        <v>60000</v>
      </c>
      <c r="I11" s="59">
        <v>60000</v>
      </c>
      <c r="J11" s="59">
        <f t="shared" si="1"/>
        <v>337500</v>
      </c>
      <c r="K11" s="59"/>
      <c r="L11" s="59"/>
    </row>
    <row r="12" spans="1:13" ht="42.75" customHeight="1">
      <c r="A12" s="71" t="str">
        <f t="shared" si="0"/>
        <v>1.1.4</v>
      </c>
      <c r="B12" s="196" t="s">
        <v>233</v>
      </c>
      <c r="C12" s="71" t="s">
        <v>236</v>
      </c>
      <c r="D12" s="59" t="s">
        <v>237</v>
      </c>
      <c r="E12" s="59">
        <v>60000</v>
      </c>
      <c r="F12" s="59">
        <v>60000</v>
      </c>
      <c r="G12" s="59">
        <v>60000</v>
      </c>
      <c r="H12" s="59">
        <v>60000</v>
      </c>
      <c r="I12" s="59">
        <v>60000</v>
      </c>
      <c r="J12" s="59">
        <f t="shared" si="1"/>
        <v>337500</v>
      </c>
      <c r="K12" s="59"/>
      <c r="L12" s="59"/>
    </row>
    <row r="13" spans="1:13" ht="42.75" customHeight="1">
      <c r="A13" s="71" t="str">
        <f t="shared" si="0"/>
        <v>1.1.5</v>
      </c>
      <c r="B13" s="196" t="s">
        <v>238</v>
      </c>
      <c r="C13" s="71" t="s">
        <v>239</v>
      </c>
      <c r="D13" s="59" t="s">
        <v>240</v>
      </c>
      <c r="E13" s="59">
        <v>37000</v>
      </c>
      <c r="F13" s="59">
        <v>37000</v>
      </c>
      <c r="G13" s="59">
        <v>37000</v>
      </c>
      <c r="H13" s="59">
        <v>37000</v>
      </c>
      <c r="I13" s="59">
        <v>37000</v>
      </c>
      <c r="J13" s="59">
        <f t="shared" si="1"/>
        <v>208125</v>
      </c>
      <c r="K13" s="59"/>
      <c r="L13" s="59"/>
    </row>
    <row r="14" spans="1:13" ht="39.6">
      <c r="A14" s="71" t="str">
        <f t="shared" si="0"/>
        <v>1.1.6</v>
      </c>
      <c r="B14" s="196" t="s">
        <v>241</v>
      </c>
      <c r="C14" s="71" t="s">
        <v>242</v>
      </c>
      <c r="D14" s="59" t="s">
        <v>243</v>
      </c>
      <c r="E14" s="59">
        <v>10000</v>
      </c>
      <c r="F14" s="59">
        <v>10000</v>
      </c>
      <c r="G14" s="59">
        <v>10000</v>
      </c>
      <c r="H14" s="59">
        <v>10000</v>
      </c>
      <c r="I14" s="59">
        <v>10000</v>
      </c>
      <c r="J14" s="59">
        <f t="shared" si="1"/>
        <v>56250</v>
      </c>
      <c r="K14" s="59"/>
      <c r="L14" s="59"/>
    </row>
    <row r="15" spans="1:13" ht="39.6">
      <c r="A15" s="71" t="str">
        <f t="shared" si="0"/>
        <v>1.1.6</v>
      </c>
      <c r="B15" s="196" t="s">
        <v>241</v>
      </c>
      <c r="C15" s="71" t="s">
        <v>244</v>
      </c>
      <c r="D15" s="59" t="s">
        <v>245</v>
      </c>
      <c r="E15" s="59">
        <v>44000</v>
      </c>
      <c r="F15" s="59">
        <v>40000</v>
      </c>
      <c r="G15" s="59">
        <v>40000</v>
      </c>
      <c r="H15" s="59">
        <v>40000</v>
      </c>
      <c r="I15" s="59">
        <v>40000</v>
      </c>
      <c r="J15" s="59">
        <f t="shared" si="1"/>
        <v>229500</v>
      </c>
      <c r="K15" s="59"/>
      <c r="L15" s="59"/>
    </row>
    <row r="16" spans="1:13" ht="35.450000000000003" customHeight="1">
      <c r="A16" s="71" t="str">
        <f t="shared" si="0"/>
        <v>4.1.1</v>
      </c>
      <c r="B16" s="196" t="str">
        <f>INDEX('Program M&amp;E Plan'!$H$23:$H$40,MATCH('Programme Implementation Plan'!A16,'Program M&amp;E Plan'!$G$23:$G$40,0))</f>
        <v>Conservation related complaints reduced</v>
      </c>
      <c r="C16" s="71" t="s">
        <v>246</v>
      </c>
      <c r="D16" s="59" t="s">
        <v>247</v>
      </c>
      <c r="E16" s="59">
        <v>400000</v>
      </c>
      <c r="F16" s="59">
        <v>400000</v>
      </c>
      <c r="G16" s="59">
        <v>400000</v>
      </c>
      <c r="H16" s="59">
        <v>400000</v>
      </c>
      <c r="I16" s="59">
        <v>400000</v>
      </c>
      <c r="J16" s="59">
        <f t="shared" si="1"/>
        <v>2250000</v>
      </c>
      <c r="K16" s="59"/>
      <c r="L16" s="59"/>
    </row>
    <row r="17" spans="1:12" ht="38.450000000000003" customHeight="1">
      <c r="A17" s="71" t="str">
        <f t="shared" si="0"/>
        <v>4.1.1</v>
      </c>
      <c r="B17" s="196" t="str">
        <f>INDEX('Program M&amp;E Plan'!$H$23:$H$40,MATCH('Programme Implementation Plan'!A17,'Program M&amp;E Plan'!$G$23:$G$40,0))</f>
        <v>Conservation related complaints reduced</v>
      </c>
      <c r="C17" s="71" t="s">
        <v>248</v>
      </c>
      <c r="D17" s="59" t="s">
        <v>249</v>
      </c>
      <c r="E17" s="59">
        <v>40000</v>
      </c>
      <c r="F17" s="59">
        <v>40000</v>
      </c>
      <c r="G17" s="59">
        <v>40000</v>
      </c>
      <c r="H17" s="59">
        <v>40000</v>
      </c>
      <c r="I17" s="59">
        <v>40000</v>
      </c>
      <c r="J17" s="59">
        <f t="shared" si="1"/>
        <v>225000</v>
      </c>
      <c r="K17" s="59"/>
      <c r="L17" s="59"/>
    </row>
    <row r="18" spans="1:12" ht="52.9">
      <c r="A18" s="71" t="str">
        <f t="shared" si="0"/>
        <v>4.1.1</v>
      </c>
      <c r="B18" s="196" t="str">
        <f>INDEX('Program M&amp;E Plan'!$H$23:$H$40,MATCH('Programme Implementation Plan'!A18,'Program M&amp;E Plan'!$G$23:$G$40,0))</f>
        <v>Conservation related complaints reduced</v>
      </c>
      <c r="C18" s="71" t="s">
        <v>250</v>
      </c>
      <c r="D18" s="59" t="s">
        <v>251</v>
      </c>
      <c r="E18" s="59">
        <v>600000</v>
      </c>
      <c r="F18" s="59">
        <v>600000</v>
      </c>
      <c r="G18" s="59">
        <v>600000</v>
      </c>
      <c r="H18" s="59">
        <v>600000</v>
      </c>
      <c r="I18" s="59">
        <v>600000</v>
      </c>
      <c r="J18" s="59">
        <f t="shared" si="1"/>
        <v>3375000</v>
      </c>
      <c r="K18" s="59"/>
      <c r="L18" s="59"/>
    </row>
    <row r="19" spans="1:12" ht="27" customHeight="1">
      <c r="A19" s="71" t="str">
        <f t="shared" si="0"/>
        <v>4.1.1</v>
      </c>
      <c r="B19" s="196" t="str">
        <f>INDEX('Program M&amp;E Plan'!$H$23:$H$40,MATCH('Programme Implementation Plan'!A19,'Program M&amp;E Plan'!$G$23:$G$40,0))</f>
        <v>Conservation related complaints reduced</v>
      </c>
      <c r="C19" s="71" t="s">
        <v>252</v>
      </c>
      <c r="D19" s="59" t="s">
        <v>253</v>
      </c>
      <c r="E19" s="59">
        <v>200000</v>
      </c>
      <c r="F19" s="59">
        <v>200000</v>
      </c>
      <c r="G19" s="59">
        <v>200000</v>
      </c>
      <c r="H19" s="59">
        <v>200000</v>
      </c>
      <c r="I19" s="59">
        <v>200000</v>
      </c>
      <c r="J19" s="59">
        <f t="shared" si="1"/>
        <v>1125000</v>
      </c>
      <c r="K19" s="59"/>
      <c r="L19" s="59"/>
    </row>
    <row r="20" spans="1:12" ht="52.9">
      <c r="A20" s="71" t="str">
        <f t="shared" si="0"/>
        <v>4.1.2</v>
      </c>
      <c r="B20" s="196" t="str">
        <f>INDEX('Program M&amp;E Plan'!$H$23:$H$40,MATCH('Programme Implementation Plan'!A20,'Program M&amp;E Plan'!$G$23:$G$40,0))</f>
        <v xml:space="preserve">Positive perception on conservation improved </v>
      </c>
      <c r="C20" s="71" t="s">
        <v>254</v>
      </c>
      <c r="D20" s="59" t="s">
        <v>255</v>
      </c>
      <c r="E20" s="59">
        <v>0</v>
      </c>
      <c r="F20" s="59">
        <v>15000</v>
      </c>
      <c r="G20" s="59">
        <v>0</v>
      </c>
      <c r="H20" s="59">
        <v>0</v>
      </c>
      <c r="I20" s="59">
        <v>15000</v>
      </c>
      <c r="J20" s="59">
        <f t="shared" si="1"/>
        <v>33750</v>
      </c>
      <c r="K20" s="59"/>
      <c r="L20" s="59"/>
    </row>
    <row r="21" spans="1:12" ht="26.45">
      <c r="A21" s="71" t="str">
        <f t="shared" si="0"/>
        <v>4.1.3</v>
      </c>
      <c r="B21" s="196" t="str">
        <f>INDEX('Program M&amp;E Plan'!$H$23:$H$40,MATCH('Programme Implementation Plan'!A21,'Program M&amp;E Plan'!$G$23:$G$40,0))</f>
        <v>Students supported</v>
      </c>
      <c r="C21" s="71" t="s">
        <v>256</v>
      </c>
      <c r="D21" s="59" t="s">
        <v>257</v>
      </c>
      <c r="E21" s="59">
        <v>30000</v>
      </c>
      <c r="F21" s="59">
        <v>30000</v>
      </c>
      <c r="G21" s="59">
        <v>30000</v>
      </c>
      <c r="H21" s="59">
        <v>30000</v>
      </c>
      <c r="I21" s="59">
        <v>30000</v>
      </c>
      <c r="J21" s="59">
        <f t="shared" si="1"/>
        <v>168750</v>
      </c>
      <c r="K21" s="59"/>
      <c r="L21" s="59"/>
    </row>
    <row r="22" spans="1:12" ht="52.9">
      <c r="A22" s="71" t="str">
        <f t="shared" si="0"/>
        <v>4.1.4</v>
      </c>
      <c r="B22" s="196" t="str">
        <f>INDEX('Program M&amp;E Plan'!$H$23:$H$40,MATCH('Programme Implementation Plan'!A22,'Program M&amp;E Plan'!$G$23:$G$40,0))</f>
        <v>Household income increased</v>
      </c>
      <c r="C22" s="71" t="s">
        <v>258</v>
      </c>
      <c r="D22" s="59" t="s">
        <v>259</v>
      </c>
      <c r="E22" s="59">
        <v>60000</v>
      </c>
      <c r="F22" s="59">
        <v>60000</v>
      </c>
      <c r="G22" s="59">
        <v>60000</v>
      </c>
      <c r="H22" s="59">
        <v>60000</v>
      </c>
      <c r="I22" s="59">
        <v>60000</v>
      </c>
      <c r="J22" s="59">
        <f t="shared" si="1"/>
        <v>337500</v>
      </c>
      <c r="K22" s="59"/>
      <c r="L22" s="59"/>
    </row>
    <row r="23" spans="1:12" ht="26.45">
      <c r="A23" s="71" t="str">
        <f t="shared" si="0"/>
        <v>4.1.4</v>
      </c>
      <c r="B23" s="196" t="str">
        <f>INDEX('Program M&amp;E Plan'!$H$23:$H$40,MATCH('Programme Implementation Plan'!A23,'Program M&amp;E Plan'!$G$23:$G$40,0))</f>
        <v>Household income increased</v>
      </c>
      <c r="C23" s="71" t="s">
        <v>260</v>
      </c>
      <c r="D23" s="59" t="s">
        <v>261</v>
      </c>
      <c r="E23" s="59">
        <v>400000</v>
      </c>
      <c r="F23" s="59">
        <v>400000</v>
      </c>
      <c r="G23" s="59">
        <v>400000</v>
      </c>
      <c r="H23" s="59">
        <v>400000</v>
      </c>
      <c r="I23" s="59">
        <v>400000</v>
      </c>
      <c r="J23" s="59">
        <f t="shared" si="1"/>
        <v>2250000</v>
      </c>
      <c r="K23" s="59"/>
      <c r="L23" s="59"/>
    </row>
    <row r="24" spans="1:12" ht="50.45" customHeight="1">
      <c r="A24" s="71" t="str">
        <f t="shared" si="0"/>
        <v>4.1.4</v>
      </c>
      <c r="B24" s="196" t="str">
        <f>INDEX('Program M&amp;E Plan'!$H$23:$H$40,MATCH('Programme Implementation Plan'!A24,'Program M&amp;E Plan'!$G$23:$G$40,0))</f>
        <v>Household income increased</v>
      </c>
      <c r="C24" s="71" t="s">
        <v>262</v>
      </c>
      <c r="D24" s="59" t="s">
        <v>263</v>
      </c>
      <c r="E24" s="59">
        <v>400000</v>
      </c>
      <c r="F24" s="59">
        <v>400000</v>
      </c>
      <c r="G24" s="59">
        <v>320000</v>
      </c>
      <c r="H24" s="59">
        <v>400000</v>
      </c>
      <c r="I24" s="59">
        <v>400000</v>
      </c>
      <c r="J24" s="59">
        <f t="shared" si="1"/>
        <v>2160000</v>
      </c>
      <c r="K24" s="59"/>
      <c r="L24" s="59"/>
    </row>
    <row r="25" spans="1:12" ht="26.45">
      <c r="A25" s="71" t="str">
        <f t="shared" si="0"/>
        <v>4.1.4</v>
      </c>
      <c r="B25" s="196" t="str">
        <f>INDEX('Program M&amp;E Plan'!$H$23:$H$40,MATCH('Programme Implementation Plan'!A25,'Program M&amp;E Plan'!$G$23:$G$40,0))</f>
        <v>Household income increased</v>
      </c>
      <c r="C25" s="71" t="s">
        <v>264</v>
      </c>
      <c r="D25" s="59" t="s">
        <v>265</v>
      </c>
      <c r="E25" s="59">
        <v>50000</v>
      </c>
      <c r="F25" s="59">
        <v>50000</v>
      </c>
      <c r="G25" s="59">
        <v>50000</v>
      </c>
      <c r="H25" s="59">
        <v>50000</v>
      </c>
      <c r="I25" s="59">
        <v>50000</v>
      </c>
      <c r="J25" s="59">
        <f t="shared" si="1"/>
        <v>281250</v>
      </c>
      <c r="K25" s="59"/>
      <c r="L25" s="59"/>
    </row>
    <row r="26" spans="1:12" ht="26.45">
      <c r="A26" s="71" t="str">
        <f t="shared" si="0"/>
        <v>4.1.4</v>
      </c>
      <c r="B26" s="196" t="str">
        <f>INDEX('Program M&amp;E Plan'!$H$23:$H$40,MATCH('Programme Implementation Plan'!A26,'Program M&amp;E Plan'!$G$23:$G$40,0))</f>
        <v>Household income increased</v>
      </c>
      <c r="C26" s="71" t="s">
        <v>266</v>
      </c>
      <c r="D26" s="59" t="s">
        <v>267</v>
      </c>
      <c r="E26" s="59">
        <v>600000</v>
      </c>
      <c r="F26" s="59">
        <v>600000</v>
      </c>
      <c r="G26" s="59">
        <v>600000</v>
      </c>
      <c r="H26" s="59">
        <v>600000</v>
      </c>
      <c r="I26" s="59">
        <v>600000</v>
      </c>
      <c r="J26" s="59">
        <f t="shared" si="1"/>
        <v>3375000</v>
      </c>
      <c r="K26" s="59"/>
      <c r="L26" s="59"/>
    </row>
    <row r="27" spans="1:12" ht="39.6">
      <c r="A27" s="71" t="str">
        <f t="shared" si="0"/>
        <v>4.1.5</v>
      </c>
      <c r="B27" s="196" t="str">
        <f>INDEX('Program M&amp;E Plan'!$H$23:$H$40,MATCH('Programme Implementation Plan'!A27,'Program M&amp;E Plan'!$G$23:$G$40,0))</f>
        <v>Access to materials of good life improved</v>
      </c>
      <c r="C27" s="71" t="s">
        <v>268</v>
      </c>
      <c r="D27" s="59" t="s">
        <v>269</v>
      </c>
      <c r="E27" s="59">
        <v>0</v>
      </c>
      <c r="F27" s="59">
        <v>50000</v>
      </c>
      <c r="G27" s="59">
        <v>50000</v>
      </c>
      <c r="H27" s="59">
        <v>50000</v>
      </c>
      <c r="I27" s="59">
        <v>25000</v>
      </c>
      <c r="J27" s="59">
        <f t="shared" si="1"/>
        <v>196875</v>
      </c>
      <c r="K27" s="59"/>
      <c r="L27" s="59"/>
    </row>
    <row r="28" spans="1:12" ht="37.9" customHeight="1">
      <c r="A28" s="71" t="str">
        <f t="shared" si="0"/>
        <v>4.1.5</v>
      </c>
      <c r="B28" s="196" t="str">
        <f>INDEX('Program M&amp;E Plan'!$H$23:$H$40,MATCH('Programme Implementation Plan'!A28,'Program M&amp;E Plan'!$G$23:$G$40,0))</f>
        <v>Access to materials of good life improved</v>
      </c>
      <c r="C28" s="71" t="s">
        <v>270</v>
      </c>
      <c r="D28" s="59" t="s">
        <v>271</v>
      </c>
      <c r="E28" s="59">
        <v>1120000</v>
      </c>
      <c r="F28" s="59">
        <v>1210000</v>
      </c>
      <c r="G28" s="59">
        <v>800000</v>
      </c>
      <c r="H28" s="59">
        <v>1000000</v>
      </c>
      <c r="I28" s="59">
        <v>1085000</v>
      </c>
      <c r="J28" s="59">
        <f t="shared" si="1"/>
        <v>5866875</v>
      </c>
      <c r="K28" s="59"/>
      <c r="L28" s="59"/>
    </row>
    <row r="29" spans="1:12" ht="31.9" customHeight="1">
      <c r="A29" s="71" t="str">
        <f t="shared" si="0"/>
        <v>4.1.5</v>
      </c>
      <c r="B29" s="196" t="str">
        <f>INDEX('Program M&amp;E Plan'!$H$23:$H$40,MATCH('Programme Implementation Plan'!A29,'Program M&amp;E Plan'!$G$23:$G$40,0))</f>
        <v>Access to materials of good life improved</v>
      </c>
      <c r="C29" s="71" t="s">
        <v>272</v>
      </c>
      <c r="D29" s="59" t="s">
        <v>273</v>
      </c>
      <c r="E29" s="59">
        <v>300000</v>
      </c>
      <c r="F29" s="59">
        <v>0</v>
      </c>
      <c r="G29" s="59">
        <v>500000</v>
      </c>
      <c r="H29" s="59">
        <v>260000</v>
      </c>
      <c r="I29" s="59">
        <v>0</v>
      </c>
      <c r="J29" s="59">
        <f t="shared" si="1"/>
        <v>1192500</v>
      </c>
      <c r="K29" s="59"/>
      <c r="L29" s="59"/>
    </row>
    <row r="30" spans="1:12" ht="39.6">
      <c r="A30" s="71" t="str">
        <f t="shared" si="0"/>
        <v>4.1.5</v>
      </c>
      <c r="B30" s="196" t="str">
        <f>INDEX('Program M&amp;E Plan'!$H$23:$H$40,MATCH('Programme Implementation Plan'!A30,'Program M&amp;E Plan'!$G$23:$G$40,0))</f>
        <v>Access to materials of good life improved</v>
      </c>
      <c r="C30" s="71" t="s">
        <v>274</v>
      </c>
      <c r="D30" s="59" t="s">
        <v>275</v>
      </c>
      <c r="E30" s="59">
        <v>40000</v>
      </c>
      <c r="F30" s="59">
        <v>40000</v>
      </c>
      <c r="G30" s="59">
        <v>40000</v>
      </c>
      <c r="H30" s="59">
        <v>40000</v>
      </c>
      <c r="I30" s="59">
        <v>40000</v>
      </c>
      <c r="J30" s="59">
        <f t="shared" si="1"/>
        <v>225000</v>
      </c>
      <c r="K30" s="59"/>
      <c r="L30" s="59"/>
    </row>
    <row r="31" spans="1:12" ht="49.15" customHeight="1">
      <c r="A31" s="71" t="str">
        <f t="shared" si="0"/>
        <v>4.1.6</v>
      </c>
      <c r="B31" s="196" t="str">
        <f>INDEX('Program M&amp;E Plan'!$H$23:$H$40,MATCH('Programme Implementation Plan'!A31,'Program M&amp;E Plan'!$G$23:$G$40,0))</f>
        <v xml:space="preserve">policies &amp; decisions promoting IPLC rights enacted </v>
      </c>
      <c r="C31" s="71" t="s">
        <v>276</v>
      </c>
      <c r="D31" s="59" t="s">
        <v>277</v>
      </c>
      <c r="E31" s="59">
        <v>0</v>
      </c>
      <c r="F31" s="59">
        <v>0</v>
      </c>
      <c r="G31" s="59">
        <v>0</v>
      </c>
      <c r="H31" s="59">
        <v>0</v>
      </c>
      <c r="I31" s="59">
        <v>0</v>
      </c>
      <c r="J31" s="59">
        <f t="shared" si="1"/>
        <v>0</v>
      </c>
      <c r="K31" s="59"/>
      <c r="L31" s="59"/>
    </row>
    <row r="32" spans="1:12" ht="35.450000000000003" customHeight="1">
      <c r="A32" s="71" t="str">
        <f t="shared" si="0"/>
        <v>4.1.6</v>
      </c>
      <c r="B32" s="196" t="str">
        <f>INDEX('Program M&amp;E Plan'!$H$23:$H$40,MATCH('Programme Implementation Plan'!A32,'Program M&amp;E Plan'!$G$23:$G$40,0))</f>
        <v xml:space="preserve">policies &amp; decisions promoting IPLC rights enacted </v>
      </c>
      <c r="C32" s="71" t="s">
        <v>278</v>
      </c>
      <c r="D32" s="59" t="s">
        <v>279</v>
      </c>
      <c r="E32" s="59">
        <v>50000</v>
      </c>
      <c r="F32" s="59">
        <v>50000</v>
      </c>
      <c r="G32" s="59">
        <v>50000</v>
      </c>
      <c r="H32" s="59">
        <v>50000</v>
      </c>
      <c r="I32" s="59">
        <v>50000</v>
      </c>
      <c r="J32" s="59">
        <f t="shared" si="1"/>
        <v>281250</v>
      </c>
      <c r="K32" s="59"/>
      <c r="L32" s="59"/>
    </row>
    <row r="33" spans="1:12" ht="52.9">
      <c r="A33" s="71" t="str">
        <f t="shared" si="0"/>
        <v>4.1.6</v>
      </c>
      <c r="B33" s="196" t="str">
        <f>INDEX('Program M&amp;E Plan'!$H$23:$H$40,MATCH('Programme Implementation Plan'!A33,'Program M&amp;E Plan'!$G$23:$G$40,0))</f>
        <v xml:space="preserve">policies &amp; decisions promoting IPLC rights enacted </v>
      </c>
      <c r="C33" s="71" t="s">
        <v>280</v>
      </c>
      <c r="D33" s="59" t="s">
        <v>281</v>
      </c>
      <c r="E33" s="59">
        <v>20000</v>
      </c>
      <c r="F33" s="59">
        <v>20000</v>
      </c>
      <c r="G33" s="59">
        <v>20000</v>
      </c>
      <c r="H33" s="59">
        <v>20000</v>
      </c>
      <c r="I33" s="59">
        <v>20000</v>
      </c>
      <c r="J33" s="59">
        <f t="shared" si="1"/>
        <v>112500</v>
      </c>
      <c r="K33" s="59"/>
      <c r="L33" s="59"/>
    </row>
    <row r="34" spans="1:12" ht="52.9">
      <c r="A34" s="71" t="str">
        <f t="shared" si="0"/>
        <v>4.1.6</v>
      </c>
      <c r="B34" s="196" t="str">
        <f>INDEX('Program M&amp;E Plan'!$H$23:$H$40,MATCH('Programme Implementation Plan'!A34,'Program M&amp;E Plan'!$G$23:$G$40,0))</f>
        <v xml:space="preserve">policies &amp; decisions promoting IPLC rights enacted </v>
      </c>
      <c r="C34" s="71" t="s">
        <v>282</v>
      </c>
      <c r="D34" s="59" t="s">
        <v>283</v>
      </c>
      <c r="E34" s="59">
        <v>0</v>
      </c>
      <c r="F34" s="59">
        <v>20000</v>
      </c>
      <c r="G34" s="59">
        <v>20000</v>
      </c>
      <c r="H34" s="59">
        <v>20000</v>
      </c>
      <c r="I34" s="59">
        <v>20000</v>
      </c>
      <c r="J34" s="59">
        <f t="shared" si="1"/>
        <v>90000</v>
      </c>
      <c r="K34" s="59"/>
      <c r="L34" s="59"/>
    </row>
    <row r="35" spans="1:12" ht="39.6">
      <c r="A35" s="71" t="str">
        <f t="shared" si="0"/>
        <v>4.1.7</v>
      </c>
      <c r="B35" s="196" t="e">
        <f>INDEX('Program M&amp;E Plan'!$H$23:$H$40,MATCH('Programme Implementation Plan'!A35,'Program M&amp;E Plan'!$G$23:$G$40,0))</f>
        <v>#N/A</v>
      </c>
      <c r="C35" s="71" t="s">
        <v>284</v>
      </c>
      <c r="D35" s="59" t="s">
        <v>285</v>
      </c>
      <c r="E35" s="59">
        <v>20000</v>
      </c>
      <c r="F35" s="59">
        <v>20000</v>
      </c>
      <c r="G35" s="59">
        <v>20000</v>
      </c>
      <c r="H35" s="59">
        <v>20000</v>
      </c>
      <c r="I35" s="59">
        <v>20000</v>
      </c>
      <c r="J35" s="59">
        <f t="shared" si="1"/>
        <v>112500</v>
      </c>
      <c r="K35" s="59"/>
      <c r="L35" s="59"/>
    </row>
    <row r="36" spans="1:12" ht="52.9">
      <c r="A36" s="71" t="str">
        <f t="shared" si="0"/>
        <v>4.1.7</v>
      </c>
      <c r="B36" s="196" t="e">
        <f>INDEX('Program M&amp;E Plan'!$H$23:$H$40,MATCH('Programme Implementation Plan'!A36,'Program M&amp;E Plan'!$G$23:$G$40,0))</f>
        <v>#N/A</v>
      </c>
      <c r="C36" s="71" t="s">
        <v>286</v>
      </c>
      <c r="D36" s="59" t="s">
        <v>287</v>
      </c>
      <c r="E36" s="59">
        <v>30000</v>
      </c>
      <c r="F36" s="59">
        <v>30000</v>
      </c>
      <c r="G36" s="59">
        <v>30000</v>
      </c>
      <c r="H36" s="59">
        <v>30000</v>
      </c>
      <c r="I36" s="59">
        <v>30000</v>
      </c>
      <c r="J36" s="59">
        <f t="shared" si="1"/>
        <v>168750</v>
      </c>
      <c r="K36" s="59"/>
      <c r="L36" s="59"/>
    </row>
    <row r="37" spans="1:12" ht="45.6" customHeight="1">
      <c r="A37" s="71" t="str">
        <f t="shared" si="0"/>
        <v>4.1.7</v>
      </c>
      <c r="B37" s="196" t="e">
        <f>INDEX('Program M&amp;E Plan'!$H$23:$H$40,MATCH('Programme Implementation Plan'!A37,'Program M&amp;E Plan'!$G$23:$G$40,0))</f>
        <v>#N/A</v>
      </c>
      <c r="C37" s="71" t="s">
        <v>288</v>
      </c>
      <c r="D37" s="59" t="s">
        <v>289</v>
      </c>
      <c r="E37" s="59">
        <v>0</v>
      </c>
      <c r="F37" s="59">
        <v>34000</v>
      </c>
      <c r="G37" s="59">
        <v>20000</v>
      </c>
      <c r="H37" s="59">
        <v>10000</v>
      </c>
      <c r="I37" s="59">
        <v>0</v>
      </c>
      <c r="J37" s="59">
        <f t="shared" si="1"/>
        <v>72000</v>
      </c>
      <c r="K37" s="59"/>
      <c r="L37" s="59"/>
    </row>
    <row r="38" spans="1:12" s="78" customFormat="1" ht="15.6">
      <c r="A38" s="79"/>
      <c r="B38" s="79"/>
      <c r="C38" s="79"/>
      <c r="D38" s="79"/>
      <c r="E38" s="82">
        <f>SUM(E2:E37)*1.125</f>
        <v>7774875</v>
      </c>
      <c r="F38" s="82">
        <f>SUM(F2:F37)*1.125</f>
        <v>7713000</v>
      </c>
      <c r="G38" s="82">
        <f>SUM(G2:G37)*1.125</f>
        <v>7714125</v>
      </c>
      <c r="H38" s="82">
        <f>SUM(H2:H37)*1.125</f>
        <v>7714125</v>
      </c>
      <c r="I38" s="82">
        <f>SUM(I2:I37)*1.125</f>
        <v>7517250</v>
      </c>
      <c r="J38" s="83">
        <f>SUM(J2:J37)</f>
        <v>38433375</v>
      </c>
      <c r="K38" s="59"/>
      <c r="L38" s="59"/>
    </row>
    <row r="39" spans="1:12" ht="13.15">
      <c r="D39" s="48"/>
      <c r="E39" s="48"/>
      <c r="F39" s="48"/>
      <c r="G39" s="48"/>
      <c r="H39" s="48"/>
      <c r="I39" s="48"/>
    </row>
    <row r="40" spans="1:12" ht="13.15">
      <c r="D40" s="48"/>
      <c r="E40" s="48">
        <f>SUM(E2:E34)*1.125</f>
        <v>7718625</v>
      </c>
      <c r="F40" s="48">
        <f t="shared" ref="F40:J40" si="2">SUM(F2:F34)*1.125</f>
        <v>7618500</v>
      </c>
      <c r="G40" s="48">
        <f t="shared" si="2"/>
        <v>7635375</v>
      </c>
      <c r="H40" s="48">
        <f t="shared" si="2"/>
        <v>7646625</v>
      </c>
      <c r="I40" s="48">
        <f t="shared" si="2"/>
        <v>7461000</v>
      </c>
      <c r="J40" s="48">
        <f t="shared" si="2"/>
        <v>42840140.625</v>
      </c>
    </row>
    <row r="41" spans="1:12" ht="13.15">
      <c r="D41" s="48"/>
      <c r="E41" s="48"/>
      <c r="F41" s="48"/>
      <c r="G41" s="48"/>
      <c r="H41" s="48"/>
      <c r="I41" s="48"/>
    </row>
    <row r="42" spans="1:12" ht="13.15">
      <c r="D42" s="48"/>
      <c r="E42" s="48"/>
      <c r="F42" s="48"/>
      <c r="G42" s="48"/>
      <c r="H42" s="48"/>
      <c r="I42" s="48"/>
    </row>
    <row r="43" spans="1:12" ht="13.15">
      <c r="D43" s="48"/>
      <c r="E43" s="48"/>
      <c r="F43" s="48"/>
      <c r="G43" s="48"/>
      <c r="H43" s="48"/>
      <c r="I43" s="48"/>
    </row>
    <row r="44" spans="1:12" ht="13.15">
      <c r="D44" s="48"/>
      <c r="E44" s="48"/>
      <c r="F44" s="48"/>
      <c r="G44" s="48"/>
      <c r="H44" s="48"/>
      <c r="I44" s="48"/>
    </row>
    <row r="45" spans="1:12" ht="13.15">
      <c r="D45" s="48"/>
      <c r="E45" s="48"/>
      <c r="F45" s="48"/>
      <c r="G45" s="48"/>
      <c r="H45" s="48"/>
      <c r="I45" s="48"/>
    </row>
    <row r="46" spans="1:12" ht="13.15">
      <c r="D46" s="48"/>
      <c r="E46" s="48"/>
      <c r="F46" s="48"/>
      <c r="G46" s="48"/>
      <c r="H46" s="48"/>
      <c r="I46" s="48"/>
    </row>
    <row r="47" spans="1:12" ht="13.15">
      <c r="D47" s="48"/>
      <c r="E47" s="48"/>
      <c r="F47" s="48"/>
      <c r="G47" s="48"/>
      <c r="H47" s="48"/>
      <c r="I47" s="48"/>
    </row>
    <row r="48" spans="1:12" ht="13.15">
      <c r="D48" s="48"/>
      <c r="E48" s="48"/>
      <c r="F48" s="48"/>
      <c r="G48" s="48"/>
      <c r="H48" s="48"/>
      <c r="I48" s="48"/>
    </row>
    <row r="49" spans="4:9" ht="13.15">
      <c r="D49" s="48"/>
      <c r="E49" s="48"/>
      <c r="F49" s="48"/>
      <c r="G49" s="48"/>
      <c r="H49" s="48"/>
      <c r="I49" s="48"/>
    </row>
    <row r="50" spans="4:9" ht="13.15">
      <c r="D50" s="48"/>
      <c r="E50" s="48"/>
      <c r="F50" s="48"/>
      <c r="G50" s="48"/>
      <c r="H50" s="48"/>
      <c r="I50" s="48"/>
    </row>
    <row r="51" spans="4:9" ht="13.15">
      <c r="D51" s="48"/>
      <c r="E51" s="48"/>
      <c r="F51" s="48"/>
      <c r="G51" s="48"/>
      <c r="H51" s="48"/>
      <c r="I51" s="48"/>
    </row>
    <row r="52" spans="4:9" ht="13.15">
      <c r="D52" s="48"/>
      <c r="E52" s="48"/>
      <c r="F52" s="48"/>
      <c r="G52" s="48"/>
      <c r="H52" s="48"/>
      <c r="I52" s="48"/>
    </row>
    <row r="53" spans="4:9" ht="13.15">
      <c r="D53" s="48"/>
      <c r="E53" s="48"/>
      <c r="F53" s="48"/>
      <c r="G53" s="48"/>
      <c r="H53" s="48"/>
      <c r="I53" s="48"/>
    </row>
    <row r="54" spans="4:9" ht="13.15">
      <c r="D54" s="48"/>
      <c r="E54" s="48"/>
      <c r="F54" s="48"/>
      <c r="G54" s="48"/>
      <c r="H54" s="48"/>
      <c r="I54" s="48"/>
    </row>
    <row r="55" spans="4:9" ht="13.15">
      <c r="D55" s="48"/>
      <c r="E55" s="48"/>
      <c r="F55" s="48"/>
      <c r="G55" s="48"/>
      <c r="H55" s="48"/>
      <c r="I55" s="48"/>
    </row>
    <row r="56" spans="4:9" ht="13.15">
      <c r="D56" s="48"/>
      <c r="E56" s="48"/>
      <c r="F56" s="48"/>
      <c r="G56" s="48"/>
      <c r="H56" s="48"/>
      <c r="I56" s="48"/>
    </row>
    <row r="57" spans="4:9" ht="13.15">
      <c r="D57" s="48"/>
      <c r="E57" s="48"/>
      <c r="F57" s="48"/>
      <c r="G57" s="48"/>
      <c r="H57" s="48"/>
      <c r="I57" s="48"/>
    </row>
    <row r="58" spans="4:9" ht="13.15">
      <c r="D58" s="48"/>
      <c r="E58" s="48"/>
      <c r="F58" s="48"/>
      <c r="G58" s="48"/>
      <c r="H58" s="48"/>
      <c r="I58" s="48"/>
    </row>
    <row r="59" spans="4:9" ht="13.15">
      <c r="D59" s="48"/>
      <c r="E59" s="48"/>
      <c r="F59" s="48"/>
      <c r="G59" s="48"/>
      <c r="H59" s="48"/>
      <c r="I59" s="48"/>
    </row>
    <row r="60" spans="4:9" ht="13.15">
      <c r="D60" s="48"/>
      <c r="E60" s="48"/>
      <c r="F60" s="48"/>
      <c r="G60" s="48"/>
      <c r="H60" s="48"/>
      <c r="I60" s="48"/>
    </row>
    <row r="61" spans="4:9" ht="13.15">
      <c r="D61" s="48"/>
      <c r="E61" s="48"/>
      <c r="F61" s="48"/>
      <c r="G61" s="48"/>
      <c r="H61" s="48"/>
      <c r="I61" s="48"/>
    </row>
    <row r="62" spans="4:9" ht="13.15">
      <c r="D62" s="48"/>
      <c r="E62" s="48"/>
      <c r="F62" s="48"/>
      <c r="G62" s="48"/>
      <c r="H62" s="48"/>
      <c r="I62" s="48"/>
    </row>
    <row r="63" spans="4:9" ht="13.15">
      <c r="D63" s="48"/>
      <c r="E63" s="48"/>
      <c r="F63" s="48"/>
      <c r="G63" s="48"/>
      <c r="H63" s="48"/>
      <c r="I63" s="48"/>
    </row>
    <row r="64" spans="4:9" ht="13.15">
      <c r="D64" s="48"/>
      <c r="E64" s="48"/>
      <c r="F64" s="48"/>
      <c r="G64" s="48"/>
      <c r="H64" s="48"/>
      <c r="I64" s="48"/>
    </row>
    <row r="65" spans="4:9" ht="13.15">
      <c r="D65" s="48"/>
      <c r="E65" s="48"/>
      <c r="F65" s="48"/>
      <c r="G65" s="48"/>
      <c r="H65" s="48"/>
      <c r="I65" s="48"/>
    </row>
    <row r="66" spans="4:9" ht="13.15">
      <c r="D66" s="48"/>
      <c r="E66" s="48"/>
      <c r="F66" s="48"/>
      <c r="G66" s="48"/>
      <c r="H66" s="48"/>
      <c r="I66" s="48"/>
    </row>
    <row r="67" spans="4:9" ht="13.15">
      <c r="D67" s="48"/>
      <c r="E67" s="48"/>
      <c r="F67" s="48"/>
      <c r="G67" s="48"/>
      <c r="H67" s="48"/>
      <c r="I67" s="48"/>
    </row>
    <row r="68" spans="4:9" ht="13.15">
      <c r="D68" s="48"/>
      <c r="E68" s="48"/>
      <c r="F68" s="48"/>
      <c r="G68" s="48"/>
      <c r="H68" s="48"/>
      <c r="I68" s="48"/>
    </row>
    <row r="69" spans="4:9" ht="13.15">
      <c r="D69" s="48"/>
      <c r="E69" s="48"/>
      <c r="F69" s="48"/>
      <c r="G69" s="48"/>
      <c r="H69" s="48"/>
      <c r="I69" s="48"/>
    </row>
    <row r="70" spans="4:9" ht="13.15">
      <c r="D70" s="48"/>
      <c r="E70" s="48"/>
      <c r="F70" s="48"/>
      <c r="G70" s="48"/>
      <c r="H70" s="48"/>
      <c r="I70" s="48"/>
    </row>
    <row r="71" spans="4:9" ht="13.15">
      <c r="D71" s="48"/>
      <c r="E71" s="48"/>
      <c r="F71" s="48"/>
      <c r="G71" s="48"/>
      <c r="H71" s="48"/>
      <c r="I71" s="48"/>
    </row>
    <row r="72" spans="4:9" ht="13.15">
      <c r="D72" s="48"/>
      <c r="E72" s="48"/>
      <c r="F72" s="48"/>
      <c r="G72" s="48"/>
      <c r="H72" s="48"/>
      <c r="I72" s="48"/>
    </row>
    <row r="73" spans="4:9" ht="13.15">
      <c r="D73" s="48"/>
      <c r="E73" s="48"/>
      <c r="F73" s="48"/>
      <c r="G73" s="48"/>
      <c r="H73" s="48"/>
      <c r="I73" s="48"/>
    </row>
    <row r="74" spans="4:9" ht="13.15">
      <c r="D74" s="48"/>
      <c r="E74" s="48"/>
      <c r="F74" s="48"/>
      <c r="G74" s="48"/>
      <c r="H74" s="48"/>
      <c r="I74" s="48"/>
    </row>
    <row r="75" spans="4:9" ht="13.15">
      <c r="D75" s="48"/>
      <c r="E75" s="48"/>
      <c r="F75" s="48"/>
      <c r="G75" s="48"/>
      <c r="H75" s="48"/>
      <c r="I75" s="48"/>
    </row>
    <row r="76" spans="4:9" ht="13.15">
      <c r="D76" s="48"/>
      <c r="E76" s="48"/>
      <c r="F76" s="48"/>
      <c r="G76" s="48"/>
      <c r="H76" s="48"/>
      <c r="I76" s="48"/>
    </row>
    <row r="77" spans="4:9" ht="13.15">
      <c r="D77" s="48"/>
      <c r="E77" s="48"/>
      <c r="F77" s="48"/>
      <c r="G77" s="48"/>
      <c r="H77" s="48"/>
      <c r="I77" s="48"/>
    </row>
    <row r="78" spans="4:9" ht="13.15">
      <c r="D78" s="48"/>
      <c r="E78" s="48"/>
      <c r="F78" s="48"/>
      <c r="G78" s="48"/>
      <c r="H78" s="48"/>
      <c r="I78" s="48"/>
    </row>
    <row r="79" spans="4:9" ht="13.15">
      <c r="D79" s="48"/>
      <c r="E79" s="48"/>
      <c r="F79" s="48"/>
      <c r="G79" s="48"/>
      <c r="H79" s="48"/>
      <c r="I79" s="48"/>
    </row>
    <row r="80" spans="4:9" ht="13.15">
      <c r="D80" s="48"/>
      <c r="E80" s="48"/>
      <c r="F80" s="48"/>
      <c r="G80" s="48"/>
      <c r="H80" s="48"/>
      <c r="I80" s="48"/>
    </row>
    <row r="81" spans="4:9" ht="13.15">
      <c r="D81" s="48"/>
      <c r="E81" s="48"/>
      <c r="F81" s="48"/>
      <c r="G81" s="48"/>
      <c r="H81" s="48"/>
      <c r="I81" s="48"/>
    </row>
    <row r="82" spans="4:9" ht="13.15">
      <c r="D82" s="48"/>
      <c r="E82" s="48"/>
      <c r="F82" s="48"/>
      <c r="G82" s="48"/>
      <c r="H82" s="48"/>
      <c r="I82" s="48"/>
    </row>
    <row r="83" spans="4:9" ht="13.15">
      <c r="D83" s="48"/>
      <c r="E83" s="48"/>
      <c r="F83" s="48"/>
      <c r="G83" s="48"/>
      <c r="H83" s="48"/>
      <c r="I83" s="48"/>
    </row>
    <row r="84" spans="4:9" ht="13.15">
      <c r="D84" s="48"/>
      <c r="E84" s="48"/>
      <c r="F84" s="48"/>
      <c r="G84" s="48"/>
      <c r="H84" s="48"/>
      <c r="I84" s="48"/>
    </row>
    <row r="85" spans="4:9" ht="13.15">
      <c r="D85" s="48"/>
      <c r="E85" s="48"/>
      <c r="F85" s="48"/>
      <c r="G85" s="48"/>
      <c r="H85" s="48"/>
      <c r="I85" s="48"/>
    </row>
    <row r="86" spans="4:9" ht="13.15">
      <c r="D86" s="48"/>
      <c r="E86" s="48"/>
      <c r="F86" s="48"/>
      <c r="G86" s="48"/>
      <c r="H86" s="48"/>
      <c r="I86" s="48"/>
    </row>
    <row r="87" spans="4:9" ht="13.15">
      <c r="D87" s="48"/>
      <c r="E87" s="48"/>
      <c r="F87" s="48"/>
      <c r="G87" s="48"/>
      <c r="H87" s="48"/>
      <c r="I87" s="48"/>
    </row>
    <row r="88" spans="4:9" ht="13.15">
      <c r="D88" s="48"/>
      <c r="E88" s="48"/>
      <c r="F88" s="48"/>
      <c r="G88" s="48"/>
      <c r="H88" s="48"/>
      <c r="I88" s="48"/>
    </row>
    <row r="89" spans="4:9" ht="13.15">
      <c r="D89" s="48"/>
      <c r="E89" s="48"/>
      <c r="F89" s="48"/>
      <c r="G89" s="48"/>
      <c r="H89" s="48"/>
      <c r="I89" s="48"/>
    </row>
    <row r="90" spans="4:9" ht="13.15">
      <c r="D90" s="48"/>
      <c r="E90" s="48"/>
      <c r="F90" s="48"/>
      <c r="G90" s="48"/>
      <c r="H90" s="48"/>
      <c r="I90" s="48"/>
    </row>
    <row r="91" spans="4:9" ht="13.15">
      <c r="D91" s="48"/>
      <c r="E91" s="48"/>
      <c r="F91" s="48"/>
      <c r="G91" s="48"/>
      <c r="H91" s="48"/>
      <c r="I91" s="48"/>
    </row>
    <row r="92" spans="4:9" ht="13.15">
      <c r="D92" s="48"/>
      <c r="E92" s="48"/>
      <c r="F92" s="48"/>
      <c r="G92" s="48"/>
      <c r="H92" s="48"/>
      <c r="I92" s="48"/>
    </row>
    <row r="93" spans="4:9" ht="13.15">
      <c r="D93" s="48"/>
      <c r="E93" s="48"/>
      <c r="F93" s="48"/>
      <c r="G93" s="48"/>
      <c r="H93" s="48"/>
      <c r="I93" s="48"/>
    </row>
    <row r="94" spans="4:9" ht="13.15">
      <c r="D94" s="48"/>
      <c r="E94" s="48"/>
      <c r="F94" s="48"/>
      <c r="G94" s="48"/>
      <c r="H94" s="48"/>
      <c r="I94" s="48"/>
    </row>
    <row r="95" spans="4:9" ht="13.15">
      <c r="D95" s="48"/>
      <c r="E95" s="48"/>
      <c r="F95" s="48"/>
      <c r="G95" s="48"/>
      <c r="H95" s="48"/>
      <c r="I95" s="48"/>
    </row>
    <row r="96" spans="4:9" ht="13.15">
      <c r="D96" s="48"/>
      <c r="E96" s="48"/>
      <c r="F96" s="48"/>
      <c r="G96" s="48"/>
      <c r="H96" s="48"/>
      <c r="I96" s="48"/>
    </row>
    <row r="97" spans="4:9" ht="13.15">
      <c r="D97" s="48"/>
      <c r="E97" s="48"/>
      <c r="F97" s="48"/>
      <c r="G97" s="48"/>
      <c r="H97" s="48"/>
      <c r="I97" s="48"/>
    </row>
    <row r="98" spans="4:9" ht="13.15">
      <c r="D98" s="48"/>
      <c r="E98" s="48"/>
      <c r="F98" s="48"/>
      <c r="G98" s="48"/>
      <c r="H98" s="48"/>
      <c r="I98" s="48"/>
    </row>
    <row r="99" spans="4:9" ht="13.15">
      <c r="D99" s="48"/>
      <c r="E99" s="48"/>
      <c r="F99" s="48"/>
      <c r="G99" s="48"/>
      <c r="H99" s="48"/>
      <c r="I99" s="48"/>
    </row>
    <row r="100" spans="4:9" ht="13.15">
      <c r="D100" s="48"/>
      <c r="E100" s="48"/>
      <c r="F100" s="48"/>
      <c r="G100" s="48"/>
      <c r="H100" s="48"/>
      <c r="I100" s="48"/>
    </row>
    <row r="101" spans="4:9" ht="13.15">
      <c r="D101" s="48"/>
      <c r="E101" s="48"/>
      <c r="F101" s="48"/>
      <c r="G101" s="48"/>
      <c r="H101" s="48"/>
      <c r="I101" s="48"/>
    </row>
    <row r="102" spans="4:9" ht="13.15">
      <c r="D102" s="48"/>
      <c r="E102" s="48"/>
      <c r="F102" s="48"/>
      <c r="G102" s="48"/>
      <c r="H102" s="48"/>
      <c r="I102" s="48"/>
    </row>
    <row r="103" spans="4:9" ht="13.15">
      <c r="D103" s="48"/>
      <c r="E103" s="48"/>
      <c r="F103" s="48"/>
      <c r="G103" s="48"/>
      <c r="H103" s="48"/>
      <c r="I103" s="48"/>
    </row>
    <row r="104" spans="4:9" ht="13.15">
      <c r="D104" s="48"/>
      <c r="E104" s="48"/>
      <c r="F104" s="48"/>
      <c r="G104" s="48"/>
      <c r="H104" s="48"/>
      <c r="I104" s="48"/>
    </row>
    <row r="105" spans="4:9" ht="13.15">
      <c r="D105" s="48"/>
      <c r="E105" s="48"/>
      <c r="F105" s="48"/>
      <c r="G105" s="48"/>
      <c r="H105" s="48"/>
      <c r="I105" s="48"/>
    </row>
    <row r="106" spans="4:9" ht="13.15">
      <c r="D106" s="48"/>
      <c r="E106" s="48"/>
      <c r="F106" s="48"/>
      <c r="G106" s="48"/>
      <c r="H106" s="48"/>
      <c r="I106" s="48"/>
    </row>
    <row r="107" spans="4:9" ht="13.15">
      <c r="D107" s="48"/>
      <c r="E107" s="48"/>
      <c r="F107" s="48"/>
      <c r="G107" s="48"/>
      <c r="H107" s="48"/>
      <c r="I107" s="48"/>
    </row>
    <row r="108" spans="4:9" ht="13.15">
      <c r="D108" s="48"/>
      <c r="E108" s="48"/>
      <c r="F108" s="48"/>
      <c r="G108" s="48"/>
      <c r="H108" s="48"/>
      <c r="I108" s="48"/>
    </row>
    <row r="109" spans="4:9" ht="13.15">
      <c r="D109" s="48"/>
      <c r="E109" s="48"/>
      <c r="F109" s="48"/>
      <c r="G109" s="48"/>
      <c r="H109" s="48"/>
      <c r="I109" s="48"/>
    </row>
    <row r="110" spans="4:9" ht="13.15">
      <c r="D110" s="48"/>
      <c r="E110" s="48"/>
      <c r="F110" s="48"/>
      <c r="G110" s="48"/>
      <c r="H110" s="48"/>
      <c r="I110" s="48"/>
    </row>
    <row r="111" spans="4:9" ht="13.15">
      <c r="D111" s="48"/>
      <c r="E111" s="48"/>
      <c r="F111" s="48"/>
      <c r="G111" s="48"/>
      <c r="H111" s="48"/>
      <c r="I111" s="48"/>
    </row>
    <row r="112" spans="4:9" ht="13.15">
      <c r="D112" s="48"/>
      <c r="E112" s="48"/>
      <c r="F112" s="48"/>
      <c r="G112" s="48"/>
      <c r="H112" s="48"/>
      <c r="I112" s="48"/>
    </row>
    <row r="113" spans="4:9" ht="13.15">
      <c r="D113" s="48"/>
      <c r="E113" s="48"/>
      <c r="F113" s="48"/>
      <c r="G113" s="48"/>
      <c r="H113" s="48"/>
      <c r="I113" s="48"/>
    </row>
    <row r="114" spans="4:9" ht="13.15">
      <c r="D114" s="48"/>
      <c r="E114" s="48"/>
      <c r="F114" s="48"/>
      <c r="G114" s="48"/>
      <c r="H114" s="48"/>
      <c r="I114" s="48"/>
    </row>
    <row r="115" spans="4:9" ht="13.15">
      <c r="D115" s="48"/>
      <c r="E115" s="48"/>
      <c r="F115" s="48"/>
      <c r="G115" s="48"/>
      <c r="H115" s="48"/>
      <c r="I115" s="48"/>
    </row>
    <row r="116" spans="4:9" ht="13.15">
      <c r="D116" s="48"/>
      <c r="E116" s="48"/>
      <c r="F116" s="48"/>
      <c r="G116" s="48"/>
      <c r="H116" s="48"/>
      <c r="I116" s="48"/>
    </row>
    <row r="117" spans="4:9" ht="13.15">
      <c r="D117" s="48"/>
      <c r="E117" s="48"/>
      <c r="F117" s="48"/>
      <c r="G117" s="48"/>
      <c r="H117" s="48"/>
      <c r="I117" s="48"/>
    </row>
    <row r="118" spans="4:9" ht="13.15">
      <c r="D118" s="48"/>
      <c r="E118" s="48"/>
      <c r="F118" s="48"/>
      <c r="G118" s="48"/>
      <c r="H118" s="48"/>
      <c r="I118" s="48"/>
    </row>
    <row r="119" spans="4:9" ht="13.15">
      <c r="D119" s="48"/>
      <c r="E119" s="48"/>
      <c r="F119" s="48"/>
      <c r="G119" s="48"/>
      <c r="H119" s="48"/>
      <c r="I119" s="48"/>
    </row>
    <row r="120" spans="4:9" ht="13.15">
      <c r="D120" s="48"/>
      <c r="E120" s="48"/>
      <c r="F120" s="48"/>
      <c r="G120" s="48"/>
      <c r="H120" s="48"/>
      <c r="I120" s="48"/>
    </row>
    <row r="121" spans="4:9" ht="13.15">
      <c r="D121" s="48"/>
      <c r="E121" s="48"/>
      <c r="F121" s="48"/>
      <c r="G121" s="48"/>
      <c r="H121" s="48"/>
      <c r="I121" s="48"/>
    </row>
    <row r="122" spans="4:9" ht="13.15">
      <c r="D122" s="48"/>
      <c r="E122" s="48"/>
      <c r="F122" s="48"/>
      <c r="G122" s="48"/>
      <c r="H122" s="48"/>
      <c r="I122" s="48"/>
    </row>
    <row r="123" spans="4:9" ht="13.15">
      <c r="D123" s="48"/>
      <c r="E123" s="48"/>
      <c r="F123" s="48"/>
      <c r="G123" s="48"/>
      <c r="H123" s="48"/>
      <c r="I123" s="48"/>
    </row>
    <row r="124" spans="4:9" ht="13.15">
      <c r="D124" s="48"/>
      <c r="E124" s="48"/>
      <c r="F124" s="48"/>
      <c r="G124" s="48"/>
      <c r="H124" s="48"/>
      <c r="I124" s="48"/>
    </row>
    <row r="125" spans="4:9" ht="13.15">
      <c r="D125" s="48"/>
      <c r="E125" s="48"/>
      <c r="F125" s="48"/>
      <c r="G125" s="48"/>
      <c r="H125" s="48"/>
      <c r="I125" s="48"/>
    </row>
    <row r="126" spans="4:9" ht="13.15">
      <c r="D126" s="48"/>
      <c r="E126" s="48"/>
      <c r="F126" s="48"/>
      <c r="G126" s="48"/>
      <c r="H126" s="48"/>
      <c r="I126" s="48"/>
    </row>
    <row r="127" spans="4:9" ht="13.15">
      <c r="D127" s="48"/>
      <c r="E127" s="48"/>
      <c r="F127" s="48"/>
      <c r="G127" s="48"/>
      <c r="H127" s="48"/>
      <c r="I127" s="48"/>
    </row>
    <row r="128" spans="4:9" ht="13.15">
      <c r="D128" s="48"/>
      <c r="E128" s="48"/>
      <c r="F128" s="48"/>
      <c r="G128" s="48"/>
      <c r="H128" s="48"/>
      <c r="I128" s="48"/>
    </row>
    <row r="129" spans="4:9" ht="13.15">
      <c r="D129" s="48"/>
      <c r="E129" s="48"/>
      <c r="F129" s="48"/>
      <c r="G129" s="48"/>
      <c r="H129" s="48"/>
      <c r="I129" s="48"/>
    </row>
    <row r="130" spans="4:9" ht="13.15">
      <c r="D130" s="48"/>
      <c r="E130" s="48"/>
      <c r="F130" s="48"/>
      <c r="G130" s="48"/>
      <c r="H130" s="48"/>
      <c r="I130" s="48"/>
    </row>
    <row r="131" spans="4:9" ht="13.15">
      <c r="D131" s="48"/>
      <c r="E131" s="48"/>
      <c r="F131" s="48"/>
      <c r="G131" s="48"/>
      <c r="H131" s="48"/>
      <c r="I131" s="48"/>
    </row>
    <row r="132" spans="4:9" ht="13.15">
      <c r="D132" s="48"/>
      <c r="E132" s="48"/>
      <c r="F132" s="48"/>
      <c r="G132" s="48"/>
      <c r="H132" s="48"/>
      <c r="I132" s="48"/>
    </row>
    <row r="133" spans="4:9" ht="13.15">
      <c r="D133" s="48"/>
      <c r="E133" s="48"/>
      <c r="F133" s="48"/>
      <c r="G133" s="48"/>
      <c r="H133" s="48"/>
      <c r="I133" s="48"/>
    </row>
    <row r="134" spans="4:9" ht="13.15">
      <c r="D134" s="48"/>
      <c r="E134" s="48"/>
      <c r="F134" s="48"/>
      <c r="G134" s="48"/>
      <c r="H134" s="48"/>
      <c r="I134" s="48"/>
    </row>
    <row r="135" spans="4:9" ht="13.15">
      <c r="D135" s="48"/>
      <c r="E135" s="48"/>
      <c r="F135" s="48"/>
      <c r="G135" s="48"/>
      <c r="H135" s="48"/>
      <c r="I135" s="48"/>
    </row>
    <row r="136" spans="4:9" ht="13.15">
      <c r="D136" s="48"/>
      <c r="E136" s="48"/>
      <c r="F136" s="48"/>
      <c r="G136" s="48"/>
      <c r="H136" s="48"/>
      <c r="I136" s="48"/>
    </row>
    <row r="137" spans="4:9" ht="13.15">
      <c r="D137" s="48"/>
      <c r="E137" s="48"/>
      <c r="F137" s="48"/>
      <c r="G137" s="48"/>
      <c r="H137" s="48"/>
      <c r="I137" s="48"/>
    </row>
    <row r="138" spans="4:9" ht="13.15">
      <c r="D138" s="48"/>
      <c r="E138" s="48"/>
      <c r="F138" s="48"/>
      <c r="G138" s="48"/>
      <c r="H138" s="48"/>
      <c r="I138" s="48"/>
    </row>
    <row r="139" spans="4:9" ht="13.15">
      <c r="D139" s="48"/>
      <c r="E139" s="48"/>
      <c r="F139" s="48"/>
      <c r="G139" s="48"/>
      <c r="H139" s="48"/>
      <c r="I139" s="48"/>
    </row>
    <row r="140" spans="4:9" ht="13.15">
      <c r="D140" s="48"/>
      <c r="E140" s="48"/>
      <c r="F140" s="48"/>
      <c r="G140" s="48"/>
      <c r="H140" s="48"/>
      <c r="I140" s="48"/>
    </row>
    <row r="141" spans="4:9" ht="13.15">
      <c r="D141" s="48"/>
      <c r="E141" s="48"/>
      <c r="F141" s="48"/>
      <c r="G141" s="48"/>
      <c r="H141" s="48"/>
      <c r="I141" s="48"/>
    </row>
    <row r="142" spans="4:9" ht="13.15">
      <c r="D142" s="48"/>
      <c r="E142" s="48"/>
      <c r="F142" s="48"/>
      <c r="G142" s="48"/>
      <c r="H142" s="48"/>
      <c r="I142" s="48"/>
    </row>
    <row r="143" spans="4:9" ht="13.15">
      <c r="D143" s="48"/>
      <c r="E143" s="48"/>
      <c r="F143" s="48"/>
      <c r="G143" s="48"/>
      <c r="H143" s="48"/>
      <c r="I143" s="48"/>
    </row>
    <row r="144" spans="4:9" ht="13.15">
      <c r="D144" s="48"/>
      <c r="E144" s="48"/>
      <c r="F144" s="48"/>
      <c r="G144" s="48"/>
      <c r="H144" s="48"/>
      <c r="I144" s="48"/>
    </row>
    <row r="145" spans="4:9" ht="13.15">
      <c r="D145" s="48"/>
      <c r="E145" s="48"/>
      <c r="F145" s="48"/>
      <c r="G145" s="48"/>
      <c r="H145" s="48"/>
      <c r="I145" s="48"/>
    </row>
    <row r="146" spans="4:9" ht="13.15">
      <c r="D146" s="48"/>
      <c r="E146" s="48"/>
      <c r="F146" s="48"/>
      <c r="G146" s="48"/>
      <c r="H146" s="48"/>
      <c r="I146" s="48"/>
    </row>
    <row r="147" spans="4:9" ht="13.15">
      <c r="D147" s="48"/>
      <c r="E147" s="48"/>
      <c r="F147" s="48"/>
      <c r="G147" s="48"/>
      <c r="H147" s="48"/>
      <c r="I147" s="48"/>
    </row>
    <row r="148" spans="4:9" ht="13.15">
      <c r="D148" s="48"/>
      <c r="E148" s="48"/>
      <c r="F148" s="48"/>
      <c r="G148" s="48"/>
      <c r="H148" s="48"/>
      <c r="I148" s="48"/>
    </row>
    <row r="149" spans="4:9" ht="13.15">
      <c r="D149" s="48"/>
      <c r="E149" s="48"/>
      <c r="F149" s="48"/>
      <c r="G149" s="48"/>
      <c r="H149" s="48"/>
      <c r="I149" s="48"/>
    </row>
    <row r="150" spans="4:9" ht="13.15">
      <c r="D150" s="48"/>
      <c r="E150" s="48"/>
      <c r="F150" s="48"/>
      <c r="G150" s="48"/>
      <c r="H150" s="48"/>
      <c r="I150" s="48"/>
    </row>
    <row r="151" spans="4:9" ht="13.15">
      <c r="D151" s="48"/>
      <c r="E151" s="48"/>
      <c r="F151" s="48"/>
      <c r="G151" s="48"/>
      <c r="H151" s="48"/>
      <c r="I151" s="48"/>
    </row>
    <row r="152" spans="4:9" ht="13.15">
      <c r="D152" s="48"/>
      <c r="E152" s="48"/>
      <c r="F152" s="48"/>
      <c r="G152" s="48"/>
      <c r="H152" s="48"/>
      <c r="I152" s="48"/>
    </row>
    <row r="153" spans="4:9" ht="13.15">
      <c r="D153" s="48"/>
      <c r="E153" s="48"/>
      <c r="F153" s="48"/>
      <c r="G153" s="48"/>
      <c r="H153" s="48"/>
      <c r="I153" s="48"/>
    </row>
    <row r="154" spans="4:9" ht="13.15">
      <c r="D154" s="48"/>
      <c r="E154" s="48"/>
      <c r="F154" s="48"/>
      <c r="G154" s="48"/>
      <c r="H154" s="48"/>
      <c r="I154" s="48"/>
    </row>
    <row r="155" spans="4:9" ht="13.15">
      <c r="D155" s="48"/>
      <c r="E155" s="48"/>
      <c r="F155" s="48"/>
      <c r="G155" s="48"/>
      <c r="H155" s="48"/>
      <c r="I155" s="48"/>
    </row>
    <row r="156" spans="4:9" ht="13.15">
      <c r="D156" s="48"/>
      <c r="E156" s="48"/>
      <c r="F156" s="48"/>
      <c r="G156" s="48"/>
      <c r="H156" s="48"/>
      <c r="I156" s="48"/>
    </row>
    <row r="157" spans="4:9" ht="13.15">
      <c r="D157" s="48"/>
      <c r="E157" s="48"/>
      <c r="F157" s="48"/>
      <c r="G157" s="48"/>
      <c r="H157" s="48"/>
      <c r="I157" s="48"/>
    </row>
    <row r="158" spans="4:9" ht="13.15">
      <c r="D158" s="48"/>
      <c r="E158" s="48"/>
      <c r="F158" s="48"/>
      <c r="G158" s="48"/>
      <c r="H158" s="48"/>
      <c r="I158" s="48"/>
    </row>
    <row r="159" spans="4:9" ht="13.15">
      <c r="D159" s="48"/>
      <c r="E159" s="48"/>
      <c r="F159" s="48"/>
      <c r="G159" s="48"/>
      <c r="H159" s="48"/>
      <c r="I159" s="48"/>
    </row>
    <row r="160" spans="4:9" ht="13.15">
      <c r="D160" s="48"/>
      <c r="E160" s="48"/>
      <c r="F160" s="48"/>
      <c r="G160" s="48"/>
      <c r="H160" s="48"/>
      <c r="I160" s="48"/>
    </row>
    <row r="161" spans="4:9" ht="13.15">
      <c r="D161" s="48"/>
      <c r="E161" s="48"/>
      <c r="F161" s="48"/>
      <c r="G161" s="48"/>
      <c r="H161" s="48"/>
      <c r="I161" s="48"/>
    </row>
    <row r="162" spans="4:9" ht="13.15">
      <c r="D162" s="48"/>
      <c r="E162" s="48"/>
      <c r="F162" s="48"/>
      <c r="G162" s="48"/>
      <c r="H162" s="48"/>
      <c r="I162" s="48"/>
    </row>
    <row r="163" spans="4:9" ht="13.15">
      <c r="D163" s="48"/>
      <c r="E163" s="48"/>
      <c r="F163" s="48"/>
      <c r="G163" s="48"/>
      <c r="H163" s="48"/>
      <c r="I163" s="48"/>
    </row>
    <row r="164" spans="4:9" ht="13.15">
      <c r="D164" s="48"/>
      <c r="E164" s="48"/>
      <c r="F164" s="48"/>
      <c r="G164" s="48"/>
      <c r="H164" s="48"/>
      <c r="I164" s="48"/>
    </row>
    <row r="165" spans="4:9" ht="13.15">
      <c r="D165" s="48"/>
      <c r="E165" s="48"/>
      <c r="F165" s="48"/>
      <c r="G165" s="48"/>
      <c r="H165" s="48"/>
      <c r="I165" s="48"/>
    </row>
    <row r="166" spans="4:9" ht="13.15">
      <c r="D166" s="48"/>
      <c r="E166" s="48"/>
      <c r="F166" s="48"/>
      <c r="G166" s="48"/>
      <c r="H166" s="48"/>
      <c r="I166" s="48"/>
    </row>
    <row r="167" spans="4:9" ht="13.15">
      <c r="D167" s="48"/>
      <c r="E167" s="48"/>
      <c r="F167" s="48"/>
      <c r="G167" s="48"/>
      <c r="H167" s="48"/>
      <c r="I167" s="48"/>
    </row>
    <row r="168" spans="4:9" ht="13.15">
      <c r="D168" s="48"/>
      <c r="E168" s="48"/>
      <c r="F168" s="48"/>
      <c r="G168" s="48"/>
      <c r="H168" s="48"/>
      <c r="I168" s="48"/>
    </row>
    <row r="169" spans="4:9" ht="13.15">
      <c r="D169" s="48"/>
      <c r="E169" s="48"/>
      <c r="F169" s="48"/>
      <c r="G169" s="48"/>
      <c r="H169" s="48"/>
      <c r="I169" s="48"/>
    </row>
    <row r="170" spans="4:9" ht="13.15">
      <c r="D170" s="48"/>
      <c r="E170" s="48"/>
      <c r="F170" s="48"/>
      <c r="G170" s="48"/>
      <c r="H170" s="48"/>
      <c r="I170" s="48"/>
    </row>
    <row r="171" spans="4:9" ht="13.15">
      <c r="D171" s="48"/>
      <c r="E171" s="48"/>
      <c r="F171" s="48"/>
      <c r="G171" s="48"/>
      <c r="H171" s="48"/>
      <c r="I171" s="48"/>
    </row>
    <row r="172" spans="4:9" ht="13.15">
      <c r="D172" s="48"/>
      <c r="E172" s="48"/>
      <c r="F172" s="48"/>
      <c r="G172" s="48"/>
      <c r="H172" s="48"/>
      <c r="I172" s="48"/>
    </row>
    <row r="173" spans="4:9" ht="13.15">
      <c r="D173" s="48"/>
      <c r="E173" s="48"/>
      <c r="F173" s="48"/>
      <c r="G173" s="48"/>
      <c r="H173" s="48"/>
      <c r="I173" s="48"/>
    </row>
    <row r="174" spans="4:9" ht="13.15">
      <c r="D174" s="48"/>
      <c r="E174" s="48"/>
      <c r="F174" s="48"/>
      <c r="G174" s="48"/>
      <c r="H174" s="48"/>
      <c r="I174" s="48"/>
    </row>
    <row r="175" spans="4:9" ht="13.15">
      <c r="D175" s="48"/>
      <c r="E175" s="48"/>
      <c r="F175" s="48"/>
      <c r="G175" s="48"/>
      <c r="H175" s="48"/>
      <c r="I175" s="48"/>
    </row>
    <row r="176" spans="4:9" ht="13.15">
      <c r="D176" s="48"/>
      <c r="E176" s="48"/>
      <c r="F176" s="48"/>
      <c r="G176" s="48"/>
      <c r="H176" s="48"/>
      <c r="I176" s="48"/>
    </row>
    <row r="177" spans="4:9" ht="13.15">
      <c r="D177" s="48"/>
      <c r="E177" s="48"/>
      <c r="F177" s="48"/>
      <c r="G177" s="48"/>
      <c r="H177" s="48"/>
      <c r="I177" s="48"/>
    </row>
    <row r="178" spans="4:9" ht="13.15">
      <c r="D178" s="48"/>
      <c r="E178" s="48"/>
      <c r="F178" s="48"/>
      <c r="G178" s="48"/>
      <c r="H178" s="48"/>
      <c r="I178" s="48"/>
    </row>
    <row r="179" spans="4:9" ht="13.15">
      <c r="D179" s="48"/>
      <c r="E179" s="48"/>
      <c r="F179" s="48"/>
      <c r="G179" s="48"/>
      <c r="H179" s="48"/>
      <c r="I179" s="48"/>
    </row>
    <row r="180" spans="4:9" ht="13.15">
      <c r="D180" s="48"/>
      <c r="E180" s="48"/>
      <c r="F180" s="48"/>
      <c r="G180" s="48"/>
      <c r="H180" s="48"/>
      <c r="I180" s="48"/>
    </row>
    <row r="181" spans="4:9" ht="13.15">
      <c r="D181" s="48"/>
      <c r="E181" s="48"/>
      <c r="F181" s="48"/>
      <c r="G181" s="48"/>
      <c r="H181" s="48"/>
      <c r="I181" s="48"/>
    </row>
    <row r="182" spans="4:9" ht="13.15">
      <c r="D182" s="48"/>
      <c r="E182" s="48"/>
      <c r="F182" s="48"/>
      <c r="G182" s="48"/>
      <c r="H182" s="48"/>
      <c r="I182" s="48"/>
    </row>
    <row r="183" spans="4:9" ht="13.15">
      <c r="D183" s="48"/>
      <c r="E183" s="48"/>
      <c r="F183" s="48"/>
      <c r="G183" s="48"/>
      <c r="H183" s="48"/>
      <c r="I183" s="48"/>
    </row>
    <row r="184" spans="4:9" ht="13.15">
      <c r="D184" s="48"/>
      <c r="E184" s="48"/>
      <c r="F184" s="48"/>
      <c r="G184" s="48"/>
      <c r="H184" s="48"/>
      <c r="I184" s="48"/>
    </row>
    <row r="185" spans="4:9" ht="13.15">
      <c r="D185" s="48"/>
      <c r="E185" s="48"/>
      <c r="F185" s="48"/>
      <c r="G185" s="48"/>
      <c r="H185" s="48"/>
      <c r="I185" s="48"/>
    </row>
    <row r="186" spans="4:9" ht="13.15">
      <c r="D186" s="48"/>
      <c r="E186" s="48"/>
      <c r="F186" s="48"/>
      <c r="G186" s="48"/>
      <c r="H186" s="48"/>
      <c r="I186" s="48"/>
    </row>
    <row r="187" spans="4:9" ht="13.15">
      <c r="D187" s="48"/>
      <c r="E187" s="48"/>
      <c r="F187" s="48"/>
      <c r="G187" s="48"/>
      <c r="H187" s="48"/>
      <c r="I187" s="48"/>
    </row>
    <row r="188" spans="4:9" ht="13.15">
      <c r="D188" s="48"/>
      <c r="E188" s="48"/>
      <c r="F188" s="48"/>
      <c r="G188" s="48"/>
      <c r="H188" s="48"/>
      <c r="I188" s="48"/>
    </row>
    <row r="189" spans="4:9" ht="13.15">
      <c r="D189" s="48"/>
      <c r="E189" s="48"/>
      <c r="F189" s="48"/>
      <c r="G189" s="48"/>
      <c r="H189" s="48"/>
      <c r="I189" s="48"/>
    </row>
    <row r="190" spans="4:9" ht="13.15">
      <c r="D190" s="48"/>
      <c r="E190" s="48"/>
      <c r="F190" s="48"/>
      <c r="G190" s="48"/>
      <c r="H190" s="48"/>
      <c r="I190" s="48"/>
    </row>
    <row r="191" spans="4:9" ht="13.15">
      <c r="D191" s="48"/>
      <c r="E191" s="48"/>
      <c r="F191" s="48"/>
      <c r="G191" s="48"/>
      <c r="H191" s="48"/>
      <c r="I191" s="48"/>
    </row>
    <row r="192" spans="4:9" ht="13.15">
      <c r="D192" s="48"/>
      <c r="E192" s="48"/>
      <c r="F192" s="48"/>
      <c r="G192" s="48"/>
      <c r="H192" s="48"/>
      <c r="I192" s="48"/>
    </row>
    <row r="193" spans="4:9" ht="13.15">
      <c r="D193" s="48"/>
      <c r="E193" s="48"/>
      <c r="F193" s="48"/>
      <c r="G193" s="48"/>
      <c r="H193" s="48"/>
      <c r="I193" s="48"/>
    </row>
    <row r="194" spans="4:9" ht="13.15">
      <c r="D194" s="48"/>
      <c r="E194" s="48"/>
      <c r="F194" s="48"/>
      <c r="G194" s="48"/>
      <c r="H194" s="48"/>
      <c r="I194" s="48"/>
    </row>
    <row r="195" spans="4:9" ht="13.15">
      <c r="D195" s="48"/>
      <c r="E195" s="48"/>
      <c r="F195" s="48"/>
      <c r="G195" s="48"/>
      <c r="H195" s="48"/>
      <c r="I195" s="48"/>
    </row>
    <row r="196" spans="4:9" ht="13.15">
      <c r="D196" s="48"/>
      <c r="E196" s="48"/>
      <c r="F196" s="48"/>
      <c r="G196" s="48"/>
      <c r="H196" s="48"/>
      <c r="I196" s="48"/>
    </row>
    <row r="197" spans="4:9" ht="13.15">
      <c r="D197" s="48"/>
      <c r="E197" s="48"/>
      <c r="F197" s="48"/>
      <c r="G197" s="48"/>
      <c r="H197" s="48"/>
      <c r="I197" s="48"/>
    </row>
    <row r="198" spans="4:9" ht="13.15">
      <c r="D198" s="48"/>
      <c r="E198" s="48"/>
      <c r="F198" s="48"/>
      <c r="G198" s="48"/>
      <c r="H198" s="48"/>
      <c r="I198" s="48"/>
    </row>
    <row r="199" spans="4:9" ht="13.15">
      <c r="D199" s="48"/>
      <c r="E199" s="48"/>
      <c r="F199" s="48"/>
      <c r="G199" s="48"/>
      <c r="H199" s="48"/>
      <c r="I199" s="48"/>
    </row>
    <row r="200" spans="4:9" ht="13.15">
      <c r="D200" s="48"/>
      <c r="E200" s="48"/>
      <c r="F200" s="48"/>
      <c r="G200" s="48"/>
      <c r="H200" s="48"/>
      <c r="I200" s="48"/>
    </row>
    <row r="201" spans="4:9" ht="13.15">
      <c r="D201" s="48"/>
      <c r="E201" s="48"/>
      <c r="F201" s="48"/>
      <c r="G201" s="48"/>
      <c r="H201" s="48"/>
      <c r="I201" s="48"/>
    </row>
    <row r="202" spans="4:9" ht="13.15">
      <c r="D202" s="48"/>
      <c r="E202" s="48"/>
      <c r="F202" s="48"/>
      <c r="G202" s="48"/>
      <c r="H202" s="48"/>
      <c r="I202" s="48"/>
    </row>
    <row r="203" spans="4:9" ht="13.15">
      <c r="D203" s="48"/>
      <c r="E203" s="48"/>
      <c r="F203" s="48"/>
      <c r="G203" s="48"/>
      <c r="H203" s="48"/>
      <c r="I203" s="48"/>
    </row>
    <row r="204" spans="4:9" ht="13.15">
      <c r="D204" s="48"/>
      <c r="E204" s="48"/>
      <c r="F204" s="48"/>
      <c r="G204" s="48"/>
      <c r="H204" s="48"/>
      <c r="I204" s="48"/>
    </row>
    <row r="205" spans="4:9" ht="13.15">
      <c r="D205" s="48"/>
      <c r="E205" s="48"/>
      <c r="F205" s="48"/>
      <c r="G205" s="48"/>
      <c r="H205" s="48"/>
      <c r="I205" s="48"/>
    </row>
    <row r="206" spans="4:9" ht="13.15">
      <c r="D206" s="48"/>
      <c r="E206" s="48"/>
      <c r="F206" s="48"/>
      <c r="G206" s="48"/>
      <c r="H206" s="48"/>
      <c r="I206" s="48"/>
    </row>
    <row r="207" spans="4:9" ht="13.15">
      <c r="D207" s="48"/>
      <c r="E207" s="48"/>
      <c r="F207" s="48"/>
      <c r="G207" s="48"/>
      <c r="H207" s="48"/>
      <c r="I207" s="48"/>
    </row>
    <row r="208" spans="4:9" ht="13.15">
      <c r="D208" s="48"/>
      <c r="E208" s="48"/>
      <c r="F208" s="48"/>
      <c r="G208" s="48"/>
      <c r="H208" s="48"/>
      <c r="I208" s="48"/>
    </row>
    <row r="209" spans="4:9" ht="13.15">
      <c r="D209" s="48"/>
      <c r="E209" s="48"/>
      <c r="F209" s="48"/>
      <c r="G209" s="48"/>
      <c r="H209" s="48"/>
      <c r="I209" s="48"/>
    </row>
    <row r="210" spans="4:9" ht="13.15">
      <c r="D210" s="48"/>
      <c r="E210" s="48"/>
      <c r="F210" s="48"/>
      <c r="G210" s="48"/>
      <c r="H210" s="48"/>
      <c r="I210" s="48"/>
    </row>
    <row r="211" spans="4:9" ht="13.15">
      <c r="D211" s="48"/>
      <c r="E211" s="48"/>
      <c r="F211" s="48"/>
      <c r="G211" s="48"/>
      <c r="H211" s="48"/>
      <c r="I211" s="48"/>
    </row>
    <row r="212" spans="4:9" ht="13.15">
      <c r="D212" s="48"/>
      <c r="E212" s="48"/>
      <c r="F212" s="48"/>
      <c r="G212" s="48"/>
      <c r="H212" s="48"/>
      <c r="I212" s="48"/>
    </row>
    <row r="213" spans="4:9" ht="13.15">
      <c r="D213" s="48"/>
      <c r="E213" s="48"/>
      <c r="F213" s="48"/>
      <c r="G213" s="48"/>
      <c r="H213" s="48"/>
      <c r="I213" s="48"/>
    </row>
    <row r="214" spans="4:9" ht="13.15">
      <c r="D214" s="48"/>
      <c r="E214" s="48"/>
      <c r="F214" s="48"/>
      <c r="G214" s="48"/>
      <c r="H214" s="48"/>
      <c r="I214" s="48"/>
    </row>
    <row r="215" spans="4:9" ht="13.15">
      <c r="D215" s="48"/>
      <c r="E215" s="48"/>
      <c r="F215" s="48"/>
      <c r="G215" s="48"/>
      <c r="H215" s="48"/>
      <c r="I215" s="48"/>
    </row>
    <row r="216" spans="4:9" ht="13.15">
      <c r="D216" s="48"/>
      <c r="E216" s="48"/>
      <c r="F216" s="48"/>
      <c r="G216" s="48"/>
      <c r="H216" s="48"/>
      <c r="I216" s="48"/>
    </row>
    <row r="217" spans="4:9" ht="13.15">
      <c r="D217" s="48"/>
      <c r="E217" s="48"/>
      <c r="F217" s="48"/>
      <c r="G217" s="48"/>
      <c r="H217" s="48"/>
      <c r="I217" s="48"/>
    </row>
    <row r="218" spans="4:9" ht="13.15">
      <c r="D218" s="48"/>
      <c r="E218" s="48"/>
      <c r="F218" s="48"/>
      <c r="G218" s="48"/>
      <c r="H218" s="48"/>
      <c r="I218" s="48"/>
    </row>
    <row r="219" spans="4:9" ht="13.15">
      <c r="D219" s="48"/>
      <c r="E219" s="48"/>
      <c r="F219" s="48"/>
      <c r="G219" s="48"/>
      <c r="H219" s="48"/>
      <c r="I219" s="48"/>
    </row>
    <row r="220" spans="4:9" ht="13.15">
      <c r="D220" s="48"/>
      <c r="E220" s="48"/>
      <c r="F220" s="48"/>
      <c r="G220" s="48"/>
      <c r="H220" s="48"/>
      <c r="I220" s="48"/>
    </row>
    <row r="221" spans="4:9" ht="13.15">
      <c r="D221" s="48"/>
      <c r="E221" s="48"/>
      <c r="F221" s="48"/>
      <c r="G221" s="48"/>
      <c r="H221" s="48"/>
      <c r="I221" s="48"/>
    </row>
    <row r="222" spans="4:9" ht="13.15">
      <c r="D222" s="48"/>
      <c r="E222" s="48"/>
      <c r="F222" s="48"/>
      <c r="G222" s="48"/>
      <c r="H222" s="48"/>
      <c r="I222" s="48"/>
    </row>
    <row r="223" spans="4:9" ht="13.15">
      <c r="D223" s="48"/>
      <c r="E223" s="48"/>
      <c r="F223" s="48"/>
      <c r="G223" s="48"/>
      <c r="H223" s="48"/>
      <c r="I223" s="48"/>
    </row>
    <row r="224" spans="4:9" ht="13.15">
      <c r="D224" s="48"/>
      <c r="E224" s="48"/>
      <c r="F224" s="48"/>
      <c r="G224" s="48"/>
      <c r="H224" s="48"/>
      <c r="I224" s="48"/>
    </row>
    <row r="225" spans="4:9" ht="13.15">
      <c r="D225" s="48"/>
      <c r="E225" s="48"/>
      <c r="F225" s="48"/>
      <c r="G225" s="48"/>
      <c r="H225" s="48"/>
      <c r="I225" s="48"/>
    </row>
    <row r="226" spans="4:9" ht="13.15">
      <c r="D226" s="48"/>
      <c r="E226" s="48"/>
      <c r="F226" s="48"/>
      <c r="G226" s="48"/>
      <c r="H226" s="48"/>
      <c r="I226" s="48"/>
    </row>
    <row r="227" spans="4:9" ht="13.15">
      <c r="D227" s="48"/>
      <c r="E227" s="48"/>
      <c r="F227" s="48"/>
      <c r="G227" s="48"/>
      <c r="H227" s="48"/>
      <c r="I227" s="48"/>
    </row>
    <row r="228" spans="4:9" ht="13.15">
      <c r="D228" s="48"/>
      <c r="E228" s="48"/>
      <c r="F228" s="48"/>
      <c r="G228" s="48"/>
      <c r="H228" s="48"/>
      <c r="I228" s="48"/>
    </row>
    <row r="229" spans="4:9" ht="13.15">
      <c r="D229" s="48"/>
      <c r="E229" s="48"/>
      <c r="F229" s="48"/>
      <c r="G229" s="48"/>
      <c r="H229" s="48"/>
      <c r="I229" s="48"/>
    </row>
    <row r="230" spans="4:9" ht="13.15">
      <c r="D230" s="48"/>
      <c r="E230" s="48"/>
      <c r="F230" s="48"/>
      <c r="G230" s="48"/>
      <c r="H230" s="48"/>
      <c r="I230" s="48"/>
    </row>
    <row r="231" spans="4:9" ht="13.15">
      <c r="D231" s="48"/>
      <c r="E231" s="48"/>
      <c r="F231" s="48"/>
      <c r="G231" s="48"/>
      <c r="H231" s="48"/>
      <c r="I231" s="48"/>
    </row>
    <row r="232" spans="4:9" ht="13.15">
      <c r="D232" s="48"/>
      <c r="E232" s="48"/>
      <c r="F232" s="48"/>
      <c r="G232" s="48"/>
      <c r="H232" s="48"/>
      <c r="I232" s="48"/>
    </row>
    <row r="233" spans="4:9" ht="13.15">
      <c r="D233" s="48"/>
      <c r="E233" s="48"/>
      <c r="F233" s="48"/>
      <c r="G233" s="48"/>
      <c r="H233" s="48"/>
      <c r="I233" s="48"/>
    </row>
    <row r="234" spans="4:9" ht="13.15">
      <c r="D234" s="48"/>
      <c r="E234" s="48"/>
      <c r="F234" s="48"/>
      <c r="G234" s="48"/>
      <c r="H234" s="48"/>
      <c r="I234" s="48"/>
    </row>
    <row r="235" spans="4:9" ht="13.15">
      <c r="D235" s="48"/>
      <c r="E235" s="48"/>
      <c r="F235" s="48"/>
      <c r="G235" s="48"/>
      <c r="H235" s="48"/>
      <c r="I235" s="48"/>
    </row>
    <row r="236" spans="4:9" ht="13.15">
      <c r="D236" s="48"/>
      <c r="E236" s="48"/>
      <c r="F236" s="48"/>
      <c r="G236" s="48"/>
      <c r="H236" s="48"/>
      <c r="I236" s="48"/>
    </row>
    <row r="237" spans="4:9" ht="13.15">
      <c r="D237" s="48"/>
      <c r="E237" s="48"/>
      <c r="F237" s="48"/>
      <c r="G237" s="48"/>
      <c r="H237" s="48"/>
      <c r="I237" s="48"/>
    </row>
    <row r="238" spans="4:9" ht="13.15">
      <c r="D238" s="48"/>
      <c r="E238" s="48"/>
      <c r="F238" s="48"/>
      <c r="G238" s="48"/>
      <c r="H238" s="48"/>
      <c r="I238" s="48"/>
    </row>
    <row r="239" spans="4:9" ht="13.15">
      <c r="D239" s="48"/>
      <c r="E239" s="48"/>
      <c r="F239" s="48"/>
      <c r="G239" s="48"/>
      <c r="H239" s="48"/>
      <c r="I239" s="48"/>
    </row>
    <row r="240" spans="4:9" ht="13.15">
      <c r="D240" s="48"/>
      <c r="E240" s="48"/>
      <c r="F240" s="48"/>
      <c r="G240" s="48"/>
      <c r="H240" s="48"/>
      <c r="I240" s="48"/>
    </row>
    <row r="241" spans="4:9" ht="13.15">
      <c r="D241" s="48"/>
      <c r="E241" s="48"/>
      <c r="F241" s="48"/>
      <c r="G241" s="48"/>
      <c r="H241" s="48"/>
      <c r="I241" s="48"/>
    </row>
    <row r="242" spans="4:9" ht="13.15">
      <c r="D242" s="48"/>
      <c r="E242" s="48"/>
      <c r="F242" s="48"/>
      <c r="G242" s="48"/>
      <c r="H242" s="48"/>
      <c r="I242" s="48"/>
    </row>
    <row r="243" spans="4:9" ht="13.15">
      <c r="D243" s="48"/>
      <c r="E243" s="48"/>
      <c r="F243" s="48"/>
      <c r="G243" s="48"/>
      <c r="H243" s="48"/>
      <c r="I243" s="48"/>
    </row>
    <row r="244" spans="4:9" ht="13.15">
      <c r="D244" s="48"/>
      <c r="E244" s="48"/>
      <c r="F244" s="48"/>
      <c r="G244" s="48"/>
      <c r="H244" s="48"/>
      <c r="I244" s="48"/>
    </row>
    <row r="245" spans="4:9" ht="13.15">
      <c r="D245" s="48"/>
      <c r="E245" s="48"/>
      <c r="F245" s="48"/>
      <c r="G245" s="48"/>
      <c r="H245" s="48"/>
      <c r="I245" s="48"/>
    </row>
    <row r="246" spans="4:9" ht="13.15">
      <c r="D246" s="48"/>
      <c r="E246" s="48"/>
      <c r="F246" s="48"/>
      <c r="G246" s="48"/>
      <c r="H246" s="48"/>
      <c r="I246" s="48"/>
    </row>
    <row r="247" spans="4:9" ht="13.15">
      <c r="D247" s="48"/>
      <c r="E247" s="48"/>
      <c r="F247" s="48"/>
      <c r="G247" s="48"/>
      <c r="H247" s="48"/>
      <c r="I247" s="48"/>
    </row>
    <row r="248" spans="4:9" ht="13.15">
      <c r="D248" s="48"/>
      <c r="E248" s="48"/>
      <c r="F248" s="48"/>
      <c r="G248" s="48"/>
      <c r="H248" s="48"/>
      <c r="I248" s="48"/>
    </row>
    <row r="249" spans="4:9" ht="13.15">
      <c r="D249" s="48"/>
      <c r="E249" s="48"/>
      <c r="F249" s="48"/>
      <c r="G249" s="48"/>
      <c r="H249" s="48"/>
      <c r="I249" s="48"/>
    </row>
    <row r="250" spans="4:9" ht="13.15">
      <c r="D250" s="48"/>
      <c r="E250" s="48"/>
      <c r="F250" s="48"/>
      <c r="G250" s="48"/>
      <c r="H250" s="48"/>
      <c r="I250" s="48"/>
    </row>
    <row r="251" spans="4:9" ht="13.15">
      <c r="D251" s="48"/>
      <c r="E251" s="48"/>
      <c r="F251" s="48"/>
      <c r="G251" s="48"/>
      <c r="H251" s="48"/>
      <c r="I251" s="48"/>
    </row>
    <row r="252" spans="4:9" ht="13.15">
      <c r="D252" s="48"/>
      <c r="E252" s="48"/>
      <c r="F252" s="48"/>
      <c r="G252" s="48"/>
      <c r="H252" s="48"/>
      <c r="I252" s="48"/>
    </row>
    <row r="253" spans="4:9" ht="13.15">
      <c r="D253" s="48"/>
      <c r="E253" s="48"/>
      <c r="F253" s="48"/>
      <c r="G253" s="48"/>
      <c r="H253" s="48"/>
      <c r="I253" s="48"/>
    </row>
    <row r="254" spans="4:9" ht="13.15">
      <c r="D254" s="48"/>
      <c r="E254" s="48"/>
      <c r="F254" s="48"/>
      <c r="G254" s="48"/>
      <c r="H254" s="48"/>
      <c r="I254" s="48"/>
    </row>
    <row r="255" spans="4:9" ht="13.15">
      <c r="D255" s="48"/>
      <c r="E255" s="48"/>
      <c r="F255" s="48"/>
      <c r="G255" s="48"/>
      <c r="H255" s="48"/>
      <c r="I255" s="48"/>
    </row>
    <row r="256" spans="4:9" ht="13.15">
      <c r="D256" s="48"/>
      <c r="E256" s="48"/>
      <c r="F256" s="48"/>
      <c r="G256" s="48"/>
      <c r="H256" s="48"/>
      <c r="I256" s="48"/>
    </row>
    <row r="257" spans="4:9" ht="13.15">
      <c r="D257" s="48"/>
      <c r="E257" s="48"/>
      <c r="F257" s="48"/>
      <c r="G257" s="48"/>
      <c r="H257" s="48"/>
      <c r="I257" s="48"/>
    </row>
    <row r="258" spans="4:9" ht="13.15">
      <c r="D258" s="48"/>
      <c r="E258" s="48"/>
      <c r="F258" s="48"/>
      <c r="G258" s="48"/>
      <c r="H258" s="48"/>
      <c r="I258" s="48"/>
    </row>
    <row r="259" spans="4:9" ht="13.15">
      <c r="D259" s="48"/>
      <c r="E259" s="48"/>
      <c r="F259" s="48"/>
      <c r="G259" s="48"/>
      <c r="H259" s="48"/>
      <c r="I259" s="48"/>
    </row>
    <row r="260" spans="4:9" ht="13.15">
      <c r="D260" s="48"/>
      <c r="E260" s="48"/>
      <c r="F260" s="48"/>
      <c r="G260" s="48"/>
      <c r="H260" s="48"/>
      <c r="I260" s="48"/>
    </row>
    <row r="261" spans="4:9" ht="13.15">
      <c r="D261" s="48"/>
      <c r="E261" s="48"/>
      <c r="F261" s="48"/>
      <c r="G261" s="48"/>
      <c r="H261" s="48"/>
      <c r="I261" s="48"/>
    </row>
    <row r="262" spans="4:9" ht="13.15">
      <c r="D262" s="48"/>
      <c r="E262" s="48"/>
      <c r="F262" s="48"/>
      <c r="G262" s="48"/>
      <c r="H262" s="48"/>
      <c r="I262" s="48"/>
    </row>
    <row r="263" spans="4:9" ht="13.15">
      <c r="D263" s="48"/>
      <c r="E263" s="48"/>
      <c r="F263" s="48"/>
      <c r="G263" s="48"/>
      <c r="H263" s="48"/>
      <c r="I263" s="48"/>
    </row>
    <row r="264" spans="4:9" ht="13.15">
      <c r="D264" s="48"/>
      <c r="E264" s="48"/>
      <c r="F264" s="48"/>
      <c r="G264" s="48"/>
      <c r="H264" s="48"/>
      <c r="I264" s="48"/>
    </row>
    <row r="265" spans="4:9" ht="13.15">
      <c r="D265" s="48"/>
      <c r="E265" s="48"/>
      <c r="F265" s="48"/>
      <c r="G265" s="48"/>
      <c r="H265" s="48"/>
      <c r="I265" s="48"/>
    </row>
    <row r="266" spans="4:9" ht="13.15">
      <c r="D266" s="48"/>
      <c r="E266" s="48"/>
      <c r="F266" s="48"/>
      <c r="G266" s="48"/>
      <c r="H266" s="48"/>
      <c r="I266" s="48"/>
    </row>
    <row r="267" spans="4:9" ht="13.15">
      <c r="D267" s="48"/>
      <c r="E267" s="48"/>
      <c r="F267" s="48"/>
      <c r="G267" s="48"/>
      <c r="H267" s="48"/>
      <c r="I267" s="48"/>
    </row>
    <row r="268" spans="4:9" ht="13.15">
      <c r="D268" s="48"/>
      <c r="E268" s="48"/>
      <c r="F268" s="48"/>
      <c r="G268" s="48"/>
      <c r="H268" s="48"/>
      <c r="I268" s="48"/>
    </row>
    <row r="269" spans="4:9" ht="13.15">
      <c r="D269" s="48"/>
      <c r="E269" s="48"/>
      <c r="F269" s="48"/>
      <c r="G269" s="48"/>
      <c r="H269" s="48"/>
      <c r="I269" s="48"/>
    </row>
    <row r="270" spans="4:9" ht="13.15">
      <c r="D270" s="48"/>
      <c r="E270" s="48"/>
      <c r="F270" s="48"/>
      <c r="G270" s="48"/>
      <c r="H270" s="48"/>
      <c r="I270" s="48"/>
    </row>
    <row r="271" spans="4:9" ht="13.15">
      <c r="D271" s="48"/>
      <c r="E271" s="48"/>
      <c r="F271" s="48"/>
      <c r="G271" s="48"/>
      <c r="H271" s="48"/>
      <c r="I271" s="48"/>
    </row>
    <row r="272" spans="4:9" ht="13.15">
      <c r="D272" s="48"/>
      <c r="E272" s="48"/>
      <c r="F272" s="48"/>
      <c r="G272" s="48"/>
      <c r="H272" s="48"/>
      <c r="I272" s="48"/>
    </row>
    <row r="273" spans="4:9" ht="13.15">
      <c r="D273" s="48"/>
      <c r="E273" s="48"/>
      <c r="F273" s="48"/>
      <c r="G273" s="48"/>
      <c r="H273" s="48"/>
      <c r="I273" s="48"/>
    </row>
    <row r="274" spans="4:9" ht="13.15">
      <c r="D274" s="48"/>
      <c r="E274" s="48"/>
      <c r="F274" s="48"/>
      <c r="G274" s="48"/>
      <c r="H274" s="48"/>
      <c r="I274" s="48"/>
    </row>
    <row r="275" spans="4:9" ht="13.15">
      <c r="D275" s="48"/>
      <c r="E275" s="48"/>
      <c r="F275" s="48"/>
      <c r="G275" s="48"/>
      <c r="H275" s="48"/>
      <c r="I275" s="48"/>
    </row>
    <row r="276" spans="4:9" ht="13.15">
      <c r="D276" s="48"/>
      <c r="E276" s="48"/>
      <c r="F276" s="48"/>
      <c r="G276" s="48"/>
      <c r="H276" s="48"/>
      <c r="I276" s="48"/>
    </row>
    <row r="277" spans="4:9" ht="13.15">
      <c r="D277" s="48"/>
      <c r="E277" s="48"/>
      <c r="F277" s="48"/>
      <c r="G277" s="48"/>
      <c r="H277" s="48"/>
      <c r="I277" s="48"/>
    </row>
    <row r="278" spans="4:9" ht="13.15">
      <c r="D278" s="48"/>
      <c r="E278" s="48"/>
      <c r="F278" s="48"/>
      <c r="G278" s="48"/>
      <c r="H278" s="48"/>
      <c r="I278" s="48"/>
    </row>
    <row r="279" spans="4:9" ht="13.15">
      <c r="D279" s="48"/>
      <c r="E279" s="48"/>
      <c r="F279" s="48"/>
      <c r="G279" s="48"/>
      <c r="H279" s="48"/>
      <c r="I279" s="48"/>
    </row>
    <row r="280" spans="4:9" ht="13.15">
      <c r="D280" s="48"/>
      <c r="E280" s="48"/>
      <c r="F280" s="48"/>
      <c r="G280" s="48"/>
      <c r="H280" s="48"/>
      <c r="I280" s="48"/>
    </row>
    <row r="281" spans="4:9" ht="13.15">
      <c r="D281" s="48"/>
      <c r="E281" s="48"/>
      <c r="F281" s="48"/>
      <c r="G281" s="48"/>
      <c r="H281" s="48"/>
      <c r="I281" s="48"/>
    </row>
    <row r="282" spans="4:9" ht="13.15">
      <c r="D282" s="48"/>
      <c r="E282" s="48"/>
      <c r="F282" s="48"/>
      <c r="G282" s="48"/>
      <c r="H282" s="48"/>
      <c r="I282" s="48"/>
    </row>
    <row r="283" spans="4:9" ht="13.15">
      <c r="D283" s="48"/>
      <c r="E283" s="48"/>
      <c r="F283" s="48"/>
      <c r="G283" s="48"/>
      <c r="H283" s="48"/>
      <c r="I283" s="48"/>
    </row>
    <row r="284" spans="4:9" ht="13.15">
      <c r="D284" s="48"/>
      <c r="E284" s="48"/>
      <c r="F284" s="48"/>
      <c r="G284" s="48"/>
      <c r="H284" s="48"/>
      <c r="I284" s="48"/>
    </row>
    <row r="285" spans="4:9" ht="13.15">
      <c r="D285" s="48"/>
      <c r="E285" s="48"/>
      <c r="F285" s="48"/>
      <c r="G285" s="48"/>
      <c r="H285" s="48"/>
      <c r="I285" s="48"/>
    </row>
    <row r="286" spans="4:9" ht="13.15">
      <c r="D286" s="48"/>
      <c r="E286" s="48"/>
      <c r="F286" s="48"/>
      <c r="G286" s="48"/>
      <c r="H286" s="48"/>
      <c r="I286" s="48"/>
    </row>
    <row r="287" spans="4:9" ht="13.15">
      <c r="D287" s="48"/>
      <c r="E287" s="48"/>
      <c r="F287" s="48"/>
      <c r="G287" s="48"/>
      <c r="H287" s="48"/>
      <c r="I287" s="48"/>
    </row>
    <row r="288" spans="4:9" ht="13.15">
      <c r="D288" s="48"/>
      <c r="E288" s="48"/>
      <c r="F288" s="48"/>
      <c r="G288" s="48"/>
      <c r="H288" s="48"/>
      <c r="I288" s="48"/>
    </row>
    <row r="289" spans="4:9" ht="13.15">
      <c r="D289" s="48"/>
      <c r="E289" s="48"/>
      <c r="F289" s="48"/>
      <c r="G289" s="48"/>
      <c r="H289" s="48"/>
      <c r="I289" s="48"/>
    </row>
    <row r="290" spans="4:9" ht="13.15">
      <c r="D290" s="48"/>
      <c r="E290" s="48"/>
      <c r="F290" s="48"/>
      <c r="G290" s="48"/>
      <c r="H290" s="48"/>
      <c r="I290" s="48"/>
    </row>
    <row r="291" spans="4:9" ht="13.15">
      <c r="D291" s="48"/>
      <c r="E291" s="48"/>
      <c r="F291" s="48"/>
      <c r="G291" s="48"/>
      <c r="H291" s="48"/>
      <c r="I291" s="48"/>
    </row>
    <row r="292" spans="4:9" ht="13.15">
      <c r="D292" s="48"/>
      <c r="E292" s="48"/>
      <c r="F292" s="48"/>
      <c r="G292" s="48"/>
      <c r="H292" s="48"/>
      <c r="I292" s="48"/>
    </row>
    <row r="293" spans="4:9" ht="13.15">
      <c r="D293" s="48"/>
      <c r="E293" s="48"/>
      <c r="F293" s="48"/>
      <c r="G293" s="48"/>
      <c r="H293" s="48"/>
      <c r="I293" s="48"/>
    </row>
    <row r="294" spans="4:9" ht="13.15">
      <c r="D294" s="48"/>
      <c r="E294" s="48"/>
      <c r="F294" s="48"/>
      <c r="G294" s="48"/>
      <c r="H294" s="48"/>
      <c r="I294" s="48"/>
    </row>
    <row r="295" spans="4:9" ht="13.15">
      <c r="D295" s="48"/>
      <c r="E295" s="48"/>
      <c r="F295" s="48"/>
      <c r="G295" s="48"/>
      <c r="H295" s="48"/>
      <c r="I295" s="48"/>
    </row>
    <row r="296" spans="4:9" ht="13.15">
      <c r="D296" s="48"/>
      <c r="E296" s="48"/>
      <c r="F296" s="48"/>
      <c r="G296" s="48"/>
      <c r="H296" s="48"/>
      <c r="I296" s="48"/>
    </row>
    <row r="297" spans="4:9" ht="13.15">
      <c r="D297" s="48"/>
      <c r="E297" s="48"/>
      <c r="F297" s="48"/>
      <c r="G297" s="48"/>
      <c r="H297" s="48"/>
      <c r="I297" s="48"/>
    </row>
    <row r="298" spans="4:9" ht="13.15">
      <c r="D298" s="48"/>
      <c r="E298" s="48"/>
      <c r="F298" s="48"/>
      <c r="G298" s="48"/>
      <c r="H298" s="48"/>
      <c r="I298" s="48"/>
    </row>
    <row r="299" spans="4:9" ht="13.15">
      <c r="D299" s="48"/>
      <c r="E299" s="48"/>
      <c r="F299" s="48"/>
      <c r="G299" s="48"/>
      <c r="H299" s="48"/>
      <c r="I299" s="48"/>
    </row>
    <row r="300" spans="4:9" ht="13.15">
      <c r="D300" s="48"/>
      <c r="E300" s="48"/>
      <c r="F300" s="48"/>
      <c r="G300" s="48"/>
      <c r="H300" s="48"/>
      <c r="I300" s="48"/>
    </row>
    <row r="301" spans="4:9" ht="13.15">
      <c r="D301" s="48"/>
      <c r="E301" s="48"/>
      <c r="F301" s="48"/>
      <c r="G301" s="48"/>
      <c r="H301" s="48"/>
      <c r="I301" s="48"/>
    </row>
    <row r="302" spans="4:9" ht="13.15">
      <c r="D302" s="48"/>
      <c r="E302" s="48"/>
      <c r="F302" s="48"/>
      <c r="G302" s="48"/>
      <c r="H302" s="48"/>
      <c r="I302" s="48"/>
    </row>
    <row r="303" spans="4:9" ht="13.15">
      <c r="D303" s="48"/>
      <c r="E303" s="48"/>
      <c r="F303" s="48"/>
      <c r="G303" s="48"/>
      <c r="H303" s="48"/>
      <c r="I303" s="48"/>
    </row>
    <row r="304" spans="4:9" ht="13.15">
      <c r="D304" s="48"/>
      <c r="E304" s="48"/>
      <c r="F304" s="48"/>
      <c r="G304" s="48"/>
      <c r="H304" s="48"/>
      <c r="I304" s="48"/>
    </row>
    <row r="305" spans="4:9" ht="13.15">
      <c r="D305" s="48"/>
      <c r="E305" s="48"/>
      <c r="F305" s="48"/>
      <c r="G305" s="48"/>
      <c r="H305" s="48"/>
      <c r="I305" s="48"/>
    </row>
    <row r="306" spans="4:9" ht="13.15">
      <c r="D306" s="48"/>
      <c r="E306" s="48"/>
      <c r="F306" s="48"/>
      <c r="G306" s="48"/>
      <c r="H306" s="48"/>
      <c r="I306" s="48"/>
    </row>
    <row r="307" spans="4:9" ht="13.15">
      <c r="D307" s="48"/>
      <c r="E307" s="48"/>
      <c r="F307" s="48"/>
      <c r="G307" s="48"/>
      <c r="H307" s="48"/>
      <c r="I307" s="48"/>
    </row>
    <row r="308" spans="4:9" ht="13.15">
      <c r="D308" s="48"/>
      <c r="E308" s="48"/>
      <c r="F308" s="48"/>
      <c r="G308" s="48"/>
      <c r="H308" s="48"/>
      <c r="I308" s="48"/>
    </row>
    <row r="309" spans="4:9" ht="13.15">
      <c r="D309" s="48"/>
      <c r="E309" s="48"/>
      <c r="F309" s="48"/>
      <c r="G309" s="48"/>
      <c r="H309" s="48"/>
      <c r="I309" s="48"/>
    </row>
    <row r="310" spans="4:9" ht="13.15">
      <c r="D310" s="48"/>
      <c r="E310" s="48"/>
      <c r="F310" s="48"/>
      <c r="G310" s="48"/>
      <c r="H310" s="48"/>
      <c r="I310" s="48"/>
    </row>
    <row r="311" spans="4:9" ht="13.15">
      <c r="D311" s="48"/>
      <c r="E311" s="48"/>
      <c r="F311" s="48"/>
      <c r="G311" s="48"/>
      <c r="H311" s="48"/>
      <c r="I311" s="48"/>
    </row>
    <row r="312" spans="4:9" ht="13.15">
      <c r="D312" s="48"/>
      <c r="E312" s="48"/>
      <c r="F312" s="48"/>
      <c r="G312" s="48"/>
      <c r="H312" s="48"/>
      <c r="I312" s="48"/>
    </row>
    <row r="313" spans="4:9" ht="13.15">
      <c r="D313" s="48"/>
      <c r="E313" s="48"/>
      <c r="F313" s="48"/>
      <c r="G313" s="48"/>
      <c r="H313" s="48"/>
      <c r="I313" s="48"/>
    </row>
    <row r="314" spans="4:9" ht="13.15">
      <c r="D314" s="48"/>
      <c r="E314" s="48"/>
      <c r="F314" s="48"/>
      <c r="G314" s="48"/>
      <c r="H314" s="48"/>
      <c r="I314" s="48"/>
    </row>
    <row r="315" spans="4:9" ht="13.15">
      <c r="D315" s="48"/>
      <c r="E315" s="48"/>
      <c r="F315" s="48"/>
      <c r="G315" s="48"/>
      <c r="H315" s="48"/>
      <c r="I315" s="48"/>
    </row>
    <row r="316" spans="4:9" ht="13.15">
      <c r="D316" s="48"/>
      <c r="E316" s="48"/>
      <c r="F316" s="48"/>
      <c r="G316" s="48"/>
      <c r="H316" s="48"/>
      <c r="I316" s="48"/>
    </row>
    <row r="317" spans="4:9" ht="13.15">
      <c r="D317" s="48"/>
      <c r="E317" s="48"/>
      <c r="F317" s="48"/>
      <c r="G317" s="48"/>
      <c r="H317" s="48"/>
      <c r="I317" s="48"/>
    </row>
    <row r="318" spans="4:9" ht="13.15">
      <c r="D318" s="48"/>
      <c r="E318" s="48"/>
      <c r="F318" s="48"/>
      <c r="G318" s="48"/>
      <c r="H318" s="48"/>
      <c r="I318" s="48"/>
    </row>
    <row r="319" spans="4:9" ht="13.15">
      <c r="D319" s="48"/>
      <c r="E319" s="48"/>
      <c r="F319" s="48"/>
      <c r="G319" s="48"/>
      <c r="H319" s="48"/>
      <c r="I319" s="48"/>
    </row>
    <row r="320" spans="4:9" ht="13.15">
      <c r="D320" s="48"/>
      <c r="E320" s="48"/>
      <c r="F320" s="48"/>
      <c r="G320" s="48"/>
      <c r="H320" s="48"/>
      <c r="I320" s="48"/>
    </row>
    <row r="321" spans="4:9" ht="13.15">
      <c r="D321" s="48"/>
      <c r="E321" s="48"/>
      <c r="F321" s="48"/>
      <c r="G321" s="48"/>
      <c r="H321" s="48"/>
      <c r="I321" s="48"/>
    </row>
    <row r="322" spans="4:9" ht="13.15">
      <c r="D322" s="48"/>
      <c r="E322" s="48"/>
      <c r="F322" s="48"/>
      <c r="G322" s="48"/>
      <c r="H322" s="48"/>
      <c r="I322" s="48"/>
    </row>
    <row r="323" spans="4:9" ht="13.15">
      <c r="D323" s="48"/>
      <c r="E323" s="48"/>
      <c r="F323" s="48"/>
      <c r="G323" s="48"/>
      <c r="H323" s="48"/>
      <c r="I323" s="48"/>
    </row>
    <row r="324" spans="4:9" ht="13.15">
      <c r="D324" s="48"/>
      <c r="E324" s="48"/>
      <c r="F324" s="48"/>
      <c r="G324" s="48"/>
      <c r="H324" s="48"/>
      <c r="I324" s="48"/>
    </row>
    <row r="325" spans="4:9" ht="13.15">
      <c r="D325" s="48"/>
      <c r="E325" s="48"/>
      <c r="F325" s="48"/>
      <c r="G325" s="48"/>
      <c r="H325" s="48"/>
      <c r="I325" s="48"/>
    </row>
    <row r="326" spans="4:9" ht="13.15">
      <c r="D326" s="48"/>
      <c r="E326" s="48"/>
      <c r="F326" s="48"/>
      <c r="G326" s="48"/>
      <c r="H326" s="48"/>
      <c r="I326" s="48"/>
    </row>
    <row r="327" spans="4:9" ht="13.15">
      <c r="D327" s="48"/>
      <c r="E327" s="48"/>
      <c r="F327" s="48"/>
      <c r="G327" s="48"/>
      <c r="H327" s="48"/>
      <c r="I327" s="48"/>
    </row>
    <row r="328" spans="4:9" ht="13.15">
      <c r="D328" s="48"/>
      <c r="E328" s="48"/>
      <c r="F328" s="48"/>
      <c r="G328" s="48"/>
      <c r="H328" s="48"/>
      <c r="I328" s="48"/>
    </row>
    <row r="329" spans="4:9" ht="13.15">
      <c r="D329" s="48"/>
      <c r="E329" s="48"/>
      <c r="F329" s="48"/>
      <c r="G329" s="48"/>
      <c r="H329" s="48"/>
      <c r="I329" s="48"/>
    </row>
    <row r="330" spans="4:9" ht="13.15">
      <c r="D330" s="48"/>
      <c r="E330" s="48"/>
      <c r="F330" s="48"/>
      <c r="G330" s="48"/>
      <c r="H330" s="48"/>
      <c r="I330" s="48"/>
    </row>
    <row r="331" spans="4:9" ht="13.15">
      <c r="D331" s="48"/>
      <c r="E331" s="48"/>
      <c r="F331" s="48"/>
      <c r="G331" s="48"/>
      <c r="H331" s="48"/>
      <c r="I331" s="48"/>
    </row>
    <row r="332" spans="4:9" ht="13.15">
      <c r="D332" s="48"/>
      <c r="E332" s="48"/>
      <c r="F332" s="48"/>
      <c r="G332" s="48"/>
      <c r="H332" s="48"/>
      <c r="I332" s="48"/>
    </row>
    <row r="333" spans="4:9" ht="13.15">
      <c r="D333" s="48"/>
      <c r="E333" s="48"/>
      <c r="F333" s="48"/>
      <c r="G333" s="48"/>
      <c r="H333" s="48"/>
      <c r="I333" s="48"/>
    </row>
    <row r="334" spans="4:9" ht="13.15">
      <c r="D334" s="48"/>
      <c r="E334" s="48"/>
      <c r="F334" s="48"/>
      <c r="G334" s="48"/>
      <c r="H334" s="48"/>
      <c r="I334" s="48"/>
    </row>
    <row r="335" spans="4:9" ht="13.15">
      <c r="D335" s="48"/>
      <c r="E335" s="48"/>
      <c r="F335" s="48"/>
      <c r="G335" s="48"/>
      <c r="H335" s="48"/>
      <c r="I335" s="48"/>
    </row>
    <row r="336" spans="4:9" ht="13.15">
      <c r="D336" s="48"/>
      <c r="E336" s="48"/>
      <c r="F336" s="48"/>
      <c r="G336" s="48"/>
      <c r="H336" s="48"/>
      <c r="I336" s="48"/>
    </row>
    <row r="337" spans="4:9" ht="13.15">
      <c r="D337" s="48"/>
      <c r="E337" s="48"/>
      <c r="F337" s="48"/>
      <c r="G337" s="48"/>
      <c r="H337" s="48"/>
      <c r="I337" s="48"/>
    </row>
    <row r="338" spans="4:9" ht="13.15">
      <c r="D338" s="48"/>
      <c r="E338" s="48"/>
      <c r="F338" s="48"/>
      <c r="G338" s="48"/>
      <c r="H338" s="48"/>
      <c r="I338" s="48"/>
    </row>
    <row r="339" spans="4:9" ht="13.15">
      <c r="D339" s="48"/>
      <c r="E339" s="48"/>
      <c r="F339" s="48"/>
      <c r="G339" s="48"/>
      <c r="H339" s="48"/>
      <c r="I339" s="48"/>
    </row>
    <row r="340" spans="4:9" ht="13.15">
      <c r="D340" s="48"/>
      <c r="E340" s="48"/>
      <c r="F340" s="48"/>
      <c r="G340" s="48"/>
      <c r="H340" s="48"/>
      <c r="I340" s="48"/>
    </row>
    <row r="341" spans="4:9" ht="13.15">
      <c r="D341" s="48"/>
      <c r="E341" s="48"/>
      <c r="F341" s="48"/>
      <c r="G341" s="48"/>
      <c r="H341" s="48"/>
      <c r="I341" s="48"/>
    </row>
    <row r="342" spans="4:9" ht="13.15">
      <c r="D342" s="48"/>
      <c r="E342" s="48"/>
      <c r="F342" s="48"/>
      <c r="G342" s="48"/>
      <c r="H342" s="48"/>
      <c r="I342" s="48"/>
    </row>
    <row r="343" spans="4:9" ht="13.15">
      <c r="D343" s="48"/>
      <c r="E343" s="48"/>
      <c r="F343" s="48"/>
      <c r="G343" s="48"/>
      <c r="H343" s="48"/>
      <c r="I343" s="48"/>
    </row>
    <row r="344" spans="4:9" ht="13.15">
      <c r="D344" s="48"/>
      <c r="E344" s="48"/>
      <c r="F344" s="48"/>
      <c r="G344" s="48"/>
      <c r="H344" s="48"/>
      <c r="I344" s="48"/>
    </row>
    <row r="345" spans="4:9" ht="13.15">
      <c r="D345" s="48"/>
      <c r="E345" s="48"/>
      <c r="F345" s="48"/>
      <c r="G345" s="48"/>
      <c r="H345" s="48"/>
      <c r="I345" s="48"/>
    </row>
    <row r="346" spans="4:9" ht="13.15">
      <c r="D346" s="48"/>
      <c r="E346" s="48"/>
      <c r="F346" s="48"/>
      <c r="G346" s="48"/>
      <c r="H346" s="48"/>
      <c r="I346" s="48"/>
    </row>
    <row r="347" spans="4:9" ht="13.15">
      <c r="D347" s="48"/>
      <c r="E347" s="48"/>
      <c r="F347" s="48"/>
      <c r="G347" s="48"/>
      <c r="H347" s="48"/>
      <c r="I347" s="48"/>
    </row>
    <row r="348" spans="4:9" ht="13.15">
      <c r="D348" s="48"/>
      <c r="E348" s="48"/>
      <c r="F348" s="48"/>
      <c r="G348" s="48"/>
      <c r="H348" s="48"/>
      <c r="I348" s="48"/>
    </row>
    <row r="349" spans="4:9" ht="13.15">
      <c r="D349" s="48"/>
      <c r="E349" s="48"/>
      <c r="F349" s="48"/>
      <c r="G349" s="48"/>
      <c r="H349" s="48"/>
      <c r="I349" s="48"/>
    </row>
    <row r="350" spans="4:9" ht="13.15">
      <c r="D350" s="48"/>
      <c r="E350" s="48"/>
      <c r="F350" s="48"/>
      <c r="G350" s="48"/>
      <c r="H350" s="48"/>
      <c r="I350" s="48"/>
    </row>
    <row r="351" spans="4:9" ht="13.15">
      <c r="D351" s="48"/>
      <c r="E351" s="48"/>
      <c r="F351" s="48"/>
      <c r="G351" s="48"/>
      <c r="H351" s="48"/>
      <c r="I351" s="48"/>
    </row>
    <row r="352" spans="4:9" ht="13.15">
      <c r="D352" s="48"/>
      <c r="E352" s="48"/>
      <c r="F352" s="48"/>
      <c r="G352" s="48"/>
      <c r="H352" s="48"/>
      <c r="I352" s="48"/>
    </row>
    <row r="353" spans="4:9" ht="13.15">
      <c r="D353" s="48"/>
      <c r="E353" s="48"/>
      <c r="F353" s="48"/>
      <c r="G353" s="48"/>
      <c r="H353" s="48"/>
      <c r="I353" s="48"/>
    </row>
    <row r="354" spans="4:9" ht="13.15">
      <c r="D354" s="48"/>
      <c r="E354" s="48"/>
      <c r="F354" s="48"/>
      <c r="G354" s="48"/>
      <c r="H354" s="48"/>
      <c r="I354" s="48"/>
    </row>
    <row r="355" spans="4:9" ht="13.15">
      <c r="D355" s="48"/>
      <c r="E355" s="48"/>
      <c r="F355" s="48"/>
      <c r="G355" s="48"/>
      <c r="H355" s="48"/>
      <c r="I355" s="48"/>
    </row>
    <row r="356" spans="4:9" ht="13.15">
      <c r="D356" s="48"/>
      <c r="E356" s="48"/>
      <c r="F356" s="48"/>
      <c r="G356" s="48"/>
      <c r="H356" s="48"/>
      <c r="I356" s="48"/>
    </row>
    <row r="357" spans="4:9" ht="13.15">
      <c r="D357" s="48"/>
      <c r="E357" s="48"/>
      <c r="F357" s="48"/>
      <c r="G357" s="48"/>
      <c r="H357" s="48"/>
      <c r="I357" s="48"/>
    </row>
    <row r="358" spans="4:9" ht="13.15">
      <c r="D358" s="48"/>
      <c r="E358" s="48"/>
      <c r="F358" s="48"/>
      <c r="G358" s="48"/>
      <c r="H358" s="48"/>
      <c r="I358" s="48"/>
    </row>
    <row r="359" spans="4:9" ht="13.15">
      <c r="D359" s="48"/>
      <c r="E359" s="48"/>
      <c r="F359" s="48"/>
      <c r="G359" s="48"/>
      <c r="H359" s="48"/>
      <c r="I359" s="48"/>
    </row>
    <row r="360" spans="4:9" ht="13.15">
      <c r="D360" s="48"/>
      <c r="E360" s="48"/>
      <c r="F360" s="48"/>
      <c r="G360" s="48"/>
      <c r="H360" s="48"/>
      <c r="I360" s="48"/>
    </row>
    <row r="361" spans="4:9" ht="13.15">
      <c r="D361" s="48"/>
      <c r="E361" s="48"/>
      <c r="F361" s="48"/>
      <c r="G361" s="48"/>
      <c r="H361" s="48"/>
      <c r="I361" s="48"/>
    </row>
    <row r="362" spans="4:9" ht="13.15">
      <c r="D362" s="48"/>
      <c r="E362" s="48"/>
      <c r="F362" s="48"/>
      <c r="G362" s="48"/>
      <c r="H362" s="48"/>
      <c r="I362" s="48"/>
    </row>
    <row r="363" spans="4:9" ht="13.15">
      <c r="D363" s="48"/>
      <c r="E363" s="48"/>
      <c r="F363" s="48"/>
      <c r="G363" s="48"/>
      <c r="H363" s="48"/>
      <c r="I363" s="48"/>
    </row>
    <row r="364" spans="4:9" ht="13.15">
      <c r="D364" s="48"/>
      <c r="E364" s="48"/>
      <c r="F364" s="48"/>
      <c r="G364" s="48"/>
      <c r="H364" s="48"/>
      <c r="I364" s="48"/>
    </row>
    <row r="365" spans="4:9" ht="13.15">
      <c r="D365" s="48"/>
      <c r="E365" s="48"/>
      <c r="F365" s="48"/>
      <c r="G365" s="48"/>
      <c r="H365" s="48"/>
      <c r="I365" s="48"/>
    </row>
    <row r="366" spans="4:9" ht="13.15">
      <c r="D366" s="48"/>
      <c r="E366" s="48"/>
      <c r="F366" s="48"/>
      <c r="G366" s="48"/>
      <c r="H366" s="48"/>
      <c r="I366" s="48"/>
    </row>
    <row r="367" spans="4:9" ht="13.15">
      <c r="D367" s="48"/>
      <c r="E367" s="48"/>
      <c r="F367" s="48"/>
      <c r="G367" s="48"/>
      <c r="H367" s="48"/>
      <c r="I367" s="48"/>
    </row>
    <row r="368" spans="4:9" ht="13.15">
      <c r="D368" s="48"/>
      <c r="E368" s="48"/>
      <c r="F368" s="48"/>
      <c r="G368" s="48"/>
      <c r="H368" s="48"/>
      <c r="I368" s="48"/>
    </row>
    <row r="369" spans="4:9" ht="13.15">
      <c r="D369" s="48"/>
      <c r="E369" s="48"/>
      <c r="F369" s="48"/>
      <c r="G369" s="48"/>
      <c r="H369" s="48"/>
      <c r="I369" s="48"/>
    </row>
    <row r="370" spans="4:9" ht="13.15">
      <c r="D370" s="48"/>
      <c r="E370" s="48"/>
      <c r="F370" s="48"/>
      <c r="G370" s="48"/>
      <c r="H370" s="48"/>
      <c r="I370" s="48"/>
    </row>
    <row r="371" spans="4:9" ht="13.15">
      <c r="D371" s="48"/>
      <c r="E371" s="48"/>
      <c r="F371" s="48"/>
      <c r="G371" s="48"/>
      <c r="H371" s="48"/>
      <c r="I371" s="48"/>
    </row>
    <row r="372" spans="4:9" ht="13.15">
      <c r="D372" s="48"/>
      <c r="E372" s="48"/>
      <c r="F372" s="48"/>
      <c r="G372" s="48"/>
      <c r="H372" s="48"/>
      <c r="I372" s="48"/>
    </row>
    <row r="373" spans="4:9" ht="13.15">
      <c r="D373" s="48"/>
      <c r="E373" s="48"/>
      <c r="F373" s="48"/>
      <c r="G373" s="48"/>
      <c r="H373" s="48"/>
      <c r="I373" s="48"/>
    </row>
    <row r="374" spans="4:9" ht="13.15">
      <c r="D374" s="48"/>
      <c r="E374" s="48"/>
      <c r="F374" s="48"/>
      <c r="G374" s="48"/>
      <c r="H374" s="48"/>
      <c r="I374" s="48"/>
    </row>
    <row r="375" spans="4:9" ht="13.15">
      <c r="D375" s="48"/>
      <c r="E375" s="48"/>
      <c r="F375" s="48"/>
      <c r="G375" s="48"/>
      <c r="H375" s="48"/>
      <c r="I375" s="48"/>
    </row>
    <row r="376" spans="4:9" ht="13.15">
      <c r="D376" s="48"/>
      <c r="E376" s="48"/>
      <c r="F376" s="48"/>
      <c r="G376" s="48"/>
      <c r="H376" s="48"/>
      <c r="I376" s="48"/>
    </row>
    <row r="377" spans="4:9" ht="13.15">
      <c r="D377" s="48"/>
      <c r="E377" s="48"/>
      <c r="F377" s="48"/>
      <c r="G377" s="48"/>
      <c r="H377" s="48"/>
      <c r="I377" s="48"/>
    </row>
    <row r="378" spans="4:9" ht="13.15">
      <c r="D378" s="48"/>
      <c r="E378" s="48"/>
      <c r="F378" s="48"/>
      <c r="G378" s="48"/>
      <c r="H378" s="48"/>
      <c r="I378" s="48"/>
    </row>
    <row r="379" spans="4:9" ht="13.15">
      <c r="D379" s="48"/>
      <c r="E379" s="48"/>
      <c r="F379" s="48"/>
      <c r="G379" s="48"/>
      <c r="H379" s="48"/>
      <c r="I379" s="48"/>
    </row>
    <row r="380" spans="4:9" ht="13.15">
      <c r="D380" s="48"/>
      <c r="E380" s="48"/>
      <c r="F380" s="48"/>
      <c r="G380" s="48"/>
      <c r="H380" s="48"/>
      <c r="I380" s="48"/>
    </row>
    <row r="381" spans="4:9" ht="13.15">
      <c r="D381" s="48"/>
      <c r="E381" s="48"/>
      <c r="F381" s="48"/>
      <c r="G381" s="48"/>
      <c r="H381" s="48"/>
      <c r="I381" s="48"/>
    </row>
    <row r="382" spans="4:9" ht="13.15">
      <c r="D382" s="48"/>
      <c r="E382" s="48"/>
      <c r="F382" s="48"/>
      <c r="G382" s="48"/>
      <c r="H382" s="48"/>
      <c r="I382" s="48"/>
    </row>
    <row r="383" spans="4:9" ht="13.15">
      <c r="D383" s="48"/>
      <c r="E383" s="48"/>
      <c r="F383" s="48"/>
      <c r="G383" s="48"/>
      <c r="H383" s="48"/>
      <c r="I383" s="48"/>
    </row>
    <row r="384" spans="4:9" ht="13.15">
      <c r="D384" s="48"/>
      <c r="E384" s="48"/>
      <c r="F384" s="48"/>
      <c r="G384" s="48"/>
      <c r="H384" s="48"/>
      <c r="I384" s="48"/>
    </row>
    <row r="385" spans="4:9" ht="13.15">
      <c r="D385" s="48"/>
      <c r="E385" s="48"/>
      <c r="F385" s="48"/>
      <c r="G385" s="48"/>
      <c r="H385" s="48"/>
      <c r="I385" s="48"/>
    </row>
    <row r="386" spans="4:9" ht="13.15">
      <c r="D386" s="48"/>
      <c r="E386" s="48"/>
      <c r="F386" s="48"/>
      <c r="G386" s="48"/>
      <c r="H386" s="48"/>
      <c r="I386" s="48"/>
    </row>
    <row r="387" spans="4:9" ht="13.15">
      <c r="D387" s="48"/>
      <c r="E387" s="48"/>
      <c r="F387" s="48"/>
      <c r="G387" s="48"/>
      <c r="H387" s="48"/>
      <c r="I387" s="48"/>
    </row>
    <row r="388" spans="4:9" ht="13.15">
      <c r="D388" s="48"/>
      <c r="E388" s="48"/>
      <c r="F388" s="48"/>
      <c r="G388" s="48"/>
      <c r="H388" s="48"/>
      <c r="I388" s="48"/>
    </row>
    <row r="389" spans="4:9" ht="13.15">
      <c r="D389" s="48"/>
      <c r="E389" s="48"/>
      <c r="F389" s="48"/>
      <c r="G389" s="48"/>
      <c r="H389" s="48"/>
      <c r="I389" s="48"/>
    </row>
    <row r="390" spans="4:9" ht="13.15">
      <c r="D390" s="48"/>
      <c r="E390" s="48"/>
      <c r="F390" s="48"/>
      <c r="G390" s="48"/>
      <c r="H390" s="48"/>
      <c r="I390" s="48"/>
    </row>
    <row r="391" spans="4:9" ht="13.15">
      <c r="D391" s="48"/>
      <c r="E391" s="48"/>
      <c r="F391" s="48"/>
      <c r="G391" s="48"/>
      <c r="H391" s="48"/>
      <c r="I391" s="48"/>
    </row>
    <row r="392" spans="4:9" ht="13.15">
      <c r="D392" s="48"/>
      <c r="E392" s="48"/>
      <c r="F392" s="48"/>
      <c r="G392" s="48"/>
      <c r="H392" s="48"/>
      <c r="I392" s="48"/>
    </row>
    <row r="393" spans="4:9" ht="13.15">
      <c r="D393" s="48"/>
      <c r="E393" s="48"/>
      <c r="F393" s="48"/>
      <c r="G393" s="48"/>
      <c r="H393" s="48"/>
      <c r="I393" s="48"/>
    </row>
    <row r="394" spans="4:9" ht="13.15">
      <c r="D394" s="48"/>
      <c r="E394" s="48"/>
      <c r="F394" s="48"/>
      <c r="G394" s="48"/>
      <c r="H394" s="48"/>
      <c r="I394" s="48"/>
    </row>
    <row r="395" spans="4:9" ht="13.15">
      <c r="D395" s="48"/>
      <c r="E395" s="48"/>
      <c r="F395" s="48"/>
      <c r="G395" s="48"/>
      <c r="H395" s="48"/>
      <c r="I395" s="48"/>
    </row>
    <row r="396" spans="4:9" ht="13.15">
      <c r="D396" s="48"/>
      <c r="E396" s="48"/>
      <c r="F396" s="48"/>
      <c r="G396" s="48"/>
      <c r="H396" s="48"/>
      <c r="I396" s="48"/>
    </row>
    <row r="397" spans="4:9" ht="13.15">
      <c r="D397" s="48"/>
      <c r="E397" s="48"/>
      <c r="F397" s="48"/>
      <c r="G397" s="48"/>
      <c r="H397" s="48"/>
      <c r="I397" s="48"/>
    </row>
    <row r="398" spans="4:9" ht="13.15">
      <c r="D398" s="48"/>
      <c r="E398" s="48"/>
      <c r="F398" s="48"/>
      <c r="G398" s="48"/>
      <c r="H398" s="48"/>
      <c r="I398" s="48"/>
    </row>
    <row r="399" spans="4:9" ht="13.15">
      <c r="D399" s="48"/>
      <c r="E399" s="48"/>
      <c r="F399" s="48"/>
      <c r="G399" s="48"/>
      <c r="H399" s="48"/>
      <c r="I399" s="48"/>
    </row>
    <row r="400" spans="4:9" ht="13.15">
      <c r="D400" s="48"/>
      <c r="E400" s="48"/>
      <c r="F400" s="48"/>
      <c r="G400" s="48"/>
      <c r="H400" s="48"/>
      <c r="I400" s="48"/>
    </row>
    <row r="401" spans="4:9" ht="13.15">
      <c r="D401" s="48"/>
      <c r="E401" s="48"/>
      <c r="F401" s="48"/>
      <c r="G401" s="48"/>
      <c r="H401" s="48"/>
      <c r="I401" s="48"/>
    </row>
    <row r="402" spans="4:9" ht="13.15">
      <c r="D402" s="48"/>
      <c r="E402" s="48"/>
      <c r="F402" s="48"/>
      <c r="G402" s="48"/>
      <c r="H402" s="48"/>
      <c r="I402" s="48"/>
    </row>
    <row r="403" spans="4:9" ht="13.15">
      <c r="D403" s="48"/>
      <c r="E403" s="48"/>
      <c r="F403" s="48"/>
      <c r="G403" s="48"/>
      <c r="H403" s="48"/>
      <c r="I403" s="48"/>
    </row>
    <row r="404" spans="4:9" ht="13.15">
      <c r="D404" s="48"/>
      <c r="E404" s="48"/>
      <c r="F404" s="48"/>
      <c r="G404" s="48"/>
      <c r="H404" s="48"/>
      <c r="I404" s="48"/>
    </row>
    <row r="405" spans="4:9" ht="13.15">
      <c r="D405" s="48"/>
      <c r="E405" s="48"/>
      <c r="F405" s="48"/>
      <c r="G405" s="48"/>
      <c r="H405" s="48"/>
      <c r="I405" s="48"/>
    </row>
    <row r="406" spans="4:9" ht="13.15">
      <c r="D406" s="48"/>
      <c r="E406" s="48"/>
      <c r="F406" s="48"/>
      <c r="G406" s="48"/>
      <c r="H406" s="48"/>
      <c r="I406" s="48"/>
    </row>
    <row r="407" spans="4:9" ht="13.15">
      <c r="D407" s="48"/>
      <c r="E407" s="48"/>
      <c r="F407" s="48"/>
      <c r="G407" s="48"/>
      <c r="H407" s="48"/>
      <c r="I407" s="48"/>
    </row>
    <row r="408" spans="4:9" ht="13.15">
      <c r="D408" s="48"/>
      <c r="E408" s="48"/>
      <c r="F408" s="48"/>
      <c r="G408" s="48"/>
      <c r="H408" s="48"/>
      <c r="I408" s="48"/>
    </row>
    <row r="409" spans="4:9" ht="13.15">
      <c r="D409" s="48"/>
      <c r="E409" s="48"/>
      <c r="F409" s="48"/>
      <c r="G409" s="48"/>
      <c r="H409" s="48"/>
      <c r="I409" s="48"/>
    </row>
    <row r="410" spans="4:9" ht="13.15">
      <c r="D410" s="48"/>
      <c r="E410" s="48"/>
      <c r="F410" s="48"/>
      <c r="G410" s="48"/>
      <c r="H410" s="48"/>
      <c r="I410" s="48"/>
    </row>
    <row r="411" spans="4:9" ht="13.15">
      <c r="D411" s="48"/>
      <c r="E411" s="48"/>
      <c r="F411" s="48"/>
      <c r="G411" s="48"/>
      <c r="H411" s="48"/>
      <c r="I411" s="48"/>
    </row>
    <row r="412" spans="4:9" ht="13.15">
      <c r="D412" s="48"/>
      <c r="E412" s="48"/>
      <c r="F412" s="48"/>
      <c r="G412" s="48"/>
      <c r="H412" s="48"/>
      <c r="I412" s="48"/>
    </row>
    <row r="413" spans="4:9" ht="13.15">
      <c r="D413" s="48"/>
      <c r="E413" s="48"/>
      <c r="F413" s="48"/>
      <c r="G413" s="48"/>
      <c r="H413" s="48"/>
      <c r="I413" s="48"/>
    </row>
    <row r="414" spans="4:9" ht="13.15">
      <c r="D414" s="48"/>
      <c r="E414" s="48"/>
      <c r="F414" s="48"/>
      <c r="G414" s="48"/>
      <c r="H414" s="48"/>
      <c r="I414" s="48"/>
    </row>
    <row r="415" spans="4:9" ht="13.15">
      <c r="D415" s="48"/>
      <c r="E415" s="48"/>
      <c r="F415" s="48"/>
      <c r="G415" s="48"/>
      <c r="H415" s="48"/>
      <c r="I415" s="48"/>
    </row>
    <row r="416" spans="4:9" ht="13.15">
      <c r="D416" s="48"/>
      <c r="E416" s="48"/>
      <c r="F416" s="48"/>
      <c r="G416" s="48"/>
      <c r="H416" s="48"/>
      <c r="I416" s="48"/>
    </row>
    <row r="417" spans="4:9" ht="13.15">
      <c r="D417" s="48"/>
      <c r="E417" s="48"/>
      <c r="F417" s="48"/>
      <c r="G417" s="48"/>
      <c r="H417" s="48"/>
      <c r="I417" s="48"/>
    </row>
    <row r="418" spans="4:9" ht="13.15">
      <c r="D418" s="48"/>
      <c r="E418" s="48"/>
      <c r="F418" s="48"/>
      <c r="G418" s="48"/>
      <c r="H418" s="48"/>
      <c r="I418" s="48"/>
    </row>
    <row r="419" spans="4:9" ht="13.15">
      <c r="D419" s="48"/>
      <c r="E419" s="48"/>
      <c r="F419" s="48"/>
      <c r="G419" s="48"/>
      <c r="H419" s="48"/>
      <c r="I419" s="48"/>
    </row>
    <row r="420" spans="4:9" ht="13.15">
      <c r="D420" s="48"/>
      <c r="E420" s="48"/>
      <c r="F420" s="48"/>
      <c r="G420" s="48"/>
      <c r="H420" s="48"/>
      <c r="I420" s="48"/>
    </row>
    <row r="421" spans="4:9" ht="13.15">
      <c r="D421" s="48"/>
      <c r="E421" s="48"/>
      <c r="F421" s="48"/>
      <c r="G421" s="48"/>
      <c r="H421" s="48"/>
      <c r="I421" s="48"/>
    </row>
    <row r="422" spans="4:9" ht="13.15">
      <c r="D422" s="48"/>
      <c r="E422" s="48"/>
      <c r="F422" s="48"/>
      <c r="G422" s="48"/>
      <c r="H422" s="48"/>
      <c r="I422" s="48"/>
    </row>
    <row r="423" spans="4:9" ht="13.15">
      <c r="D423" s="48"/>
      <c r="E423" s="48"/>
      <c r="F423" s="48"/>
      <c r="G423" s="48"/>
      <c r="H423" s="48"/>
      <c r="I423" s="48"/>
    </row>
    <row r="424" spans="4:9" ht="13.15">
      <c r="D424" s="48"/>
      <c r="E424" s="48"/>
      <c r="F424" s="48"/>
      <c r="G424" s="48"/>
      <c r="H424" s="48"/>
      <c r="I424" s="48"/>
    </row>
    <row r="425" spans="4:9" ht="13.15">
      <c r="D425" s="48"/>
      <c r="E425" s="48"/>
      <c r="F425" s="48"/>
      <c r="G425" s="48"/>
      <c r="H425" s="48"/>
      <c r="I425" s="48"/>
    </row>
    <row r="426" spans="4:9" ht="13.15">
      <c r="D426" s="48"/>
      <c r="E426" s="48"/>
      <c r="F426" s="48"/>
      <c r="G426" s="48"/>
      <c r="H426" s="48"/>
      <c r="I426" s="48"/>
    </row>
    <row r="427" spans="4:9" ht="13.15">
      <c r="D427" s="48"/>
      <c r="E427" s="48"/>
      <c r="F427" s="48"/>
      <c r="G427" s="48"/>
      <c r="H427" s="48"/>
      <c r="I427" s="48"/>
    </row>
    <row r="428" spans="4:9" ht="13.15">
      <c r="D428" s="48"/>
      <c r="E428" s="48"/>
      <c r="F428" s="48"/>
      <c r="G428" s="48"/>
      <c r="H428" s="48"/>
      <c r="I428" s="48"/>
    </row>
    <row r="429" spans="4:9" ht="13.15">
      <c r="D429" s="48"/>
      <c r="E429" s="48"/>
      <c r="F429" s="48"/>
      <c r="G429" s="48"/>
      <c r="H429" s="48"/>
      <c r="I429" s="48"/>
    </row>
    <row r="430" spans="4:9" ht="13.15">
      <c r="D430" s="48"/>
      <c r="E430" s="48"/>
      <c r="F430" s="48"/>
      <c r="G430" s="48"/>
      <c r="H430" s="48"/>
      <c r="I430" s="48"/>
    </row>
    <row r="431" spans="4:9" ht="13.15">
      <c r="D431" s="48"/>
      <c r="E431" s="48"/>
      <c r="F431" s="48"/>
      <c r="G431" s="48"/>
      <c r="H431" s="48"/>
      <c r="I431" s="48"/>
    </row>
    <row r="432" spans="4:9" ht="13.15">
      <c r="D432" s="48"/>
      <c r="E432" s="48"/>
      <c r="F432" s="48"/>
      <c r="G432" s="48"/>
      <c r="H432" s="48"/>
      <c r="I432" s="48"/>
    </row>
    <row r="433" spans="4:9" ht="13.15">
      <c r="D433" s="48"/>
      <c r="E433" s="48"/>
      <c r="F433" s="48"/>
      <c r="G433" s="48"/>
      <c r="H433" s="48"/>
      <c r="I433" s="48"/>
    </row>
    <row r="434" spans="4:9" ht="13.15">
      <c r="D434" s="48"/>
      <c r="E434" s="48"/>
      <c r="F434" s="48"/>
      <c r="G434" s="48"/>
      <c r="H434" s="48"/>
      <c r="I434" s="48"/>
    </row>
    <row r="435" spans="4:9" ht="13.15">
      <c r="D435" s="48"/>
      <c r="E435" s="48"/>
      <c r="F435" s="48"/>
      <c r="G435" s="48"/>
      <c r="H435" s="48"/>
      <c r="I435" s="48"/>
    </row>
    <row r="436" spans="4:9" ht="13.15">
      <c r="D436" s="48"/>
      <c r="E436" s="48"/>
      <c r="F436" s="48"/>
      <c r="G436" s="48"/>
      <c r="H436" s="48"/>
      <c r="I436" s="48"/>
    </row>
    <row r="437" spans="4:9" ht="13.15">
      <c r="D437" s="48"/>
      <c r="E437" s="48"/>
      <c r="F437" s="48"/>
      <c r="G437" s="48"/>
      <c r="H437" s="48"/>
      <c r="I437" s="48"/>
    </row>
    <row r="438" spans="4:9" ht="13.15">
      <c r="D438" s="48"/>
      <c r="E438" s="48"/>
      <c r="F438" s="48"/>
      <c r="G438" s="48"/>
      <c r="H438" s="48"/>
      <c r="I438" s="48"/>
    </row>
    <row r="439" spans="4:9" ht="13.15">
      <c r="D439" s="48"/>
      <c r="E439" s="48"/>
      <c r="F439" s="48"/>
      <c r="G439" s="48"/>
      <c r="H439" s="48"/>
      <c r="I439" s="48"/>
    </row>
    <row r="440" spans="4:9" ht="13.15">
      <c r="D440" s="48"/>
      <c r="E440" s="48"/>
      <c r="F440" s="48"/>
      <c r="G440" s="48"/>
      <c r="H440" s="48"/>
      <c r="I440" s="48"/>
    </row>
    <row r="441" spans="4:9" ht="13.15">
      <c r="D441" s="48"/>
      <c r="E441" s="48"/>
      <c r="F441" s="48"/>
      <c r="G441" s="48"/>
      <c r="H441" s="48"/>
      <c r="I441" s="48"/>
    </row>
    <row r="442" spans="4:9" ht="13.15">
      <c r="D442" s="48"/>
      <c r="E442" s="48"/>
      <c r="F442" s="48"/>
      <c r="G442" s="48"/>
      <c r="H442" s="48"/>
      <c r="I442" s="48"/>
    </row>
    <row r="443" spans="4:9" ht="13.15">
      <c r="D443" s="48"/>
      <c r="E443" s="48"/>
      <c r="F443" s="48"/>
      <c r="G443" s="48"/>
      <c r="H443" s="48"/>
      <c r="I443" s="48"/>
    </row>
    <row r="444" spans="4:9" ht="13.15">
      <c r="D444" s="48"/>
      <c r="E444" s="48"/>
      <c r="F444" s="48"/>
      <c r="G444" s="48"/>
      <c r="H444" s="48"/>
      <c r="I444" s="48"/>
    </row>
    <row r="445" spans="4:9" ht="13.15">
      <c r="D445" s="48"/>
      <c r="E445" s="48"/>
      <c r="F445" s="48"/>
      <c r="G445" s="48"/>
      <c r="H445" s="48"/>
      <c r="I445" s="48"/>
    </row>
    <row r="446" spans="4:9" ht="13.15">
      <c r="D446" s="48"/>
      <c r="E446" s="48"/>
      <c r="F446" s="48"/>
      <c r="G446" s="48"/>
      <c r="H446" s="48"/>
      <c r="I446" s="48"/>
    </row>
    <row r="447" spans="4:9" ht="13.15">
      <c r="D447" s="48"/>
      <c r="E447" s="48"/>
      <c r="F447" s="48"/>
      <c r="G447" s="48"/>
      <c r="H447" s="48"/>
      <c r="I447" s="48"/>
    </row>
    <row r="448" spans="4:9" ht="13.15">
      <c r="D448" s="48"/>
      <c r="E448" s="48"/>
      <c r="F448" s="48"/>
      <c r="G448" s="48"/>
      <c r="H448" s="48"/>
      <c r="I448" s="48"/>
    </row>
    <row r="449" spans="4:9" ht="13.15">
      <c r="D449" s="48"/>
      <c r="E449" s="48"/>
      <c r="F449" s="48"/>
      <c r="G449" s="48"/>
      <c r="H449" s="48"/>
      <c r="I449" s="48"/>
    </row>
    <row r="450" spans="4:9" ht="13.15">
      <c r="D450" s="48"/>
      <c r="E450" s="48"/>
      <c r="F450" s="48"/>
      <c r="G450" s="48"/>
      <c r="H450" s="48"/>
      <c r="I450" s="48"/>
    </row>
    <row r="451" spans="4:9" ht="13.15">
      <c r="D451" s="48"/>
      <c r="E451" s="48"/>
      <c r="F451" s="48"/>
      <c r="G451" s="48"/>
      <c r="H451" s="48"/>
      <c r="I451" s="48"/>
    </row>
    <row r="452" spans="4:9" ht="13.15">
      <c r="D452" s="48"/>
      <c r="E452" s="48"/>
      <c r="F452" s="48"/>
      <c r="G452" s="48"/>
      <c r="H452" s="48"/>
      <c r="I452" s="48"/>
    </row>
    <row r="453" spans="4:9" ht="13.15">
      <c r="D453" s="48"/>
      <c r="E453" s="48"/>
      <c r="F453" s="48"/>
      <c r="G453" s="48"/>
      <c r="H453" s="48"/>
      <c r="I453" s="48"/>
    </row>
    <row r="454" spans="4:9" ht="13.15">
      <c r="D454" s="48"/>
      <c r="E454" s="48"/>
      <c r="F454" s="48"/>
      <c r="G454" s="48"/>
      <c r="H454" s="48"/>
      <c r="I454" s="48"/>
    </row>
    <row r="455" spans="4:9" ht="13.15">
      <c r="D455" s="48"/>
      <c r="E455" s="48"/>
      <c r="F455" s="48"/>
      <c r="G455" s="48"/>
      <c r="H455" s="48"/>
      <c r="I455" s="48"/>
    </row>
    <row r="456" spans="4:9" ht="13.15">
      <c r="D456" s="48"/>
      <c r="E456" s="48"/>
      <c r="F456" s="48"/>
      <c r="G456" s="48"/>
      <c r="H456" s="48"/>
      <c r="I456" s="48"/>
    </row>
    <row r="457" spans="4:9" ht="13.15">
      <c r="D457" s="48"/>
      <c r="E457" s="48"/>
      <c r="F457" s="48"/>
      <c r="G457" s="48"/>
      <c r="H457" s="48"/>
      <c r="I457" s="48"/>
    </row>
    <row r="458" spans="4:9" ht="13.15">
      <c r="D458" s="48"/>
      <c r="E458" s="48"/>
      <c r="F458" s="48"/>
      <c r="G458" s="48"/>
      <c r="H458" s="48"/>
      <c r="I458" s="48"/>
    </row>
    <row r="459" spans="4:9" ht="13.15">
      <c r="D459" s="48"/>
      <c r="E459" s="48"/>
      <c r="F459" s="48"/>
      <c r="G459" s="48"/>
      <c r="H459" s="48"/>
      <c r="I459" s="48"/>
    </row>
    <row r="460" spans="4:9" ht="13.15">
      <c r="D460" s="48"/>
      <c r="E460" s="48"/>
      <c r="F460" s="48"/>
      <c r="G460" s="48"/>
      <c r="H460" s="48"/>
      <c r="I460" s="48"/>
    </row>
    <row r="461" spans="4:9" ht="13.15">
      <c r="D461" s="48"/>
      <c r="E461" s="48"/>
      <c r="F461" s="48"/>
      <c r="G461" s="48"/>
      <c r="H461" s="48"/>
      <c r="I461" s="48"/>
    </row>
    <row r="462" spans="4:9" ht="13.15">
      <c r="D462" s="48"/>
      <c r="E462" s="48"/>
      <c r="F462" s="48"/>
      <c r="G462" s="48"/>
      <c r="H462" s="48"/>
      <c r="I462" s="48"/>
    </row>
    <row r="463" spans="4:9" ht="13.15">
      <c r="D463" s="48"/>
      <c r="E463" s="48"/>
      <c r="F463" s="48"/>
      <c r="G463" s="48"/>
      <c r="H463" s="48"/>
      <c r="I463" s="48"/>
    </row>
    <row r="464" spans="4:9" ht="13.15">
      <c r="D464" s="48"/>
      <c r="E464" s="48"/>
      <c r="F464" s="48"/>
      <c r="G464" s="48"/>
      <c r="H464" s="48"/>
      <c r="I464" s="48"/>
    </row>
    <row r="465" spans="4:9" ht="13.15">
      <c r="D465" s="48"/>
      <c r="E465" s="48"/>
      <c r="F465" s="48"/>
      <c r="G465" s="48"/>
      <c r="H465" s="48"/>
      <c r="I465" s="48"/>
    </row>
    <row r="466" spans="4:9" ht="13.15">
      <c r="D466" s="48"/>
      <c r="E466" s="48"/>
      <c r="F466" s="48"/>
      <c r="G466" s="48"/>
      <c r="H466" s="48"/>
      <c r="I466" s="48"/>
    </row>
    <row r="467" spans="4:9" ht="13.15">
      <c r="D467" s="48"/>
      <c r="E467" s="48"/>
      <c r="F467" s="48"/>
      <c r="G467" s="48"/>
      <c r="H467" s="48"/>
      <c r="I467" s="48"/>
    </row>
    <row r="468" spans="4:9" ht="13.15">
      <c r="D468" s="48"/>
      <c r="E468" s="48"/>
      <c r="F468" s="48"/>
      <c r="G468" s="48"/>
      <c r="H468" s="48"/>
      <c r="I468" s="48"/>
    </row>
    <row r="469" spans="4:9" ht="13.15">
      <c r="D469" s="48"/>
      <c r="E469" s="48"/>
      <c r="F469" s="48"/>
      <c r="G469" s="48"/>
      <c r="H469" s="48"/>
      <c r="I469" s="48"/>
    </row>
    <row r="470" spans="4:9" ht="13.15">
      <c r="D470" s="48"/>
      <c r="E470" s="48"/>
      <c r="F470" s="48"/>
      <c r="G470" s="48"/>
      <c r="H470" s="48"/>
      <c r="I470" s="48"/>
    </row>
    <row r="471" spans="4:9" ht="13.15">
      <c r="D471" s="48"/>
      <c r="E471" s="48"/>
      <c r="F471" s="48"/>
      <c r="G471" s="48"/>
      <c r="H471" s="48"/>
      <c r="I471" s="48"/>
    </row>
    <row r="472" spans="4:9" ht="13.15">
      <c r="D472" s="48"/>
      <c r="E472" s="48"/>
      <c r="F472" s="48"/>
      <c r="G472" s="48"/>
      <c r="H472" s="48"/>
      <c r="I472" s="48"/>
    </row>
    <row r="473" spans="4:9" ht="13.15">
      <c r="D473" s="48"/>
      <c r="E473" s="48"/>
      <c r="F473" s="48"/>
      <c r="G473" s="48"/>
      <c r="H473" s="48"/>
      <c r="I473" s="48"/>
    </row>
    <row r="474" spans="4:9" ht="13.15">
      <c r="D474" s="48"/>
      <c r="E474" s="48"/>
      <c r="F474" s="48"/>
      <c r="G474" s="48"/>
      <c r="H474" s="48"/>
      <c r="I474" s="48"/>
    </row>
    <row r="475" spans="4:9" ht="13.15">
      <c r="D475" s="48"/>
      <c r="E475" s="48"/>
      <c r="F475" s="48"/>
      <c r="G475" s="48"/>
      <c r="H475" s="48"/>
      <c r="I475" s="48"/>
    </row>
    <row r="476" spans="4:9" ht="13.15">
      <c r="D476" s="48"/>
      <c r="E476" s="48"/>
      <c r="F476" s="48"/>
      <c r="G476" s="48"/>
      <c r="H476" s="48"/>
      <c r="I476" s="48"/>
    </row>
    <row r="477" spans="4:9" ht="13.15">
      <c r="D477" s="48"/>
      <c r="E477" s="48"/>
      <c r="F477" s="48"/>
      <c r="G477" s="48"/>
      <c r="H477" s="48"/>
      <c r="I477" s="48"/>
    </row>
    <row r="478" spans="4:9" ht="13.15">
      <c r="D478" s="48"/>
      <c r="E478" s="48"/>
      <c r="F478" s="48"/>
      <c r="G478" s="48"/>
      <c r="H478" s="48"/>
      <c r="I478" s="48"/>
    </row>
    <row r="479" spans="4:9" ht="13.15">
      <c r="D479" s="48"/>
      <c r="E479" s="48"/>
      <c r="F479" s="48"/>
      <c r="G479" s="48"/>
      <c r="H479" s="48"/>
      <c r="I479" s="48"/>
    </row>
    <row r="480" spans="4:9" ht="13.15">
      <c r="D480" s="48"/>
      <c r="E480" s="48"/>
      <c r="F480" s="48"/>
      <c r="G480" s="48"/>
      <c r="H480" s="48"/>
      <c r="I480" s="48"/>
    </row>
    <row r="481" spans="4:9" ht="13.15">
      <c r="D481" s="48"/>
      <c r="E481" s="48"/>
      <c r="F481" s="48"/>
      <c r="G481" s="48"/>
      <c r="H481" s="48"/>
      <c r="I481" s="48"/>
    </row>
    <row r="482" spans="4:9" ht="13.15">
      <c r="D482" s="48"/>
      <c r="E482" s="48"/>
      <c r="F482" s="48"/>
      <c r="G482" s="48"/>
      <c r="H482" s="48"/>
      <c r="I482" s="48"/>
    </row>
    <row r="483" spans="4:9" ht="13.15">
      <c r="D483" s="48"/>
      <c r="E483" s="48"/>
      <c r="F483" s="48"/>
      <c r="G483" s="48"/>
      <c r="H483" s="48"/>
      <c r="I483" s="48"/>
    </row>
    <row r="484" spans="4:9" ht="13.15">
      <c r="D484" s="48"/>
      <c r="E484" s="48"/>
      <c r="F484" s="48"/>
      <c r="G484" s="48"/>
      <c r="H484" s="48"/>
      <c r="I484" s="48"/>
    </row>
    <row r="485" spans="4:9" ht="13.15">
      <c r="D485" s="48"/>
      <c r="E485" s="48"/>
      <c r="F485" s="48"/>
      <c r="G485" s="48"/>
      <c r="H485" s="48"/>
      <c r="I485" s="48"/>
    </row>
    <row r="486" spans="4:9" ht="13.15">
      <c r="D486" s="48"/>
      <c r="E486" s="48"/>
      <c r="F486" s="48"/>
      <c r="G486" s="48"/>
      <c r="H486" s="48"/>
      <c r="I486" s="48"/>
    </row>
    <row r="487" spans="4:9" ht="13.15">
      <c r="D487" s="48"/>
      <c r="E487" s="48"/>
      <c r="F487" s="48"/>
      <c r="G487" s="48"/>
      <c r="H487" s="48"/>
      <c r="I487" s="48"/>
    </row>
    <row r="488" spans="4:9" ht="13.15">
      <c r="D488" s="48"/>
      <c r="E488" s="48"/>
      <c r="F488" s="48"/>
      <c r="G488" s="48"/>
      <c r="H488" s="48"/>
      <c r="I488" s="48"/>
    </row>
    <row r="489" spans="4:9" ht="13.15">
      <c r="D489" s="48"/>
      <c r="E489" s="48"/>
      <c r="F489" s="48"/>
      <c r="G489" s="48"/>
      <c r="H489" s="48"/>
      <c r="I489" s="48"/>
    </row>
    <row r="490" spans="4:9" ht="13.15">
      <c r="D490" s="48"/>
      <c r="E490" s="48"/>
      <c r="F490" s="48"/>
      <c r="G490" s="48"/>
      <c r="H490" s="48"/>
      <c r="I490" s="48"/>
    </row>
    <row r="491" spans="4:9" ht="13.15">
      <c r="D491" s="48"/>
      <c r="E491" s="48"/>
      <c r="F491" s="48"/>
      <c r="G491" s="48"/>
      <c r="H491" s="48"/>
      <c r="I491" s="48"/>
    </row>
    <row r="492" spans="4:9" ht="13.15">
      <c r="D492" s="48"/>
      <c r="E492" s="48"/>
      <c r="F492" s="48"/>
      <c r="G492" s="48"/>
      <c r="H492" s="48"/>
      <c r="I492" s="48"/>
    </row>
    <row r="493" spans="4:9" ht="13.15">
      <c r="D493" s="48"/>
      <c r="E493" s="48"/>
      <c r="F493" s="48"/>
      <c r="G493" s="48"/>
      <c r="H493" s="48"/>
      <c r="I493" s="48"/>
    </row>
    <row r="494" spans="4:9" ht="13.15">
      <c r="D494" s="48"/>
      <c r="E494" s="48"/>
      <c r="F494" s="48"/>
      <c r="G494" s="48"/>
      <c r="H494" s="48"/>
      <c r="I494" s="48"/>
    </row>
    <row r="495" spans="4:9" ht="13.15">
      <c r="D495" s="48"/>
      <c r="E495" s="48"/>
      <c r="F495" s="48"/>
      <c r="G495" s="48"/>
      <c r="H495" s="48"/>
      <c r="I495" s="48"/>
    </row>
    <row r="496" spans="4:9" ht="13.15">
      <c r="D496" s="48"/>
      <c r="E496" s="48"/>
      <c r="F496" s="48"/>
      <c r="G496" s="48"/>
      <c r="H496" s="48"/>
      <c r="I496" s="48"/>
    </row>
    <row r="497" spans="4:9" ht="13.15">
      <c r="D497" s="48"/>
      <c r="E497" s="48"/>
      <c r="F497" s="48"/>
      <c r="G497" s="48"/>
      <c r="H497" s="48"/>
      <c r="I497" s="48"/>
    </row>
    <row r="498" spans="4:9" ht="13.15">
      <c r="D498" s="48"/>
      <c r="E498" s="48"/>
      <c r="F498" s="48"/>
      <c r="G498" s="48"/>
      <c r="H498" s="48"/>
      <c r="I498" s="48"/>
    </row>
    <row r="499" spans="4:9" ht="13.15">
      <c r="D499" s="48"/>
      <c r="E499" s="48"/>
      <c r="F499" s="48"/>
      <c r="G499" s="48"/>
      <c r="H499" s="48"/>
      <c r="I499" s="48"/>
    </row>
    <row r="500" spans="4:9" ht="13.15">
      <c r="D500" s="48"/>
      <c r="E500" s="48"/>
      <c r="F500" s="48"/>
      <c r="G500" s="48"/>
      <c r="H500" s="48"/>
      <c r="I500" s="48"/>
    </row>
    <row r="501" spans="4:9" ht="13.15">
      <c r="D501" s="48"/>
      <c r="E501" s="48"/>
      <c r="F501" s="48"/>
      <c r="G501" s="48"/>
      <c r="H501" s="48"/>
      <c r="I501" s="48"/>
    </row>
    <row r="502" spans="4:9" ht="13.15">
      <c r="D502" s="48"/>
      <c r="E502" s="48"/>
      <c r="F502" s="48"/>
      <c r="G502" s="48"/>
      <c r="H502" s="48"/>
      <c r="I502" s="48"/>
    </row>
    <row r="503" spans="4:9" ht="13.15">
      <c r="D503" s="48"/>
      <c r="E503" s="48"/>
      <c r="F503" s="48"/>
      <c r="G503" s="48"/>
      <c r="H503" s="48"/>
      <c r="I503" s="48"/>
    </row>
    <row r="504" spans="4:9" ht="13.15">
      <c r="D504" s="48"/>
      <c r="E504" s="48"/>
      <c r="F504" s="48"/>
      <c r="G504" s="48"/>
      <c r="H504" s="48"/>
      <c r="I504" s="48"/>
    </row>
    <row r="505" spans="4:9" ht="13.15">
      <c r="D505" s="48"/>
      <c r="E505" s="48"/>
      <c r="F505" s="48"/>
      <c r="G505" s="48"/>
      <c r="H505" s="48"/>
      <c r="I505" s="48"/>
    </row>
    <row r="506" spans="4:9" ht="13.15">
      <c r="D506" s="48"/>
      <c r="E506" s="48"/>
      <c r="F506" s="48"/>
      <c r="G506" s="48"/>
      <c r="H506" s="48"/>
      <c r="I506" s="48"/>
    </row>
    <row r="507" spans="4:9" ht="13.15">
      <c r="D507" s="48"/>
      <c r="E507" s="48"/>
      <c r="F507" s="48"/>
      <c r="G507" s="48"/>
      <c r="H507" s="48"/>
      <c r="I507" s="48"/>
    </row>
    <row r="508" spans="4:9" ht="13.15">
      <c r="D508" s="48"/>
      <c r="E508" s="48"/>
      <c r="F508" s="48"/>
      <c r="G508" s="48"/>
      <c r="H508" s="48"/>
      <c r="I508" s="48"/>
    </row>
    <row r="509" spans="4:9" ht="13.15">
      <c r="D509" s="48"/>
      <c r="E509" s="48"/>
      <c r="F509" s="48"/>
      <c r="G509" s="48"/>
      <c r="H509" s="48"/>
      <c r="I509" s="48"/>
    </row>
    <row r="510" spans="4:9" ht="13.15">
      <c r="D510" s="48"/>
      <c r="E510" s="48"/>
      <c r="F510" s="48"/>
      <c r="G510" s="48"/>
      <c r="H510" s="48"/>
      <c r="I510" s="48"/>
    </row>
    <row r="511" spans="4:9" ht="13.15">
      <c r="D511" s="48"/>
      <c r="E511" s="48"/>
      <c r="F511" s="48"/>
      <c r="G511" s="48"/>
      <c r="H511" s="48"/>
      <c r="I511" s="48"/>
    </row>
    <row r="512" spans="4:9" ht="13.15">
      <c r="D512" s="48"/>
      <c r="E512" s="48"/>
      <c r="F512" s="48"/>
      <c r="G512" s="48"/>
      <c r="H512" s="48"/>
      <c r="I512" s="48"/>
    </row>
    <row r="513" spans="4:9" ht="13.15">
      <c r="D513" s="48"/>
      <c r="E513" s="48"/>
      <c r="F513" s="48"/>
      <c r="G513" s="48"/>
      <c r="H513" s="48"/>
      <c r="I513" s="48"/>
    </row>
    <row r="514" spans="4:9" ht="13.15">
      <c r="D514" s="48"/>
      <c r="E514" s="48"/>
      <c r="F514" s="48"/>
      <c r="G514" s="48"/>
      <c r="H514" s="48"/>
      <c r="I514" s="48"/>
    </row>
    <row r="515" spans="4:9" ht="13.15">
      <c r="D515" s="48"/>
      <c r="E515" s="48"/>
      <c r="F515" s="48"/>
      <c r="G515" s="48"/>
      <c r="H515" s="48"/>
      <c r="I515" s="48"/>
    </row>
    <row r="516" spans="4:9" ht="13.15">
      <c r="D516" s="48"/>
      <c r="E516" s="48"/>
      <c r="F516" s="48"/>
      <c r="G516" s="48"/>
      <c r="H516" s="48"/>
      <c r="I516" s="48"/>
    </row>
    <row r="517" spans="4:9" ht="13.15">
      <c r="D517" s="48"/>
      <c r="E517" s="48"/>
      <c r="F517" s="48"/>
      <c r="G517" s="48"/>
      <c r="H517" s="48"/>
      <c r="I517" s="48"/>
    </row>
    <row r="518" spans="4:9" ht="13.15">
      <c r="D518" s="48"/>
      <c r="E518" s="48"/>
      <c r="F518" s="48"/>
      <c r="G518" s="48"/>
      <c r="H518" s="48"/>
      <c r="I518" s="48"/>
    </row>
    <row r="519" spans="4:9" ht="13.15">
      <c r="D519" s="48"/>
      <c r="E519" s="48"/>
      <c r="F519" s="48"/>
      <c r="G519" s="48"/>
      <c r="H519" s="48"/>
      <c r="I519" s="48"/>
    </row>
    <row r="520" spans="4:9" ht="13.15">
      <c r="D520" s="48"/>
      <c r="E520" s="48"/>
      <c r="F520" s="48"/>
      <c r="G520" s="48"/>
      <c r="H520" s="48"/>
      <c r="I520" s="48"/>
    </row>
    <row r="521" spans="4:9" ht="13.15">
      <c r="D521" s="48"/>
      <c r="E521" s="48"/>
      <c r="F521" s="48"/>
      <c r="G521" s="48"/>
      <c r="H521" s="48"/>
      <c r="I521" s="48"/>
    </row>
    <row r="522" spans="4:9" ht="13.15">
      <c r="D522" s="48"/>
      <c r="E522" s="48"/>
      <c r="F522" s="48"/>
      <c r="G522" s="48"/>
      <c r="H522" s="48"/>
      <c r="I522" s="48"/>
    </row>
    <row r="523" spans="4:9" ht="13.15">
      <c r="D523" s="48"/>
      <c r="E523" s="48"/>
      <c r="F523" s="48"/>
      <c r="G523" s="48"/>
      <c r="H523" s="48"/>
      <c r="I523" s="48"/>
    </row>
    <row r="524" spans="4:9" ht="13.15">
      <c r="D524" s="48"/>
      <c r="E524" s="48"/>
      <c r="F524" s="48"/>
      <c r="G524" s="48"/>
      <c r="H524" s="48"/>
      <c r="I524" s="48"/>
    </row>
    <row r="525" spans="4:9" ht="13.15">
      <c r="D525" s="48"/>
      <c r="E525" s="48"/>
      <c r="F525" s="48"/>
      <c r="G525" s="48"/>
      <c r="H525" s="48"/>
      <c r="I525" s="48"/>
    </row>
    <row r="526" spans="4:9" ht="13.15">
      <c r="D526" s="48"/>
      <c r="E526" s="48"/>
      <c r="F526" s="48"/>
      <c r="G526" s="48"/>
      <c r="H526" s="48"/>
      <c r="I526" s="48"/>
    </row>
    <row r="527" spans="4:9" ht="13.15">
      <c r="D527" s="48"/>
      <c r="E527" s="48"/>
      <c r="F527" s="48"/>
      <c r="G527" s="48"/>
      <c r="H527" s="48"/>
      <c r="I527" s="48"/>
    </row>
    <row r="528" spans="4:9" ht="13.15">
      <c r="D528" s="48"/>
      <c r="E528" s="48"/>
      <c r="F528" s="48"/>
      <c r="G528" s="48"/>
      <c r="H528" s="48"/>
      <c r="I528" s="48"/>
    </row>
    <row r="529" spans="4:9" ht="13.15">
      <c r="D529" s="48"/>
      <c r="E529" s="48"/>
      <c r="F529" s="48"/>
      <c r="G529" s="48"/>
      <c r="H529" s="48"/>
      <c r="I529" s="48"/>
    </row>
    <row r="530" spans="4:9" ht="13.15">
      <c r="D530" s="48"/>
      <c r="E530" s="48"/>
      <c r="F530" s="48"/>
      <c r="G530" s="48"/>
      <c r="H530" s="48"/>
      <c r="I530" s="48"/>
    </row>
    <row r="531" spans="4:9" ht="13.15">
      <c r="D531" s="48"/>
      <c r="E531" s="48"/>
      <c r="F531" s="48"/>
      <c r="G531" s="48"/>
      <c r="H531" s="48"/>
      <c r="I531" s="48"/>
    </row>
    <row r="532" spans="4:9" ht="13.15">
      <c r="D532" s="48"/>
      <c r="E532" s="48"/>
      <c r="F532" s="48"/>
      <c r="G532" s="48"/>
      <c r="H532" s="48"/>
      <c r="I532" s="48"/>
    </row>
    <row r="533" spans="4:9" ht="13.15">
      <c r="D533" s="48"/>
      <c r="E533" s="48"/>
      <c r="F533" s="48"/>
      <c r="G533" s="48"/>
      <c r="H533" s="48"/>
      <c r="I533" s="48"/>
    </row>
    <row r="534" spans="4:9" ht="13.15">
      <c r="D534" s="48"/>
      <c r="E534" s="48"/>
      <c r="F534" s="48"/>
      <c r="G534" s="48"/>
      <c r="H534" s="48"/>
      <c r="I534" s="48"/>
    </row>
    <row r="535" spans="4:9" ht="13.15">
      <c r="D535" s="48"/>
      <c r="E535" s="48"/>
      <c r="F535" s="48"/>
      <c r="G535" s="48"/>
      <c r="H535" s="48"/>
      <c r="I535" s="48"/>
    </row>
    <row r="536" spans="4:9" ht="13.15">
      <c r="D536" s="48"/>
      <c r="E536" s="48"/>
      <c r="F536" s="48"/>
      <c r="G536" s="48"/>
      <c r="H536" s="48"/>
      <c r="I536" s="48"/>
    </row>
    <row r="537" spans="4:9" ht="13.15">
      <c r="D537" s="48"/>
      <c r="E537" s="48"/>
      <c r="F537" s="48"/>
      <c r="G537" s="48"/>
      <c r="H537" s="48"/>
      <c r="I537" s="48"/>
    </row>
    <row r="538" spans="4:9" ht="13.15">
      <c r="D538" s="48"/>
      <c r="E538" s="48"/>
      <c r="F538" s="48"/>
      <c r="G538" s="48"/>
      <c r="H538" s="48"/>
      <c r="I538" s="48"/>
    </row>
    <row r="539" spans="4:9" ht="13.15">
      <c r="D539" s="48"/>
      <c r="E539" s="48"/>
      <c r="F539" s="48"/>
      <c r="G539" s="48"/>
      <c r="H539" s="48"/>
      <c r="I539" s="48"/>
    </row>
    <row r="540" spans="4:9" ht="13.15">
      <c r="D540" s="48"/>
      <c r="E540" s="48"/>
      <c r="F540" s="48"/>
      <c r="G540" s="48"/>
      <c r="H540" s="48"/>
      <c r="I540" s="48"/>
    </row>
    <row r="541" spans="4:9" ht="13.15">
      <c r="D541" s="48"/>
      <c r="E541" s="48"/>
      <c r="F541" s="48"/>
      <c r="G541" s="48"/>
      <c r="H541" s="48"/>
      <c r="I541" s="48"/>
    </row>
    <row r="542" spans="4:9" ht="13.15">
      <c r="D542" s="48"/>
      <c r="E542" s="48"/>
      <c r="F542" s="48"/>
      <c r="G542" s="48"/>
      <c r="H542" s="48"/>
      <c r="I542" s="48"/>
    </row>
    <row r="543" spans="4:9" ht="13.15">
      <c r="D543" s="48"/>
      <c r="E543" s="48"/>
      <c r="F543" s="48"/>
      <c r="G543" s="48"/>
      <c r="H543" s="48"/>
      <c r="I543" s="48"/>
    </row>
    <row r="544" spans="4:9" ht="13.15">
      <c r="D544" s="48"/>
      <c r="E544" s="48"/>
      <c r="F544" s="48"/>
      <c r="G544" s="48"/>
      <c r="H544" s="48"/>
      <c r="I544" s="48"/>
    </row>
    <row r="545" spans="4:9" ht="13.15">
      <c r="D545" s="48"/>
      <c r="E545" s="48"/>
      <c r="F545" s="48"/>
      <c r="G545" s="48"/>
      <c r="H545" s="48"/>
      <c r="I545" s="48"/>
    </row>
    <row r="546" spans="4:9" ht="13.15">
      <c r="D546" s="48"/>
      <c r="E546" s="48"/>
      <c r="F546" s="48"/>
      <c r="G546" s="48"/>
      <c r="H546" s="48"/>
      <c r="I546" s="48"/>
    </row>
    <row r="547" spans="4:9" ht="13.15">
      <c r="D547" s="48"/>
      <c r="E547" s="48"/>
      <c r="F547" s="48"/>
      <c r="G547" s="48"/>
      <c r="H547" s="48"/>
      <c r="I547" s="48"/>
    </row>
    <row r="548" spans="4:9" ht="13.15">
      <c r="D548" s="48"/>
      <c r="E548" s="48"/>
      <c r="F548" s="48"/>
      <c r="G548" s="48"/>
      <c r="H548" s="48"/>
      <c r="I548" s="48"/>
    </row>
    <row r="549" spans="4:9" ht="13.15">
      <c r="D549" s="48"/>
      <c r="E549" s="48"/>
      <c r="F549" s="48"/>
      <c r="G549" s="48"/>
      <c r="H549" s="48"/>
      <c r="I549" s="48"/>
    </row>
    <row r="550" spans="4:9" ht="13.15">
      <c r="D550" s="48"/>
      <c r="E550" s="48"/>
      <c r="F550" s="48"/>
      <c r="G550" s="48"/>
      <c r="H550" s="48"/>
      <c r="I550" s="48"/>
    </row>
    <row r="551" spans="4:9" ht="13.15">
      <c r="D551" s="48"/>
      <c r="E551" s="48"/>
      <c r="F551" s="48"/>
      <c r="G551" s="48"/>
      <c r="H551" s="48"/>
      <c r="I551" s="48"/>
    </row>
    <row r="552" spans="4:9" ht="13.15">
      <c r="D552" s="48"/>
      <c r="E552" s="48"/>
      <c r="F552" s="48"/>
      <c r="G552" s="48"/>
      <c r="H552" s="48"/>
      <c r="I552" s="48"/>
    </row>
    <row r="553" spans="4:9" ht="13.15">
      <c r="D553" s="48"/>
      <c r="E553" s="48"/>
      <c r="F553" s="48"/>
      <c r="G553" s="48"/>
      <c r="H553" s="48"/>
      <c r="I553" s="48"/>
    </row>
    <row r="554" spans="4:9" ht="13.15">
      <c r="D554" s="48"/>
      <c r="E554" s="48"/>
      <c r="F554" s="48"/>
      <c r="G554" s="48"/>
      <c r="H554" s="48"/>
      <c r="I554" s="48"/>
    </row>
    <row r="555" spans="4:9" ht="13.15">
      <c r="D555" s="48"/>
      <c r="E555" s="48"/>
      <c r="F555" s="48"/>
      <c r="G555" s="48"/>
      <c r="H555" s="48"/>
      <c r="I555" s="48"/>
    </row>
    <row r="556" spans="4:9" ht="13.15">
      <c r="D556" s="48"/>
      <c r="E556" s="48"/>
      <c r="F556" s="48"/>
      <c r="G556" s="48"/>
      <c r="H556" s="48"/>
      <c r="I556" s="48"/>
    </row>
    <row r="557" spans="4:9" ht="13.15">
      <c r="D557" s="48"/>
      <c r="E557" s="48"/>
      <c r="F557" s="48"/>
      <c r="G557" s="48"/>
      <c r="H557" s="48"/>
      <c r="I557" s="48"/>
    </row>
    <row r="558" spans="4:9" ht="13.15">
      <c r="D558" s="48"/>
      <c r="E558" s="48"/>
      <c r="F558" s="48"/>
      <c r="G558" s="48"/>
      <c r="H558" s="48"/>
      <c r="I558" s="48"/>
    </row>
    <row r="559" spans="4:9" ht="13.15">
      <c r="D559" s="48"/>
      <c r="E559" s="48"/>
      <c r="F559" s="48"/>
      <c r="G559" s="48"/>
      <c r="H559" s="48"/>
      <c r="I559" s="48"/>
    </row>
    <row r="560" spans="4:9" ht="13.15">
      <c r="D560" s="48"/>
      <c r="E560" s="48"/>
      <c r="F560" s="48"/>
      <c r="G560" s="48"/>
      <c r="H560" s="48"/>
      <c r="I560" s="48"/>
    </row>
    <row r="561" spans="4:9" ht="13.15">
      <c r="D561" s="48"/>
      <c r="E561" s="48"/>
      <c r="F561" s="48"/>
      <c r="G561" s="48"/>
      <c r="H561" s="48"/>
      <c r="I561" s="48"/>
    </row>
    <row r="562" spans="4:9" ht="13.15">
      <c r="D562" s="48"/>
      <c r="E562" s="48"/>
      <c r="F562" s="48"/>
      <c r="G562" s="48"/>
      <c r="H562" s="48"/>
      <c r="I562" s="48"/>
    </row>
    <row r="563" spans="4:9" ht="13.15">
      <c r="D563" s="48"/>
      <c r="E563" s="48"/>
      <c r="F563" s="48"/>
      <c r="G563" s="48"/>
      <c r="H563" s="48"/>
      <c r="I563" s="48"/>
    </row>
    <row r="564" spans="4:9" ht="13.15">
      <c r="D564" s="48"/>
      <c r="E564" s="48"/>
      <c r="F564" s="48"/>
      <c r="G564" s="48"/>
      <c r="H564" s="48"/>
      <c r="I564" s="48"/>
    </row>
    <row r="565" spans="4:9" ht="13.15">
      <c r="D565" s="48"/>
      <c r="E565" s="48"/>
      <c r="F565" s="48"/>
      <c r="G565" s="48"/>
      <c r="H565" s="48"/>
      <c r="I565" s="48"/>
    </row>
    <row r="566" spans="4:9" ht="13.15">
      <c r="D566" s="48"/>
      <c r="E566" s="48"/>
      <c r="F566" s="48"/>
      <c r="G566" s="48"/>
      <c r="H566" s="48"/>
      <c r="I566" s="48"/>
    </row>
    <row r="567" spans="4:9" ht="13.15">
      <c r="D567" s="48"/>
      <c r="E567" s="48"/>
      <c r="F567" s="48"/>
      <c r="G567" s="48"/>
      <c r="H567" s="48"/>
      <c r="I567" s="48"/>
    </row>
    <row r="568" spans="4:9" ht="13.15">
      <c r="D568" s="48"/>
      <c r="E568" s="48"/>
      <c r="F568" s="48"/>
      <c r="G568" s="48"/>
      <c r="H568" s="48"/>
      <c r="I568" s="48"/>
    </row>
    <row r="569" spans="4:9" ht="13.15">
      <c r="D569" s="48"/>
      <c r="E569" s="48"/>
      <c r="F569" s="48"/>
      <c r="G569" s="48"/>
      <c r="H569" s="48"/>
      <c r="I569" s="48"/>
    </row>
    <row r="570" spans="4:9" ht="13.15">
      <c r="D570" s="48"/>
      <c r="E570" s="48"/>
      <c r="F570" s="48"/>
      <c r="G570" s="48"/>
      <c r="H570" s="48"/>
      <c r="I570" s="48"/>
    </row>
    <row r="571" spans="4:9" ht="13.15">
      <c r="D571" s="48"/>
      <c r="E571" s="48"/>
      <c r="F571" s="48"/>
      <c r="G571" s="48"/>
      <c r="H571" s="48"/>
      <c r="I571" s="48"/>
    </row>
    <row r="572" spans="4:9" ht="13.15">
      <c r="D572" s="48"/>
      <c r="E572" s="48"/>
      <c r="F572" s="48"/>
      <c r="G572" s="48"/>
      <c r="H572" s="48"/>
      <c r="I572" s="48"/>
    </row>
    <row r="573" spans="4:9" ht="13.15">
      <c r="D573" s="48"/>
      <c r="E573" s="48"/>
      <c r="F573" s="48"/>
      <c r="G573" s="48"/>
      <c r="H573" s="48"/>
      <c r="I573" s="48"/>
    </row>
    <row r="574" spans="4:9" ht="13.15">
      <c r="D574" s="48"/>
      <c r="E574" s="48"/>
      <c r="F574" s="48"/>
      <c r="G574" s="48"/>
      <c r="H574" s="48"/>
      <c r="I574" s="48"/>
    </row>
    <row r="575" spans="4:9" ht="13.15">
      <c r="D575" s="48"/>
      <c r="E575" s="48"/>
      <c r="F575" s="48"/>
      <c r="G575" s="48"/>
      <c r="H575" s="48"/>
      <c r="I575" s="48"/>
    </row>
    <row r="576" spans="4:9" ht="13.15">
      <c r="D576" s="48"/>
      <c r="E576" s="48"/>
      <c r="F576" s="48"/>
      <c r="G576" s="48"/>
      <c r="H576" s="48"/>
      <c r="I576" s="48"/>
    </row>
    <row r="577" spans="4:9" ht="13.15">
      <c r="D577" s="48"/>
      <c r="E577" s="48"/>
      <c r="F577" s="48"/>
      <c r="G577" s="48"/>
      <c r="H577" s="48"/>
      <c r="I577" s="48"/>
    </row>
    <row r="578" spans="4:9" ht="13.15">
      <c r="D578" s="48"/>
      <c r="E578" s="48"/>
      <c r="F578" s="48"/>
      <c r="G578" s="48"/>
      <c r="H578" s="48"/>
      <c r="I578" s="48"/>
    </row>
    <row r="579" spans="4:9" ht="13.15">
      <c r="D579" s="48"/>
      <c r="E579" s="48"/>
      <c r="F579" s="48"/>
      <c r="G579" s="48"/>
      <c r="H579" s="48"/>
      <c r="I579" s="48"/>
    </row>
    <row r="580" spans="4:9" ht="13.15">
      <c r="D580" s="48"/>
      <c r="E580" s="48"/>
      <c r="F580" s="48"/>
      <c r="G580" s="48"/>
      <c r="H580" s="48"/>
      <c r="I580" s="48"/>
    </row>
    <row r="581" spans="4:9" ht="13.15">
      <c r="D581" s="48"/>
      <c r="E581" s="48"/>
      <c r="F581" s="48"/>
      <c r="G581" s="48"/>
      <c r="H581" s="48"/>
      <c r="I581" s="48"/>
    </row>
    <row r="582" spans="4:9" ht="13.15">
      <c r="D582" s="48"/>
      <c r="E582" s="48"/>
      <c r="F582" s="48"/>
      <c r="G582" s="48"/>
      <c r="H582" s="48"/>
      <c r="I582" s="48"/>
    </row>
    <row r="583" spans="4:9" ht="13.15">
      <c r="D583" s="48"/>
      <c r="E583" s="48"/>
      <c r="F583" s="48"/>
      <c r="G583" s="48"/>
      <c r="H583" s="48"/>
      <c r="I583" s="48"/>
    </row>
    <row r="584" spans="4:9" ht="13.15">
      <c r="D584" s="48"/>
      <c r="E584" s="48"/>
      <c r="F584" s="48"/>
      <c r="G584" s="48"/>
      <c r="H584" s="48"/>
      <c r="I584" s="48"/>
    </row>
    <row r="585" spans="4:9" ht="13.15">
      <c r="D585" s="48"/>
      <c r="E585" s="48"/>
      <c r="F585" s="48"/>
      <c r="G585" s="48"/>
      <c r="H585" s="48"/>
      <c r="I585" s="48"/>
    </row>
    <row r="586" spans="4:9" ht="13.15">
      <c r="D586" s="48"/>
      <c r="E586" s="48"/>
      <c r="F586" s="48"/>
      <c r="G586" s="48"/>
      <c r="H586" s="48"/>
      <c r="I586" s="48"/>
    </row>
    <row r="587" spans="4:9" ht="13.15">
      <c r="D587" s="48"/>
      <c r="E587" s="48"/>
      <c r="F587" s="48"/>
      <c r="G587" s="48"/>
      <c r="H587" s="48"/>
      <c r="I587" s="48"/>
    </row>
    <row r="588" spans="4:9" ht="13.15">
      <c r="D588" s="48"/>
      <c r="E588" s="48"/>
      <c r="F588" s="48"/>
      <c r="G588" s="48"/>
      <c r="H588" s="48"/>
      <c r="I588" s="48"/>
    </row>
    <row r="589" spans="4:9" ht="13.15">
      <c r="D589" s="48"/>
      <c r="E589" s="48"/>
      <c r="F589" s="48"/>
      <c r="G589" s="48"/>
      <c r="H589" s="48"/>
      <c r="I589" s="48"/>
    </row>
    <row r="590" spans="4:9" ht="13.15">
      <c r="D590" s="48"/>
      <c r="E590" s="48"/>
      <c r="F590" s="48"/>
      <c r="G590" s="48"/>
      <c r="H590" s="48"/>
      <c r="I590" s="48"/>
    </row>
    <row r="591" spans="4:9" ht="13.15">
      <c r="D591" s="48"/>
      <c r="E591" s="48"/>
      <c r="F591" s="48"/>
      <c r="G591" s="48"/>
      <c r="H591" s="48"/>
      <c r="I591" s="48"/>
    </row>
    <row r="592" spans="4:9" ht="13.15">
      <c r="D592" s="48"/>
      <c r="E592" s="48"/>
      <c r="F592" s="48"/>
      <c r="G592" s="48"/>
      <c r="H592" s="48"/>
      <c r="I592" s="48"/>
    </row>
    <row r="593" spans="4:9" ht="13.15">
      <c r="D593" s="48"/>
      <c r="E593" s="48"/>
      <c r="F593" s="48"/>
      <c r="G593" s="48"/>
      <c r="H593" s="48"/>
      <c r="I593" s="48"/>
    </row>
    <row r="594" spans="4:9" ht="13.15">
      <c r="D594" s="48"/>
      <c r="E594" s="48"/>
      <c r="F594" s="48"/>
      <c r="G594" s="48"/>
      <c r="H594" s="48"/>
      <c r="I594" s="48"/>
    </row>
    <row r="595" spans="4:9" ht="13.15">
      <c r="D595" s="48"/>
      <c r="E595" s="48"/>
      <c r="F595" s="48"/>
      <c r="G595" s="48"/>
      <c r="H595" s="48"/>
      <c r="I595" s="48"/>
    </row>
    <row r="596" spans="4:9" ht="13.15">
      <c r="D596" s="48"/>
      <c r="E596" s="48"/>
      <c r="F596" s="48"/>
      <c r="G596" s="48"/>
      <c r="H596" s="48"/>
      <c r="I596" s="48"/>
    </row>
    <row r="597" spans="4:9" ht="13.15">
      <c r="D597" s="48"/>
      <c r="E597" s="48"/>
      <c r="F597" s="48"/>
      <c r="G597" s="48"/>
      <c r="H597" s="48"/>
      <c r="I597" s="48"/>
    </row>
    <row r="598" spans="4:9" ht="13.15">
      <c r="D598" s="48"/>
      <c r="E598" s="48"/>
      <c r="F598" s="48"/>
      <c r="G598" s="48"/>
      <c r="H598" s="48"/>
      <c r="I598" s="48"/>
    </row>
    <row r="599" spans="4:9" ht="13.15">
      <c r="D599" s="48"/>
      <c r="E599" s="48"/>
      <c r="F599" s="48"/>
      <c r="G599" s="48"/>
      <c r="H599" s="48"/>
      <c r="I599" s="48"/>
    </row>
    <row r="600" spans="4:9" ht="13.15">
      <c r="D600" s="48"/>
      <c r="E600" s="48"/>
      <c r="F600" s="48"/>
      <c r="G600" s="48"/>
      <c r="H600" s="48"/>
      <c r="I600" s="48"/>
    </row>
    <row r="601" spans="4:9" ht="13.15">
      <c r="D601" s="48"/>
      <c r="E601" s="48"/>
      <c r="F601" s="48"/>
      <c r="G601" s="48"/>
      <c r="H601" s="48"/>
      <c r="I601" s="48"/>
    </row>
    <row r="602" spans="4:9" ht="13.15">
      <c r="D602" s="48"/>
      <c r="E602" s="48"/>
      <c r="F602" s="48"/>
      <c r="G602" s="48"/>
      <c r="H602" s="48"/>
      <c r="I602" s="48"/>
    </row>
    <row r="603" spans="4:9" ht="13.15">
      <c r="D603" s="48"/>
      <c r="E603" s="48"/>
      <c r="F603" s="48"/>
      <c r="G603" s="48"/>
      <c r="H603" s="48"/>
      <c r="I603" s="48"/>
    </row>
    <row r="604" spans="4:9" ht="13.15">
      <c r="D604" s="48"/>
      <c r="E604" s="48"/>
      <c r="F604" s="48"/>
      <c r="G604" s="48"/>
      <c r="H604" s="48"/>
      <c r="I604" s="48"/>
    </row>
    <row r="605" spans="4:9" ht="13.15">
      <c r="D605" s="48"/>
      <c r="E605" s="48"/>
      <c r="F605" s="48"/>
      <c r="G605" s="48"/>
      <c r="H605" s="48"/>
      <c r="I605" s="48"/>
    </row>
    <row r="606" spans="4:9" ht="13.15">
      <c r="D606" s="48"/>
      <c r="E606" s="48"/>
      <c r="F606" s="48"/>
      <c r="G606" s="48"/>
      <c r="H606" s="48"/>
      <c r="I606" s="48"/>
    </row>
    <row r="607" spans="4:9" ht="13.15">
      <c r="D607" s="48"/>
      <c r="E607" s="48"/>
      <c r="F607" s="48"/>
      <c r="G607" s="48"/>
      <c r="H607" s="48"/>
      <c r="I607" s="48"/>
    </row>
    <row r="608" spans="4:9" ht="13.15">
      <c r="D608" s="48"/>
      <c r="E608" s="48"/>
      <c r="F608" s="48"/>
      <c r="G608" s="48"/>
      <c r="H608" s="48"/>
      <c r="I608" s="48"/>
    </row>
    <row r="609" spans="4:9" ht="13.15">
      <c r="D609" s="48"/>
      <c r="E609" s="48"/>
      <c r="F609" s="48"/>
      <c r="G609" s="48"/>
      <c r="H609" s="48"/>
      <c r="I609" s="48"/>
    </row>
    <row r="610" spans="4:9" ht="13.15">
      <c r="D610" s="48"/>
      <c r="E610" s="48"/>
      <c r="F610" s="48"/>
      <c r="G610" s="48"/>
      <c r="H610" s="48"/>
      <c r="I610" s="48"/>
    </row>
    <row r="611" spans="4:9" ht="13.15">
      <c r="D611" s="48"/>
      <c r="E611" s="48"/>
      <c r="F611" s="48"/>
      <c r="G611" s="48"/>
      <c r="H611" s="48"/>
      <c r="I611" s="48"/>
    </row>
    <row r="612" spans="4:9" ht="13.15">
      <c r="D612" s="48"/>
      <c r="E612" s="48"/>
      <c r="F612" s="48"/>
      <c r="G612" s="48"/>
      <c r="H612" s="48"/>
      <c r="I612" s="48"/>
    </row>
    <row r="613" spans="4:9" ht="13.15">
      <c r="D613" s="48"/>
      <c r="E613" s="48"/>
      <c r="F613" s="48"/>
      <c r="G613" s="48"/>
      <c r="H613" s="48"/>
      <c r="I613" s="48"/>
    </row>
    <row r="614" spans="4:9" ht="13.15">
      <c r="D614" s="48"/>
      <c r="E614" s="48"/>
      <c r="F614" s="48"/>
      <c r="G614" s="48"/>
      <c r="H614" s="48"/>
      <c r="I614" s="48"/>
    </row>
    <row r="615" spans="4:9" ht="13.15">
      <c r="D615" s="48"/>
      <c r="E615" s="48"/>
      <c r="F615" s="48"/>
      <c r="G615" s="48"/>
      <c r="H615" s="48"/>
      <c r="I615" s="48"/>
    </row>
    <row r="616" spans="4:9" ht="13.15">
      <c r="D616" s="48"/>
      <c r="E616" s="48"/>
      <c r="F616" s="48"/>
      <c r="G616" s="48"/>
      <c r="H616" s="48"/>
      <c r="I616" s="48"/>
    </row>
    <row r="617" spans="4:9" ht="13.15">
      <c r="D617" s="48"/>
      <c r="E617" s="48"/>
      <c r="F617" s="48"/>
      <c r="G617" s="48"/>
      <c r="H617" s="48"/>
      <c r="I617" s="48"/>
    </row>
    <row r="618" spans="4:9" ht="13.15">
      <c r="D618" s="48"/>
      <c r="E618" s="48"/>
      <c r="F618" s="48"/>
      <c r="G618" s="48"/>
      <c r="H618" s="48"/>
      <c r="I618" s="48"/>
    </row>
    <row r="619" spans="4:9" ht="13.15">
      <c r="D619" s="48"/>
      <c r="E619" s="48"/>
      <c r="F619" s="48"/>
      <c r="G619" s="48"/>
      <c r="H619" s="48"/>
      <c r="I619" s="48"/>
    </row>
    <row r="620" spans="4:9" ht="13.15">
      <c r="D620" s="48"/>
      <c r="E620" s="48"/>
      <c r="F620" s="48"/>
      <c r="G620" s="48"/>
      <c r="H620" s="48"/>
      <c r="I620" s="48"/>
    </row>
    <row r="621" spans="4:9" ht="13.15">
      <c r="D621" s="48"/>
      <c r="E621" s="48"/>
      <c r="F621" s="48"/>
      <c r="G621" s="48"/>
      <c r="H621" s="48"/>
      <c r="I621" s="48"/>
    </row>
    <row r="622" spans="4:9" ht="13.15">
      <c r="D622" s="48"/>
      <c r="E622" s="48"/>
      <c r="F622" s="48"/>
      <c r="G622" s="48"/>
      <c r="H622" s="48"/>
      <c r="I622" s="48"/>
    </row>
    <row r="623" spans="4:9" ht="13.15">
      <c r="D623" s="48"/>
      <c r="E623" s="48"/>
      <c r="F623" s="48"/>
      <c r="G623" s="48"/>
      <c r="H623" s="48"/>
      <c r="I623" s="48"/>
    </row>
    <row r="624" spans="4:9" ht="13.15">
      <c r="D624" s="48"/>
      <c r="E624" s="48"/>
      <c r="F624" s="48"/>
      <c r="G624" s="48"/>
      <c r="H624" s="48"/>
      <c r="I624" s="48"/>
    </row>
    <row r="625" spans="4:9" ht="13.15">
      <c r="D625" s="48"/>
      <c r="E625" s="48"/>
      <c r="F625" s="48"/>
      <c r="G625" s="48"/>
      <c r="H625" s="48"/>
      <c r="I625" s="48"/>
    </row>
    <row r="626" spans="4:9" ht="13.15">
      <c r="D626" s="48"/>
      <c r="E626" s="48"/>
      <c r="F626" s="48"/>
      <c r="G626" s="48"/>
      <c r="H626" s="48"/>
      <c r="I626" s="48"/>
    </row>
    <row r="627" spans="4:9" ht="13.15">
      <c r="D627" s="48"/>
      <c r="E627" s="48"/>
      <c r="F627" s="48"/>
      <c r="G627" s="48"/>
      <c r="H627" s="48"/>
      <c r="I627" s="48"/>
    </row>
    <row r="628" spans="4:9" ht="13.15">
      <c r="D628" s="48"/>
      <c r="E628" s="48"/>
      <c r="F628" s="48"/>
      <c r="G628" s="48"/>
      <c r="H628" s="48"/>
      <c r="I628" s="48"/>
    </row>
    <row r="629" spans="4:9" ht="13.15">
      <c r="D629" s="48"/>
      <c r="E629" s="48"/>
      <c r="F629" s="48"/>
      <c r="G629" s="48"/>
      <c r="H629" s="48"/>
      <c r="I629" s="48"/>
    </row>
    <row r="630" spans="4:9" ht="13.15">
      <c r="D630" s="48"/>
      <c r="E630" s="48"/>
      <c r="F630" s="48"/>
      <c r="G630" s="48"/>
      <c r="H630" s="48"/>
      <c r="I630" s="48"/>
    </row>
    <row r="631" spans="4:9" ht="13.15">
      <c r="D631" s="48"/>
      <c r="E631" s="48"/>
      <c r="F631" s="48"/>
      <c r="G631" s="48"/>
      <c r="H631" s="48"/>
      <c r="I631" s="48"/>
    </row>
    <row r="632" spans="4:9" ht="13.15">
      <c r="D632" s="48"/>
      <c r="E632" s="48"/>
      <c r="F632" s="48"/>
      <c r="G632" s="48"/>
      <c r="H632" s="48"/>
      <c r="I632" s="48"/>
    </row>
    <row r="633" spans="4:9" ht="13.15">
      <c r="D633" s="48"/>
      <c r="E633" s="48"/>
      <c r="F633" s="48"/>
      <c r="G633" s="48"/>
      <c r="H633" s="48"/>
      <c r="I633" s="48"/>
    </row>
    <row r="634" spans="4:9" ht="13.15">
      <c r="D634" s="48"/>
      <c r="E634" s="48"/>
      <c r="F634" s="48"/>
      <c r="G634" s="48"/>
      <c r="H634" s="48"/>
      <c r="I634" s="48"/>
    </row>
    <row r="635" spans="4:9" ht="13.15">
      <c r="D635" s="48"/>
      <c r="E635" s="48"/>
      <c r="F635" s="48"/>
      <c r="G635" s="48"/>
      <c r="H635" s="48"/>
      <c r="I635" s="48"/>
    </row>
    <row r="636" spans="4:9" ht="13.15">
      <c r="D636" s="48"/>
      <c r="E636" s="48"/>
      <c r="F636" s="48"/>
      <c r="G636" s="48"/>
      <c r="H636" s="48"/>
      <c r="I636" s="48"/>
    </row>
    <row r="637" spans="4:9" ht="13.15">
      <c r="D637" s="48"/>
      <c r="E637" s="48"/>
      <c r="F637" s="48"/>
      <c r="G637" s="48"/>
      <c r="H637" s="48"/>
      <c r="I637" s="48"/>
    </row>
    <row r="638" spans="4:9" ht="13.15">
      <c r="D638" s="48"/>
      <c r="E638" s="48"/>
      <c r="F638" s="48"/>
      <c r="G638" s="48"/>
      <c r="H638" s="48"/>
      <c r="I638" s="48"/>
    </row>
    <row r="639" spans="4:9" ht="13.15">
      <c r="D639" s="48"/>
      <c r="E639" s="48"/>
      <c r="F639" s="48"/>
      <c r="G639" s="48"/>
      <c r="H639" s="48"/>
      <c r="I639" s="48"/>
    </row>
    <row r="640" spans="4:9" ht="13.15">
      <c r="D640" s="48"/>
      <c r="E640" s="48"/>
      <c r="F640" s="48"/>
      <c r="G640" s="48"/>
      <c r="H640" s="48"/>
      <c r="I640" s="48"/>
    </row>
    <row r="641" spans="4:9" ht="13.15">
      <c r="D641" s="48"/>
      <c r="E641" s="48"/>
      <c r="F641" s="48"/>
      <c r="G641" s="48"/>
      <c r="H641" s="48"/>
      <c r="I641" s="48"/>
    </row>
    <row r="642" spans="4:9" ht="13.15">
      <c r="D642" s="48"/>
      <c r="E642" s="48"/>
      <c r="F642" s="48"/>
      <c r="G642" s="48"/>
      <c r="H642" s="48"/>
      <c r="I642" s="48"/>
    </row>
    <row r="643" spans="4:9" ht="13.15">
      <c r="D643" s="48"/>
      <c r="E643" s="48"/>
      <c r="F643" s="48"/>
      <c r="G643" s="48"/>
      <c r="H643" s="48"/>
      <c r="I643" s="48"/>
    </row>
    <row r="644" spans="4:9" ht="13.15">
      <c r="D644" s="48"/>
      <c r="E644" s="48"/>
      <c r="F644" s="48"/>
      <c r="G644" s="48"/>
      <c r="H644" s="48"/>
      <c r="I644" s="48"/>
    </row>
    <row r="645" spans="4:9" ht="13.15">
      <c r="D645" s="48"/>
      <c r="E645" s="48"/>
      <c r="F645" s="48"/>
      <c r="G645" s="48"/>
      <c r="H645" s="48"/>
      <c r="I645" s="48"/>
    </row>
    <row r="646" spans="4:9" ht="13.15">
      <c r="D646" s="48"/>
      <c r="E646" s="48"/>
      <c r="F646" s="48"/>
      <c r="G646" s="48"/>
      <c r="H646" s="48"/>
      <c r="I646" s="48"/>
    </row>
    <row r="647" spans="4:9" ht="13.15">
      <c r="D647" s="48"/>
      <c r="E647" s="48"/>
      <c r="F647" s="48"/>
      <c r="G647" s="48"/>
      <c r="H647" s="48"/>
      <c r="I647" s="48"/>
    </row>
    <row r="648" spans="4:9" ht="13.15">
      <c r="D648" s="48"/>
      <c r="E648" s="48"/>
      <c r="F648" s="48"/>
      <c r="G648" s="48"/>
      <c r="H648" s="48"/>
      <c r="I648" s="48"/>
    </row>
    <row r="649" spans="4:9" ht="13.15">
      <c r="D649" s="48"/>
      <c r="E649" s="48"/>
      <c r="F649" s="48"/>
      <c r="G649" s="48"/>
      <c r="H649" s="48"/>
      <c r="I649" s="48"/>
    </row>
    <row r="650" spans="4:9" ht="13.15">
      <c r="D650" s="48"/>
      <c r="E650" s="48"/>
      <c r="F650" s="48"/>
      <c r="G650" s="48"/>
      <c r="H650" s="48"/>
      <c r="I650" s="48"/>
    </row>
    <row r="651" spans="4:9" ht="13.15">
      <c r="D651" s="48"/>
      <c r="E651" s="48"/>
      <c r="F651" s="48"/>
      <c r="G651" s="48"/>
      <c r="H651" s="48"/>
      <c r="I651" s="48"/>
    </row>
    <row r="652" spans="4:9" ht="13.15">
      <c r="D652" s="48"/>
      <c r="E652" s="48"/>
      <c r="F652" s="48"/>
      <c r="G652" s="48"/>
      <c r="H652" s="48"/>
      <c r="I652" s="48"/>
    </row>
    <row r="653" spans="4:9" ht="13.15">
      <c r="D653" s="48"/>
      <c r="E653" s="48"/>
      <c r="F653" s="48"/>
      <c r="G653" s="48"/>
      <c r="H653" s="48"/>
      <c r="I653" s="48"/>
    </row>
    <row r="654" spans="4:9" ht="13.15">
      <c r="D654" s="48"/>
      <c r="E654" s="48"/>
      <c r="F654" s="48"/>
      <c r="G654" s="48"/>
      <c r="H654" s="48"/>
      <c r="I654" s="48"/>
    </row>
    <row r="655" spans="4:9" ht="13.15">
      <c r="D655" s="48"/>
      <c r="E655" s="48"/>
      <c r="F655" s="48"/>
      <c r="G655" s="48"/>
      <c r="H655" s="48"/>
      <c r="I655" s="48"/>
    </row>
    <row r="656" spans="4:9" ht="13.15">
      <c r="D656" s="48"/>
      <c r="E656" s="48"/>
      <c r="F656" s="48"/>
      <c r="G656" s="48"/>
      <c r="H656" s="48"/>
      <c r="I656" s="48"/>
    </row>
    <row r="657" spans="4:9" ht="13.15">
      <c r="D657" s="48"/>
      <c r="E657" s="48"/>
      <c r="F657" s="48"/>
      <c r="G657" s="48"/>
      <c r="H657" s="48"/>
      <c r="I657" s="48"/>
    </row>
    <row r="658" spans="4:9" ht="13.15">
      <c r="D658" s="48"/>
      <c r="E658" s="48"/>
      <c r="F658" s="48"/>
      <c r="G658" s="48"/>
      <c r="H658" s="48"/>
      <c r="I658" s="48"/>
    </row>
    <row r="659" spans="4:9" ht="13.15">
      <c r="D659" s="48"/>
      <c r="E659" s="48"/>
      <c r="F659" s="48"/>
      <c r="G659" s="48"/>
      <c r="H659" s="48"/>
      <c r="I659" s="48"/>
    </row>
    <row r="660" spans="4:9" ht="13.15">
      <c r="D660" s="48"/>
      <c r="E660" s="48"/>
      <c r="F660" s="48"/>
      <c r="G660" s="48"/>
      <c r="H660" s="48"/>
      <c r="I660" s="48"/>
    </row>
    <row r="661" spans="4:9" ht="13.15">
      <c r="D661" s="48"/>
      <c r="E661" s="48"/>
      <c r="F661" s="48"/>
      <c r="G661" s="48"/>
      <c r="H661" s="48"/>
      <c r="I661" s="48"/>
    </row>
    <row r="662" spans="4:9" ht="13.15">
      <c r="D662" s="48"/>
      <c r="E662" s="48"/>
      <c r="F662" s="48"/>
      <c r="G662" s="48"/>
      <c r="H662" s="48"/>
      <c r="I662" s="48"/>
    </row>
    <row r="663" spans="4:9" ht="13.15">
      <c r="D663" s="48"/>
      <c r="E663" s="48"/>
      <c r="F663" s="48"/>
      <c r="G663" s="48"/>
      <c r="H663" s="48"/>
      <c r="I663" s="48"/>
    </row>
    <row r="664" spans="4:9" ht="13.15">
      <c r="D664" s="48"/>
      <c r="E664" s="48"/>
      <c r="F664" s="48"/>
      <c r="G664" s="48"/>
      <c r="H664" s="48"/>
      <c r="I664" s="48"/>
    </row>
    <row r="665" spans="4:9" ht="13.15">
      <c r="D665" s="48"/>
      <c r="E665" s="48"/>
      <c r="F665" s="48"/>
      <c r="G665" s="48"/>
      <c r="H665" s="48"/>
      <c r="I665" s="48"/>
    </row>
    <row r="666" spans="4:9" ht="13.15">
      <c r="D666" s="48"/>
      <c r="E666" s="48"/>
      <c r="F666" s="48"/>
      <c r="G666" s="48"/>
      <c r="H666" s="48"/>
      <c r="I666" s="48"/>
    </row>
    <row r="667" spans="4:9" ht="13.15">
      <c r="D667" s="48"/>
      <c r="E667" s="48"/>
      <c r="F667" s="48"/>
      <c r="G667" s="48"/>
      <c r="H667" s="48"/>
      <c r="I667" s="48"/>
    </row>
    <row r="668" spans="4:9" ht="13.15">
      <c r="D668" s="48"/>
      <c r="E668" s="48"/>
      <c r="F668" s="48"/>
      <c r="G668" s="48"/>
      <c r="H668" s="48"/>
      <c r="I668" s="48"/>
    </row>
    <row r="669" spans="4:9" ht="13.15">
      <c r="D669" s="48"/>
      <c r="E669" s="48"/>
      <c r="F669" s="48"/>
      <c r="G669" s="48"/>
      <c r="H669" s="48"/>
      <c r="I669" s="48"/>
    </row>
    <row r="670" spans="4:9" ht="13.15">
      <c r="D670" s="48"/>
      <c r="E670" s="48"/>
      <c r="F670" s="48"/>
      <c r="G670" s="48"/>
      <c r="H670" s="48"/>
      <c r="I670" s="48"/>
    </row>
    <row r="671" spans="4:9" ht="13.15">
      <c r="D671" s="48"/>
      <c r="E671" s="48"/>
      <c r="F671" s="48"/>
      <c r="G671" s="48"/>
      <c r="H671" s="48"/>
      <c r="I671" s="48"/>
    </row>
    <row r="672" spans="4:9" ht="13.15">
      <c r="D672" s="48"/>
      <c r="E672" s="48"/>
      <c r="F672" s="48"/>
      <c r="G672" s="48"/>
      <c r="H672" s="48"/>
      <c r="I672" s="48"/>
    </row>
    <row r="673" spans="4:9" ht="13.15">
      <c r="D673" s="48"/>
      <c r="E673" s="48"/>
      <c r="F673" s="48"/>
      <c r="G673" s="48"/>
      <c r="H673" s="48"/>
      <c r="I673" s="48"/>
    </row>
    <row r="674" spans="4:9" ht="13.15">
      <c r="D674" s="48"/>
      <c r="E674" s="48"/>
      <c r="F674" s="48"/>
      <c r="G674" s="48"/>
      <c r="H674" s="48"/>
      <c r="I674" s="48"/>
    </row>
    <row r="675" spans="4:9" ht="13.15">
      <c r="D675" s="48"/>
      <c r="E675" s="48"/>
      <c r="F675" s="48"/>
      <c r="G675" s="48"/>
      <c r="H675" s="48"/>
      <c r="I675" s="48"/>
    </row>
    <row r="676" spans="4:9" ht="13.15">
      <c r="D676" s="48"/>
      <c r="E676" s="48"/>
      <c r="F676" s="48"/>
      <c r="G676" s="48"/>
      <c r="H676" s="48"/>
      <c r="I676" s="48"/>
    </row>
    <row r="677" spans="4:9" ht="13.15">
      <c r="D677" s="48"/>
      <c r="E677" s="48"/>
      <c r="F677" s="48"/>
      <c r="G677" s="48"/>
      <c r="H677" s="48"/>
      <c r="I677" s="48"/>
    </row>
    <row r="678" spans="4:9" ht="13.15">
      <c r="D678" s="48"/>
      <c r="E678" s="48"/>
      <c r="F678" s="48"/>
      <c r="G678" s="48"/>
      <c r="H678" s="48"/>
      <c r="I678" s="48"/>
    </row>
    <row r="679" spans="4:9" ht="13.15">
      <c r="D679" s="48"/>
      <c r="E679" s="48"/>
      <c r="F679" s="48"/>
      <c r="G679" s="48"/>
      <c r="H679" s="48"/>
      <c r="I679" s="48"/>
    </row>
    <row r="680" spans="4:9" ht="13.15">
      <c r="D680" s="48"/>
      <c r="E680" s="48"/>
      <c r="F680" s="48"/>
      <c r="G680" s="48"/>
      <c r="H680" s="48"/>
      <c r="I680" s="48"/>
    </row>
    <row r="681" spans="4:9" ht="13.15">
      <c r="D681" s="48"/>
      <c r="E681" s="48"/>
      <c r="F681" s="48"/>
      <c r="G681" s="48"/>
      <c r="H681" s="48"/>
      <c r="I681" s="48"/>
    </row>
    <row r="682" spans="4:9" ht="13.15">
      <c r="D682" s="48"/>
      <c r="E682" s="48"/>
      <c r="F682" s="48"/>
      <c r="G682" s="48"/>
      <c r="H682" s="48"/>
      <c r="I682" s="48"/>
    </row>
    <row r="683" spans="4:9" ht="13.15">
      <c r="D683" s="48"/>
      <c r="E683" s="48"/>
      <c r="F683" s="48"/>
      <c r="G683" s="48"/>
      <c r="H683" s="48"/>
      <c r="I683" s="48"/>
    </row>
    <row r="684" spans="4:9" ht="13.15">
      <c r="D684" s="48"/>
      <c r="E684" s="48"/>
      <c r="F684" s="48"/>
      <c r="G684" s="48"/>
      <c r="H684" s="48"/>
      <c r="I684" s="48"/>
    </row>
    <row r="685" spans="4:9" ht="13.15">
      <c r="D685" s="48"/>
      <c r="E685" s="48"/>
      <c r="F685" s="48"/>
      <c r="G685" s="48"/>
      <c r="H685" s="48"/>
      <c r="I685" s="48"/>
    </row>
    <row r="686" spans="4:9" ht="13.15">
      <c r="D686" s="48"/>
      <c r="E686" s="48"/>
      <c r="F686" s="48"/>
      <c r="G686" s="48"/>
      <c r="H686" s="48"/>
      <c r="I686" s="48"/>
    </row>
    <row r="687" spans="4:9" ht="13.15">
      <c r="D687" s="48"/>
      <c r="E687" s="48"/>
      <c r="F687" s="48"/>
      <c r="G687" s="48"/>
      <c r="H687" s="48"/>
      <c r="I687" s="48"/>
    </row>
    <row r="688" spans="4:9" ht="13.15">
      <c r="D688" s="48"/>
      <c r="E688" s="48"/>
      <c r="F688" s="48"/>
      <c r="G688" s="48"/>
      <c r="H688" s="48"/>
      <c r="I688" s="48"/>
    </row>
    <row r="689" spans="4:9" ht="13.15">
      <c r="D689" s="48"/>
      <c r="E689" s="48"/>
      <c r="F689" s="48"/>
      <c r="G689" s="48"/>
      <c r="H689" s="48"/>
      <c r="I689" s="48"/>
    </row>
    <row r="690" spans="4:9" ht="13.15">
      <c r="D690" s="48"/>
      <c r="E690" s="48"/>
      <c r="F690" s="48"/>
      <c r="G690" s="48"/>
      <c r="H690" s="48"/>
      <c r="I690" s="48"/>
    </row>
    <row r="691" spans="4:9" ht="13.15">
      <c r="D691" s="48"/>
      <c r="E691" s="48"/>
      <c r="F691" s="48"/>
      <c r="G691" s="48"/>
      <c r="H691" s="48"/>
      <c r="I691" s="48"/>
    </row>
    <row r="692" spans="4:9" ht="13.15">
      <c r="D692" s="48"/>
      <c r="E692" s="48"/>
      <c r="F692" s="48"/>
      <c r="G692" s="48"/>
      <c r="H692" s="48"/>
      <c r="I692" s="48"/>
    </row>
    <row r="693" spans="4:9" ht="13.15">
      <c r="D693" s="48"/>
      <c r="E693" s="48"/>
      <c r="F693" s="48"/>
      <c r="G693" s="48"/>
      <c r="H693" s="48"/>
      <c r="I693" s="48"/>
    </row>
    <row r="694" spans="4:9" ht="13.15">
      <c r="D694" s="48"/>
      <c r="E694" s="48"/>
      <c r="F694" s="48"/>
      <c r="G694" s="48"/>
      <c r="H694" s="48"/>
      <c r="I694" s="48"/>
    </row>
    <row r="695" spans="4:9" ht="13.15">
      <c r="D695" s="48"/>
      <c r="E695" s="48"/>
      <c r="F695" s="48"/>
      <c r="G695" s="48"/>
      <c r="H695" s="48"/>
      <c r="I695" s="48"/>
    </row>
    <row r="696" spans="4:9" ht="13.15">
      <c r="D696" s="48"/>
      <c r="E696" s="48"/>
      <c r="F696" s="48"/>
      <c r="G696" s="48"/>
      <c r="H696" s="48"/>
      <c r="I696" s="48"/>
    </row>
    <row r="697" spans="4:9" ht="13.15">
      <c r="D697" s="48"/>
      <c r="E697" s="48"/>
      <c r="F697" s="48"/>
      <c r="G697" s="48"/>
      <c r="H697" s="48"/>
      <c r="I697" s="48"/>
    </row>
    <row r="698" spans="4:9" ht="13.15">
      <c r="D698" s="48"/>
      <c r="E698" s="48"/>
      <c r="F698" s="48"/>
      <c r="G698" s="48"/>
      <c r="H698" s="48"/>
      <c r="I698" s="48"/>
    </row>
    <row r="699" spans="4:9" ht="13.15">
      <c r="D699" s="48"/>
      <c r="E699" s="48"/>
      <c r="F699" s="48"/>
      <c r="G699" s="48"/>
      <c r="H699" s="48"/>
      <c r="I699" s="48"/>
    </row>
    <row r="700" spans="4:9" ht="13.15">
      <c r="D700" s="48"/>
      <c r="E700" s="48"/>
      <c r="F700" s="48"/>
      <c r="G700" s="48"/>
      <c r="H700" s="48"/>
      <c r="I700" s="48"/>
    </row>
    <row r="701" spans="4:9" ht="13.15">
      <c r="D701" s="48"/>
      <c r="E701" s="48"/>
      <c r="F701" s="48"/>
      <c r="G701" s="48"/>
      <c r="H701" s="48"/>
      <c r="I701" s="48"/>
    </row>
    <row r="702" spans="4:9" ht="13.15">
      <c r="D702" s="48"/>
      <c r="E702" s="48"/>
      <c r="F702" s="48"/>
      <c r="G702" s="48"/>
      <c r="H702" s="48"/>
      <c r="I702" s="48"/>
    </row>
    <row r="703" spans="4:9" ht="13.15">
      <c r="D703" s="48"/>
      <c r="E703" s="48"/>
      <c r="F703" s="48"/>
      <c r="G703" s="48"/>
      <c r="H703" s="48"/>
      <c r="I703" s="48"/>
    </row>
    <row r="704" spans="4:9" ht="13.15">
      <c r="D704" s="48"/>
      <c r="E704" s="48"/>
      <c r="F704" s="48"/>
      <c r="G704" s="48"/>
      <c r="H704" s="48"/>
      <c r="I704" s="48"/>
    </row>
    <row r="705" spans="4:9" ht="13.15">
      <c r="D705" s="48"/>
      <c r="E705" s="48"/>
      <c r="F705" s="48"/>
      <c r="G705" s="48"/>
      <c r="H705" s="48"/>
      <c r="I705" s="48"/>
    </row>
    <row r="706" spans="4:9" ht="13.15">
      <c r="D706" s="48"/>
      <c r="E706" s="48"/>
      <c r="F706" s="48"/>
      <c r="G706" s="48"/>
      <c r="H706" s="48"/>
      <c r="I706" s="48"/>
    </row>
    <row r="707" spans="4:9" ht="13.15">
      <c r="D707" s="48"/>
      <c r="E707" s="48"/>
      <c r="F707" s="48"/>
      <c r="G707" s="48"/>
      <c r="H707" s="48"/>
      <c r="I707" s="48"/>
    </row>
    <row r="708" spans="4:9" ht="13.15">
      <c r="D708" s="48"/>
      <c r="E708" s="48"/>
      <c r="F708" s="48"/>
      <c r="G708" s="48"/>
      <c r="H708" s="48"/>
      <c r="I708" s="48"/>
    </row>
    <row r="709" spans="4:9" ht="13.15">
      <c r="D709" s="48"/>
      <c r="E709" s="48"/>
      <c r="F709" s="48"/>
      <c r="G709" s="48"/>
      <c r="H709" s="48"/>
      <c r="I709" s="48"/>
    </row>
    <row r="710" spans="4:9" ht="13.15">
      <c r="D710" s="48"/>
      <c r="E710" s="48"/>
      <c r="F710" s="48"/>
      <c r="G710" s="48"/>
      <c r="H710" s="48"/>
      <c r="I710" s="48"/>
    </row>
    <row r="711" spans="4:9" ht="13.15">
      <c r="D711" s="48"/>
      <c r="E711" s="48"/>
      <c r="F711" s="48"/>
      <c r="G711" s="48"/>
      <c r="H711" s="48"/>
      <c r="I711" s="48"/>
    </row>
    <row r="712" spans="4:9" ht="13.15">
      <c r="D712" s="48"/>
      <c r="E712" s="48"/>
      <c r="F712" s="48"/>
      <c r="G712" s="48"/>
      <c r="H712" s="48"/>
      <c r="I712" s="48"/>
    </row>
    <row r="713" spans="4:9" ht="13.15">
      <c r="D713" s="48"/>
      <c r="E713" s="48"/>
      <c r="F713" s="48"/>
      <c r="G713" s="48"/>
      <c r="H713" s="48"/>
      <c r="I713" s="48"/>
    </row>
    <row r="714" spans="4:9" ht="13.15">
      <c r="D714" s="48"/>
      <c r="E714" s="48"/>
      <c r="F714" s="48"/>
      <c r="G714" s="48"/>
      <c r="H714" s="48"/>
      <c r="I714" s="48"/>
    </row>
    <row r="715" spans="4:9" ht="13.15">
      <c r="D715" s="48"/>
      <c r="E715" s="48"/>
      <c r="F715" s="48"/>
      <c r="G715" s="48"/>
      <c r="H715" s="48"/>
      <c r="I715" s="48"/>
    </row>
    <row r="716" spans="4:9" ht="13.15">
      <c r="D716" s="48"/>
      <c r="E716" s="48"/>
      <c r="F716" s="48"/>
      <c r="G716" s="48"/>
      <c r="H716" s="48"/>
      <c r="I716" s="48"/>
    </row>
    <row r="717" spans="4:9" ht="13.15">
      <c r="D717" s="48"/>
      <c r="E717" s="48"/>
      <c r="F717" s="48"/>
      <c r="G717" s="48"/>
      <c r="H717" s="48"/>
      <c r="I717" s="48"/>
    </row>
    <row r="718" spans="4:9" ht="13.15">
      <c r="D718" s="48"/>
      <c r="E718" s="48"/>
      <c r="F718" s="48"/>
      <c r="G718" s="48"/>
      <c r="H718" s="48"/>
      <c r="I718" s="48"/>
    </row>
    <row r="719" spans="4:9" ht="13.15">
      <c r="D719" s="48"/>
      <c r="E719" s="48"/>
      <c r="F719" s="48"/>
      <c r="G719" s="48"/>
      <c r="H719" s="48"/>
      <c r="I719" s="48"/>
    </row>
    <row r="720" spans="4:9" ht="13.15">
      <c r="D720" s="48"/>
      <c r="E720" s="48"/>
      <c r="F720" s="48"/>
      <c r="G720" s="48"/>
      <c r="H720" s="48"/>
      <c r="I720" s="48"/>
    </row>
    <row r="721" spans="4:9" ht="13.15">
      <c r="D721" s="48"/>
      <c r="E721" s="48"/>
      <c r="F721" s="48"/>
      <c r="G721" s="48"/>
      <c r="H721" s="48"/>
      <c r="I721" s="48"/>
    </row>
    <row r="722" spans="4:9" ht="13.15">
      <c r="D722" s="48"/>
      <c r="E722" s="48"/>
      <c r="F722" s="48"/>
      <c r="G722" s="48"/>
      <c r="H722" s="48"/>
      <c r="I722" s="48"/>
    </row>
    <row r="723" spans="4:9" ht="13.15">
      <c r="D723" s="48"/>
      <c r="E723" s="48"/>
      <c r="F723" s="48"/>
      <c r="G723" s="48"/>
      <c r="H723" s="48"/>
      <c r="I723" s="48"/>
    </row>
    <row r="724" spans="4:9" ht="13.15">
      <c r="D724" s="48"/>
      <c r="E724" s="48"/>
      <c r="F724" s="48"/>
      <c r="G724" s="48"/>
      <c r="H724" s="48"/>
      <c r="I724" s="48"/>
    </row>
    <row r="725" spans="4:9" ht="13.15">
      <c r="D725" s="48"/>
      <c r="E725" s="48"/>
      <c r="F725" s="48"/>
      <c r="G725" s="48"/>
      <c r="H725" s="48"/>
      <c r="I725" s="48"/>
    </row>
    <row r="726" spans="4:9" ht="13.15">
      <c r="D726" s="48"/>
      <c r="E726" s="48"/>
      <c r="F726" s="48"/>
      <c r="G726" s="48"/>
      <c r="H726" s="48"/>
      <c r="I726" s="48"/>
    </row>
    <row r="727" spans="4:9" ht="13.15">
      <c r="D727" s="48"/>
      <c r="E727" s="48"/>
      <c r="F727" s="48"/>
      <c r="G727" s="48"/>
      <c r="H727" s="48"/>
      <c r="I727" s="48"/>
    </row>
    <row r="728" spans="4:9" ht="13.15">
      <c r="D728" s="48"/>
      <c r="E728" s="48"/>
      <c r="F728" s="48"/>
      <c r="G728" s="48"/>
      <c r="H728" s="48"/>
      <c r="I728" s="48"/>
    </row>
    <row r="729" spans="4:9" ht="13.15">
      <c r="D729" s="48"/>
      <c r="E729" s="48"/>
      <c r="F729" s="48"/>
      <c r="G729" s="48"/>
      <c r="H729" s="48"/>
      <c r="I729" s="48"/>
    </row>
    <row r="730" spans="4:9" ht="13.15">
      <c r="D730" s="48"/>
      <c r="E730" s="48"/>
      <c r="F730" s="48"/>
      <c r="G730" s="48"/>
      <c r="H730" s="48"/>
      <c r="I730" s="48"/>
    </row>
    <row r="731" spans="4:9" ht="13.15">
      <c r="D731" s="48"/>
      <c r="E731" s="48"/>
      <c r="F731" s="48"/>
      <c r="G731" s="48"/>
      <c r="H731" s="48"/>
      <c r="I731" s="48"/>
    </row>
    <row r="732" spans="4:9" ht="13.15">
      <c r="D732" s="48"/>
      <c r="E732" s="48"/>
      <c r="F732" s="48"/>
      <c r="G732" s="48"/>
      <c r="H732" s="48"/>
      <c r="I732" s="48"/>
    </row>
    <row r="733" spans="4:9" ht="13.15">
      <c r="D733" s="48"/>
      <c r="E733" s="48"/>
      <c r="F733" s="48"/>
      <c r="G733" s="48"/>
      <c r="H733" s="48"/>
      <c r="I733" s="48"/>
    </row>
    <row r="734" spans="4:9" ht="13.15">
      <c r="D734" s="48"/>
      <c r="E734" s="48"/>
      <c r="F734" s="48"/>
      <c r="G734" s="48"/>
      <c r="H734" s="48"/>
      <c r="I734" s="48"/>
    </row>
    <row r="735" spans="4:9" ht="13.15">
      <c r="D735" s="48"/>
      <c r="E735" s="48"/>
      <c r="F735" s="48"/>
      <c r="G735" s="48"/>
      <c r="H735" s="48"/>
      <c r="I735" s="48"/>
    </row>
    <row r="736" spans="4:9" ht="13.15">
      <c r="D736" s="48"/>
      <c r="E736" s="48"/>
      <c r="F736" s="48"/>
      <c r="G736" s="48"/>
      <c r="H736" s="48"/>
      <c r="I736" s="48"/>
    </row>
    <row r="737" spans="4:9" ht="13.15">
      <c r="D737" s="48"/>
      <c r="E737" s="48"/>
      <c r="F737" s="48"/>
      <c r="G737" s="48"/>
      <c r="H737" s="48"/>
      <c r="I737" s="48"/>
    </row>
    <row r="738" spans="4:9" ht="13.15">
      <c r="D738" s="48"/>
      <c r="E738" s="48"/>
      <c r="F738" s="48"/>
      <c r="G738" s="48"/>
      <c r="H738" s="48"/>
      <c r="I738" s="48"/>
    </row>
    <row r="739" spans="4:9" ht="13.15">
      <c r="D739" s="48"/>
      <c r="E739" s="48"/>
      <c r="F739" s="48"/>
      <c r="G739" s="48"/>
      <c r="H739" s="48"/>
      <c r="I739" s="48"/>
    </row>
    <row r="740" spans="4:9" ht="13.15">
      <c r="D740" s="48"/>
      <c r="E740" s="48"/>
      <c r="F740" s="48"/>
      <c r="G740" s="48"/>
      <c r="H740" s="48"/>
      <c r="I740" s="48"/>
    </row>
    <row r="741" spans="4:9" ht="13.15">
      <c r="D741" s="48"/>
      <c r="E741" s="48"/>
      <c r="F741" s="48"/>
      <c r="G741" s="48"/>
      <c r="H741" s="48"/>
      <c r="I741" s="48"/>
    </row>
    <row r="742" spans="4:9" ht="13.15">
      <c r="D742" s="48"/>
      <c r="E742" s="48"/>
      <c r="F742" s="48"/>
      <c r="G742" s="48"/>
      <c r="H742" s="48"/>
      <c r="I742" s="48"/>
    </row>
    <row r="743" spans="4:9" ht="13.15">
      <c r="D743" s="48"/>
      <c r="E743" s="48"/>
      <c r="F743" s="48"/>
      <c r="G743" s="48"/>
      <c r="H743" s="48"/>
      <c r="I743" s="48"/>
    </row>
    <row r="744" spans="4:9" ht="13.15">
      <c r="D744" s="48"/>
      <c r="E744" s="48"/>
      <c r="F744" s="48"/>
      <c r="G744" s="48"/>
      <c r="H744" s="48"/>
      <c r="I744" s="48"/>
    </row>
    <row r="745" spans="4:9" ht="13.15">
      <c r="D745" s="48"/>
      <c r="E745" s="48"/>
      <c r="F745" s="48"/>
      <c r="G745" s="48"/>
      <c r="H745" s="48"/>
      <c r="I745" s="48"/>
    </row>
    <row r="746" spans="4:9" ht="13.15">
      <c r="D746" s="48"/>
      <c r="E746" s="48"/>
      <c r="F746" s="48"/>
      <c r="G746" s="48"/>
      <c r="H746" s="48"/>
      <c r="I746" s="48"/>
    </row>
    <row r="747" spans="4:9" ht="13.15">
      <c r="D747" s="48"/>
      <c r="E747" s="48"/>
      <c r="F747" s="48"/>
      <c r="G747" s="48"/>
      <c r="H747" s="48"/>
      <c r="I747" s="48"/>
    </row>
    <row r="748" spans="4:9" ht="13.15">
      <c r="D748" s="48"/>
      <c r="E748" s="48"/>
      <c r="F748" s="48"/>
      <c r="G748" s="48"/>
      <c r="H748" s="48"/>
      <c r="I748" s="48"/>
    </row>
    <row r="749" spans="4:9" ht="13.15">
      <c r="D749" s="48"/>
      <c r="E749" s="48"/>
      <c r="F749" s="48"/>
      <c r="G749" s="48"/>
      <c r="H749" s="48"/>
      <c r="I749" s="48"/>
    </row>
    <row r="750" spans="4:9" ht="13.15">
      <c r="D750" s="48"/>
      <c r="E750" s="48"/>
      <c r="F750" s="48"/>
      <c r="G750" s="48"/>
      <c r="H750" s="48"/>
      <c r="I750" s="48"/>
    </row>
    <row r="751" spans="4:9" ht="13.15">
      <c r="D751" s="48"/>
      <c r="E751" s="48"/>
      <c r="F751" s="48"/>
      <c r="G751" s="48"/>
      <c r="H751" s="48"/>
      <c r="I751" s="48"/>
    </row>
    <row r="752" spans="4:9" ht="13.15">
      <c r="D752" s="48"/>
      <c r="E752" s="48"/>
      <c r="F752" s="48"/>
      <c r="G752" s="48"/>
      <c r="H752" s="48"/>
      <c r="I752" s="48"/>
    </row>
    <row r="753" spans="4:9" ht="13.15">
      <c r="D753" s="48"/>
      <c r="E753" s="48"/>
      <c r="F753" s="48"/>
      <c r="G753" s="48"/>
      <c r="H753" s="48"/>
      <c r="I753" s="48"/>
    </row>
    <row r="754" spans="4:9" ht="13.15">
      <c r="D754" s="48"/>
      <c r="E754" s="48"/>
      <c r="F754" s="48"/>
      <c r="G754" s="48"/>
      <c r="H754" s="48"/>
      <c r="I754" s="48"/>
    </row>
    <row r="755" spans="4:9" ht="13.15">
      <c r="D755" s="48"/>
      <c r="E755" s="48"/>
      <c r="F755" s="48"/>
      <c r="G755" s="48"/>
      <c r="H755" s="48"/>
      <c r="I755" s="48"/>
    </row>
    <row r="756" spans="4:9" ht="13.15">
      <c r="D756" s="48"/>
      <c r="E756" s="48"/>
      <c r="F756" s="48"/>
      <c r="G756" s="48"/>
      <c r="H756" s="48"/>
      <c r="I756" s="48"/>
    </row>
    <row r="757" spans="4:9" ht="13.15">
      <c r="D757" s="48"/>
      <c r="E757" s="48"/>
      <c r="F757" s="48"/>
      <c r="G757" s="48"/>
      <c r="H757" s="48"/>
      <c r="I757" s="48"/>
    </row>
    <row r="758" spans="4:9" ht="13.15">
      <c r="D758" s="48"/>
      <c r="E758" s="48"/>
      <c r="F758" s="48"/>
      <c r="G758" s="48"/>
      <c r="H758" s="48"/>
      <c r="I758" s="48"/>
    </row>
    <row r="759" spans="4:9" ht="13.15">
      <c r="D759" s="48"/>
      <c r="E759" s="48"/>
      <c r="F759" s="48"/>
      <c r="G759" s="48"/>
      <c r="H759" s="48"/>
      <c r="I759" s="48"/>
    </row>
    <row r="760" spans="4:9" ht="13.15">
      <c r="D760" s="48"/>
      <c r="E760" s="48"/>
      <c r="F760" s="48"/>
      <c r="G760" s="48"/>
      <c r="H760" s="48"/>
      <c r="I760" s="48"/>
    </row>
    <row r="761" spans="4:9" ht="13.15">
      <c r="D761" s="48"/>
      <c r="E761" s="48"/>
      <c r="F761" s="48"/>
      <c r="G761" s="48"/>
      <c r="H761" s="48"/>
      <c r="I761" s="48"/>
    </row>
    <row r="762" spans="4:9" ht="13.15">
      <c r="D762" s="48"/>
      <c r="E762" s="48"/>
      <c r="F762" s="48"/>
      <c r="G762" s="48"/>
      <c r="H762" s="48"/>
      <c r="I762" s="48"/>
    </row>
    <row r="763" spans="4:9" ht="13.15">
      <c r="D763" s="48"/>
      <c r="E763" s="48"/>
      <c r="F763" s="48"/>
      <c r="G763" s="48"/>
      <c r="H763" s="48"/>
      <c r="I763" s="48"/>
    </row>
    <row r="764" spans="4:9" ht="13.15">
      <c r="D764" s="48"/>
      <c r="E764" s="48"/>
      <c r="F764" s="48"/>
      <c r="G764" s="48"/>
      <c r="H764" s="48"/>
      <c r="I764" s="48"/>
    </row>
    <row r="765" spans="4:9" ht="13.15">
      <c r="D765" s="48"/>
      <c r="E765" s="48"/>
      <c r="F765" s="48"/>
      <c r="G765" s="48"/>
      <c r="H765" s="48"/>
      <c r="I765" s="48"/>
    </row>
    <row r="766" spans="4:9" ht="13.15">
      <c r="D766" s="48"/>
      <c r="E766" s="48"/>
      <c r="F766" s="48"/>
      <c r="G766" s="48"/>
      <c r="H766" s="48"/>
      <c r="I766" s="48"/>
    </row>
    <row r="767" spans="4:9" ht="13.15">
      <c r="D767" s="48"/>
      <c r="E767" s="48"/>
      <c r="F767" s="48"/>
      <c r="G767" s="48"/>
      <c r="H767" s="48"/>
      <c r="I767" s="48"/>
    </row>
    <row r="768" spans="4:9" ht="13.15">
      <c r="D768" s="48"/>
      <c r="E768" s="48"/>
      <c r="F768" s="48"/>
      <c r="G768" s="48"/>
      <c r="H768" s="48"/>
      <c r="I768" s="48"/>
    </row>
    <row r="769" spans="4:9" ht="13.15">
      <c r="D769" s="48"/>
      <c r="E769" s="48"/>
      <c r="F769" s="48"/>
      <c r="G769" s="48"/>
      <c r="H769" s="48"/>
      <c r="I769" s="48"/>
    </row>
    <row r="770" spans="4:9" ht="13.15">
      <c r="D770" s="48"/>
      <c r="E770" s="48"/>
      <c r="F770" s="48"/>
      <c r="G770" s="48"/>
      <c r="H770" s="48"/>
      <c r="I770" s="48"/>
    </row>
    <row r="771" spans="4:9" ht="13.15">
      <c r="D771" s="48"/>
      <c r="E771" s="48"/>
      <c r="F771" s="48"/>
      <c r="G771" s="48"/>
      <c r="H771" s="48"/>
      <c r="I771" s="48"/>
    </row>
    <row r="772" spans="4:9" ht="13.15">
      <c r="D772" s="48"/>
      <c r="E772" s="48"/>
      <c r="F772" s="48"/>
      <c r="G772" s="48"/>
      <c r="H772" s="48"/>
      <c r="I772" s="48"/>
    </row>
    <row r="773" spans="4:9" ht="13.15">
      <c r="D773" s="48"/>
      <c r="E773" s="48"/>
      <c r="F773" s="48"/>
      <c r="G773" s="48"/>
      <c r="H773" s="48"/>
      <c r="I773" s="48"/>
    </row>
    <row r="774" spans="4:9" ht="13.15">
      <c r="D774" s="48"/>
      <c r="E774" s="48"/>
      <c r="F774" s="48"/>
      <c r="G774" s="48"/>
      <c r="H774" s="48"/>
      <c r="I774" s="48"/>
    </row>
    <row r="775" spans="4:9" ht="13.15">
      <c r="D775" s="48"/>
      <c r="E775" s="48"/>
      <c r="F775" s="48"/>
      <c r="G775" s="48"/>
      <c r="H775" s="48"/>
      <c r="I775" s="48"/>
    </row>
    <row r="776" spans="4:9" ht="13.15">
      <c r="D776" s="48"/>
      <c r="E776" s="48"/>
      <c r="F776" s="48"/>
      <c r="G776" s="48"/>
      <c r="H776" s="48"/>
      <c r="I776" s="48"/>
    </row>
    <row r="777" spans="4:9" ht="13.15">
      <c r="D777" s="48"/>
      <c r="E777" s="48"/>
      <c r="F777" s="48"/>
      <c r="G777" s="48"/>
      <c r="H777" s="48"/>
      <c r="I777" s="48"/>
    </row>
    <row r="778" spans="4:9" ht="13.15">
      <c r="D778" s="48"/>
      <c r="E778" s="48"/>
      <c r="F778" s="48"/>
      <c r="G778" s="48"/>
      <c r="H778" s="48"/>
      <c r="I778" s="48"/>
    </row>
    <row r="779" spans="4:9" ht="13.15">
      <c r="D779" s="48"/>
      <c r="E779" s="48"/>
      <c r="F779" s="48"/>
      <c r="G779" s="48"/>
      <c r="H779" s="48"/>
      <c r="I779" s="48"/>
    </row>
    <row r="780" spans="4:9" ht="13.15">
      <c r="D780" s="48"/>
      <c r="E780" s="48"/>
      <c r="F780" s="48"/>
      <c r="G780" s="48"/>
      <c r="H780" s="48"/>
      <c r="I780" s="48"/>
    </row>
    <row r="781" spans="4:9" ht="13.15">
      <c r="D781" s="48"/>
      <c r="E781" s="48"/>
      <c r="F781" s="48"/>
      <c r="G781" s="48"/>
      <c r="H781" s="48"/>
      <c r="I781" s="48"/>
    </row>
    <row r="782" spans="4:9" ht="13.15">
      <c r="D782" s="48"/>
      <c r="E782" s="48"/>
      <c r="F782" s="48"/>
      <c r="G782" s="48"/>
      <c r="H782" s="48"/>
      <c r="I782" s="48"/>
    </row>
    <row r="783" spans="4:9" ht="13.15">
      <c r="D783" s="48"/>
      <c r="E783" s="48"/>
      <c r="F783" s="48"/>
      <c r="G783" s="48"/>
      <c r="H783" s="48"/>
      <c r="I783" s="48"/>
    </row>
    <row r="784" spans="4:9" ht="13.15">
      <c r="D784" s="48"/>
      <c r="E784" s="48"/>
      <c r="F784" s="48"/>
      <c r="G784" s="48"/>
      <c r="H784" s="48"/>
      <c r="I784" s="48"/>
    </row>
    <row r="785" spans="4:9" ht="13.15">
      <c r="D785" s="48"/>
      <c r="E785" s="48"/>
      <c r="F785" s="48"/>
      <c r="G785" s="48"/>
      <c r="H785" s="48"/>
      <c r="I785" s="48"/>
    </row>
    <row r="786" spans="4:9" ht="13.15">
      <c r="D786" s="48"/>
      <c r="E786" s="48"/>
      <c r="F786" s="48"/>
      <c r="G786" s="48"/>
      <c r="H786" s="48"/>
      <c r="I786" s="48"/>
    </row>
    <row r="787" spans="4:9" ht="13.15">
      <c r="D787" s="48"/>
      <c r="E787" s="48"/>
      <c r="F787" s="48"/>
      <c r="G787" s="48"/>
      <c r="H787" s="48"/>
      <c r="I787" s="48"/>
    </row>
    <row r="788" spans="4:9" ht="13.15">
      <c r="D788" s="48"/>
      <c r="E788" s="48"/>
      <c r="F788" s="48"/>
      <c r="G788" s="48"/>
      <c r="H788" s="48"/>
      <c r="I788" s="48"/>
    </row>
    <row r="789" spans="4:9" ht="13.15">
      <c r="D789" s="48"/>
      <c r="E789" s="48"/>
      <c r="F789" s="48"/>
      <c r="G789" s="48"/>
      <c r="H789" s="48"/>
      <c r="I789" s="48"/>
    </row>
    <row r="790" spans="4:9" ht="13.15">
      <c r="D790" s="48"/>
      <c r="E790" s="48"/>
      <c r="F790" s="48"/>
      <c r="G790" s="48"/>
      <c r="H790" s="48"/>
      <c r="I790" s="48"/>
    </row>
    <row r="791" spans="4:9" ht="13.15">
      <c r="D791" s="48"/>
      <c r="E791" s="48"/>
      <c r="F791" s="48"/>
      <c r="G791" s="48"/>
      <c r="H791" s="48"/>
      <c r="I791" s="48"/>
    </row>
    <row r="792" spans="4:9" ht="13.15">
      <c r="D792" s="48"/>
      <c r="E792" s="48"/>
      <c r="F792" s="48"/>
      <c r="G792" s="48"/>
      <c r="H792" s="48"/>
      <c r="I792" s="48"/>
    </row>
    <row r="793" spans="4:9" ht="13.15">
      <c r="D793" s="48"/>
      <c r="E793" s="48"/>
      <c r="F793" s="48"/>
      <c r="G793" s="48"/>
      <c r="H793" s="48"/>
      <c r="I793" s="48"/>
    </row>
    <row r="794" spans="4:9" ht="13.15">
      <c r="D794" s="48"/>
      <c r="E794" s="48"/>
      <c r="F794" s="48"/>
      <c r="G794" s="48"/>
      <c r="H794" s="48"/>
      <c r="I794" s="48"/>
    </row>
    <row r="795" spans="4:9" ht="13.15">
      <c r="D795" s="48"/>
      <c r="E795" s="48"/>
      <c r="F795" s="48"/>
      <c r="G795" s="48"/>
      <c r="H795" s="48"/>
      <c r="I795" s="48"/>
    </row>
    <row r="796" spans="4:9" ht="13.15">
      <c r="D796" s="48"/>
      <c r="E796" s="48"/>
      <c r="F796" s="48"/>
      <c r="G796" s="48"/>
      <c r="H796" s="48"/>
      <c r="I796" s="48"/>
    </row>
    <row r="797" spans="4:9" ht="13.15">
      <c r="D797" s="48"/>
      <c r="E797" s="48"/>
      <c r="F797" s="48"/>
      <c r="G797" s="48"/>
      <c r="H797" s="48"/>
      <c r="I797" s="48"/>
    </row>
    <row r="798" spans="4:9" ht="13.15">
      <c r="D798" s="48"/>
      <c r="E798" s="48"/>
      <c r="F798" s="48"/>
      <c r="G798" s="48"/>
      <c r="H798" s="48"/>
      <c r="I798" s="48"/>
    </row>
    <row r="799" spans="4:9" ht="13.15">
      <c r="D799" s="48"/>
      <c r="E799" s="48"/>
      <c r="F799" s="48"/>
      <c r="G799" s="48"/>
      <c r="H799" s="48"/>
      <c r="I799" s="48"/>
    </row>
    <row r="800" spans="4:9" ht="13.15">
      <c r="D800" s="48"/>
      <c r="E800" s="48"/>
      <c r="F800" s="48"/>
      <c r="G800" s="48"/>
      <c r="H800" s="48"/>
      <c r="I800" s="48"/>
    </row>
    <row r="801" spans="4:9" ht="13.15">
      <c r="D801" s="48"/>
      <c r="E801" s="48"/>
      <c r="F801" s="48"/>
      <c r="G801" s="48"/>
      <c r="H801" s="48"/>
      <c r="I801" s="48"/>
    </row>
    <row r="802" spans="4:9" ht="13.15">
      <c r="D802" s="48"/>
      <c r="E802" s="48"/>
      <c r="F802" s="48"/>
      <c r="G802" s="48"/>
      <c r="H802" s="48"/>
      <c r="I802" s="48"/>
    </row>
    <row r="803" spans="4:9" ht="13.15">
      <c r="D803" s="48"/>
      <c r="E803" s="48"/>
      <c r="F803" s="48"/>
      <c r="G803" s="48"/>
      <c r="H803" s="48"/>
      <c r="I803" s="48"/>
    </row>
    <row r="804" spans="4:9" ht="13.15">
      <c r="D804" s="48"/>
      <c r="E804" s="48"/>
      <c r="F804" s="48"/>
      <c r="G804" s="48"/>
      <c r="H804" s="48"/>
      <c r="I804" s="48"/>
    </row>
    <row r="805" spans="4:9" ht="13.15">
      <c r="D805" s="48"/>
      <c r="E805" s="48"/>
      <c r="F805" s="48"/>
      <c r="G805" s="48"/>
      <c r="H805" s="48"/>
      <c r="I805" s="48"/>
    </row>
    <row r="806" spans="4:9" ht="13.15">
      <c r="D806" s="48"/>
      <c r="E806" s="48"/>
      <c r="F806" s="48"/>
      <c r="G806" s="48"/>
      <c r="H806" s="48"/>
      <c r="I806" s="48"/>
    </row>
    <row r="807" spans="4:9" ht="13.15">
      <c r="D807" s="48"/>
      <c r="E807" s="48"/>
      <c r="F807" s="48"/>
      <c r="G807" s="48"/>
      <c r="H807" s="48"/>
      <c r="I807" s="48"/>
    </row>
    <row r="808" spans="4:9" ht="13.15">
      <c r="D808" s="48"/>
      <c r="E808" s="48"/>
      <c r="F808" s="48"/>
      <c r="G808" s="48"/>
      <c r="H808" s="48"/>
      <c r="I808" s="48"/>
    </row>
    <row r="809" spans="4:9" ht="13.15">
      <c r="D809" s="48"/>
      <c r="E809" s="48"/>
      <c r="F809" s="48"/>
      <c r="G809" s="48"/>
      <c r="H809" s="48"/>
      <c r="I809" s="48"/>
    </row>
    <row r="810" spans="4:9" ht="13.15">
      <c r="D810" s="48"/>
      <c r="E810" s="48"/>
      <c r="F810" s="48"/>
      <c r="G810" s="48"/>
      <c r="H810" s="48"/>
      <c r="I810" s="48"/>
    </row>
    <row r="811" spans="4:9" ht="13.15">
      <c r="D811" s="48"/>
      <c r="E811" s="48"/>
      <c r="F811" s="48"/>
      <c r="G811" s="48"/>
      <c r="H811" s="48"/>
      <c r="I811" s="48"/>
    </row>
    <row r="812" spans="4:9" ht="13.15">
      <c r="D812" s="48"/>
      <c r="E812" s="48"/>
      <c r="F812" s="48"/>
      <c r="G812" s="48"/>
      <c r="H812" s="48"/>
      <c r="I812" s="48"/>
    </row>
    <row r="813" spans="4:9" ht="13.15">
      <c r="D813" s="48"/>
      <c r="E813" s="48"/>
      <c r="F813" s="48"/>
      <c r="G813" s="48"/>
      <c r="H813" s="48"/>
      <c r="I813" s="48"/>
    </row>
    <row r="814" spans="4:9" ht="13.15">
      <c r="D814" s="48"/>
      <c r="E814" s="48"/>
      <c r="F814" s="48"/>
      <c r="G814" s="48"/>
      <c r="H814" s="48"/>
      <c r="I814" s="48"/>
    </row>
    <row r="815" spans="4:9" ht="13.15">
      <c r="D815" s="48"/>
      <c r="E815" s="48"/>
      <c r="F815" s="48"/>
      <c r="G815" s="48"/>
      <c r="H815" s="48"/>
      <c r="I815" s="48"/>
    </row>
    <row r="816" spans="4:9" ht="13.15">
      <c r="D816" s="48"/>
      <c r="E816" s="48"/>
      <c r="F816" s="48"/>
      <c r="G816" s="48"/>
      <c r="H816" s="48"/>
      <c r="I816" s="48"/>
    </row>
    <row r="817" spans="4:9" ht="13.15">
      <c r="D817" s="48"/>
      <c r="E817" s="48"/>
      <c r="F817" s="48"/>
      <c r="G817" s="48"/>
      <c r="H817" s="48"/>
      <c r="I817" s="48"/>
    </row>
    <row r="818" spans="4:9" ht="13.15">
      <c r="D818" s="48"/>
      <c r="E818" s="48"/>
      <c r="F818" s="48"/>
      <c r="G818" s="48"/>
      <c r="H818" s="48"/>
      <c r="I818" s="48"/>
    </row>
    <row r="819" spans="4:9" ht="13.15">
      <c r="D819" s="48"/>
      <c r="E819" s="48"/>
      <c r="F819" s="48"/>
      <c r="G819" s="48"/>
      <c r="H819" s="48"/>
      <c r="I819" s="48"/>
    </row>
    <row r="820" spans="4:9" ht="13.15">
      <c r="D820" s="48"/>
      <c r="E820" s="48"/>
      <c r="F820" s="48"/>
      <c r="G820" s="48"/>
      <c r="H820" s="48"/>
      <c r="I820" s="48"/>
    </row>
    <row r="821" spans="4:9" ht="13.15">
      <c r="D821" s="48"/>
      <c r="E821" s="48"/>
      <c r="F821" s="48"/>
      <c r="G821" s="48"/>
      <c r="H821" s="48"/>
      <c r="I821" s="48"/>
    </row>
    <row r="822" spans="4:9" ht="13.15">
      <c r="D822" s="48"/>
      <c r="E822" s="48"/>
      <c r="F822" s="48"/>
      <c r="G822" s="48"/>
      <c r="H822" s="48"/>
      <c r="I822" s="48"/>
    </row>
    <row r="823" spans="4:9" ht="13.15">
      <c r="D823" s="48"/>
      <c r="E823" s="48"/>
      <c r="F823" s="48"/>
      <c r="G823" s="48"/>
      <c r="H823" s="48"/>
      <c r="I823" s="48"/>
    </row>
    <row r="824" spans="4:9" ht="13.15">
      <c r="D824" s="48"/>
      <c r="E824" s="48"/>
      <c r="F824" s="48"/>
      <c r="G824" s="48"/>
      <c r="H824" s="48"/>
      <c r="I824" s="48"/>
    </row>
    <row r="825" spans="4:9" ht="13.15">
      <c r="D825" s="48"/>
      <c r="E825" s="48"/>
      <c r="F825" s="48"/>
      <c r="G825" s="48"/>
      <c r="H825" s="48"/>
      <c r="I825" s="48"/>
    </row>
    <row r="826" spans="4:9" ht="13.15">
      <c r="D826" s="48"/>
      <c r="E826" s="48"/>
      <c r="F826" s="48"/>
      <c r="G826" s="48"/>
      <c r="H826" s="48"/>
      <c r="I826" s="48"/>
    </row>
    <row r="827" spans="4:9" ht="13.15">
      <c r="D827" s="48"/>
      <c r="E827" s="48"/>
      <c r="F827" s="48"/>
      <c r="G827" s="48"/>
      <c r="H827" s="48"/>
      <c r="I827" s="48"/>
    </row>
    <row r="828" spans="4:9" ht="13.15">
      <c r="D828" s="48"/>
      <c r="E828" s="48"/>
      <c r="F828" s="48"/>
      <c r="G828" s="48"/>
      <c r="H828" s="48"/>
      <c r="I828" s="48"/>
    </row>
    <row r="829" spans="4:9" ht="13.15">
      <c r="D829" s="48"/>
      <c r="E829" s="48"/>
      <c r="F829" s="48"/>
      <c r="G829" s="48"/>
      <c r="H829" s="48"/>
      <c r="I829" s="48"/>
    </row>
    <row r="830" spans="4:9" ht="13.15">
      <c r="D830" s="48"/>
      <c r="E830" s="48"/>
      <c r="F830" s="48"/>
      <c r="G830" s="48"/>
      <c r="H830" s="48"/>
      <c r="I830" s="48"/>
    </row>
    <row r="831" spans="4:9" ht="13.15">
      <c r="D831" s="48"/>
      <c r="E831" s="48"/>
      <c r="F831" s="48"/>
      <c r="G831" s="48"/>
      <c r="H831" s="48"/>
      <c r="I831" s="48"/>
    </row>
    <row r="832" spans="4:9" ht="13.15">
      <c r="D832" s="48"/>
      <c r="E832" s="48"/>
      <c r="F832" s="48"/>
      <c r="G832" s="48"/>
      <c r="H832" s="48"/>
      <c r="I832" s="48"/>
    </row>
    <row r="833" spans="4:9" ht="13.15">
      <c r="D833" s="48"/>
      <c r="E833" s="48"/>
      <c r="F833" s="48"/>
      <c r="G833" s="48"/>
      <c r="H833" s="48"/>
      <c r="I833" s="48"/>
    </row>
    <row r="834" spans="4:9" ht="13.15">
      <c r="D834" s="48"/>
      <c r="E834" s="48"/>
      <c r="F834" s="48"/>
      <c r="G834" s="48"/>
      <c r="H834" s="48"/>
      <c r="I834" s="48"/>
    </row>
    <row r="835" spans="4:9" ht="13.15">
      <c r="D835" s="48"/>
      <c r="E835" s="48"/>
      <c r="F835" s="48"/>
      <c r="G835" s="48"/>
      <c r="H835" s="48"/>
      <c r="I835" s="48"/>
    </row>
    <row r="836" spans="4:9" ht="13.15">
      <c r="D836" s="48"/>
      <c r="E836" s="48"/>
      <c r="F836" s="48"/>
      <c r="G836" s="48"/>
      <c r="H836" s="48"/>
      <c r="I836" s="48"/>
    </row>
    <row r="837" spans="4:9" ht="13.15">
      <c r="D837" s="48"/>
      <c r="E837" s="48"/>
      <c r="F837" s="48"/>
      <c r="G837" s="48"/>
      <c r="H837" s="48"/>
      <c r="I837" s="48"/>
    </row>
    <row r="838" spans="4:9" ht="13.15">
      <c r="D838" s="48"/>
      <c r="E838" s="48"/>
      <c r="F838" s="48"/>
      <c r="G838" s="48"/>
      <c r="H838" s="48"/>
      <c r="I838" s="48"/>
    </row>
    <row r="839" spans="4:9" ht="13.15">
      <c r="D839" s="48"/>
      <c r="E839" s="48"/>
      <c r="F839" s="48"/>
      <c r="G839" s="48"/>
      <c r="H839" s="48"/>
      <c r="I839" s="48"/>
    </row>
    <row r="840" spans="4:9" ht="13.15">
      <c r="D840" s="48"/>
      <c r="E840" s="48"/>
      <c r="F840" s="48"/>
      <c r="G840" s="48"/>
      <c r="H840" s="48"/>
      <c r="I840" s="48"/>
    </row>
    <row r="841" spans="4:9" ht="13.15">
      <c r="D841" s="48"/>
      <c r="E841" s="48"/>
      <c r="F841" s="48"/>
      <c r="G841" s="48"/>
      <c r="H841" s="48"/>
      <c r="I841" s="48"/>
    </row>
    <row r="842" spans="4:9" ht="13.15">
      <c r="D842" s="48"/>
      <c r="E842" s="48"/>
      <c r="F842" s="48"/>
      <c r="G842" s="48"/>
      <c r="H842" s="48"/>
      <c r="I842" s="48"/>
    </row>
    <row r="843" spans="4:9" ht="13.15">
      <c r="D843" s="48"/>
      <c r="E843" s="48"/>
      <c r="F843" s="48"/>
      <c r="G843" s="48"/>
      <c r="H843" s="48"/>
      <c r="I843" s="48"/>
    </row>
    <row r="844" spans="4:9" ht="13.15">
      <c r="D844" s="48"/>
      <c r="E844" s="48"/>
      <c r="F844" s="48"/>
      <c r="G844" s="48"/>
      <c r="H844" s="48"/>
      <c r="I844" s="48"/>
    </row>
    <row r="845" spans="4:9" ht="13.15">
      <c r="D845" s="48"/>
      <c r="E845" s="48"/>
      <c r="F845" s="48"/>
      <c r="G845" s="48"/>
      <c r="H845" s="48"/>
      <c r="I845" s="48"/>
    </row>
    <row r="846" spans="4:9" ht="13.15">
      <c r="D846" s="48"/>
      <c r="E846" s="48"/>
      <c r="F846" s="48"/>
      <c r="G846" s="48"/>
      <c r="H846" s="48"/>
      <c r="I846" s="48"/>
    </row>
    <row r="847" spans="4:9" ht="13.15">
      <c r="D847" s="48"/>
      <c r="E847" s="48"/>
      <c r="F847" s="48"/>
      <c r="G847" s="48"/>
      <c r="H847" s="48"/>
      <c r="I847" s="48"/>
    </row>
    <row r="848" spans="4:9" ht="13.15">
      <c r="D848" s="48"/>
      <c r="E848" s="48"/>
      <c r="F848" s="48"/>
      <c r="G848" s="48"/>
      <c r="H848" s="48"/>
      <c r="I848" s="48"/>
    </row>
    <row r="849" spans="4:9" ht="13.15">
      <c r="D849" s="48"/>
      <c r="E849" s="48"/>
      <c r="F849" s="48"/>
      <c r="G849" s="48"/>
      <c r="H849" s="48"/>
      <c r="I849" s="48"/>
    </row>
    <row r="850" spans="4:9" ht="13.15">
      <c r="D850" s="48"/>
      <c r="E850" s="48"/>
      <c r="F850" s="48"/>
      <c r="G850" s="48"/>
      <c r="H850" s="48"/>
      <c r="I850" s="48"/>
    </row>
    <row r="851" spans="4:9" ht="13.15">
      <c r="D851" s="48"/>
      <c r="E851" s="48"/>
      <c r="F851" s="48"/>
      <c r="G851" s="48"/>
      <c r="H851" s="48"/>
      <c r="I851" s="48"/>
    </row>
    <row r="852" spans="4:9" ht="13.15">
      <c r="D852" s="48"/>
      <c r="E852" s="48"/>
      <c r="F852" s="48"/>
      <c r="G852" s="48"/>
      <c r="H852" s="48"/>
      <c r="I852" s="48"/>
    </row>
    <row r="853" spans="4:9" ht="13.15">
      <c r="D853" s="48"/>
      <c r="E853" s="48"/>
      <c r="F853" s="48"/>
      <c r="G853" s="48"/>
      <c r="H853" s="48"/>
      <c r="I853" s="48"/>
    </row>
    <row r="854" spans="4:9" ht="13.15">
      <c r="D854" s="48"/>
      <c r="E854" s="48"/>
      <c r="F854" s="48"/>
      <c r="G854" s="48"/>
      <c r="H854" s="48"/>
      <c r="I854" s="48"/>
    </row>
    <row r="855" spans="4:9" ht="13.15">
      <c r="D855" s="48"/>
      <c r="E855" s="48"/>
      <c r="F855" s="48"/>
      <c r="G855" s="48"/>
      <c r="H855" s="48"/>
      <c r="I855" s="48"/>
    </row>
    <row r="856" spans="4:9" ht="13.15">
      <c r="D856" s="48"/>
      <c r="E856" s="48"/>
      <c r="F856" s="48"/>
      <c r="G856" s="48"/>
      <c r="H856" s="48"/>
      <c r="I856" s="48"/>
    </row>
    <row r="857" spans="4:9" ht="13.15">
      <c r="D857" s="48"/>
      <c r="E857" s="48"/>
      <c r="F857" s="48"/>
      <c r="G857" s="48"/>
      <c r="H857" s="48"/>
      <c r="I857" s="48"/>
    </row>
    <row r="858" spans="4:9" ht="13.15">
      <c r="D858" s="48"/>
      <c r="E858" s="48"/>
      <c r="F858" s="48"/>
      <c r="G858" s="48"/>
      <c r="H858" s="48"/>
      <c r="I858" s="48"/>
    </row>
    <row r="859" spans="4:9" ht="13.15">
      <c r="D859" s="48"/>
      <c r="E859" s="48"/>
      <c r="F859" s="48"/>
      <c r="G859" s="48"/>
      <c r="H859" s="48"/>
      <c r="I859" s="48"/>
    </row>
    <row r="860" spans="4:9" ht="13.15">
      <c r="D860" s="48"/>
      <c r="E860" s="48"/>
      <c r="F860" s="48"/>
      <c r="G860" s="48"/>
      <c r="H860" s="48"/>
      <c r="I860" s="48"/>
    </row>
    <row r="861" spans="4:9" ht="13.15">
      <c r="D861" s="48"/>
      <c r="E861" s="48"/>
      <c r="F861" s="48"/>
      <c r="G861" s="48"/>
      <c r="H861" s="48"/>
      <c r="I861" s="48"/>
    </row>
    <row r="862" spans="4:9" ht="13.15">
      <c r="D862" s="48"/>
      <c r="E862" s="48"/>
      <c r="F862" s="48"/>
      <c r="G862" s="48"/>
      <c r="H862" s="48"/>
      <c r="I862" s="48"/>
    </row>
    <row r="863" spans="4:9" ht="13.15">
      <c r="D863" s="48"/>
      <c r="E863" s="48"/>
      <c r="F863" s="48"/>
      <c r="G863" s="48"/>
      <c r="H863" s="48"/>
      <c r="I863" s="48"/>
    </row>
    <row r="864" spans="4:9" ht="13.15">
      <c r="D864" s="48"/>
      <c r="E864" s="48"/>
      <c r="F864" s="48"/>
      <c r="G864" s="48"/>
      <c r="H864" s="48"/>
      <c r="I864" s="48"/>
    </row>
    <row r="865" spans="4:9" ht="13.15">
      <c r="D865" s="48"/>
      <c r="E865" s="48"/>
      <c r="F865" s="48"/>
      <c r="G865" s="48"/>
      <c r="H865" s="48"/>
      <c r="I865" s="48"/>
    </row>
    <row r="866" spans="4:9" ht="13.15">
      <c r="D866" s="48"/>
      <c r="E866" s="48"/>
      <c r="F866" s="48"/>
      <c r="G866" s="48"/>
      <c r="H866" s="48"/>
      <c r="I866" s="48"/>
    </row>
    <row r="867" spans="4:9" ht="13.15">
      <c r="D867" s="48"/>
      <c r="E867" s="48"/>
      <c r="F867" s="48"/>
      <c r="G867" s="48"/>
      <c r="H867" s="48"/>
      <c r="I867" s="48"/>
    </row>
    <row r="868" spans="4:9" ht="13.15">
      <c r="D868" s="48"/>
      <c r="E868" s="48"/>
      <c r="F868" s="48"/>
      <c r="G868" s="48"/>
      <c r="H868" s="48"/>
      <c r="I868" s="48"/>
    </row>
    <row r="869" spans="4:9" ht="13.15">
      <c r="D869" s="48"/>
      <c r="E869" s="48"/>
      <c r="F869" s="48"/>
      <c r="G869" s="48"/>
      <c r="H869" s="48"/>
      <c r="I869" s="48"/>
    </row>
    <row r="870" spans="4:9" ht="13.15">
      <c r="D870" s="48"/>
      <c r="E870" s="48"/>
      <c r="F870" s="48"/>
      <c r="G870" s="48"/>
      <c r="H870" s="48"/>
      <c r="I870" s="48"/>
    </row>
    <row r="871" spans="4:9" ht="13.15">
      <c r="D871" s="48"/>
      <c r="E871" s="48"/>
      <c r="F871" s="48"/>
      <c r="G871" s="48"/>
      <c r="H871" s="48"/>
      <c r="I871" s="48"/>
    </row>
    <row r="872" spans="4:9" ht="13.15">
      <c r="D872" s="48"/>
      <c r="E872" s="48"/>
      <c r="F872" s="48"/>
      <c r="G872" s="48"/>
      <c r="H872" s="48"/>
      <c r="I872" s="48"/>
    </row>
    <row r="873" spans="4:9" ht="13.15">
      <c r="D873" s="48"/>
      <c r="E873" s="48"/>
      <c r="F873" s="48"/>
      <c r="G873" s="48"/>
      <c r="H873" s="48"/>
      <c r="I873" s="48"/>
    </row>
    <row r="874" spans="4:9" ht="13.15">
      <c r="D874" s="48"/>
      <c r="E874" s="48"/>
      <c r="F874" s="48"/>
      <c r="G874" s="48"/>
      <c r="H874" s="48"/>
      <c r="I874" s="48"/>
    </row>
    <row r="875" spans="4:9" ht="13.15">
      <c r="D875" s="48"/>
      <c r="E875" s="48"/>
      <c r="F875" s="48"/>
      <c r="G875" s="48"/>
      <c r="H875" s="48"/>
      <c r="I875" s="48"/>
    </row>
    <row r="876" spans="4:9" ht="13.15">
      <c r="D876" s="48"/>
      <c r="E876" s="48"/>
      <c r="F876" s="48"/>
      <c r="G876" s="48"/>
      <c r="H876" s="48"/>
      <c r="I876" s="48"/>
    </row>
    <row r="877" spans="4:9" ht="13.15">
      <c r="D877" s="48"/>
      <c r="E877" s="48"/>
      <c r="F877" s="48"/>
      <c r="G877" s="48"/>
      <c r="H877" s="48"/>
      <c r="I877" s="48"/>
    </row>
    <row r="878" spans="4:9" ht="13.15">
      <c r="D878" s="48"/>
      <c r="E878" s="48"/>
      <c r="F878" s="48"/>
      <c r="G878" s="48"/>
      <c r="H878" s="48"/>
      <c r="I878" s="48"/>
    </row>
    <row r="879" spans="4:9" ht="13.15">
      <c r="D879" s="48"/>
      <c r="E879" s="48"/>
      <c r="F879" s="48"/>
      <c r="G879" s="48"/>
      <c r="H879" s="48"/>
      <c r="I879" s="48"/>
    </row>
    <row r="880" spans="4:9" ht="13.15">
      <c r="D880" s="48"/>
      <c r="E880" s="48"/>
      <c r="F880" s="48"/>
      <c r="G880" s="48"/>
      <c r="H880" s="48"/>
      <c r="I880" s="48"/>
    </row>
    <row r="881" spans="4:9" ht="13.15">
      <c r="D881" s="48"/>
      <c r="E881" s="48"/>
      <c r="F881" s="48"/>
      <c r="G881" s="48"/>
      <c r="H881" s="48"/>
      <c r="I881" s="48"/>
    </row>
    <row r="882" spans="4:9" ht="13.15">
      <c r="D882" s="48"/>
      <c r="E882" s="48"/>
      <c r="F882" s="48"/>
      <c r="G882" s="48"/>
      <c r="H882" s="48"/>
      <c r="I882" s="48"/>
    </row>
    <row r="883" spans="4:9" ht="13.15">
      <c r="D883" s="48"/>
      <c r="E883" s="48"/>
      <c r="F883" s="48"/>
      <c r="G883" s="48"/>
      <c r="H883" s="48"/>
      <c r="I883" s="48"/>
    </row>
    <row r="884" spans="4:9" ht="13.15">
      <c r="D884" s="48"/>
      <c r="E884" s="48"/>
      <c r="F884" s="48"/>
      <c r="G884" s="48"/>
      <c r="H884" s="48"/>
      <c r="I884" s="48"/>
    </row>
    <row r="885" spans="4:9" ht="13.15">
      <c r="D885" s="48"/>
      <c r="E885" s="48"/>
      <c r="F885" s="48"/>
      <c r="G885" s="48"/>
      <c r="H885" s="48"/>
      <c r="I885" s="48"/>
    </row>
    <row r="886" spans="4:9" ht="13.15">
      <c r="D886" s="48"/>
      <c r="E886" s="48"/>
      <c r="F886" s="48"/>
      <c r="G886" s="48"/>
      <c r="H886" s="48"/>
      <c r="I886" s="48"/>
    </row>
    <row r="887" spans="4:9" ht="13.15">
      <c r="D887" s="48"/>
      <c r="E887" s="48"/>
      <c r="F887" s="48"/>
      <c r="G887" s="48"/>
      <c r="H887" s="48"/>
      <c r="I887" s="48"/>
    </row>
    <row r="888" spans="4:9" ht="13.15">
      <c r="D888" s="48"/>
      <c r="E888" s="48"/>
      <c r="F888" s="48"/>
      <c r="G888" s="48"/>
      <c r="H888" s="48"/>
      <c r="I888" s="48"/>
    </row>
    <row r="889" spans="4:9" ht="13.15">
      <c r="D889" s="48"/>
      <c r="E889" s="48"/>
      <c r="F889" s="48"/>
      <c r="G889" s="48"/>
      <c r="H889" s="48"/>
      <c r="I889" s="48"/>
    </row>
    <row r="890" spans="4:9" ht="13.15">
      <c r="D890" s="48"/>
      <c r="E890" s="48"/>
      <c r="F890" s="48"/>
      <c r="G890" s="48"/>
      <c r="H890" s="48"/>
      <c r="I890" s="48"/>
    </row>
    <row r="891" spans="4:9" ht="13.15">
      <c r="D891" s="48"/>
      <c r="E891" s="48"/>
      <c r="F891" s="48"/>
      <c r="G891" s="48"/>
      <c r="H891" s="48"/>
      <c r="I891" s="48"/>
    </row>
    <row r="892" spans="4:9" ht="13.15">
      <c r="D892" s="48"/>
      <c r="E892" s="48"/>
      <c r="F892" s="48"/>
      <c r="G892" s="48"/>
      <c r="H892" s="48"/>
      <c r="I892" s="48"/>
    </row>
    <row r="893" spans="4:9" ht="13.15">
      <c r="D893" s="48"/>
      <c r="E893" s="48"/>
      <c r="F893" s="48"/>
      <c r="G893" s="48"/>
      <c r="H893" s="48"/>
      <c r="I893" s="48"/>
    </row>
    <row r="894" spans="4:9" ht="13.15">
      <c r="D894" s="48"/>
      <c r="E894" s="48"/>
      <c r="F894" s="48"/>
      <c r="G894" s="48"/>
      <c r="H894" s="48"/>
      <c r="I894" s="48"/>
    </row>
    <row r="895" spans="4:9" ht="13.15">
      <c r="D895" s="48"/>
      <c r="E895" s="48"/>
      <c r="F895" s="48"/>
      <c r="G895" s="48"/>
      <c r="H895" s="48"/>
      <c r="I895" s="48"/>
    </row>
    <row r="896" spans="4:9" ht="13.15">
      <c r="D896" s="48"/>
      <c r="E896" s="48"/>
      <c r="F896" s="48"/>
      <c r="G896" s="48"/>
      <c r="H896" s="48"/>
      <c r="I896" s="48"/>
    </row>
    <row r="897" spans="4:9" ht="13.15">
      <c r="D897" s="48"/>
      <c r="E897" s="48"/>
      <c r="F897" s="48"/>
      <c r="G897" s="48"/>
      <c r="H897" s="48"/>
      <c r="I897" s="48"/>
    </row>
    <row r="898" spans="4:9" ht="13.15">
      <c r="D898" s="48"/>
      <c r="E898" s="48"/>
      <c r="F898" s="48"/>
      <c r="G898" s="48"/>
      <c r="H898" s="48"/>
      <c r="I898" s="48"/>
    </row>
    <row r="899" spans="4:9" ht="13.15">
      <c r="D899" s="48"/>
      <c r="E899" s="48"/>
      <c r="F899" s="48"/>
      <c r="G899" s="48"/>
      <c r="H899" s="48"/>
      <c r="I899" s="48"/>
    </row>
    <row r="900" spans="4:9" ht="13.15">
      <c r="D900" s="48"/>
      <c r="E900" s="48"/>
      <c r="F900" s="48"/>
      <c r="G900" s="48"/>
      <c r="H900" s="48"/>
      <c r="I900" s="48"/>
    </row>
    <row r="901" spans="4:9" ht="13.15">
      <c r="D901" s="48"/>
      <c r="E901" s="48"/>
      <c r="F901" s="48"/>
      <c r="G901" s="48"/>
      <c r="H901" s="48"/>
      <c r="I901" s="48"/>
    </row>
    <row r="902" spans="4:9" ht="13.15">
      <c r="D902" s="48"/>
      <c r="E902" s="48"/>
      <c r="F902" s="48"/>
      <c r="G902" s="48"/>
      <c r="H902" s="48"/>
      <c r="I902" s="48"/>
    </row>
    <row r="903" spans="4:9" ht="13.15">
      <c r="D903" s="48"/>
      <c r="E903" s="48"/>
      <c r="F903" s="48"/>
      <c r="G903" s="48"/>
      <c r="H903" s="48"/>
      <c r="I903" s="48"/>
    </row>
    <row r="904" spans="4:9" ht="13.15">
      <c r="D904" s="48"/>
      <c r="E904" s="48"/>
      <c r="F904" s="48"/>
      <c r="G904" s="48"/>
      <c r="H904" s="48"/>
      <c r="I904" s="48"/>
    </row>
    <row r="905" spans="4:9" ht="13.15">
      <c r="D905" s="48"/>
      <c r="E905" s="48"/>
      <c r="F905" s="48"/>
      <c r="G905" s="48"/>
      <c r="H905" s="48"/>
      <c r="I905" s="48"/>
    </row>
    <row r="906" spans="4:9" ht="13.15">
      <c r="D906" s="48"/>
      <c r="E906" s="48"/>
      <c r="F906" s="48"/>
      <c r="G906" s="48"/>
      <c r="H906" s="48"/>
      <c r="I906" s="48"/>
    </row>
    <row r="907" spans="4:9" ht="13.15">
      <c r="D907" s="48"/>
      <c r="E907" s="48"/>
      <c r="F907" s="48"/>
      <c r="G907" s="48"/>
      <c r="H907" s="48"/>
      <c r="I907" s="48"/>
    </row>
    <row r="908" spans="4:9" ht="13.15">
      <c r="D908" s="48"/>
      <c r="E908" s="48"/>
      <c r="F908" s="48"/>
      <c r="G908" s="48"/>
      <c r="H908" s="48"/>
      <c r="I908" s="48"/>
    </row>
    <row r="909" spans="4:9" ht="13.15">
      <c r="D909" s="48"/>
      <c r="E909" s="48"/>
      <c r="F909" s="48"/>
      <c r="G909" s="48"/>
      <c r="H909" s="48"/>
      <c r="I909" s="48"/>
    </row>
    <row r="910" spans="4:9" ht="13.15">
      <c r="D910" s="48"/>
      <c r="E910" s="48"/>
      <c r="F910" s="48"/>
      <c r="G910" s="48"/>
      <c r="H910" s="48"/>
      <c r="I910" s="48"/>
    </row>
    <row r="911" spans="4:9" ht="13.15">
      <c r="D911" s="48"/>
      <c r="E911" s="48"/>
      <c r="F911" s="48"/>
      <c r="G911" s="48"/>
      <c r="H911" s="48"/>
      <c r="I911" s="48"/>
    </row>
    <row r="912" spans="4:9" ht="13.15">
      <c r="D912" s="48"/>
      <c r="E912" s="48"/>
      <c r="F912" s="48"/>
      <c r="G912" s="48"/>
      <c r="H912" s="48"/>
      <c r="I912" s="48"/>
    </row>
    <row r="913" spans="4:9" ht="13.15">
      <c r="D913" s="48"/>
      <c r="E913" s="48"/>
      <c r="F913" s="48"/>
      <c r="G913" s="48"/>
      <c r="H913" s="48"/>
      <c r="I913" s="48"/>
    </row>
    <row r="914" spans="4:9" ht="13.15">
      <c r="D914" s="48"/>
      <c r="E914" s="48"/>
      <c r="F914" s="48"/>
      <c r="G914" s="48"/>
      <c r="H914" s="48"/>
      <c r="I914" s="48"/>
    </row>
    <row r="915" spans="4:9" ht="13.15">
      <c r="D915" s="48"/>
      <c r="E915" s="48"/>
      <c r="F915" s="48"/>
      <c r="G915" s="48"/>
      <c r="H915" s="48"/>
      <c r="I915" s="48"/>
    </row>
    <row r="916" spans="4:9" ht="13.15">
      <c r="D916" s="48"/>
      <c r="E916" s="48"/>
      <c r="F916" s="48"/>
      <c r="G916" s="48"/>
      <c r="H916" s="48"/>
      <c r="I916" s="48"/>
    </row>
    <row r="917" spans="4:9" ht="13.15">
      <c r="D917" s="48"/>
      <c r="E917" s="48"/>
      <c r="F917" s="48"/>
      <c r="G917" s="48"/>
      <c r="H917" s="48"/>
      <c r="I917" s="48"/>
    </row>
    <row r="918" spans="4:9" ht="13.15">
      <c r="D918" s="48"/>
      <c r="E918" s="48"/>
      <c r="F918" s="48"/>
      <c r="G918" s="48"/>
      <c r="H918" s="48"/>
      <c r="I918" s="48"/>
    </row>
    <row r="919" spans="4:9" ht="13.15">
      <c r="D919" s="48"/>
      <c r="E919" s="48"/>
      <c r="F919" s="48"/>
      <c r="G919" s="48"/>
      <c r="H919" s="48"/>
      <c r="I919" s="48"/>
    </row>
    <row r="920" spans="4:9" ht="13.15">
      <c r="D920" s="48"/>
      <c r="E920" s="48"/>
      <c r="F920" s="48"/>
      <c r="G920" s="48"/>
      <c r="H920" s="48"/>
      <c r="I920" s="48"/>
    </row>
    <row r="921" spans="4:9" ht="13.15">
      <c r="D921" s="48"/>
      <c r="E921" s="48"/>
      <c r="F921" s="48"/>
      <c r="G921" s="48"/>
      <c r="H921" s="48"/>
      <c r="I921" s="48"/>
    </row>
    <row r="922" spans="4:9" ht="13.15">
      <c r="D922" s="48"/>
      <c r="E922" s="48"/>
      <c r="F922" s="48"/>
      <c r="G922" s="48"/>
      <c r="H922" s="48"/>
      <c r="I922" s="48"/>
    </row>
    <row r="923" spans="4:9" ht="13.15">
      <c r="D923" s="48"/>
      <c r="E923" s="48"/>
      <c r="F923" s="48"/>
      <c r="G923" s="48"/>
      <c r="H923" s="48"/>
      <c r="I923" s="48"/>
    </row>
    <row r="924" spans="4:9" ht="13.15">
      <c r="D924" s="48"/>
      <c r="E924" s="48"/>
      <c r="F924" s="48"/>
      <c r="G924" s="48"/>
      <c r="H924" s="48"/>
      <c r="I924" s="48"/>
    </row>
    <row r="925" spans="4:9" ht="13.15">
      <c r="D925" s="48"/>
      <c r="E925" s="48"/>
      <c r="F925" s="48"/>
      <c r="G925" s="48"/>
      <c r="H925" s="48"/>
      <c r="I925" s="48"/>
    </row>
    <row r="926" spans="4:9" ht="13.15">
      <c r="D926" s="48"/>
      <c r="E926" s="48"/>
      <c r="F926" s="48"/>
      <c r="G926" s="48"/>
      <c r="H926" s="48"/>
      <c r="I926" s="48"/>
    </row>
    <row r="927" spans="4:9" ht="13.15">
      <c r="D927" s="48"/>
      <c r="E927" s="48"/>
      <c r="F927" s="48"/>
      <c r="G927" s="48"/>
      <c r="H927" s="48"/>
      <c r="I927" s="48"/>
    </row>
    <row r="928" spans="4:9" ht="13.15">
      <c r="D928" s="48"/>
      <c r="E928" s="48"/>
      <c r="F928" s="48"/>
      <c r="G928" s="48"/>
      <c r="H928" s="48"/>
      <c r="I928" s="48"/>
    </row>
    <row r="929" spans="4:9" ht="13.15">
      <c r="D929" s="48"/>
      <c r="E929" s="48"/>
      <c r="F929" s="48"/>
      <c r="G929" s="48"/>
      <c r="H929" s="48"/>
      <c r="I929" s="48"/>
    </row>
    <row r="930" spans="4:9" ht="13.15">
      <c r="D930" s="48"/>
      <c r="E930" s="48"/>
      <c r="F930" s="48"/>
      <c r="G930" s="48"/>
      <c r="H930" s="48"/>
      <c r="I930" s="48"/>
    </row>
    <row r="931" spans="4:9" ht="13.15">
      <c r="D931" s="48"/>
      <c r="E931" s="48"/>
      <c r="F931" s="48"/>
      <c r="G931" s="48"/>
      <c r="H931" s="48"/>
      <c r="I931" s="48"/>
    </row>
    <row r="932" spans="4:9" ht="13.15">
      <c r="D932" s="48"/>
      <c r="E932" s="48"/>
      <c r="F932" s="48"/>
      <c r="G932" s="48"/>
      <c r="H932" s="48"/>
      <c r="I932" s="48"/>
    </row>
    <row r="933" spans="4:9" ht="13.15">
      <c r="D933" s="48"/>
      <c r="E933" s="48"/>
      <c r="F933" s="48"/>
      <c r="G933" s="48"/>
      <c r="H933" s="48"/>
      <c r="I933" s="48"/>
    </row>
    <row r="934" spans="4:9" ht="13.15">
      <c r="D934" s="48"/>
      <c r="E934" s="48"/>
      <c r="F934" s="48"/>
      <c r="G934" s="48"/>
      <c r="H934" s="48"/>
      <c r="I934" s="48"/>
    </row>
    <row r="935" spans="4:9" ht="13.15">
      <c r="D935" s="48"/>
      <c r="E935" s="48"/>
      <c r="F935" s="48"/>
      <c r="G935" s="48"/>
      <c r="H935" s="48"/>
      <c r="I935" s="48"/>
    </row>
    <row r="936" spans="4:9" ht="13.15">
      <c r="D936" s="48"/>
      <c r="E936" s="48"/>
      <c r="F936" s="48"/>
      <c r="G936" s="48"/>
      <c r="H936" s="48"/>
      <c r="I936" s="48"/>
    </row>
    <row r="937" spans="4:9" ht="13.15">
      <c r="D937" s="48"/>
      <c r="E937" s="48"/>
      <c r="F937" s="48"/>
      <c r="G937" s="48"/>
      <c r="H937" s="48"/>
      <c r="I937" s="48"/>
    </row>
    <row r="938" spans="4:9" ht="13.15">
      <c r="D938" s="48"/>
      <c r="E938" s="48"/>
      <c r="F938" s="48"/>
      <c r="G938" s="48"/>
      <c r="H938" s="48"/>
      <c r="I938" s="48"/>
    </row>
    <row r="939" spans="4:9" ht="13.15">
      <c r="D939" s="48"/>
      <c r="E939" s="48"/>
      <c r="F939" s="48"/>
      <c r="G939" s="48"/>
      <c r="H939" s="48"/>
      <c r="I939" s="48"/>
    </row>
    <row r="940" spans="4:9" ht="13.15">
      <c r="D940" s="48"/>
      <c r="E940" s="48"/>
      <c r="F940" s="48"/>
      <c r="G940" s="48"/>
      <c r="H940" s="48"/>
      <c r="I940" s="48"/>
    </row>
    <row r="941" spans="4:9" ht="13.15">
      <c r="D941" s="48"/>
      <c r="E941" s="48"/>
      <c r="F941" s="48"/>
      <c r="G941" s="48"/>
      <c r="H941" s="48"/>
      <c r="I941" s="48"/>
    </row>
    <row r="942" spans="4:9" ht="13.15">
      <c r="D942" s="48"/>
      <c r="E942" s="48"/>
      <c r="F942" s="48"/>
      <c r="G942" s="48"/>
      <c r="H942" s="48"/>
      <c r="I942" s="48"/>
    </row>
    <row r="943" spans="4:9" ht="13.15">
      <c r="D943" s="48"/>
      <c r="E943" s="48"/>
      <c r="F943" s="48"/>
      <c r="G943" s="48"/>
      <c r="H943" s="48"/>
      <c r="I943" s="48"/>
    </row>
    <row r="944" spans="4:9" ht="13.15">
      <c r="D944" s="48"/>
      <c r="E944" s="48"/>
      <c r="F944" s="48"/>
      <c r="G944" s="48"/>
      <c r="H944" s="48"/>
      <c r="I944" s="48"/>
    </row>
    <row r="945" spans="4:9" ht="13.15">
      <c r="D945" s="48"/>
      <c r="E945" s="48"/>
      <c r="F945" s="48"/>
      <c r="G945" s="48"/>
      <c r="H945" s="48"/>
      <c r="I945" s="48"/>
    </row>
    <row r="946" spans="4:9" ht="13.15">
      <c r="D946" s="48"/>
      <c r="E946" s="48"/>
      <c r="F946" s="48"/>
      <c r="G946" s="48"/>
      <c r="H946" s="48"/>
      <c r="I946" s="48"/>
    </row>
    <row r="947" spans="4:9" ht="13.15">
      <c r="D947" s="48"/>
      <c r="E947" s="48"/>
      <c r="F947" s="48"/>
      <c r="G947" s="48"/>
      <c r="H947" s="48"/>
      <c r="I947" s="48"/>
    </row>
    <row r="948" spans="4:9" ht="13.15">
      <c r="D948" s="48"/>
      <c r="E948" s="48"/>
      <c r="F948" s="48"/>
      <c r="G948" s="48"/>
      <c r="H948" s="48"/>
      <c r="I948" s="48"/>
    </row>
    <row r="949" spans="4:9" ht="13.15">
      <c r="D949" s="48"/>
      <c r="E949" s="48"/>
      <c r="F949" s="48"/>
      <c r="G949" s="48"/>
      <c r="H949" s="48"/>
      <c r="I949" s="48"/>
    </row>
    <row r="950" spans="4:9" ht="13.15">
      <c r="D950" s="48"/>
      <c r="E950" s="48"/>
      <c r="F950" s="48"/>
      <c r="G950" s="48"/>
      <c r="H950" s="48"/>
      <c r="I950" s="48"/>
    </row>
    <row r="951" spans="4:9" ht="13.15">
      <c r="D951" s="48"/>
      <c r="E951" s="48"/>
      <c r="F951" s="48"/>
      <c r="G951" s="48"/>
      <c r="H951" s="48"/>
      <c r="I951" s="48"/>
    </row>
    <row r="952" spans="4:9" ht="13.15">
      <c r="D952" s="48"/>
      <c r="E952" s="48"/>
      <c r="F952" s="48"/>
      <c r="G952" s="48"/>
      <c r="H952" s="48"/>
      <c r="I952" s="48"/>
    </row>
    <row r="953" spans="4:9" ht="13.15">
      <c r="D953" s="48"/>
      <c r="E953" s="48"/>
      <c r="F953" s="48"/>
      <c r="G953" s="48"/>
      <c r="H953" s="48"/>
      <c r="I953" s="48"/>
    </row>
    <row r="954" spans="4:9" ht="13.15">
      <c r="D954" s="48"/>
      <c r="E954" s="48"/>
      <c r="F954" s="48"/>
      <c r="G954" s="48"/>
      <c r="H954" s="48"/>
      <c r="I954" s="48"/>
    </row>
    <row r="955" spans="4:9" ht="13.15">
      <c r="D955" s="48"/>
      <c r="E955" s="48"/>
      <c r="F955" s="48"/>
      <c r="G955" s="48"/>
      <c r="H955" s="48"/>
      <c r="I955" s="48"/>
    </row>
    <row r="956" spans="4:9" ht="13.15">
      <c r="D956" s="48"/>
      <c r="E956" s="48"/>
      <c r="F956" s="48"/>
      <c r="G956" s="48"/>
      <c r="H956" s="48"/>
      <c r="I956" s="48"/>
    </row>
    <row r="957" spans="4:9" ht="13.15">
      <c r="D957" s="48"/>
      <c r="E957" s="48"/>
      <c r="F957" s="48"/>
      <c r="G957" s="48"/>
      <c r="H957" s="48"/>
      <c r="I957" s="48"/>
    </row>
    <row r="958" spans="4:9" ht="13.15">
      <c r="D958" s="48"/>
      <c r="E958" s="48"/>
      <c r="F958" s="48"/>
      <c r="G958" s="48"/>
      <c r="H958" s="48"/>
      <c r="I958" s="48"/>
    </row>
    <row r="959" spans="4:9" ht="13.15">
      <c r="D959" s="48"/>
      <c r="E959" s="48"/>
      <c r="F959" s="48"/>
      <c r="G959" s="48"/>
      <c r="H959" s="48"/>
      <c r="I959" s="48"/>
    </row>
    <row r="960" spans="4:9" ht="13.15">
      <c r="D960" s="48"/>
      <c r="E960" s="48"/>
      <c r="F960" s="48"/>
      <c r="G960" s="48"/>
      <c r="H960" s="48"/>
      <c r="I960" s="48"/>
    </row>
    <row r="961" spans="4:9" ht="13.15">
      <c r="D961" s="48"/>
      <c r="E961" s="48"/>
      <c r="F961" s="48"/>
      <c r="G961" s="48"/>
      <c r="H961" s="48"/>
      <c r="I961" s="48"/>
    </row>
    <row r="962" spans="4:9" ht="13.15">
      <c r="D962" s="48"/>
      <c r="E962" s="48"/>
      <c r="F962" s="48"/>
      <c r="G962" s="48"/>
      <c r="H962" s="48"/>
      <c r="I962" s="48"/>
    </row>
    <row r="963" spans="4:9" ht="13.15">
      <c r="D963" s="48"/>
      <c r="E963" s="48"/>
      <c r="F963" s="48"/>
      <c r="G963" s="48"/>
      <c r="H963" s="48"/>
      <c r="I963" s="48"/>
    </row>
    <row r="964" spans="4:9" ht="13.15">
      <c r="D964" s="48"/>
      <c r="E964" s="48"/>
      <c r="F964" s="48"/>
      <c r="G964" s="48"/>
      <c r="H964" s="48"/>
      <c r="I964" s="48"/>
    </row>
    <row r="965" spans="4:9" ht="13.15">
      <c r="D965" s="48"/>
      <c r="E965" s="48"/>
      <c r="F965" s="48"/>
      <c r="G965" s="48"/>
      <c r="H965" s="48"/>
      <c r="I965" s="48"/>
    </row>
    <row r="966" spans="4:9" ht="13.15">
      <c r="D966" s="48"/>
      <c r="E966" s="48"/>
      <c r="F966" s="48"/>
      <c r="G966" s="48"/>
      <c r="H966" s="48"/>
      <c r="I966" s="48"/>
    </row>
    <row r="967" spans="4:9" ht="13.15">
      <c r="D967" s="48"/>
      <c r="E967" s="48"/>
      <c r="F967" s="48"/>
      <c r="G967" s="48"/>
      <c r="H967" s="48"/>
      <c r="I967" s="48"/>
    </row>
    <row r="968" spans="4:9" ht="13.15">
      <c r="D968" s="48"/>
      <c r="E968" s="48"/>
      <c r="F968" s="48"/>
      <c r="G968" s="48"/>
      <c r="H968" s="48"/>
      <c r="I968" s="48"/>
    </row>
    <row r="969" spans="4:9" ht="13.15">
      <c r="D969" s="48"/>
      <c r="E969" s="48"/>
      <c r="F969" s="48"/>
      <c r="G969" s="48"/>
      <c r="H969" s="48"/>
      <c r="I969" s="48"/>
    </row>
    <row r="970" spans="4:9" ht="13.15">
      <c r="D970" s="48"/>
      <c r="E970" s="48"/>
      <c r="F970" s="48"/>
      <c r="G970" s="48"/>
      <c r="H970" s="48"/>
      <c r="I970" s="48"/>
    </row>
    <row r="971" spans="4:9" ht="13.15">
      <c r="D971" s="48"/>
      <c r="E971" s="48"/>
      <c r="F971" s="48"/>
      <c r="G971" s="48"/>
      <c r="H971" s="48"/>
      <c r="I971" s="48"/>
    </row>
    <row r="972" spans="4:9" ht="13.15">
      <c r="D972" s="48"/>
      <c r="E972" s="48"/>
      <c r="F972" s="48"/>
      <c r="G972" s="48"/>
      <c r="H972" s="48"/>
      <c r="I972" s="48"/>
    </row>
    <row r="973" spans="4:9" ht="13.15">
      <c r="D973" s="48"/>
      <c r="E973" s="48"/>
      <c r="F973" s="48"/>
      <c r="G973" s="48"/>
      <c r="H973" s="48"/>
      <c r="I973" s="48"/>
    </row>
    <row r="974" spans="4:9" ht="13.15">
      <c r="D974" s="48"/>
      <c r="E974" s="48"/>
      <c r="F974" s="48"/>
      <c r="G974" s="48"/>
      <c r="H974" s="48"/>
      <c r="I974" s="48"/>
    </row>
    <row r="975" spans="4:9" ht="13.15">
      <c r="D975" s="48"/>
      <c r="E975" s="48"/>
      <c r="F975" s="48"/>
      <c r="G975" s="48"/>
      <c r="H975" s="48"/>
      <c r="I975" s="48"/>
    </row>
    <row r="976" spans="4:9" ht="13.15">
      <c r="D976" s="48"/>
      <c r="E976" s="48"/>
      <c r="F976" s="48"/>
      <c r="G976" s="48"/>
      <c r="H976" s="48"/>
      <c r="I976" s="48"/>
    </row>
    <row r="977" spans="4:9" ht="13.15">
      <c r="D977" s="48"/>
      <c r="E977" s="48"/>
      <c r="F977" s="48"/>
      <c r="G977" s="48"/>
      <c r="H977" s="48"/>
      <c r="I977" s="48"/>
    </row>
    <row r="978" spans="4:9" ht="13.15">
      <c r="D978" s="48"/>
      <c r="E978" s="48"/>
      <c r="F978" s="48"/>
      <c r="G978" s="48"/>
      <c r="H978" s="48"/>
      <c r="I978" s="48"/>
    </row>
    <row r="979" spans="4:9" ht="13.15">
      <c r="D979" s="48"/>
      <c r="E979" s="48"/>
      <c r="F979" s="48"/>
      <c r="G979" s="48"/>
      <c r="H979" s="48"/>
      <c r="I979" s="48"/>
    </row>
    <row r="980" spans="4:9" ht="13.15">
      <c r="D980" s="48"/>
      <c r="E980" s="48"/>
      <c r="F980" s="48"/>
      <c r="G980" s="48"/>
      <c r="H980" s="48"/>
      <c r="I980" s="48"/>
    </row>
    <row r="981" spans="4:9" ht="13.15">
      <c r="D981" s="48"/>
      <c r="E981" s="48"/>
      <c r="F981" s="48"/>
      <c r="G981" s="48"/>
      <c r="H981" s="48"/>
      <c r="I981" s="48"/>
    </row>
    <row r="982" spans="4:9" ht="13.15">
      <c r="D982" s="48"/>
      <c r="E982" s="48"/>
      <c r="F982" s="48"/>
      <c r="G982" s="48"/>
      <c r="H982" s="48"/>
      <c r="I982" s="48"/>
    </row>
    <row r="983" spans="4:9" ht="13.15">
      <c r="D983" s="48"/>
      <c r="E983" s="48"/>
      <c r="F983" s="48"/>
      <c r="G983" s="48"/>
      <c r="H983" s="48"/>
      <c r="I983" s="48"/>
    </row>
    <row r="984" spans="4:9" ht="13.15">
      <c r="D984" s="48"/>
      <c r="E984" s="48"/>
      <c r="F984" s="48"/>
      <c r="G984" s="48"/>
      <c r="H984" s="48"/>
      <c r="I984" s="48"/>
    </row>
    <row r="985" spans="4:9" ht="13.15">
      <c r="D985" s="48"/>
      <c r="E985" s="48"/>
      <c r="F985" s="48"/>
      <c r="G985" s="48"/>
      <c r="H985" s="48"/>
      <c r="I985" s="48"/>
    </row>
    <row r="986" spans="4:9" ht="13.15">
      <c r="D986" s="48"/>
      <c r="E986" s="48"/>
      <c r="F986" s="48"/>
      <c r="G986" s="48"/>
      <c r="H986" s="48"/>
      <c r="I986" s="48"/>
    </row>
    <row r="987" spans="4:9" ht="13.15">
      <c r="D987" s="48"/>
      <c r="E987" s="48"/>
      <c r="F987" s="48"/>
      <c r="G987" s="48"/>
      <c r="H987" s="48"/>
      <c r="I987" s="48"/>
    </row>
    <row r="988" spans="4:9" ht="13.15">
      <c r="D988" s="48"/>
      <c r="E988" s="48"/>
      <c r="F988" s="48"/>
      <c r="G988" s="48"/>
      <c r="H988" s="48"/>
      <c r="I988" s="48"/>
    </row>
    <row r="989" spans="4:9" ht="13.15">
      <c r="D989" s="48"/>
      <c r="E989" s="48"/>
      <c r="F989" s="48"/>
      <c r="G989" s="48"/>
      <c r="H989" s="48"/>
      <c r="I989" s="48"/>
    </row>
    <row r="990" spans="4:9" ht="13.15">
      <c r="D990" s="48"/>
      <c r="E990" s="48"/>
      <c r="F990" s="48"/>
      <c r="G990" s="48"/>
      <c r="H990" s="48"/>
      <c r="I990" s="48"/>
    </row>
    <row r="991" spans="4:9" ht="13.15">
      <c r="D991" s="48"/>
      <c r="E991" s="48"/>
      <c r="F991" s="48"/>
      <c r="G991" s="48"/>
      <c r="H991" s="48"/>
      <c r="I991" s="48"/>
    </row>
    <row r="992" spans="4:9" ht="13.15">
      <c r="D992" s="48"/>
      <c r="E992" s="48"/>
      <c r="F992" s="48"/>
      <c r="G992" s="48"/>
      <c r="H992" s="48"/>
      <c r="I992" s="48"/>
    </row>
    <row r="993" spans="4:9" ht="13.15">
      <c r="D993" s="48"/>
      <c r="E993" s="48"/>
      <c r="F993" s="48"/>
      <c r="G993" s="48"/>
      <c r="H993" s="48"/>
      <c r="I993" s="48"/>
    </row>
    <row r="994" spans="4:9" ht="13.15">
      <c r="D994" s="48"/>
      <c r="E994" s="48"/>
      <c r="F994" s="48"/>
      <c r="G994" s="48"/>
      <c r="H994" s="48"/>
      <c r="I994" s="48"/>
    </row>
    <row r="995" spans="4:9" ht="13.15">
      <c r="D995" s="48"/>
      <c r="E995" s="48"/>
      <c r="F995" s="48"/>
      <c r="G995" s="48"/>
      <c r="H995" s="48"/>
      <c r="I995" s="48"/>
    </row>
    <row r="996" spans="4:9" ht="13.15">
      <c r="D996" s="48"/>
      <c r="E996" s="48"/>
      <c r="F996" s="48"/>
      <c r="G996" s="48"/>
      <c r="H996" s="48"/>
      <c r="I996" s="48"/>
    </row>
    <row r="997" spans="4:9" ht="13.15">
      <c r="D997" s="48"/>
      <c r="E997" s="48"/>
      <c r="F997" s="48"/>
      <c r="G997" s="48"/>
      <c r="H997" s="48"/>
      <c r="I997" s="48"/>
    </row>
    <row r="998" spans="4:9" ht="13.15">
      <c r="D998" s="48"/>
      <c r="E998" s="48"/>
      <c r="F998" s="48"/>
      <c r="G998" s="48"/>
      <c r="H998" s="48"/>
      <c r="I998" s="48"/>
    </row>
    <row r="999" spans="4:9" ht="13.15">
      <c r="D999" s="48"/>
      <c r="E999" s="48"/>
      <c r="F999" s="48"/>
      <c r="G999" s="48"/>
      <c r="H999" s="48"/>
      <c r="I999" s="48"/>
    </row>
    <row r="1000" spans="4:9" ht="13.15">
      <c r="D1000" s="48"/>
      <c r="E1000" s="48"/>
      <c r="F1000" s="48"/>
      <c r="G1000" s="48"/>
      <c r="H1000" s="48"/>
      <c r="I1000" s="48"/>
    </row>
    <row r="1001" spans="4:9" ht="13.15">
      <c r="D1001" s="48"/>
      <c r="E1001" s="48"/>
      <c r="F1001" s="48"/>
      <c r="G1001" s="48"/>
      <c r="H1001" s="48"/>
      <c r="I1001" s="48"/>
    </row>
    <row r="1002" spans="4:9" ht="13.15">
      <c r="D1002" s="48"/>
      <c r="E1002" s="48"/>
      <c r="F1002" s="48"/>
      <c r="G1002" s="48"/>
      <c r="H1002" s="48"/>
      <c r="I1002" s="48"/>
    </row>
    <row r="1003" spans="4:9" ht="13.15">
      <c r="D1003" s="48"/>
      <c r="E1003" s="48"/>
      <c r="F1003" s="48"/>
      <c r="G1003" s="48"/>
      <c r="H1003" s="48"/>
      <c r="I1003" s="48"/>
    </row>
    <row r="1004" spans="4:9" ht="13.15">
      <c r="D1004" s="48"/>
      <c r="E1004" s="48"/>
      <c r="F1004" s="48"/>
      <c r="G1004" s="48"/>
      <c r="H1004" s="48"/>
      <c r="I1004" s="48"/>
    </row>
    <row r="1005" spans="4:9" ht="13.15">
      <c r="D1005" s="48"/>
      <c r="E1005" s="48"/>
      <c r="F1005" s="48"/>
      <c r="G1005" s="48"/>
      <c r="H1005" s="48"/>
      <c r="I1005" s="48"/>
    </row>
    <row r="1006" spans="4:9" ht="13.15">
      <c r="D1006" s="48"/>
      <c r="E1006" s="48"/>
      <c r="F1006" s="48"/>
      <c r="G1006" s="48"/>
      <c r="H1006" s="48"/>
      <c r="I1006" s="48"/>
    </row>
    <row r="1007" spans="4:9" ht="13.15">
      <c r="D1007" s="48"/>
      <c r="E1007" s="48"/>
      <c r="F1007" s="48"/>
      <c r="G1007" s="48"/>
      <c r="H1007" s="48"/>
      <c r="I1007" s="48"/>
    </row>
    <row r="1008" spans="4:9" ht="13.15">
      <c r="D1008" s="48"/>
      <c r="E1008" s="48"/>
      <c r="F1008" s="48"/>
      <c r="G1008" s="48"/>
      <c r="H1008" s="48"/>
      <c r="I1008" s="48"/>
    </row>
    <row r="1009" spans="4:9" ht="13.15">
      <c r="D1009" s="48"/>
      <c r="E1009" s="48"/>
      <c r="F1009" s="48"/>
      <c r="G1009" s="48"/>
      <c r="H1009" s="48"/>
      <c r="I1009" s="48"/>
    </row>
    <row r="1010" spans="4:9" ht="13.15">
      <c r="D1010" s="48"/>
      <c r="E1010" s="48"/>
      <c r="F1010" s="48"/>
      <c r="G1010" s="48"/>
      <c r="H1010" s="48"/>
      <c r="I1010" s="48"/>
    </row>
    <row r="1011" spans="4:9" ht="13.15">
      <c r="D1011" s="48"/>
      <c r="E1011" s="48"/>
      <c r="F1011" s="48"/>
      <c r="G1011" s="48"/>
      <c r="H1011" s="48"/>
      <c r="I1011" s="48"/>
    </row>
  </sheetData>
  <phoneticPr fontId="2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88"/>
  <sheetViews>
    <sheetView tabSelected="1" topLeftCell="G19" zoomScale="110" zoomScaleNormal="110" workbookViewId="0">
      <selection activeCell="P22" sqref="P22"/>
    </sheetView>
  </sheetViews>
  <sheetFormatPr defaultColWidth="12.7109375" defaultRowHeight="15.75" customHeight="1" outlineLevelCol="1"/>
  <cols>
    <col min="1" max="1" width="22.7109375" customWidth="1"/>
    <col min="2" max="4" width="0" hidden="1" customWidth="1"/>
    <col min="5" max="5" width="15.5703125" style="123" hidden="1" customWidth="1"/>
    <col min="6" max="6" width="27.85546875" style="123" hidden="1" customWidth="1"/>
    <col min="7" max="7" width="12.7109375" style="133"/>
    <col min="8" max="8" width="26.7109375" style="123" customWidth="1"/>
    <col min="9" max="9" width="47.42578125" style="123" customWidth="1"/>
    <col min="10" max="10" width="52.5703125" customWidth="1" collapsed="1"/>
    <col min="11" max="11" width="36.28515625" style="85" hidden="1" customWidth="1" outlineLevel="1"/>
    <col min="12" max="12" width="26.28515625" style="123" hidden="1" customWidth="1" outlineLevel="1"/>
    <col min="13" max="13" width="67.28515625" hidden="1" customWidth="1" outlineLevel="1"/>
    <col min="14" max="14" width="24.42578125" hidden="1" customWidth="1" outlineLevel="1"/>
    <col min="15" max="15" width="42.140625" hidden="1" customWidth="1" outlineLevel="1"/>
    <col min="16" max="16" width="27" customWidth="1"/>
    <col min="17" max="17" width="22.140625" customWidth="1"/>
    <col min="18" max="18" width="23.42578125" customWidth="1"/>
    <col min="19" max="19" width="21.5703125" customWidth="1"/>
    <col min="20" max="20" width="21.85546875" customWidth="1"/>
    <col min="21" max="21" width="22" customWidth="1"/>
    <col min="23" max="23" width="25.140625" customWidth="1"/>
  </cols>
  <sheetData>
    <row r="1" spans="1:24" s="85" customFormat="1" ht="40.15" thickBot="1">
      <c r="A1" s="132" t="s">
        <v>290</v>
      </c>
      <c r="B1" s="86" t="s">
        <v>291</v>
      </c>
      <c r="C1" s="86" t="s">
        <v>292</v>
      </c>
      <c r="D1" s="52" t="s">
        <v>169</v>
      </c>
      <c r="E1" s="128" t="s">
        <v>293</v>
      </c>
      <c r="F1" s="118" t="s">
        <v>166</v>
      </c>
      <c r="G1" s="86" t="s">
        <v>167</v>
      </c>
      <c r="H1" s="87" t="s">
        <v>294</v>
      </c>
      <c r="I1" s="87" t="s">
        <v>295</v>
      </c>
      <c r="J1" s="220" t="s">
        <v>296</v>
      </c>
      <c r="K1" s="220" t="s">
        <v>297</v>
      </c>
      <c r="L1" s="118" t="s">
        <v>298</v>
      </c>
      <c r="M1" s="87" t="s">
        <v>299</v>
      </c>
      <c r="N1" s="87" t="s">
        <v>300</v>
      </c>
      <c r="O1" s="87" t="s">
        <v>301</v>
      </c>
      <c r="P1" s="87" t="s">
        <v>302</v>
      </c>
      <c r="Q1" s="87" t="s">
        <v>303</v>
      </c>
      <c r="R1" s="87" t="s">
        <v>304</v>
      </c>
      <c r="S1" s="87" t="s">
        <v>305</v>
      </c>
      <c r="T1" s="87" t="s">
        <v>306</v>
      </c>
      <c r="U1" s="87" t="s">
        <v>307</v>
      </c>
      <c r="V1" s="87" t="s">
        <v>308</v>
      </c>
      <c r="W1" s="88" t="s">
        <v>309</v>
      </c>
      <c r="X1" s="84"/>
    </row>
    <row r="2" spans="1:24" ht="28.9">
      <c r="A2" s="289" t="s">
        <v>310</v>
      </c>
      <c r="B2" s="282" t="s">
        <v>311</v>
      </c>
      <c r="C2" s="288">
        <v>1</v>
      </c>
      <c r="D2" s="282"/>
      <c r="E2" s="282" t="s">
        <v>312</v>
      </c>
      <c r="F2" s="282" t="s">
        <v>313</v>
      </c>
      <c r="G2" s="295">
        <v>1.1000000000000001</v>
      </c>
      <c r="H2" s="282" t="s">
        <v>314</v>
      </c>
      <c r="I2" s="294" t="s">
        <v>150</v>
      </c>
      <c r="J2" s="92" t="s">
        <v>315</v>
      </c>
      <c r="K2" s="95" t="s">
        <v>316</v>
      </c>
      <c r="L2" s="212" t="s">
        <v>317</v>
      </c>
      <c r="M2" s="92" t="s">
        <v>318</v>
      </c>
      <c r="N2" s="95" t="s">
        <v>319</v>
      </c>
      <c r="O2" s="282" t="s">
        <v>151</v>
      </c>
      <c r="P2" s="90" t="s">
        <v>320</v>
      </c>
      <c r="Q2" s="90"/>
      <c r="R2" s="90"/>
      <c r="S2" s="90"/>
      <c r="T2" s="90"/>
      <c r="U2" s="90">
        <v>1560</v>
      </c>
      <c r="V2" s="91" t="s">
        <v>321</v>
      </c>
      <c r="W2" s="91"/>
      <c r="X2" s="62"/>
    </row>
    <row r="3" spans="1:24" ht="28.9">
      <c r="A3" s="289"/>
      <c r="B3" s="282"/>
      <c r="C3" s="288"/>
      <c r="D3" s="282"/>
      <c r="E3" s="282"/>
      <c r="F3" s="282"/>
      <c r="G3" s="295"/>
      <c r="H3" s="282"/>
      <c r="I3" s="294"/>
      <c r="J3" s="92" t="s">
        <v>322</v>
      </c>
      <c r="K3" s="95" t="s">
        <v>323</v>
      </c>
      <c r="L3" s="212" t="s">
        <v>324</v>
      </c>
      <c r="M3" s="92" t="s">
        <v>318</v>
      </c>
      <c r="N3" s="95" t="s">
        <v>319</v>
      </c>
      <c r="O3" s="282"/>
      <c r="P3" s="90" t="s">
        <v>325</v>
      </c>
      <c r="Q3" s="90"/>
      <c r="R3" s="90"/>
      <c r="S3" s="90"/>
      <c r="T3" s="90"/>
      <c r="U3" s="90" t="s">
        <v>325</v>
      </c>
      <c r="V3" s="91"/>
      <c r="W3" s="91"/>
      <c r="X3" s="62"/>
    </row>
    <row r="4" spans="1:24" ht="28.9">
      <c r="A4" s="289"/>
      <c r="B4" s="282"/>
      <c r="C4" s="288"/>
      <c r="D4" s="282"/>
      <c r="E4" s="282"/>
      <c r="F4" s="282"/>
      <c r="G4" s="295"/>
      <c r="H4" s="282"/>
      <c r="I4" s="294"/>
      <c r="J4" s="92" t="s">
        <v>326</v>
      </c>
      <c r="K4" s="95" t="s">
        <v>327</v>
      </c>
      <c r="L4" s="212" t="s">
        <v>324</v>
      </c>
      <c r="M4" s="92" t="s">
        <v>328</v>
      </c>
      <c r="N4" s="95" t="s">
        <v>329</v>
      </c>
      <c r="O4" s="282"/>
      <c r="P4" s="90" t="s">
        <v>330</v>
      </c>
      <c r="Q4" s="90" t="s">
        <v>330</v>
      </c>
      <c r="R4" s="90"/>
      <c r="S4" s="90" t="s">
        <v>330</v>
      </c>
      <c r="T4" s="90"/>
      <c r="U4" s="90" t="s">
        <v>330</v>
      </c>
      <c r="V4" s="91"/>
      <c r="W4" s="91"/>
      <c r="X4" s="62"/>
    </row>
    <row r="5" spans="1:24" ht="25.15" customHeight="1">
      <c r="A5" s="289"/>
      <c r="B5" s="282"/>
      <c r="C5" s="288"/>
      <c r="D5" s="282"/>
      <c r="E5" s="282"/>
      <c r="F5" s="282"/>
      <c r="G5" s="295"/>
      <c r="H5" s="282"/>
      <c r="I5" s="294"/>
      <c r="J5" s="92" t="s">
        <v>331</v>
      </c>
      <c r="K5" s="92" t="s">
        <v>332</v>
      </c>
      <c r="L5" s="212" t="s">
        <v>324</v>
      </c>
      <c r="M5" s="92" t="s">
        <v>333</v>
      </c>
      <c r="N5" s="95" t="s">
        <v>329</v>
      </c>
      <c r="O5" s="282"/>
      <c r="P5" s="90" t="s">
        <v>330</v>
      </c>
      <c r="Q5" s="90" t="s">
        <v>330</v>
      </c>
      <c r="R5" s="90"/>
      <c r="S5" s="90" t="s">
        <v>330</v>
      </c>
      <c r="T5" s="90"/>
      <c r="U5" s="90" t="s">
        <v>330</v>
      </c>
      <c r="V5" s="91"/>
      <c r="W5" s="91"/>
      <c r="X5" s="62"/>
    </row>
    <row r="6" spans="1:24" ht="28.9">
      <c r="A6" s="289"/>
      <c r="B6" s="282"/>
      <c r="C6" s="288"/>
      <c r="D6" s="282"/>
      <c r="E6" s="282"/>
      <c r="F6" s="282"/>
      <c r="G6" s="295"/>
      <c r="H6" s="282"/>
      <c r="I6" s="294"/>
      <c r="J6" s="92" t="s">
        <v>334</v>
      </c>
      <c r="K6" s="95" t="s">
        <v>335</v>
      </c>
      <c r="L6" s="212" t="s">
        <v>324</v>
      </c>
      <c r="M6" s="95" t="s">
        <v>336</v>
      </c>
      <c r="N6" s="95" t="s">
        <v>329</v>
      </c>
      <c r="O6" s="282"/>
      <c r="P6" s="90" t="s">
        <v>330</v>
      </c>
      <c r="Q6" s="90" t="s">
        <v>330</v>
      </c>
      <c r="R6" s="90"/>
      <c r="S6" s="90" t="s">
        <v>330</v>
      </c>
      <c r="T6" s="90"/>
      <c r="U6" s="90" t="s">
        <v>330</v>
      </c>
      <c r="V6" s="91"/>
      <c r="W6" s="91"/>
      <c r="X6" s="62"/>
    </row>
    <row r="7" spans="1:24" ht="57.6">
      <c r="A7" s="289"/>
      <c r="B7" s="282" t="s">
        <v>311</v>
      </c>
      <c r="C7" s="288">
        <v>1</v>
      </c>
      <c r="D7" s="282"/>
      <c r="E7" s="282" t="s">
        <v>337</v>
      </c>
      <c r="F7" s="282" t="s">
        <v>338</v>
      </c>
      <c r="G7" s="303">
        <v>1.2</v>
      </c>
      <c r="H7" s="282" t="s">
        <v>339</v>
      </c>
      <c r="I7" s="306" t="s">
        <v>340</v>
      </c>
      <c r="J7" s="92" t="s">
        <v>341</v>
      </c>
      <c r="K7" s="92" t="s">
        <v>342</v>
      </c>
      <c r="L7" s="152" t="s">
        <v>343</v>
      </c>
      <c r="M7" s="92" t="s">
        <v>344</v>
      </c>
      <c r="N7" s="95" t="s">
        <v>319</v>
      </c>
      <c r="O7" s="314" t="s">
        <v>345</v>
      </c>
      <c r="P7" s="198" t="s">
        <v>346</v>
      </c>
      <c r="Q7" s="198"/>
      <c r="R7" s="198"/>
      <c r="S7" s="198"/>
      <c r="T7" s="198"/>
      <c r="U7" s="198" t="s">
        <v>346</v>
      </c>
      <c r="V7" s="91"/>
      <c r="W7" s="91"/>
      <c r="X7" s="62"/>
    </row>
    <row r="8" spans="1:24" ht="58.5" customHeight="1">
      <c r="A8" s="289"/>
      <c r="B8" s="282"/>
      <c r="C8" s="288"/>
      <c r="D8" s="282"/>
      <c r="E8" s="282"/>
      <c r="F8" s="282"/>
      <c r="G8" s="304"/>
      <c r="H8" s="282"/>
      <c r="I8" s="307"/>
      <c r="J8" s="92" t="s">
        <v>347</v>
      </c>
      <c r="K8" s="95" t="s">
        <v>323</v>
      </c>
      <c r="L8" s="152" t="s">
        <v>343</v>
      </c>
      <c r="M8" s="92" t="s">
        <v>344</v>
      </c>
      <c r="N8" s="95" t="s">
        <v>319</v>
      </c>
      <c r="O8" s="315"/>
      <c r="P8" s="198" t="s">
        <v>348</v>
      </c>
      <c r="Q8" s="90"/>
      <c r="R8" s="90"/>
      <c r="S8" s="90"/>
      <c r="T8" s="90"/>
      <c r="U8" s="198" t="s">
        <v>348</v>
      </c>
      <c r="V8" s="91"/>
      <c r="W8" s="91"/>
      <c r="X8" s="62"/>
    </row>
    <row r="9" spans="1:24" ht="28.9">
      <c r="A9" s="289"/>
      <c r="B9" s="282"/>
      <c r="C9" s="288"/>
      <c r="D9" s="282"/>
      <c r="E9" s="282"/>
      <c r="F9" s="282"/>
      <c r="G9" s="304"/>
      <c r="H9" s="282"/>
      <c r="I9" s="307"/>
      <c r="J9" s="92" t="s">
        <v>349</v>
      </c>
      <c r="K9" s="95" t="s">
        <v>327</v>
      </c>
      <c r="L9" s="152" t="s">
        <v>343</v>
      </c>
      <c r="M9" s="92" t="s">
        <v>350</v>
      </c>
      <c r="N9" s="95" t="s">
        <v>329</v>
      </c>
      <c r="O9" s="315"/>
      <c r="P9" s="90" t="s">
        <v>330</v>
      </c>
      <c r="Q9" s="90"/>
      <c r="R9" s="90"/>
      <c r="S9" s="90"/>
      <c r="T9" s="90"/>
      <c r="U9" s="90" t="s">
        <v>330</v>
      </c>
      <c r="V9" s="91"/>
      <c r="W9" s="91"/>
      <c r="X9" s="62"/>
    </row>
    <row r="10" spans="1:24" ht="28.9">
      <c r="A10" s="289"/>
      <c r="B10" s="282"/>
      <c r="C10" s="288"/>
      <c r="D10" s="282"/>
      <c r="E10" s="282"/>
      <c r="F10" s="282"/>
      <c r="G10" s="304"/>
      <c r="H10" s="282"/>
      <c r="I10" s="307"/>
      <c r="J10" s="92" t="s">
        <v>351</v>
      </c>
      <c r="K10" s="92" t="s">
        <v>332</v>
      </c>
      <c r="L10" s="152" t="s">
        <v>343</v>
      </c>
      <c r="M10" s="92" t="s">
        <v>352</v>
      </c>
      <c r="N10" s="95" t="s">
        <v>329</v>
      </c>
      <c r="O10" s="315"/>
      <c r="P10" s="90" t="s">
        <v>330</v>
      </c>
      <c r="Q10" s="90"/>
      <c r="R10" s="90"/>
      <c r="S10" s="90"/>
      <c r="T10" s="90"/>
      <c r="U10" s="90" t="s">
        <v>330</v>
      </c>
      <c r="V10" s="91"/>
      <c r="W10" s="91"/>
      <c r="X10" s="62"/>
    </row>
    <row r="11" spans="1:24" ht="28.9">
      <c r="A11" s="289"/>
      <c r="B11" s="282"/>
      <c r="C11" s="288"/>
      <c r="D11" s="282"/>
      <c r="E11" s="282"/>
      <c r="F11" s="282"/>
      <c r="G11" s="305"/>
      <c r="H11" s="282"/>
      <c r="I11" s="308"/>
      <c r="J11" s="92" t="s">
        <v>353</v>
      </c>
      <c r="K11" s="92" t="s">
        <v>354</v>
      </c>
      <c r="L11" s="152" t="s">
        <v>343</v>
      </c>
      <c r="M11" s="92" t="s">
        <v>355</v>
      </c>
      <c r="N11" s="95" t="s">
        <v>329</v>
      </c>
      <c r="O11" s="316"/>
      <c r="P11" s="90" t="s">
        <v>330</v>
      </c>
      <c r="Q11" s="90"/>
      <c r="R11" s="90"/>
      <c r="S11" s="90"/>
      <c r="T11" s="90"/>
      <c r="U11" s="90" t="s">
        <v>330</v>
      </c>
      <c r="V11" s="91"/>
      <c r="W11" s="91"/>
      <c r="X11" s="62"/>
    </row>
    <row r="12" spans="1:24" ht="57.6">
      <c r="A12" s="289"/>
      <c r="B12" s="282" t="s">
        <v>311</v>
      </c>
      <c r="C12" s="288">
        <v>1</v>
      </c>
      <c r="D12" s="282"/>
      <c r="E12" s="282" t="s">
        <v>356</v>
      </c>
      <c r="F12" s="282" t="s">
        <v>338</v>
      </c>
      <c r="G12" s="303">
        <v>1.3</v>
      </c>
      <c r="H12" s="314" t="s">
        <v>357</v>
      </c>
      <c r="I12" s="306" t="s">
        <v>155</v>
      </c>
      <c r="J12" s="92" t="s">
        <v>358</v>
      </c>
      <c r="K12" s="92" t="s">
        <v>359</v>
      </c>
      <c r="L12" s="152" t="s">
        <v>343</v>
      </c>
      <c r="M12" s="92" t="s">
        <v>344</v>
      </c>
      <c r="N12" s="95" t="s">
        <v>319</v>
      </c>
      <c r="O12" s="314" t="s">
        <v>360</v>
      </c>
      <c r="P12" s="90" t="s">
        <v>330</v>
      </c>
      <c r="Q12" s="90"/>
      <c r="R12" s="90"/>
      <c r="S12" s="90"/>
      <c r="T12" s="90"/>
      <c r="U12" s="90" t="s">
        <v>330</v>
      </c>
      <c r="V12" s="91"/>
      <c r="W12" s="91"/>
      <c r="X12" s="62"/>
    </row>
    <row r="13" spans="1:24" ht="28.9">
      <c r="A13" s="289"/>
      <c r="B13" s="282"/>
      <c r="C13" s="288"/>
      <c r="D13" s="282"/>
      <c r="E13" s="282"/>
      <c r="F13" s="282"/>
      <c r="G13" s="304"/>
      <c r="H13" s="315"/>
      <c r="I13" s="307"/>
      <c r="J13" s="92" t="s">
        <v>361</v>
      </c>
      <c r="K13" s="95" t="s">
        <v>323</v>
      </c>
      <c r="L13" s="152" t="s">
        <v>343</v>
      </c>
      <c r="M13" s="92" t="s">
        <v>344</v>
      </c>
      <c r="N13" s="95" t="s">
        <v>319</v>
      </c>
      <c r="O13" s="315"/>
      <c r="P13" s="90" t="s">
        <v>330</v>
      </c>
      <c r="Q13" s="90"/>
      <c r="R13" s="90"/>
      <c r="S13" s="90"/>
      <c r="T13" s="90"/>
      <c r="U13" s="90" t="s">
        <v>330</v>
      </c>
      <c r="V13" s="91"/>
      <c r="W13" s="91"/>
      <c r="X13" s="62"/>
    </row>
    <row r="14" spans="1:24" ht="28.9">
      <c r="A14" s="289"/>
      <c r="B14" s="282"/>
      <c r="C14" s="288"/>
      <c r="D14" s="282"/>
      <c r="E14" s="282"/>
      <c r="F14" s="282"/>
      <c r="G14" s="304"/>
      <c r="H14" s="315"/>
      <c r="I14" s="307"/>
      <c r="J14" s="92" t="s">
        <v>362</v>
      </c>
      <c r="K14" s="95" t="s">
        <v>327</v>
      </c>
      <c r="L14" s="152" t="s">
        <v>343</v>
      </c>
      <c r="M14" s="92" t="s">
        <v>350</v>
      </c>
      <c r="N14" s="95" t="s">
        <v>329</v>
      </c>
      <c r="O14" s="315"/>
      <c r="P14" s="90" t="s">
        <v>330</v>
      </c>
      <c r="Q14" s="90"/>
      <c r="R14" s="90"/>
      <c r="S14" s="90"/>
      <c r="T14" s="90"/>
      <c r="U14" s="90" t="s">
        <v>330</v>
      </c>
      <c r="V14" s="91"/>
      <c r="W14" s="91"/>
      <c r="X14" s="62"/>
    </row>
    <row r="15" spans="1:24" ht="28.9">
      <c r="A15" s="289"/>
      <c r="B15" s="282"/>
      <c r="C15" s="288"/>
      <c r="D15" s="282"/>
      <c r="E15" s="282"/>
      <c r="F15" s="282"/>
      <c r="G15" s="304"/>
      <c r="H15" s="315"/>
      <c r="I15" s="307"/>
      <c r="J15" s="92" t="s">
        <v>363</v>
      </c>
      <c r="K15" s="92" t="s">
        <v>332</v>
      </c>
      <c r="L15" s="152" t="s">
        <v>343</v>
      </c>
      <c r="M15" s="92" t="s">
        <v>352</v>
      </c>
      <c r="N15" s="95" t="s">
        <v>329</v>
      </c>
      <c r="O15" s="315"/>
      <c r="P15" s="90" t="s">
        <v>330</v>
      </c>
      <c r="Q15" s="90"/>
      <c r="R15" s="90"/>
      <c r="S15" s="90"/>
      <c r="T15" s="90"/>
      <c r="U15" s="90" t="s">
        <v>330</v>
      </c>
      <c r="V15" s="91"/>
      <c r="W15" s="91"/>
      <c r="X15" s="62"/>
    </row>
    <row r="16" spans="1:24" ht="28.9">
      <c r="A16" s="289"/>
      <c r="B16" s="282"/>
      <c r="C16" s="288"/>
      <c r="D16" s="282"/>
      <c r="E16" s="282"/>
      <c r="F16" s="282"/>
      <c r="G16" s="305"/>
      <c r="H16" s="316"/>
      <c r="I16" s="308"/>
      <c r="J16" s="92" t="s">
        <v>364</v>
      </c>
      <c r="K16" s="92" t="s">
        <v>354</v>
      </c>
      <c r="L16" s="152" t="s">
        <v>343</v>
      </c>
      <c r="M16" s="92" t="s">
        <v>355</v>
      </c>
      <c r="N16" s="95" t="s">
        <v>329</v>
      </c>
      <c r="O16" s="316"/>
      <c r="P16" s="90"/>
      <c r="Q16" s="90"/>
      <c r="R16" s="90"/>
      <c r="S16" s="90"/>
      <c r="T16" s="90"/>
      <c r="U16" s="90"/>
      <c r="V16" s="91"/>
      <c r="W16" s="91"/>
      <c r="X16" s="62"/>
    </row>
    <row r="17" spans="1:24" ht="81" customHeight="1">
      <c r="A17" s="289"/>
      <c r="B17" s="282" t="s">
        <v>311</v>
      </c>
      <c r="C17" s="288">
        <v>1</v>
      </c>
      <c r="D17" s="282"/>
      <c r="E17" s="282" t="s">
        <v>365</v>
      </c>
      <c r="F17" s="282" t="s">
        <v>338</v>
      </c>
      <c r="G17" s="303">
        <v>1.4</v>
      </c>
      <c r="H17" s="314" t="s">
        <v>366</v>
      </c>
      <c r="I17" s="306" t="s">
        <v>157</v>
      </c>
      <c r="J17" s="92" t="s">
        <v>367</v>
      </c>
      <c r="K17" s="92" t="s">
        <v>368</v>
      </c>
      <c r="L17" s="152" t="s">
        <v>343</v>
      </c>
      <c r="M17" s="92" t="s">
        <v>344</v>
      </c>
      <c r="N17" s="95" t="s">
        <v>319</v>
      </c>
      <c r="O17" s="314" t="s">
        <v>369</v>
      </c>
      <c r="P17" s="198" t="s">
        <v>370</v>
      </c>
      <c r="Q17" s="198"/>
      <c r="R17" s="198"/>
      <c r="S17" s="198"/>
      <c r="T17" s="198"/>
      <c r="U17" s="198" t="s">
        <v>371</v>
      </c>
      <c r="V17" s="91"/>
      <c r="W17" s="91"/>
      <c r="X17" s="62"/>
    </row>
    <row r="18" spans="1:24" ht="28.9">
      <c r="A18" s="289"/>
      <c r="B18" s="282"/>
      <c r="C18" s="288"/>
      <c r="D18" s="282"/>
      <c r="E18" s="282"/>
      <c r="F18" s="282"/>
      <c r="G18" s="304"/>
      <c r="H18" s="315"/>
      <c r="I18" s="307"/>
      <c r="J18" s="92" t="s">
        <v>372</v>
      </c>
      <c r="K18" s="95" t="s">
        <v>323</v>
      </c>
      <c r="L18" s="152" t="s">
        <v>343</v>
      </c>
      <c r="M18" s="92" t="s">
        <v>344</v>
      </c>
      <c r="N18" s="95" t="s">
        <v>319</v>
      </c>
      <c r="O18" s="315"/>
      <c r="P18" s="90" t="s">
        <v>330</v>
      </c>
      <c r="Q18" s="90"/>
      <c r="R18" s="90"/>
      <c r="S18" s="90"/>
      <c r="T18" s="90"/>
      <c r="U18" s="90" t="s">
        <v>330</v>
      </c>
      <c r="V18" s="91"/>
      <c r="W18" s="91"/>
      <c r="X18" s="62"/>
    </row>
    <row r="19" spans="1:24" ht="28.9">
      <c r="A19" s="289"/>
      <c r="B19" s="282"/>
      <c r="C19" s="288"/>
      <c r="D19" s="282"/>
      <c r="E19" s="282"/>
      <c r="F19" s="282"/>
      <c r="G19" s="304"/>
      <c r="H19" s="315"/>
      <c r="I19" s="307"/>
      <c r="J19" s="92" t="s">
        <v>373</v>
      </c>
      <c r="K19" s="95" t="s">
        <v>327</v>
      </c>
      <c r="L19" s="152" t="s">
        <v>343</v>
      </c>
      <c r="M19" s="92" t="s">
        <v>350</v>
      </c>
      <c r="N19" s="95" t="s">
        <v>329</v>
      </c>
      <c r="O19" s="315"/>
      <c r="P19" s="90" t="s">
        <v>330</v>
      </c>
      <c r="Q19" s="90"/>
      <c r="R19" s="90"/>
      <c r="S19" s="90"/>
      <c r="T19" s="90"/>
      <c r="U19" s="90" t="s">
        <v>330</v>
      </c>
      <c r="V19" s="91"/>
      <c r="W19" s="91"/>
      <c r="X19" s="62"/>
    </row>
    <row r="20" spans="1:24" ht="28.9">
      <c r="A20" s="289"/>
      <c r="B20" s="282"/>
      <c r="C20" s="288"/>
      <c r="D20" s="282"/>
      <c r="E20" s="282"/>
      <c r="F20" s="282"/>
      <c r="G20" s="304"/>
      <c r="H20" s="315"/>
      <c r="I20" s="307"/>
      <c r="J20" s="92" t="s">
        <v>374</v>
      </c>
      <c r="K20" s="92" t="s">
        <v>332</v>
      </c>
      <c r="L20" s="152" t="s">
        <v>343</v>
      </c>
      <c r="M20" s="92" t="s">
        <v>352</v>
      </c>
      <c r="N20" s="95" t="s">
        <v>329</v>
      </c>
      <c r="O20" s="315"/>
      <c r="P20" s="90" t="s">
        <v>330</v>
      </c>
      <c r="Q20" s="90"/>
      <c r="R20" s="90"/>
      <c r="S20" s="90"/>
      <c r="T20" s="90"/>
      <c r="U20" s="90" t="s">
        <v>330</v>
      </c>
      <c r="V20" s="91"/>
      <c r="W20" s="91"/>
      <c r="X20" s="62"/>
    </row>
    <row r="21" spans="1:24" ht="28.9">
      <c r="A21" s="289"/>
      <c r="B21" s="282"/>
      <c r="C21" s="288"/>
      <c r="D21" s="282"/>
      <c r="E21" s="282"/>
      <c r="F21" s="282"/>
      <c r="G21" s="305"/>
      <c r="H21" s="316"/>
      <c r="I21" s="308"/>
      <c r="J21" s="92" t="s">
        <v>375</v>
      </c>
      <c r="K21" s="92" t="s">
        <v>354</v>
      </c>
      <c r="L21" s="152" t="s">
        <v>343</v>
      </c>
      <c r="M21" s="92" t="s">
        <v>355</v>
      </c>
      <c r="N21" s="95" t="s">
        <v>329</v>
      </c>
      <c r="O21" s="316"/>
      <c r="P21" s="90" t="s">
        <v>330</v>
      </c>
      <c r="Q21" s="90"/>
      <c r="R21" s="90"/>
      <c r="S21" s="90"/>
      <c r="T21" s="90"/>
      <c r="U21" s="90" t="s">
        <v>330</v>
      </c>
      <c r="V21" s="91"/>
      <c r="W21" s="91"/>
      <c r="X21" s="62"/>
    </row>
    <row r="22" spans="1:24" ht="150" customHeight="1">
      <c r="A22" s="289"/>
      <c r="B22" s="94" t="s">
        <v>376</v>
      </c>
      <c r="C22" s="93">
        <v>1</v>
      </c>
      <c r="D22" s="89"/>
      <c r="E22" s="89" t="s">
        <v>158</v>
      </c>
      <c r="F22" s="89"/>
      <c r="G22" s="168">
        <v>4.0999999999999996</v>
      </c>
      <c r="H22" s="89" t="s">
        <v>377</v>
      </c>
      <c r="I22" s="158" t="s">
        <v>159</v>
      </c>
      <c r="J22" s="89" t="s">
        <v>378</v>
      </c>
      <c r="K22" s="89" t="s">
        <v>379</v>
      </c>
      <c r="L22" s="152" t="s">
        <v>380</v>
      </c>
      <c r="M22" s="89" t="s">
        <v>381</v>
      </c>
      <c r="N22" s="93" t="s">
        <v>382</v>
      </c>
      <c r="O22" s="89" t="s">
        <v>383</v>
      </c>
      <c r="P22" s="198" t="s">
        <v>384</v>
      </c>
      <c r="Q22" s="198"/>
      <c r="R22" s="198"/>
      <c r="S22" s="198"/>
      <c r="T22" s="198"/>
      <c r="U22" s="198" t="s">
        <v>385</v>
      </c>
      <c r="V22" s="91"/>
      <c r="W22" s="91"/>
      <c r="X22" s="62"/>
    </row>
    <row r="23" spans="1:24" ht="57.6">
      <c r="A23" s="290" t="s">
        <v>386</v>
      </c>
      <c r="B23" s="284"/>
      <c r="C23" s="284"/>
      <c r="D23" s="284"/>
      <c r="E23" s="284" t="s">
        <v>312</v>
      </c>
      <c r="F23" s="284" t="s">
        <v>387</v>
      </c>
      <c r="G23" s="298" t="s">
        <v>388</v>
      </c>
      <c r="H23" s="284" t="s">
        <v>389</v>
      </c>
      <c r="I23" s="296" t="s">
        <v>390</v>
      </c>
      <c r="J23" s="221" t="s">
        <v>391</v>
      </c>
      <c r="K23" s="221" t="s">
        <v>392</v>
      </c>
      <c r="L23" s="119" t="s">
        <v>393</v>
      </c>
      <c r="M23" s="98" t="s">
        <v>394</v>
      </c>
      <c r="N23" s="98" t="s">
        <v>395</v>
      </c>
      <c r="O23" s="309" t="s">
        <v>396</v>
      </c>
      <c r="P23" s="199" t="s">
        <v>397</v>
      </c>
      <c r="Q23" s="199">
        <v>0</v>
      </c>
      <c r="R23" s="199">
        <v>0</v>
      </c>
      <c r="S23" s="199">
        <v>0</v>
      </c>
      <c r="T23" s="199">
        <v>0</v>
      </c>
      <c r="U23" s="199">
        <v>0</v>
      </c>
      <c r="V23" s="64"/>
      <c r="W23" s="65"/>
      <c r="X23" s="62"/>
    </row>
    <row r="24" spans="1:24" ht="50.45" customHeight="1">
      <c r="A24" s="291"/>
      <c r="B24" s="284"/>
      <c r="C24" s="284"/>
      <c r="D24" s="284"/>
      <c r="E24" s="284"/>
      <c r="F24" s="284"/>
      <c r="G24" s="299"/>
      <c r="H24" s="326"/>
      <c r="I24" s="297"/>
      <c r="J24" s="222" t="s">
        <v>398</v>
      </c>
      <c r="K24" s="103" t="s">
        <v>399</v>
      </c>
      <c r="L24" s="120" t="s">
        <v>393</v>
      </c>
      <c r="M24" s="98" t="s">
        <v>394</v>
      </c>
      <c r="N24" s="98" t="s">
        <v>395</v>
      </c>
      <c r="O24" s="310"/>
      <c r="P24" s="63" t="s">
        <v>400</v>
      </c>
      <c r="Q24" s="63">
        <v>0</v>
      </c>
      <c r="R24" s="63">
        <v>0</v>
      </c>
      <c r="S24" s="63">
        <v>0</v>
      </c>
      <c r="T24" s="63">
        <v>0</v>
      </c>
      <c r="U24" s="63">
        <v>0</v>
      </c>
      <c r="V24" s="64"/>
      <c r="W24" s="65"/>
      <c r="X24" s="62"/>
    </row>
    <row r="25" spans="1:24" ht="57.6" customHeight="1">
      <c r="A25" s="291"/>
      <c r="B25" s="284"/>
      <c r="C25" s="284"/>
      <c r="D25" s="284"/>
      <c r="E25" s="284" t="s">
        <v>312</v>
      </c>
      <c r="F25" s="284" t="s">
        <v>401</v>
      </c>
      <c r="G25" s="298" t="s">
        <v>402</v>
      </c>
      <c r="H25" s="284" t="s">
        <v>403</v>
      </c>
      <c r="I25" s="296" t="s">
        <v>404</v>
      </c>
      <c r="J25" s="103" t="s">
        <v>405</v>
      </c>
      <c r="K25" s="103" t="s">
        <v>406</v>
      </c>
      <c r="L25" s="213" t="s">
        <v>407</v>
      </c>
      <c r="M25" s="103" t="s">
        <v>408</v>
      </c>
      <c r="N25" s="103" t="s">
        <v>395</v>
      </c>
      <c r="O25" s="317" t="s">
        <v>409</v>
      </c>
      <c r="P25" s="63" t="s">
        <v>330</v>
      </c>
      <c r="Q25" s="63" t="s">
        <v>330</v>
      </c>
      <c r="R25" s="63" t="s">
        <v>330</v>
      </c>
      <c r="S25" s="63" t="s">
        <v>330</v>
      </c>
      <c r="T25" s="63" t="s">
        <v>330</v>
      </c>
      <c r="U25" s="63" t="s">
        <v>330</v>
      </c>
      <c r="V25" s="101"/>
      <c r="W25" s="102"/>
      <c r="X25" s="62"/>
    </row>
    <row r="26" spans="1:24" ht="129.6">
      <c r="A26" s="291"/>
      <c r="B26" s="284"/>
      <c r="C26" s="284"/>
      <c r="D26" s="284"/>
      <c r="E26" s="284"/>
      <c r="F26" s="284"/>
      <c r="G26" s="298"/>
      <c r="H26" s="284"/>
      <c r="I26" s="296"/>
      <c r="J26" s="107" t="s">
        <v>410</v>
      </c>
      <c r="K26" s="223" t="s">
        <v>411</v>
      </c>
      <c r="L26" s="214" t="s">
        <v>412</v>
      </c>
      <c r="M26" s="107" t="s">
        <v>413</v>
      </c>
      <c r="N26" s="107" t="s">
        <v>414</v>
      </c>
      <c r="O26" s="317"/>
      <c r="P26" s="106" t="s">
        <v>415</v>
      </c>
      <c r="Q26" s="106" t="s">
        <v>415</v>
      </c>
      <c r="R26" s="106" t="s">
        <v>415</v>
      </c>
      <c r="S26" s="106" t="s">
        <v>415</v>
      </c>
      <c r="T26" s="106" t="s">
        <v>415</v>
      </c>
      <c r="U26" s="106" t="s">
        <v>415</v>
      </c>
      <c r="V26" s="105"/>
      <c r="W26" s="105"/>
      <c r="X26" s="62"/>
    </row>
    <row r="27" spans="1:24" ht="100.9">
      <c r="A27" s="291"/>
      <c r="B27" s="148"/>
      <c r="C27" s="148"/>
      <c r="D27" s="148"/>
      <c r="E27" s="148" t="s">
        <v>416</v>
      </c>
      <c r="F27" s="122" t="s">
        <v>313</v>
      </c>
      <c r="G27" s="169" t="s">
        <v>417</v>
      </c>
      <c r="H27" s="114" t="s">
        <v>222</v>
      </c>
      <c r="I27" s="112" t="s">
        <v>418</v>
      </c>
      <c r="J27" s="107" t="s">
        <v>419</v>
      </c>
      <c r="K27" s="224" t="s">
        <v>420</v>
      </c>
      <c r="L27" s="113" t="s">
        <v>421</v>
      </c>
      <c r="M27" s="108" t="s">
        <v>422</v>
      </c>
      <c r="N27" s="108" t="s">
        <v>423</v>
      </c>
      <c r="O27" s="129" t="s">
        <v>424</v>
      </c>
      <c r="P27" s="250" t="s">
        <v>425</v>
      </c>
      <c r="Q27" s="232" t="s">
        <v>426</v>
      </c>
      <c r="R27" s="232" t="s">
        <v>427</v>
      </c>
      <c r="S27" s="232" t="s">
        <v>427</v>
      </c>
      <c r="T27" s="232" t="s">
        <v>428</v>
      </c>
      <c r="U27" s="232" t="s">
        <v>429</v>
      </c>
      <c r="V27" s="105"/>
      <c r="W27" s="105"/>
      <c r="X27" s="62"/>
    </row>
    <row r="28" spans="1:24" ht="132" customHeight="1">
      <c r="A28" s="291"/>
      <c r="B28" s="148"/>
      <c r="C28" s="148"/>
      <c r="D28" s="148"/>
      <c r="E28" s="148" t="s">
        <v>416</v>
      </c>
      <c r="F28" s="122" t="s">
        <v>313</v>
      </c>
      <c r="G28" s="169" t="s">
        <v>430</v>
      </c>
      <c r="H28" s="100" t="s">
        <v>233</v>
      </c>
      <c r="I28" s="200" t="s">
        <v>431</v>
      </c>
      <c r="J28" s="221" t="s">
        <v>432</v>
      </c>
      <c r="K28" s="225" t="s">
        <v>433</v>
      </c>
      <c r="L28" s="215" t="s">
        <v>434</v>
      </c>
      <c r="M28" s="103"/>
      <c r="N28" s="103" t="s">
        <v>395</v>
      </c>
      <c r="O28" s="129" t="s">
        <v>435</v>
      </c>
      <c r="P28" s="250" t="s">
        <v>436</v>
      </c>
      <c r="Q28" s="232" t="s">
        <v>437</v>
      </c>
      <c r="R28" s="232" t="s">
        <v>438</v>
      </c>
      <c r="S28" s="232" t="s">
        <v>439</v>
      </c>
      <c r="T28" s="232" t="s">
        <v>440</v>
      </c>
      <c r="U28" s="232" t="s">
        <v>441</v>
      </c>
      <c r="V28" s="105"/>
      <c r="W28" s="105"/>
      <c r="X28" s="62"/>
    </row>
    <row r="29" spans="1:24" ht="100.9">
      <c r="A29" s="291"/>
      <c r="B29" s="148"/>
      <c r="C29" s="148"/>
      <c r="D29" s="148"/>
      <c r="E29" s="148" t="s">
        <v>416</v>
      </c>
      <c r="F29" s="122" t="s">
        <v>442</v>
      </c>
      <c r="G29" s="170" t="s">
        <v>443</v>
      </c>
      <c r="H29" s="100" t="s">
        <v>238</v>
      </c>
      <c r="I29" s="200" t="s">
        <v>444</v>
      </c>
      <c r="J29" s="103" t="s">
        <v>445</v>
      </c>
      <c r="K29" s="110" t="s">
        <v>446</v>
      </c>
      <c r="L29" s="216" t="s">
        <v>447</v>
      </c>
      <c r="M29" s="110" t="s">
        <v>448</v>
      </c>
      <c r="N29" s="103" t="s">
        <v>449</v>
      </c>
      <c r="O29" s="129" t="s">
        <v>450</v>
      </c>
      <c r="P29" s="232" t="s">
        <v>451</v>
      </c>
      <c r="Q29" s="232" t="s">
        <v>452</v>
      </c>
      <c r="R29" s="232" t="s">
        <v>453</v>
      </c>
      <c r="S29" s="232" t="s">
        <v>454</v>
      </c>
      <c r="T29" s="232" t="s">
        <v>455</v>
      </c>
      <c r="U29" s="232" t="s">
        <v>456</v>
      </c>
      <c r="V29" s="105"/>
      <c r="W29" s="105"/>
      <c r="X29" s="62"/>
    </row>
    <row r="30" spans="1:24" ht="139.5" customHeight="1">
      <c r="A30" s="291"/>
      <c r="B30" s="292"/>
      <c r="C30" s="292"/>
      <c r="D30" s="292"/>
      <c r="E30" s="292" t="s">
        <v>416</v>
      </c>
      <c r="F30" s="285" t="s">
        <v>457</v>
      </c>
      <c r="G30" s="300" t="s">
        <v>458</v>
      </c>
      <c r="H30" s="326" t="s">
        <v>241</v>
      </c>
      <c r="I30" s="297" t="s">
        <v>459</v>
      </c>
      <c r="J30" s="103" t="s">
        <v>460</v>
      </c>
      <c r="K30" s="103" t="s">
        <v>461</v>
      </c>
      <c r="L30" s="215" t="s">
        <v>462</v>
      </c>
      <c r="M30" s="103" t="s">
        <v>463</v>
      </c>
      <c r="N30" s="103" t="s">
        <v>395</v>
      </c>
      <c r="O30" s="311" t="s">
        <v>464</v>
      </c>
      <c r="P30" s="232" t="s">
        <v>465</v>
      </c>
      <c r="Q30" s="232" t="s">
        <v>466</v>
      </c>
      <c r="R30" s="232" t="s">
        <v>466</v>
      </c>
      <c r="S30" s="232" t="s">
        <v>465</v>
      </c>
      <c r="T30" s="232" t="s">
        <v>465</v>
      </c>
      <c r="U30" s="232" t="s">
        <v>465</v>
      </c>
      <c r="V30" s="105"/>
      <c r="W30" s="105"/>
      <c r="X30" s="62"/>
    </row>
    <row r="31" spans="1:24" ht="129.75" customHeight="1">
      <c r="A31" s="291"/>
      <c r="B31" s="292"/>
      <c r="C31" s="292"/>
      <c r="D31" s="292"/>
      <c r="E31" s="292"/>
      <c r="F31" s="285"/>
      <c r="G31" s="300"/>
      <c r="H31" s="327"/>
      <c r="I31" s="301"/>
      <c r="J31" s="103" t="s">
        <v>467</v>
      </c>
      <c r="K31" s="103" t="s">
        <v>461</v>
      </c>
      <c r="L31" s="215" t="s">
        <v>462</v>
      </c>
      <c r="M31" s="103" t="s">
        <v>463</v>
      </c>
      <c r="N31" s="103" t="s">
        <v>395</v>
      </c>
      <c r="O31" s="312"/>
      <c r="P31" s="232" t="s">
        <v>468</v>
      </c>
      <c r="Q31" s="232" t="s">
        <v>469</v>
      </c>
      <c r="R31" s="232" t="s">
        <v>469</v>
      </c>
      <c r="S31" s="232" t="s">
        <v>469</v>
      </c>
      <c r="T31" s="232" t="s">
        <v>469</v>
      </c>
      <c r="U31" s="232" t="s">
        <v>469</v>
      </c>
      <c r="V31" s="105"/>
      <c r="W31" s="105"/>
      <c r="X31" s="62"/>
    </row>
    <row r="32" spans="1:24" ht="37.9" customHeight="1">
      <c r="A32" s="291"/>
      <c r="B32" s="292"/>
      <c r="C32" s="292"/>
      <c r="D32" s="292"/>
      <c r="E32" s="292"/>
      <c r="F32" s="285"/>
      <c r="G32" s="300"/>
      <c r="H32" s="328"/>
      <c r="I32" s="302"/>
      <c r="J32" s="221" t="s">
        <v>470</v>
      </c>
      <c r="K32" s="103" t="s">
        <v>471</v>
      </c>
      <c r="L32" s="215" t="s">
        <v>462</v>
      </c>
      <c r="M32" s="103" t="s">
        <v>463</v>
      </c>
      <c r="N32" s="103" t="s">
        <v>395</v>
      </c>
      <c r="O32" s="313"/>
      <c r="P32" s="104" t="s">
        <v>472</v>
      </c>
      <c r="Q32" s="104" t="s">
        <v>472</v>
      </c>
      <c r="R32" s="104" t="s">
        <v>472</v>
      </c>
      <c r="S32" s="104" t="s">
        <v>472</v>
      </c>
      <c r="T32" s="104" t="s">
        <v>472</v>
      </c>
      <c r="U32" s="104" t="s">
        <v>472</v>
      </c>
      <c r="V32" s="105"/>
      <c r="W32" s="105"/>
      <c r="X32" s="62"/>
    </row>
    <row r="33" spans="1:24" ht="152.25" customHeight="1">
      <c r="A33" s="291"/>
      <c r="B33" s="286" t="s">
        <v>376</v>
      </c>
      <c r="C33" s="286"/>
      <c r="D33" s="286"/>
      <c r="E33" s="286" t="s">
        <v>158</v>
      </c>
      <c r="F33" s="284" t="s">
        <v>473</v>
      </c>
      <c r="G33" s="322" t="s">
        <v>474</v>
      </c>
      <c r="H33" s="320" t="s">
        <v>475</v>
      </c>
      <c r="I33" s="297" t="s">
        <v>476</v>
      </c>
      <c r="J33" s="100" t="s">
        <v>477</v>
      </c>
      <c r="K33" s="226" t="s">
        <v>478</v>
      </c>
      <c r="L33" s="113" t="s">
        <v>412</v>
      </c>
      <c r="M33" s="114" t="s">
        <v>413</v>
      </c>
      <c r="N33" s="114" t="s">
        <v>414</v>
      </c>
      <c r="O33" s="318" t="s">
        <v>479</v>
      </c>
      <c r="P33" s="232" t="s">
        <v>480</v>
      </c>
      <c r="Q33" s="232" t="s">
        <v>481</v>
      </c>
      <c r="R33" s="232" t="s">
        <v>482</v>
      </c>
      <c r="S33" s="232" t="s">
        <v>483</v>
      </c>
      <c r="T33" s="232" t="s">
        <v>484</v>
      </c>
      <c r="U33" s="232" t="s">
        <v>485</v>
      </c>
      <c r="V33" s="105"/>
      <c r="W33" s="105"/>
      <c r="X33" s="62"/>
    </row>
    <row r="34" spans="1:24" ht="54" customHeight="1">
      <c r="A34" s="291"/>
      <c r="B34" s="286"/>
      <c r="C34" s="286"/>
      <c r="D34" s="286"/>
      <c r="E34" s="286"/>
      <c r="F34" s="284"/>
      <c r="G34" s="323"/>
      <c r="H34" s="329"/>
      <c r="I34" s="324"/>
      <c r="J34" s="122" t="s">
        <v>486</v>
      </c>
      <c r="K34" s="226"/>
      <c r="L34" s="113" t="s">
        <v>412</v>
      </c>
      <c r="M34" s="114" t="s">
        <v>413</v>
      </c>
      <c r="N34" s="115" t="s">
        <v>414</v>
      </c>
      <c r="O34" s="319"/>
      <c r="P34" s="122" t="s">
        <v>487</v>
      </c>
      <c r="Q34" s="122" t="s">
        <v>488</v>
      </c>
      <c r="R34" s="122" t="s">
        <v>489</v>
      </c>
      <c r="S34" s="122" t="s">
        <v>490</v>
      </c>
      <c r="T34" s="122" t="s">
        <v>491</v>
      </c>
      <c r="U34" s="122" t="s">
        <v>415</v>
      </c>
      <c r="V34" s="105"/>
      <c r="W34" s="105"/>
      <c r="X34" s="62"/>
    </row>
    <row r="35" spans="1:24" ht="134.25" customHeight="1">
      <c r="A35" s="291"/>
      <c r="B35" s="121" t="s">
        <v>376</v>
      </c>
      <c r="C35" s="121"/>
      <c r="D35" s="121"/>
      <c r="E35" s="121" t="s">
        <v>158</v>
      </c>
      <c r="F35" s="100" t="s">
        <v>492</v>
      </c>
      <c r="G35" s="171" t="s">
        <v>493</v>
      </c>
      <c r="H35" s="111" t="s">
        <v>494</v>
      </c>
      <c r="I35" s="201" t="s">
        <v>495</v>
      </c>
      <c r="J35" s="122" t="s">
        <v>496</v>
      </c>
      <c r="K35" s="122" t="s">
        <v>497</v>
      </c>
      <c r="L35" s="115" t="s">
        <v>407</v>
      </c>
      <c r="M35" s="115" t="s">
        <v>498</v>
      </c>
      <c r="N35" s="115" t="s">
        <v>414</v>
      </c>
      <c r="O35" s="108" t="s">
        <v>499</v>
      </c>
      <c r="P35" s="232" t="s">
        <v>500</v>
      </c>
      <c r="Q35" s="232" t="s">
        <v>501</v>
      </c>
      <c r="R35" s="232" t="s">
        <v>502</v>
      </c>
      <c r="S35" s="232" t="s">
        <v>503</v>
      </c>
      <c r="T35" s="232" t="s">
        <v>504</v>
      </c>
      <c r="U35" s="232" t="s">
        <v>505</v>
      </c>
      <c r="V35" s="105"/>
      <c r="W35" s="105"/>
      <c r="X35" s="62"/>
    </row>
    <row r="36" spans="1:24" ht="43.15" customHeight="1">
      <c r="A36" s="291"/>
      <c r="B36" s="243" t="s">
        <v>376</v>
      </c>
      <c r="C36" s="243"/>
      <c r="D36" s="243"/>
      <c r="E36" s="243" t="s">
        <v>158</v>
      </c>
      <c r="F36" s="100" t="s">
        <v>506</v>
      </c>
      <c r="G36" s="245" t="s">
        <v>507</v>
      </c>
      <c r="H36" s="247" t="s">
        <v>508</v>
      </c>
      <c r="I36" s="246" t="s">
        <v>509</v>
      </c>
      <c r="J36" s="107" t="s">
        <v>510</v>
      </c>
      <c r="K36" s="103"/>
      <c r="L36" s="213" t="s">
        <v>511</v>
      </c>
      <c r="M36" s="103" t="s">
        <v>511</v>
      </c>
      <c r="N36" s="103" t="s">
        <v>414</v>
      </c>
      <c r="O36" s="244" t="s">
        <v>512</v>
      </c>
      <c r="P36" s="104" t="s">
        <v>513</v>
      </c>
      <c r="Q36" s="104">
        <v>4000</v>
      </c>
      <c r="R36" s="104">
        <v>4500</v>
      </c>
      <c r="S36" s="104">
        <v>5000</v>
      </c>
      <c r="T36" s="104">
        <v>5500</v>
      </c>
      <c r="U36" s="104">
        <v>6000</v>
      </c>
      <c r="V36" s="105"/>
      <c r="W36" s="105"/>
      <c r="X36" s="62"/>
    </row>
    <row r="37" spans="1:24" ht="142.5" customHeight="1">
      <c r="A37" s="291"/>
      <c r="B37" s="283" t="s">
        <v>376</v>
      </c>
      <c r="C37" s="283"/>
      <c r="D37" s="283"/>
      <c r="E37" s="283" t="s">
        <v>158</v>
      </c>
      <c r="F37" s="287" t="s">
        <v>514</v>
      </c>
      <c r="G37" s="299" t="s">
        <v>515</v>
      </c>
      <c r="H37" s="320" t="s">
        <v>516</v>
      </c>
      <c r="I37" s="297" t="s">
        <v>517</v>
      </c>
      <c r="J37" s="221" t="s">
        <v>518</v>
      </c>
      <c r="K37" s="223" t="s">
        <v>519</v>
      </c>
      <c r="L37" s="217" t="s">
        <v>520</v>
      </c>
      <c r="M37" s="116" t="s">
        <v>521</v>
      </c>
      <c r="N37" s="111" t="s">
        <v>423</v>
      </c>
      <c r="O37" s="320" t="s">
        <v>522</v>
      </c>
      <c r="P37" s="232" t="s">
        <v>523</v>
      </c>
      <c r="Q37" s="104"/>
      <c r="R37" s="104"/>
      <c r="S37" s="104"/>
      <c r="T37" s="104"/>
      <c r="U37" s="104"/>
      <c r="V37" s="105"/>
      <c r="W37" s="105"/>
      <c r="X37" s="62"/>
    </row>
    <row r="38" spans="1:24" ht="149.25" customHeight="1">
      <c r="A38" s="291"/>
      <c r="B38" s="283"/>
      <c r="C38" s="283"/>
      <c r="D38" s="283"/>
      <c r="E38" s="283"/>
      <c r="F38" s="287"/>
      <c r="G38" s="325"/>
      <c r="H38" s="321"/>
      <c r="I38" s="302"/>
      <c r="J38" s="107" t="s">
        <v>524</v>
      </c>
      <c r="K38" s="227" t="s">
        <v>525</v>
      </c>
      <c r="L38" s="217" t="s">
        <v>526</v>
      </c>
      <c r="M38" s="117" t="s">
        <v>527</v>
      </c>
      <c r="N38" s="109" t="s">
        <v>414</v>
      </c>
      <c r="O38" s="321"/>
      <c r="P38" s="232" t="s">
        <v>523</v>
      </c>
      <c r="Q38" s="104" t="s">
        <v>330</v>
      </c>
      <c r="R38" s="104" t="s">
        <v>330</v>
      </c>
      <c r="S38" s="104" t="s">
        <v>330</v>
      </c>
      <c r="T38" s="104" t="s">
        <v>330</v>
      </c>
      <c r="U38" s="104" t="s">
        <v>330</v>
      </c>
      <c r="V38" s="105"/>
      <c r="W38" s="105"/>
      <c r="X38" s="62"/>
    </row>
    <row r="39" spans="1:24" ht="187.15">
      <c r="A39" s="291"/>
      <c r="B39" s="121" t="s">
        <v>376</v>
      </c>
      <c r="C39" s="121"/>
      <c r="D39" s="121"/>
      <c r="E39" s="121" t="s">
        <v>158</v>
      </c>
      <c r="F39" s="121" t="s">
        <v>514</v>
      </c>
      <c r="G39" s="147" t="s">
        <v>528</v>
      </c>
      <c r="H39" s="127" t="s">
        <v>529</v>
      </c>
      <c r="I39" s="202" t="s">
        <v>530</v>
      </c>
      <c r="J39" s="100" t="s">
        <v>531</v>
      </c>
      <c r="K39" s="224" t="s">
        <v>532</v>
      </c>
      <c r="L39" s="218" t="s">
        <v>533</v>
      </c>
      <c r="M39" s="124" t="s">
        <v>534</v>
      </c>
      <c r="N39" s="127" t="s">
        <v>414</v>
      </c>
      <c r="O39" s="127" t="s">
        <v>535</v>
      </c>
      <c r="P39" s="250" t="s">
        <v>536</v>
      </c>
      <c r="Q39" s="250" t="s">
        <v>537</v>
      </c>
      <c r="R39" s="250" t="s">
        <v>538</v>
      </c>
      <c r="S39" s="250" t="s">
        <v>539</v>
      </c>
      <c r="T39" s="250" t="s">
        <v>540</v>
      </c>
      <c r="U39" s="232" t="s">
        <v>541</v>
      </c>
      <c r="V39" s="105"/>
      <c r="W39" s="105"/>
      <c r="X39" s="62"/>
    </row>
    <row r="40" spans="1:24" ht="129.6">
      <c r="A40" s="291"/>
      <c r="B40" s="121" t="s">
        <v>376</v>
      </c>
      <c r="C40" s="121"/>
      <c r="D40" s="121"/>
      <c r="E40" s="121" t="s">
        <v>158</v>
      </c>
      <c r="F40" s="100" t="s">
        <v>542</v>
      </c>
      <c r="G40" s="147" t="s">
        <v>543</v>
      </c>
      <c r="H40" s="111" t="s">
        <v>544</v>
      </c>
      <c r="I40" s="203" t="s">
        <v>545</v>
      </c>
      <c r="J40" s="100" t="s">
        <v>546</v>
      </c>
      <c r="K40" s="223" t="s">
        <v>547</v>
      </c>
      <c r="L40" s="218" t="s">
        <v>548</v>
      </c>
      <c r="M40" s="124" t="s">
        <v>549</v>
      </c>
      <c r="N40" s="127" t="s">
        <v>414</v>
      </c>
      <c r="O40" s="111" t="s">
        <v>550</v>
      </c>
      <c r="P40" s="232" t="s">
        <v>551</v>
      </c>
      <c r="Q40" s="232" t="s">
        <v>552</v>
      </c>
      <c r="R40" s="232" t="s">
        <v>553</v>
      </c>
      <c r="S40" s="232" t="s">
        <v>552</v>
      </c>
      <c r="T40" s="232" t="s">
        <v>554</v>
      </c>
      <c r="U40" s="232" t="s">
        <v>554</v>
      </c>
      <c r="V40" s="105"/>
      <c r="W40" s="105"/>
      <c r="X40" s="62"/>
    </row>
    <row r="41" spans="1:24" ht="55.5" customHeight="1">
      <c r="A41" s="293" t="s">
        <v>555</v>
      </c>
      <c r="B41" s="161"/>
      <c r="C41" s="161"/>
      <c r="D41" s="161"/>
      <c r="E41" s="166"/>
      <c r="F41" s="166"/>
      <c r="G41" s="172" t="s">
        <v>212</v>
      </c>
      <c r="H41" s="153"/>
      <c r="I41" s="204" t="s">
        <v>213</v>
      </c>
      <c r="J41" s="150" t="s">
        <v>556</v>
      </c>
      <c r="K41" s="150"/>
      <c r="L41" s="125"/>
      <c r="M41" s="99"/>
      <c r="N41" s="99"/>
      <c r="O41" s="66"/>
      <c r="P41" s="66" t="s">
        <v>557</v>
      </c>
      <c r="Q41" s="66" t="s">
        <v>558</v>
      </c>
      <c r="R41" s="66" t="s">
        <v>557</v>
      </c>
      <c r="S41" s="66" t="s">
        <v>557</v>
      </c>
      <c r="T41" s="66" t="s">
        <v>557</v>
      </c>
      <c r="U41" s="66" t="s">
        <v>557</v>
      </c>
      <c r="V41" s="66"/>
      <c r="W41" s="67"/>
      <c r="X41" s="62"/>
    </row>
    <row r="42" spans="1:24" ht="49.5" customHeight="1">
      <c r="A42" s="293"/>
      <c r="B42" s="161"/>
      <c r="C42" s="161"/>
      <c r="D42" s="161"/>
      <c r="E42" s="166"/>
      <c r="F42" s="166"/>
      <c r="G42" s="268" t="s">
        <v>215</v>
      </c>
      <c r="H42" s="278"/>
      <c r="I42" s="270" t="s">
        <v>559</v>
      </c>
      <c r="J42" s="155" t="s">
        <v>560</v>
      </c>
      <c r="K42" s="150"/>
      <c r="L42" s="125"/>
      <c r="M42" s="99"/>
      <c r="N42" s="99"/>
      <c r="O42" s="66"/>
      <c r="P42" s="66" t="s">
        <v>557</v>
      </c>
      <c r="Q42" s="66" t="s">
        <v>558</v>
      </c>
      <c r="R42" s="66" t="s">
        <v>558</v>
      </c>
      <c r="S42" s="66" t="s">
        <v>558</v>
      </c>
      <c r="T42" s="66" t="s">
        <v>558</v>
      </c>
      <c r="U42" s="66" t="s">
        <v>558</v>
      </c>
      <c r="V42" s="66"/>
      <c r="W42" s="67"/>
      <c r="X42" s="62"/>
    </row>
    <row r="43" spans="1:24" ht="33.75" customHeight="1">
      <c r="A43" s="293"/>
      <c r="B43" s="161"/>
      <c r="C43" s="161"/>
      <c r="D43" s="161"/>
      <c r="E43" s="166"/>
      <c r="F43" s="166"/>
      <c r="G43" s="269"/>
      <c r="H43" s="278"/>
      <c r="I43" s="270"/>
      <c r="J43" s="150" t="s">
        <v>561</v>
      </c>
      <c r="K43" s="150"/>
      <c r="L43" s="125"/>
      <c r="M43" s="99"/>
      <c r="N43" s="99"/>
      <c r="O43" s="66"/>
      <c r="P43" s="66" t="s">
        <v>330</v>
      </c>
      <c r="Q43" s="66" t="s">
        <v>330</v>
      </c>
      <c r="R43" s="66" t="s">
        <v>330</v>
      </c>
      <c r="S43" s="66" t="s">
        <v>330</v>
      </c>
      <c r="T43" s="66" t="s">
        <v>330</v>
      </c>
      <c r="U43" s="66" t="s">
        <v>330</v>
      </c>
      <c r="V43" s="66"/>
      <c r="W43" s="67"/>
      <c r="X43" s="62"/>
    </row>
    <row r="44" spans="1:24" ht="14.45">
      <c r="A44" s="293"/>
      <c r="B44" s="161"/>
      <c r="C44" s="161"/>
      <c r="D44" s="161"/>
      <c r="E44" s="166"/>
      <c r="F44" s="166"/>
      <c r="G44" s="276" t="s">
        <v>218</v>
      </c>
      <c r="H44" s="279"/>
      <c r="I44" s="275" t="s">
        <v>219</v>
      </c>
      <c r="J44" s="228" t="s">
        <v>562</v>
      </c>
      <c r="K44" s="150"/>
      <c r="L44" s="125"/>
      <c r="M44" s="99"/>
      <c r="N44" s="99"/>
      <c r="O44" s="66"/>
      <c r="P44" s="66">
        <v>1</v>
      </c>
      <c r="Q44" s="66">
        <v>1</v>
      </c>
      <c r="R44" s="66">
        <v>1</v>
      </c>
      <c r="S44" s="66">
        <v>1</v>
      </c>
      <c r="T44" s="66">
        <v>1</v>
      </c>
      <c r="U44" s="66">
        <v>1</v>
      </c>
      <c r="V44" s="66"/>
      <c r="W44" s="67"/>
      <c r="X44" s="62"/>
    </row>
    <row r="45" spans="1:24" ht="28.9" customHeight="1">
      <c r="A45" s="293"/>
      <c r="B45" s="161"/>
      <c r="C45" s="161"/>
      <c r="D45" s="161"/>
      <c r="E45" s="166"/>
      <c r="F45" s="166"/>
      <c r="G45" s="277"/>
      <c r="H45" s="279"/>
      <c r="I45" s="275"/>
      <c r="J45" s="229" t="s">
        <v>563</v>
      </c>
      <c r="K45" s="150"/>
      <c r="L45" s="125"/>
      <c r="M45" s="99"/>
      <c r="N45" s="99"/>
      <c r="O45" s="66"/>
      <c r="P45" s="66">
        <v>8</v>
      </c>
      <c r="Q45" s="66">
        <v>15</v>
      </c>
      <c r="R45" s="66">
        <v>15</v>
      </c>
      <c r="S45" s="66">
        <v>15</v>
      </c>
      <c r="T45" s="66">
        <v>15</v>
      </c>
      <c r="U45" s="66">
        <v>15</v>
      </c>
      <c r="V45" s="66"/>
      <c r="W45" s="67"/>
      <c r="X45" s="62"/>
    </row>
    <row r="46" spans="1:24" ht="43.15" customHeight="1">
      <c r="A46" s="293"/>
      <c r="B46" s="161"/>
      <c r="C46" s="161"/>
      <c r="D46" s="161"/>
      <c r="E46" s="166"/>
      <c r="F46" s="166"/>
      <c r="G46" s="173" t="s">
        <v>220</v>
      </c>
      <c r="H46" s="160"/>
      <c r="I46" s="205" t="s">
        <v>221</v>
      </c>
      <c r="J46" s="229" t="s">
        <v>564</v>
      </c>
      <c r="K46" s="150"/>
      <c r="L46" s="125"/>
      <c r="M46" s="99"/>
      <c r="N46" s="99"/>
      <c r="O46" s="66"/>
      <c r="P46" s="66" t="s">
        <v>330</v>
      </c>
      <c r="Q46" s="66"/>
      <c r="R46" s="66"/>
      <c r="S46" s="66"/>
      <c r="T46" s="66"/>
      <c r="U46" s="66"/>
      <c r="V46" s="66"/>
      <c r="W46" s="67"/>
      <c r="X46" s="62"/>
    </row>
    <row r="47" spans="1:24" ht="43.15">
      <c r="A47" s="293"/>
      <c r="B47" s="161"/>
      <c r="C47" s="161"/>
      <c r="D47" s="161"/>
      <c r="E47" s="166"/>
      <c r="F47" s="166"/>
      <c r="G47" s="151" t="s">
        <v>223</v>
      </c>
      <c r="H47" s="154"/>
      <c r="I47" s="206" t="s">
        <v>224</v>
      </c>
      <c r="J47" s="155" t="s">
        <v>565</v>
      </c>
      <c r="K47" s="150"/>
      <c r="L47" s="125"/>
      <c r="M47" s="99"/>
      <c r="N47" s="99"/>
      <c r="O47" s="66"/>
      <c r="P47" s="234" t="s">
        <v>566</v>
      </c>
      <c r="Q47" s="234" t="s">
        <v>566</v>
      </c>
      <c r="R47" s="234" t="s">
        <v>566</v>
      </c>
      <c r="S47" s="234" t="s">
        <v>566</v>
      </c>
      <c r="T47" s="234" t="s">
        <v>566</v>
      </c>
      <c r="U47" s="234" t="s">
        <v>566</v>
      </c>
      <c r="V47" s="66"/>
      <c r="W47" s="67"/>
      <c r="X47" s="62"/>
    </row>
    <row r="48" spans="1:24" ht="111" customHeight="1">
      <c r="A48" s="293"/>
      <c r="B48" s="161"/>
      <c r="C48" s="161"/>
      <c r="D48" s="161"/>
      <c r="E48" s="166"/>
      <c r="F48" s="166"/>
      <c r="G48" s="271" t="s">
        <v>225</v>
      </c>
      <c r="H48" s="280"/>
      <c r="I48" s="273" t="s">
        <v>226</v>
      </c>
      <c r="J48" s="149" t="s">
        <v>567</v>
      </c>
      <c r="K48" s="150"/>
      <c r="L48" s="125"/>
      <c r="M48" s="99"/>
      <c r="N48" s="99"/>
      <c r="O48" s="66"/>
      <c r="P48" s="233" t="s">
        <v>568</v>
      </c>
      <c r="Q48" s="233" t="s">
        <v>569</v>
      </c>
      <c r="R48" s="233" t="s">
        <v>570</v>
      </c>
      <c r="S48" s="233" t="s">
        <v>571</v>
      </c>
      <c r="T48" s="233" t="s">
        <v>572</v>
      </c>
      <c r="U48" s="233" t="s">
        <v>573</v>
      </c>
      <c r="V48" s="66"/>
      <c r="W48" s="67"/>
      <c r="X48" s="62"/>
    </row>
    <row r="49" spans="1:24" ht="93" customHeight="1">
      <c r="A49" s="293"/>
      <c r="B49" s="161"/>
      <c r="C49" s="161"/>
      <c r="D49" s="161"/>
      <c r="E49" s="166"/>
      <c r="F49" s="166"/>
      <c r="G49" s="272"/>
      <c r="H49" s="281"/>
      <c r="I49" s="274"/>
      <c r="J49" s="149" t="s">
        <v>574</v>
      </c>
      <c r="K49" s="150"/>
      <c r="L49" s="125"/>
      <c r="M49" s="99"/>
      <c r="N49" s="99"/>
      <c r="O49" s="66"/>
      <c r="P49" s="233" t="s">
        <v>575</v>
      </c>
      <c r="Q49" s="233" t="s">
        <v>576</v>
      </c>
      <c r="R49" s="233" t="s">
        <v>577</v>
      </c>
      <c r="S49" s="233" t="s">
        <v>578</v>
      </c>
      <c r="T49" s="233" t="s">
        <v>579</v>
      </c>
      <c r="U49" s="66" t="s">
        <v>330</v>
      </c>
      <c r="V49" s="66"/>
      <c r="W49" s="67"/>
      <c r="X49" s="62"/>
    </row>
    <row r="50" spans="1:24" ht="28.9">
      <c r="A50" s="293"/>
      <c r="B50" s="161"/>
      <c r="C50" s="161"/>
      <c r="D50" s="161"/>
      <c r="E50" s="166"/>
      <c r="F50" s="166"/>
      <c r="G50" s="271" t="s">
        <v>227</v>
      </c>
      <c r="H50" s="280"/>
      <c r="I50" s="273" t="s">
        <v>228</v>
      </c>
      <c r="J50" s="149" t="s">
        <v>580</v>
      </c>
      <c r="K50" s="150"/>
      <c r="L50" s="125"/>
      <c r="M50" s="99"/>
      <c r="N50" s="99"/>
      <c r="O50" s="66"/>
      <c r="P50" s="66" t="s">
        <v>330</v>
      </c>
      <c r="Q50" s="66" t="s">
        <v>330</v>
      </c>
      <c r="R50" s="66" t="s">
        <v>330</v>
      </c>
      <c r="S50" s="66" t="s">
        <v>330</v>
      </c>
      <c r="T50" s="66" t="s">
        <v>330</v>
      </c>
      <c r="U50" s="66" t="s">
        <v>330</v>
      </c>
      <c r="V50" s="66"/>
      <c r="W50" s="67"/>
      <c r="X50" s="62"/>
    </row>
    <row r="51" spans="1:24" ht="43.15" customHeight="1">
      <c r="A51" s="293"/>
      <c r="B51" s="161"/>
      <c r="C51" s="161"/>
      <c r="D51" s="161"/>
      <c r="E51" s="166"/>
      <c r="F51" s="166"/>
      <c r="G51" s="272"/>
      <c r="H51" s="281"/>
      <c r="I51" s="274"/>
      <c r="J51" s="149" t="s">
        <v>581</v>
      </c>
      <c r="K51" s="150"/>
      <c r="L51" s="125"/>
      <c r="M51" s="99"/>
      <c r="N51" s="99"/>
      <c r="O51" s="66"/>
      <c r="P51" s="66" t="s">
        <v>330</v>
      </c>
      <c r="Q51" s="66" t="s">
        <v>330</v>
      </c>
      <c r="R51" s="66" t="s">
        <v>330</v>
      </c>
      <c r="S51" s="66" t="s">
        <v>330</v>
      </c>
      <c r="T51" s="66" t="s">
        <v>330</v>
      </c>
      <c r="U51" s="66" t="s">
        <v>330</v>
      </c>
      <c r="V51" s="66"/>
      <c r="W51" s="67"/>
      <c r="X51" s="62"/>
    </row>
    <row r="52" spans="1:24" ht="28.9">
      <c r="A52" s="293"/>
      <c r="B52" s="161"/>
      <c r="C52" s="161"/>
      <c r="D52" s="161"/>
      <c r="E52" s="166"/>
      <c r="F52" s="166"/>
      <c r="G52" s="271" t="s">
        <v>229</v>
      </c>
      <c r="H52" s="280"/>
      <c r="I52" s="273" t="s">
        <v>230</v>
      </c>
      <c r="J52" s="149" t="s">
        <v>582</v>
      </c>
      <c r="K52" s="150"/>
      <c r="L52" s="125"/>
      <c r="M52" s="99"/>
      <c r="N52" s="99"/>
      <c r="O52" s="66"/>
      <c r="P52" s="66" t="s">
        <v>330</v>
      </c>
      <c r="Q52" s="66" t="s">
        <v>330</v>
      </c>
      <c r="R52" s="66" t="s">
        <v>330</v>
      </c>
      <c r="S52" s="66" t="s">
        <v>330</v>
      </c>
      <c r="T52" s="66" t="s">
        <v>330</v>
      </c>
      <c r="U52" s="66" t="s">
        <v>330</v>
      </c>
      <c r="V52" s="66"/>
      <c r="W52" s="67"/>
      <c r="X52" s="62"/>
    </row>
    <row r="53" spans="1:24" ht="60.75" customHeight="1">
      <c r="A53" s="293"/>
      <c r="B53" s="161"/>
      <c r="C53" s="161"/>
      <c r="D53" s="161"/>
      <c r="E53" s="166"/>
      <c r="F53" s="166"/>
      <c r="G53" s="272"/>
      <c r="H53" s="281"/>
      <c r="I53" s="274"/>
      <c r="J53" s="149" t="s">
        <v>583</v>
      </c>
      <c r="K53" s="150"/>
      <c r="L53" s="125"/>
      <c r="M53" s="99"/>
      <c r="N53" s="99"/>
      <c r="O53" s="66"/>
      <c r="P53" s="66" t="s">
        <v>330</v>
      </c>
      <c r="Q53" s="66" t="s">
        <v>330</v>
      </c>
      <c r="R53" s="66" t="s">
        <v>330</v>
      </c>
      <c r="S53" s="66" t="s">
        <v>330</v>
      </c>
      <c r="T53" s="66" t="s">
        <v>330</v>
      </c>
      <c r="U53" s="66" t="s">
        <v>330</v>
      </c>
      <c r="V53" s="66"/>
      <c r="W53" s="67"/>
      <c r="X53" s="62"/>
    </row>
    <row r="54" spans="1:24" ht="93" customHeight="1">
      <c r="A54" s="293"/>
      <c r="B54" s="161"/>
      <c r="C54" s="161"/>
      <c r="D54" s="161"/>
      <c r="E54" s="166"/>
      <c r="F54" s="166"/>
      <c r="G54" s="194" t="s">
        <v>231</v>
      </c>
      <c r="H54" s="197"/>
      <c r="I54" s="207" t="s">
        <v>232</v>
      </c>
      <c r="J54" s="155" t="s">
        <v>584</v>
      </c>
      <c r="K54" s="150"/>
      <c r="L54" s="125"/>
      <c r="M54" s="99"/>
      <c r="N54" s="99"/>
      <c r="O54" s="66"/>
      <c r="P54" s="66" t="s">
        <v>585</v>
      </c>
      <c r="Q54" s="66" t="s">
        <v>586</v>
      </c>
      <c r="R54" s="66" t="s">
        <v>400</v>
      </c>
      <c r="S54" s="66" t="s">
        <v>587</v>
      </c>
      <c r="T54" s="66" t="s">
        <v>588</v>
      </c>
      <c r="U54" s="66" t="s">
        <v>588</v>
      </c>
      <c r="V54" s="66"/>
      <c r="W54" s="67"/>
      <c r="X54" s="62"/>
    </row>
    <row r="55" spans="1:24" ht="146.25" customHeight="1">
      <c r="A55" s="293"/>
      <c r="B55" s="161"/>
      <c r="C55" s="161"/>
      <c r="D55" s="161"/>
      <c r="E55" s="166"/>
      <c r="F55" s="166"/>
      <c r="G55" s="262" t="s">
        <v>234</v>
      </c>
      <c r="H55" s="263"/>
      <c r="I55" s="253" t="s">
        <v>235</v>
      </c>
      <c r="J55" s="149" t="s">
        <v>589</v>
      </c>
      <c r="K55" s="150"/>
      <c r="L55" s="125"/>
      <c r="M55" s="99"/>
      <c r="N55" s="99"/>
      <c r="O55" s="66"/>
      <c r="P55" s="233" t="s">
        <v>590</v>
      </c>
      <c r="Q55" s="233" t="s">
        <v>591</v>
      </c>
      <c r="R55" s="233" t="s">
        <v>592</v>
      </c>
      <c r="S55" s="233" t="s">
        <v>593</v>
      </c>
      <c r="T55" s="233" t="s">
        <v>594</v>
      </c>
      <c r="U55" s="233" t="s">
        <v>595</v>
      </c>
      <c r="V55" s="66"/>
      <c r="W55" s="67"/>
      <c r="X55" s="62"/>
    </row>
    <row r="56" spans="1:24" ht="75.75" customHeight="1">
      <c r="A56" s="293"/>
      <c r="B56" s="161"/>
      <c r="C56" s="161"/>
      <c r="D56" s="161"/>
      <c r="E56" s="166"/>
      <c r="F56" s="166"/>
      <c r="G56" s="262"/>
      <c r="H56" s="264"/>
      <c r="I56" s="254"/>
      <c r="J56" s="149" t="s">
        <v>596</v>
      </c>
      <c r="K56" s="150"/>
      <c r="L56" s="125"/>
      <c r="M56" s="99"/>
      <c r="N56" s="99"/>
      <c r="O56" s="66"/>
      <c r="P56" s="233" t="s">
        <v>597</v>
      </c>
      <c r="Q56" s="66" t="s">
        <v>330</v>
      </c>
      <c r="R56" s="66" t="s">
        <v>330</v>
      </c>
      <c r="S56" s="66" t="s">
        <v>330</v>
      </c>
      <c r="T56" s="66" t="s">
        <v>330</v>
      </c>
      <c r="U56" s="66" t="s">
        <v>330</v>
      </c>
      <c r="V56" s="66"/>
      <c r="W56" s="67"/>
      <c r="X56" s="62"/>
    </row>
    <row r="57" spans="1:24" ht="28.9">
      <c r="A57" s="293"/>
      <c r="B57" s="161"/>
      <c r="C57" s="161"/>
      <c r="D57" s="161"/>
      <c r="E57" s="166"/>
      <c r="F57" s="166"/>
      <c r="G57" s="251" t="s">
        <v>236</v>
      </c>
      <c r="H57" s="263"/>
      <c r="I57" s="253" t="s">
        <v>237</v>
      </c>
      <c r="J57" s="149" t="s">
        <v>598</v>
      </c>
      <c r="K57" s="150"/>
      <c r="L57" s="125"/>
      <c r="M57" s="99"/>
      <c r="N57" s="99"/>
      <c r="O57" s="66"/>
      <c r="P57" s="66" t="s">
        <v>330</v>
      </c>
      <c r="Q57" s="66" t="s">
        <v>330</v>
      </c>
      <c r="R57" s="66" t="s">
        <v>330</v>
      </c>
      <c r="S57" s="66" t="s">
        <v>330</v>
      </c>
      <c r="T57" s="66" t="s">
        <v>330</v>
      </c>
      <c r="U57" s="66" t="s">
        <v>330</v>
      </c>
      <c r="V57" s="66"/>
      <c r="W57" s="67"/>
      <c r="X57" s="62"/>
    </row>
    <row r="58" spans="1:24" ht="86.45">
      <c r="A58" s="293"/>
      <c r="B58" s="161"/>
      <c r="C58" s="161"/>
      <c r="D58" s="161"/>
      <c r="E58" s="166"/>
      <c r="F58" s="166"/>
      <c r="G58" s="255"/>
      <c r="H58" s="264"/>
      <c r="I58" s="254"/>
      <c r="J58" s="149" t="s">
        <v>599</v>
      </c>
      <c r="K58" s="150"/>
      <c r="L58" s="125"/>
      <c r="M58" s="99"/>
      <c r="N58" s="99"/>
      <c r="O58" s="66"/>
      <c r="P58" s="233" t="s">
        <v>597</v>
      </c>
      <c r="Q58" s="233" t="s">
        <v>600</v>
      </c>
      <c r="R58" s="233" t="s">
        <v>601</v>
      </c>
      <c r="S58" s="233" t="s">
        <v>602</v>
      </c>
      <c r="T58" s="233" t="s">
        <v>601</v>
      </c>
      <c r="U58" s="233" t="s">
        <v>603</v>
      </c>
      <c r="V58" s="66"/>
      <c r="W58" s="67"/>
      <c r="X58" s="62"/>
    </row>
    <row r="59" spans="1:24" ht="43.15">
      <c r="A59" s="293"/>
      <c r="B59" s="161"/>
      <c r="C59" s="161"/>
      <c r="D59" s="161"/>
      <c r="E59" s="166"/>
      <c r="F59" s="166"/>
      <c r="G59" s="162" t="s">
        <v>239</v>
      </c>
      <c r="H59" s="157"/>
      <c r="I59" s="208" t="s">
        <v>240</v>
      </c>
      <c r="J59" s="230" t="s">
        <v>604</v>
      </c>
      <c r="K59" s="150"/>
      <c r="L59" s="125"/>
      <c r="M59" s="99"/>
      <c r="N59" s="99"/>
      <c r="O59" s="66"/>
      <c r="P59" s="233" t="s">
        <v>605</v>
      </c>
      <c r="Q59" s="233" t="s">
        <v>606</v>
      </c>
      <c r="R59" s="233" t="s">
        <v>607</v>
      </c>
      <c r="S59" s="233" t="s">
        <v>606</v>
      </c>
      <c r="T59" s="233" t="s">
        <v>607</v>
      </c>
      <c r="U59" s="233" t="s">
        <v>606</v>
      </c>
      <c r="V59" s="66"/>
      <c r="W59" s="67"/>
      <c r="X59" s="62"/>
    </row>
    <row r="60" spans="1:24" ht="86.45">
      <c r="A60" s="293"/>
      <c r="B60" s="161"/>
      <c r="C60" s="161"/>
      <c r="D60" s="161"/>
      <c r="E60" s="166"/>
      <c r="F60" s="166"/>
      <c r="G60" s="175" t="s">
        <v>242</v>
      </c>
      <c r="H60" s="154"/>
      <c r="I60" s="206" t="s">
        <v>243</v>
      </c>
      <c r="J60" s="155" t="s">
        <v>608</v>
      </c>
      <c r="K60" s="150"/>
      <c r="L60" s="125"/>
      <c r="M60" s="99"/>
      <c r="N60" s="99"/>
      <c r="O60" s="66"/>
      <c r="P60" s="233" t="s">
        <v>609</v>
      </c>
      <c r="Q60" s="233" t="s">
        <v>610</v>
      </c>
      <c r="R60" s="233" t="s">
        <v>611</v>
      </c>
      <c r="S60" s="233" t="s">
        <v>612</v>
      </c>
      <c r="T60" s="233" t="s">
        <v>613</v>
      </c>
      <c r="U60" s="233" t="s">
        <v>614</v>
      </c>
      <c r="V60" s="66"/>
      <c r="W60" s="67"/>
      <c r="X60" s="62"/>
    </row>
    <row r="61" spans="1:24" ht="99" customHeight="1">
      <c r="A61" s="293"/>
      <c r="B61" s="161"/>
      <c r="C61" s="161"/>
      <c r="D61" s="161"/>
      <c r="E61" s="166"/>
      <c r="F61" s="166"/>
      <c r="G61" s="258" t="s">
        <v>244</v>
      </c>
      <c r="H61" s="265"/>
      <c r="I61" s="260" t="s">
        <v>245</v>
      </c>
      <c r="J61" s="155" t="s">
        <v>615</v>
      </c>
      <c r="K61" s="150"/>
      <c r="L61" s="125"/>
      <c r="M61" s="99"/>
      <c r="N61" s="99"/>
      <c r="O61" s="66"/>
      <c r="P61" s="233" t="s">
        <v>616</v>
      </c>
      <c r="Q61" s="233" t="s">
        <v>617</v>
      </c>
      <c r="R61" s="233" t="s">
        <v>617</v>
      </c>
      <c r="S61" s="233" t="s">
        <v>617</v>
      </c>
      <c r="T61" s="233" t="s">
        <v>617</v>
      </c>
      <c r="U61" s="233" t="s">
        <v>617</v>
      </c>
      <c r="V61" s="66"/>
      <c r="W61" s="67"/>
      <c r="X61" s="62"/>
    </row>
    <row r="62" spans="1:24" ht="57.6">
      <c r="A62" s="293"/>
      <c r="B62" s="161"/>
      <c r="C62" s="161"/>
      <c r="D62" s="161"/>
      <c r="E62" s="166"/>
      <c r="F62" s="166"/>
      <c r="G62" s="259"/>
      <c r="H62" s="266"/>
      <c r="I62" s="261"/>
      <c r="J62" s="155" t="s">
        <v>618</v>
      </c>
      <c r="K62" s="150"/>
      <c r="L62" s="125"/>
      <c r="M62" s="99"/>
      <c r="N62" s="99"/>
      <c r="O62" s="66"/>
      <c r="P62" s="233" t="s">
        <v>619</v>
      </c>
      <c r="Q62" s="233" t="s">
        <v>619</v>
      </c>
      <c r="R62" s="233" t="s">
        <v>619</v>
      </c>
      <c r="S62" s="233" t="s">
        <v>619</v>
      </c>
      <c r="T62" s="233" t="s">
        <v>619</v>
      </c>
      <c r="U62" s="233" t="s">
        <v>619</v>
      </c>
      <c r="V62" s="66"/>
      <c r="W62" s="67"/>
      <c r="X62" s="62"/>
    </row>
    <row r="63" spans="1:24" ht="136.5" customHeight="1">
      <c r="A63" s="293"/>
      <c r="B63" s="161"/>
      <c r="C63" s="161"/>
      <c r="D63" s="161"/>
      <c r="E63" s="166"/>
      <c r="F63" s="166"/>
      <c r="G63" s="256" t="s">
        <v>246</v>
      </c>
      <c r="H63" s="267"/>
      <c r="I63" s="257" t="s">
        <v>247</v>
      </c>
      <c r="J63" s="150" t="s">
        <v>620</v>
      </c>
      <c r="K63" s="150"/>
      <c r="L63" s="125"/>
      <c r="M63" s="99"/>
      <c r="N63" s="99"/>
      <c r="O63" s="66"/>
      <c r="P63" s="233" t="s">
        <v>621</v>
      </c>
      <c r="Q63" s="233" t="s">
        <v>622</v>
      </c>
      <c r="R63" s="233" t="s">
        <v>623</v>
      </c>
      <c r="S63" s="233" t="s">
        <v>623</v>
      </c>
      <c r="T63" s="233" t="s">
        <v>623</v>
      </c>
      <c r="U63" s="233" t="s">
        <v>623</v>
      </c>
      <c r="V63" s="66"/>
      <c r="W63" s="67"/>
      <c r="X63" s="62"/>
    </row>
    <row r="64" spans="1:24" ht="75.75" customHeight="1">
      <c r="A64" s="293"/>
      <c r="B64" s="161"/>
      <c r="C64" s="161"/>
      <c r="D64" s="161"/>
      <c r="E64" s="166"/>
      <c r="F64" s="166"/>
      <c r="G64" s="256"/>
      <c r="H64" s="267"/>
      <c r="I64" s="257"/>
      <c r="J64" s="150" t="s">
        <v>624</v>
      </c>
      <c r="K64" s="150"/>
      <c r="L64" s="125"/>
      <c r="M64" s="99"/>
      <c r="N64" s="99"/>
      <c r="O64" s="66"/>
      <c r="P64" s="233" t="s">
        <v>625</v>
      </c>
      <c r="Q64" s="233" t="s">
        <v>626</v>
      </c>
      <c r="R64" s="233" t="s">
        <v>627</v>
      </c>
      <c r="S64" s="233" t="s">
        <v>627</v>
      </c>
      <c r="T64" s="233" t="s">
        <v>627</v>
      </c>
      <c r="U64" s="233" t="s">
        <v>627</v>
      </c>
      <c r="V64" s="66"/>
      <c r="W64" s="67"/>
      <c r="X64" s="62"/>
    </row>
    <row r="65" spans="1:24" ht="98.25" customHeight="1">
      <c r="A65" s="293"/>
      <c r="B65" s="161"/>
      <c r="C65" s="161"/>
      <c r="D65" s="161"/>
      <c r="E65" s="166"/>
      <c r="F65" s="166"/>
      <c r="G65" s="162" t="s">
        <v>248</v>
      </c>
      <c r="H65" s="153"/>
      <c r="I65" s="204" t="s">
        <v>249</v>
      </c>
      <c r="J65" s="149" t="s">
        <v>628</v>
      </c>
      <c r="K65" s="231"/>
      <c r="L65" s="182"/>
      <c r="M65" s="181"/>
      <c r="N65" s="99"/>
      <c r="O65" s="66"/>
      <c r="P65" s="149" t="s">
        <v>487</v>
      </c>
      <c r="Q65" s="149" t="s">
        <v>488</v>
      </c>
      <c r="R65" s="149" t="s">
        <v>489</v>
      </c>
      <c r="S65" s="149" t="s">
        <v>490</v>
      </c>
      <c r="T65" s="149" t="s">
        <v>491</v>
      </c>
      <c r="U65" s="149" t="s">
        <v>415</v>
      </c>
      <c r="V65" s="66"/>
      <c r="W65" s="67"/>
      <c r="X65" s="62"/>
    </row>
    <row r="66" spans="1:24" ht="129.6">
      <c r="A66" s="293"/>
      <c r="B66" s="161"/>
      <c r="C66" s="161"/>
      <c r="D66" s="161"/>
      <c r="E66" s="166"/>
      <c r="F66" s="166"/>
      <c r="G66" s="162" t="s">
        <v>250</v>
      </c>
      <c r="H66" s="153"/>
      <c r="I66" s="204" t="s">
        <v>251</v>
      </c>
      <c r="J66" s="149" t="s">
        <v>629</v>
      </c>
      <c r="K66" s="231"/>
      <c r="L66" s="182"/>
      <c r="M66" s="181"/>
      <c r="N66" s="99"/>
      <c r="O66" s="66"/>
      <c r="P66" s="233" t="s">
        <v>630</v>
      </c>
      <c r="Q66" s="233" t="s">
        <v>631</v>
      </c>
      <c r="R66" s="233" t="s">
        <v>632</v>
      </c>
      <c r="S66" s="233" t="s">
        <v>633</v>
      </c>
      <c r="T66" s="233" t="s">
        <v>634</v>
      </c>
      <c r="U66" s="233" t="s">
        <v>635</v>
      </c>
      <c r="V66" s="66"/>
      <c r="W66" s="67"/>
      <c r="X66" s="62"/>
    </row>
    <row r="67" spans="1:24" ht="57.6">
      <c r="A67" s="293"/>
      <c r="B67" s="161"/>
      <c r="C67" s="161"/>
      <c r="D67" s="161"/>
      <c r="E67" s="166"/>
      <c r="F67" s="166"/>
      <c r="G67" s="258" t="s">
        <v>252</v>
      </c>
      <c r="H67" s="265"/>
      <c r="I67" s="260" t="s">
        <v>253</v>
      </c>
      <c r="J67" s="230" t="s">
        <v>636</v>
      </c>
      <c r="K67" s="150"/>
      <c r="L67" s="145"/>
      <c r="M67" s="144"/>
      <c r="N67" s="144"/>
      <c r="O67" s="146"/>
      <c r="P67" s="233" t="s">
        <v>637</v>
      </c>
      <c r="Q67" s="233" t="s">
        <v>638</v>
      </c>
      <c r="R67" s="233" t="s">
        <v>639</v>
      </c>
      <c r="S67" s="233" t="s">
        <v>640</v>
      </c>
      <c r="T67" s="233" t="s">
        <v>641</v>
      </c>
      <c r="U67" s="233" t="s">
        <v>642</v>
      </c>
      <c r="V67" s="66"/>
      <c r="W67" s="67"/>
      <c r="X67" s="62"/>
    </row>
    <row r="68" spans="1:24" ht="85.5" customHeight="1">
      <c r="A68" s="293"/>
      <c r="B68" s="161"/>
      <c r="C68" s="161"/>
      <c r="D68" s="161"/>
      <c r="E68" s="166"/>
      <c r="F68" s="166"/>
      <c r="G68" s="259"/>
      <c r="H68" s="266"/>
      <c r="I68" s="261"/>
      <c r="J68" s="149" t="s">
        <v>643</v>
      </c>
      <c r="K68" s="150"/>
      <c r="L68" s="219"/>
      <c r="M68" s="150"/>
      <c r="N68" s="150"/>
      <c r="O68" s="236"/>
      <c r="P68" s="248" t="s">
        <v>644</v>
      </c>
      <c r="Q68" s="248">
        <v>0.82</v>
      </c>
      <c r="R68" s="248">
        <v>0.85</v>
      </c>
      <c r="S68" s="248">
        <v>0.9</v>
      </c>
      <c r="T68" s="248">
        <v>0.95</v>
      </c>
      <c r="U68" s="248">
        <v>1</v>
      </c>
      <c r="V68" s="235"/>
      <c r="W68" s="235"/>
      <c r="X68" s="62"/>
    </row>
    <row r="69" spans="1:24" ht="63" customHeight="1">
      <c r="A69" s="293"/>
      <c r="B69" s="161"/>
      <c r="C69" s="161"/>
      <c r="D69" s="161"/>
      <c r="E69" s="166"/>
      <c r="F69" s="166"/>
      <c r="G69" s="162" t="s">
        <v>254</v>
      </c>
      <c r="H69" s="153"/>
      <c r="I69" s="204" t="s">
        <v>645</v>
      </c>
      <c r="J69" s="150" t="s">
        <v>646</v>
      </c>
      <c r="K69" s="150"/>
      <c r="L69" s="219"/>
      <c r="M69" s="150"/>
      <c r="N69" s="150"/>
      <c r="O69" s="236"/>
      <c r="P69" s="235" t="s">
        <v>330</v>
      </c>
      <c r="Q69" s="235" t="s">
        <v>330</v>
      </c>
      <c r="R69" s="235" t="s">
        <v>330</v>
      </c>
      <c r="S69" s="235" t="s">
        <v>330</v>
      </c>
      <c r="T69" s="235" t="s">
        <v>330</v>
      </c>
      <c r="U69" s="235" t="s">
        <v>330</v>
      </c>
      <c r="V69" s="235"/>
      <c r="W69" s="235"/>
      <c r="X69" s="62"/>
    </row>
    <row r="70" spans="1:24" ht="68.25" customHeight="1">
      <c r="A70" s="293"/>
      <c r="B70" s="161"/>
      <c r="C70" s="161"/>
      <c r="D70" s="161"/>
      <c r="E70" s="166"/>
      <c r="F70" s="166"/>
      <c r="G70" s="174" t="s">
        <v>256</v>
      </c>
      <c r="H70" s="153"/>
      <c r="I70" s="204" t="s">
        <v>257</v>
      </c>
      <c r="J70" s="150" t="s">
        <v>647</v>
      </c>
      <c r="K70" s="150"/>
      <c r="L70" s="219"/>
      <c r="M70" s="150"/>
      <c r="N70" s="150"/>
      <c r="O70" s="236"/>
      <c r="P70" s="235" t="s">
        <v>513</v>
      </c>
      <c r="Q70" s="235">
        <v>4000</v>
      </c>
      <c r="R70" s="235">
        <v>4500</v>
      </c>
      <c r="S70" s="235">
        <v>5000</v>
      </c>
      <c r="T70" s="235">
        <v>5500</v>
      </c>
      <c r="U70" s="235">
        <v>6000</v>
      </c>
      <c r="V70" s="235"/>
      <c r="W70" s="235"/>
      <c r="X70" s="62"/>
    </row>
    <row r="71" spans="1:24" ht="75" customHeight="1">
      <c r="A71" s="293"/>
      <c r="B71" s="161"/>
      <c r="C71" s="161"/>
      <c r="D71" s="161"/>
      <c r="E71" s="166"/>
      <c r="F71" s="166"/>
      <c r="G71" s="165" t="s">
        <v>258</v>
      </c>
      <c r="H71" s="154"/>
      <c r="I71" s="206" t="s">
        <v>259</v>
      </c>
      <c r="J71" s="155" t="s">
        <v>648</v>
      </c>
      <c r="K71" s="150"/>
      <c r="L71" s="219"/>
      <c r="M71" s="150"/>
      <c r="N71" s="150"/>
      <c r="O71" s="163"/>
      <c r="P71" s="66">
        <v>28000</v>
      </c>
      <c r="Q71" s="66">
        <v>33600</v>
      </c>
      <c r="R71" s="66">
        <v>39200</v>
      </c>
      <c r="S71" s="66">
        <v>44800</v>
      </c>
      <c r="T71" s="66">
        <v>50400</v>
      </c>
      <c r="U71" s="249">
        <v>56000</v>
      </c>
      <c r="V71" s="66"/>
      <c r="W71" s="67"/>
      <c r="X71" s="62"/>
    </row>
    <row r="72" spans="1:24" ht="144" customHeight="1">
      <c r="A72" s="293"/>
      <c r="B72" s="161"/>
      <c r="C72" s="161"/>
      <c r="D72" s="161"/>
      <c r="E72" s="166"/>
      <c r="F72" s="166"/>
      <c r="G72" s="238" t="s">
        <v>260</v>
      </c>
      <c r="H72" s="242"/>
      <c r="I72" s="241" t="s">
        <v>261</v>
      </c>
      <c r="J72" s="155" t="s">
        <v>649</v>
      </c>
      <c r="K72" s="150"/>
      <c r="L72" s="219"/>
      <c r="M72" s="150"/>
      <c r="N72" s="150"/>
      <c r="O72" s="163"/>
      <c r="P72" s="233" t="s">
        <v>650</v>
      </c>
      <c r="Q72" s="233" t="s">
        <v>651</v>
      </c>
      <c r="R72" s="233" t="s">
        <v>652</v>
      </c>
      <c r="S72" s="233" t="s">
        <v>652</v>
      </c>
      <c r="T72" s="233" t="s">
        <v>652</v>
      </c>
      <c r="U72" s="233" t="s">
        <v>652</v>
      </c>
      <c r="V72" s="66"/>
      <c r="W72" s="67"/>
      <c r="X72" s="62"/>
    </row>
    <row r="73" spans="1:24" ht="86.45">
      <c r="A73" s="293"/>
      <c r="B73" s="161"/>
      <c r="C73" s="161"/>
      <c r="D73" s="161"/>
      <c r="E73" s="166"/>
      <c r="F73" s="166"/>
      <c r="G73" s="164" t="s">
        <v>262</v>
      </c>
      <c r="H73" s="154"/>
      <c r="I73" s="206" t="s">
        <v>263</v>
      </c>
      <c r="J73" s="155" t="s">
        <v>653</v>
      </c>
      <c r="K73" s="150"/>
      <c r="L73" s="219"/>
      <c r="M73" s="150"/>
      <c r="N73" s="150"/>
      <c r="O73" s="163"/>
      <c r="P73" s="233" t="s">
        <v>654</v>
      </c>
      <c r="Q73" s="233" t="s">
        <v>655</v>
      </c>
      <c r="R73" s="233" t="s">
        <v>656</v>
      </c>
      <c r="S73" s="233" t="s">
        <v>652</v>
      </c>
      <c r="T73" s="233" t="s">
        <v>652</v>
      </c>
      <c r="U73" s="233" t="s">
        <v>652</v>
      </c>
      <c r="V73" s="66"/>
      <c r="W73" s="67"/>
      <c r="X73" s="62"/>
    </row>
    <row r="74" spans="1:24" ht="150.75" customHeight="1">
      <c r="A74" s="293"/>
      <c r="B74" s="161"/>
      <c r="C74" s="161"/>
      <c r="D74" s="161"/>
      <c r="E74" s="166"/>
      <c r="F74" s="166"/>
      <c r="G74" s="251" t="s">
        <v>264</v>
      </c>
      <c r="H74" s="263"/>
      <c r="I74" s="253" t="s">
        <v>265</v>
      </c>
      <c r="J74" s="230" t="s">
        <v>657</v>
      </c>
      <c r="K74" s="150"/>
      <c r="L74" s="219"/>
      <c r="M74" s="150"/>
      <c r="N74" s="150"/>
      <c r="O74" s="163"/>
      <c r="P74" s="233" t="s">
        <v>658</v>
      </c>
      <c r="Q74" s="233"/>
      <c r="R74" s="233" t="s">
        <v>658</v>
      </c>
      <c r="S74" s="233"/>
      <c r="T74" s="233"/>
      <c r="U74" s="233" t="s">
        <v>658</v>
      </c>
      <c r="V74" s="66"/>
      <c r="W74" s="67"/>
      <c r="X74" s="62"/>
    </row>
    <row r="75" spans="1:24" ht="136.5" customHeight="1">
      <c r="A75" s="293"/>
      <c r="B75" s="161"/>
      <c r="C75" s="161"/>
      <c r="D75" s="161"/>
      <c r="E75" s="166"/>
      <c r="F75" s="166"/>
      <c r="G75" s="252"/>
      <c r="H75" s="264"/>
      <c r="I75" s="254"/>
      <c r="J75" s="230" t="s">
        <v>659</v>
      </c>
      <c r="K75" s="150"/>
      <c r="L75" s="219"/>
      <c r="M75" s="150"/>
      <c r="N75" s="150"/>
      <c r="O75" s="163"/>
      <c r="P75" s="233" t="s">
        <v>660</v>
      </c>
      <c r="Q75" s="66" t="s">
        <v>330</v>
      </c>
      <c r="R75" s="66" t="s">
        <v>330</v>
      </c>
      <c r="S75" s="66" t="s">
        <v>330</v>
      </c>
      <c r="T75" s="66" t="s">
        <v>330</v>
      </c>
      <c r="U75" s="66" t="s">
        <v>330</v>
      </c>
      <c r="V75" s="66"/>
      <c r="W75" s="67"/>
      <c r="X75" s="62"/>
    </row>
    <row r="76" spans="1:24" ht="162" customHeight="1">
      <c r="A76" s="293"/>
      <c r="B76" s="161"/>
      <c r="C76" s="161"/>
      <c r="D76" s="161"/>
      <c r="E76" s="166"/>
      <c r="F76" s="166"/>
      <c r="G76" s="239" t="s">
        <v>266</v>
      </c>
      <c r="H76" s="237"/>
      <c r="I76" s="240" t="s">
        <v>267</v>
      </c>
      <c r="J76" s="230" t="s">
        <v>661</v>
      </c>
      <c r="K76" s="150"/>
      <c r="L76" s="219"/>
      <c r="M76" s="150"/>
      <c r="N76" s="150"/>
      <c r="O76" s="163"/>
      <c r="P76" s="233" t="s">
        <v>662</v>
      </c>
      <c r="Q76" s="233" t="s">
        <v>663</v>
      </c>
      <c r="R76" s="233" t="s">
        <v>664</v>
      </c>
      <c r="S76" s="233" t="s">
        <v>665</v>
      </c>
      <c r="T76" s="233" t="s">
        <v>666</v>
      </c>
      <c r="U76" s="233" t="s">
        <v>665</v>
      </c>
      <c r="V76" s="66"/>
      <c r="W76" s="67"/>
      <c r="X76" s="62"/>
    </row>
    <row r="77" spans="1:24" ht="123.75" customHeight="1">
      <c r="A77" s="293"/>
      <c r="B77" s="161"/>
      <c r="C77" s="161"/>
      <c r="D77" s="161"/>
      <c r="E77" s="166"/>
      <c r="F77" s="166"/>
      <c r="G77" s="175" t="s">
        <v>268</v>
      </c>
      <c r="H77" s="154"/>
      <c r="I77" s="206" t="s">
        <v>269</v>
      </c>
      <c r="J77" s="149" t="s">
        <v>667</v>
      </c>
      <c r="K77" s="150"/>
      <c r="L77" s="219"/>
      <c r="M77" s="150"/>
      <c r="N77" s="150"/>
      <c r="O77" s="163"/>
      <c r="P77" s="233" t="s">
        <v>668</v>
      </c>
      <c r="Q77" s="233" t="s">
        <v>669</v>
      </c>
      <c r="R77" s="233" t="s">
        <v>670</v>
      </c>
      <c r="S77" s="233" t="s">
        <v>669</v>
      </c>
      <c r="T77" s="233" t="s">
        <v>670</v>
      </c>
      <c r="U77" s="233" t="s">
        <v>671</v>
      </c>
      <c r="V77" s="66"/>
      <c r="W77" s="67"/>
      <c r="X77" s="62"/>
    </row>
    <row r="78" spans="1:24" ht="66" customHeight="1">
      <c r="A78" s="293"/>
      <c r="B78" s="161"/>
      <c r="C78" s="161"/>
      <c r="D78" s="161"/>
      <c r="E78" s="166"/>
      <c r="F78" s="166"/>
      <c r="G78" s="175" t="s">
        <v>270</v>
      </c>
      <c r="H78" s="154"/>
      <c r="I78" s="206" t="s">
        <v>271</v>
      </c>
      <c r="J78" s="149" t="s">
        <v>672</v>
      </c>
      <c r="K78" s="150"/>
      <c r="L78" s="219"/>
      <c r="M78" s="150"/>
      <c r="N78" s="150"/>
      <c r="O78" s="163"/>
      <c r="P78" s="66" t="s">
        <v>330</v>
      </c>
      <c r="Q78" s="66" t="s">
        <v>330</v>
      </c>
      <c r="R78" s="66" t="s">
        <v>330</v>
      </c>
      <c r="S78" s="66" t="s">
        <v>330</v>
      </c>
      <c r="T78" s="66" t="s">
        <v>330</v>
      </c>
      <c r="U78" s="66" t="s">
        <v>330</v>
      </c>
      <c r="V78" s="66"/>
      <c r="W78" s="67"/>
      <c r="X78" s="62"/>
    </row>
    <row r="79" spans="1:24" ht="162.75" customHeight="1">
      <c r="A79" s="293"/>
      <c r="B79" s="161"/>
      <c r="C79" s="161"/>
      <c r="D79" s="161"/>
      <c r="E79" s="166"/>
      <c r="F79" s="166"/>
      <c r="G79" s="180" t="s">
        <v>272</v>
      </c>
      <c r="H79" s="155"/>
      <c r="I79" s="159" t="s">
        <v>273</v>
      </c>
      <c r="J79" s="155" t="s">
        <v>673</v>
      </c>
      <c r="K79" s="150"/>
      <c r="L79" s="219"/>
      <c r="M79" s="150"/>
      <c r="N79" s="150"/>
      <c r="O79" s="163"/>
      <c r="P79" s="233" t="s">
        <v>674</v>
      </c>
      <c r="Q79" s="233" t="s">
        <v>674</v>
      </c>
      <c r="R79" s="233" t="s">
        <v>674</v>
      </c>
      <c r="S79" s="233" t="s">
        <v>674</v>
      </c>
      <c r="T79" s="233" t="s">
        <v>674</v>
      </c>
      <c r="U79" s="233" t="s">
        <v>674</v>
      </c>
      <c r="V79" s="66"/>
      <c r="W79" s="67"/>
      <c r="X79" s="62"/>
    </row>
    <row r="80" spans="1:24" ht="115.5" customHeight="1">
      <c r="A80" s="293"/>
      <c r="B80" s="161"/>
      <c r="C80" s="161"/>
      <c r="D80" s="161"/>
      <c r="E80" s="166"/>
      <c r="F80" s="166"/>
      <c r="G80" s="180" t="s">
        <v>274</v>
      </c>
      <c r="H80" s="155"/>
      <c r="I80" s="159" t="s">
        <v>675</v>
      </c>
      <c r="J80" s="155" t="s">
        <v>676</v>
      </c>
      <c r="K80" s="150"/>
      <c r="L80" s="219"/>
      <c r="M80" s="150"/>
      <c r="N80" s="150"/>
      <c r="O80" s="163"/>
      <c r="P80" s="233" t="s">
        <v>677</v>
      </c>
      <c r="Q80" s="233" t="s">
        <v>678</v>
      </c>
      <c r="R80" s="233" t="s">
        <v>679</v>
      </c>
      <c r="S80" s="233" t="s">
        <v>680</v>
      </c>
      <c r="T80" s="233" t="s">
        <v>681</v>
      </c>
      <c r="U80" s="233" t="s">
        <v>682</v>
      </c>
      <c r="V80" s="66"/>
      <c r="W80" s="67"/>
      <c r="X80" s="62"/>
    </row>
    <row r="81" spans="1:24" ht="66" customHeight="1">
      <c r="A81" s="293"/>
      <c r="B81" s="161"/>
      <c r="C81" s="161"/>
      <c r="D81" s="161"/>
      <c r="E81" s="166"/>
      <c r="F81" s="166"/>
      <c r="G81" s="162" t="s">
        <v>276</v>
      </c>
      <c r="H81" s="153"/>
      <c r="I81" s="204" t="s">
        <v>277</v>
      </c>
      <c r="J81" s="155" t="s">
        <v>683</v>
      </c>
      <c r="K81" s="150"/>
      <c r="L81" s="219"/>
      <c r="M81" s="150"/>
      <c r="N81" s="150"/>
      <c r="O81" s="163"/>
      <c r="P81" s="234" t="s">
        <v>684</v>
      </c>
      <c r="Q81" s="234">
        <v>0.25</v>
      </c>
      <c r="R81" s="234">
        <v>0.3</v>
      </c>
      <c r="S81" s="234">
        <v>0.35</v>
      </c>
      <c r="T81" s="234">
        <v>0.4</v>
      </c>
      <c r="U81" s="234">
        <v>0.5</v>
      </c>
      <c r="V81" s="66"/>
      <c r="W81" s="67"/>
      <c r="X81" s="62"/>
    </row>
    <row r="82" spans="1:24" ht="43.15">
      <c r="A82" s="293"/>
      <c r="B82" s="161"/>
      <c r="C82" s="161"/>
      <c r="D82" s="161"/>
      <c r="E82" s="166"/>
      <c r="F82" s="166"/>
      <c r="G82" s="180" t="s">
        <v>278</v>
      </c>
      <c r="H82" s="195"/>
      <c r="I82" s="209" t="s">
        <v>279</v>
      </c>
      <c r="J82" s="154" t="s">
        <v>685</v>
      </c>
      <c r="K82" s="150"/>
      <c r="L82" s="219"/>
      <c r="M82" s="150"/>
      <c r="N82" s="150"/>
      <c r="O82" s="163"/>
      <c r="P82" s="66">
        <v>0</v>
      </c>
      <c r="Q82" s="66">
        <v>1</v>
      </c>
      <c r="R82" s="66">
        <v>1</v>
      </c>
      <c r="S82" s="66">
        <v>1</v>
      </c>
      <c r="T82" s="66"/>
      <c r="U82" s="66">
        <v>3</v>
      </c>
      <c r="V82" s="66"/>
      <c r="W82" s="67"/>
      <c r="X82" s="62"/>
    </row>
    <row r="83" spans="1:24" ht="105.75" customHeight="1">
      <c r="A83" s="293"/>
      <c r="B83" s="161"/>
      <c r="C83" s="161"/>
      <c r="D83" s="161"/>
      <c r="E83" s="166"/>
      <c r="F83" s="166"/>
      <c r="G83" s="180" t="s">
        <v>280</v>
      </c>
      <c r="H83" s="154"/>
      <c r="I83" s="206" t="s">
        <v>281</v>
      </c>
      <c r="J83" s="154" t="s">
        <v>686</v>
      </c>
      <c r="K83" s="150"/>
      <c r="L83" s="219"/>
      <c r="M83" s="150"/>
      <c r="N83" s="150"/>
      <c r="O83" s="163"/>
      <c r="P83" s="66">
        <v>0</v>
      </c>
      <c r="Q83" s="66">
        <v>0</v>
      </c>
      <c r="R83" s="66">
        <v>1</v>
      </c>
      <c r="S83" s="66">
        <v>2</v>
      </c>
      <c r="T83" s="66"/>
      <c r="U83" s="66">
        <v>3</v>
      </c>
      <c r="V83" s="66"/>
      <c r="W83" s="67"/>
      <c r="X83" s="62"/>
    </row>
    <row r="84" spans="1:24" ht="101.25" customHeight="1">
      <c r="A84" s="293"/>
      <c r="B84" s="161"/>
      <c r="C84" s="161"/>
      <c r="D84" s="161"/>
      <c r="E84" s="166"/>
      <c r="F84" s="166"/>
      <c r="G84" s="180" t="s">
        <v>282</v>
      </c>
      <c r="H84" s="154"/>
      <c r="I84" s="206" t="s">
        <v>283</v>
      </c>
      <c r="J84" s="154" t="s">
        <v>687</v>
      </c>
      <c r="K84" s="150"/>
      <c r="L84" s="219"/>
      <c r="M84" s="150"/>
      <c r="N84" s="150"/>
      <c r="O84" s="163"/>
      <c r="P84" s="66">
        <v>0</v>
      </c>
      <c r="Q84" s="66"/>
      <c r="R84" s="66">
        <v>1</v>
      </c>
      <c r="S84" s="66"/>
      <c r="T84" s="66"/>
      <c r="U84" s="66">
        <v>1</v>
      </c>
      <c r="V84" s="66"/>
      <c r="W84" s="67"/>
      <c r="X84" s="62"/>
    </row>
    <row r="85" spans="1:24" ht="77.25" customHeight="1">
      <c r="A85" s="293"/>
      <c r="B85" s="161"/>
      <c r="C85" s="161"/>
      <c r="D85" s="161"/>
      <c r="E85" s="166"/>
      <c r="F85" s="166"/>
      <c r="G85" s="176" t="s">
        <v>284</v>
      </c>
      <c r="H85" s="167"/>
      <c r="I85" s="210" t="s">
        <v>285</v>
      </c>
      <c r="J85" s="155" t="s">
        <v>688</v>
      </c>
      <c r="K85" s="150"/>
      <c r="L85" s="219"/>
      <c r="M85" s="150"/>
      <c r="N85" s="150"/>
      <c r="O85" s="163"/>
      <c r="P85" s="234" t="s">
        <v>689</v>
      </c>
      <c r="Q85" s="234">
        <v>0.1</v>
      </c>
      <c r="R85" s="234">
        <v>0.3</v>
      </c>
      <c r="S85" s="234">
        <v>0.5</v>
      </c>
      <c r="T85" s="234">
        <v>0.7</v>
      </c>
      <c r="U85" s="234">
        <v>1</v>
      </c>
      <c r="V85" s="66"/>
      <c r="W85" s="67"/>
      <c r="X85" s="62"/>
    </row>
    <row r="86" spans="1:24" ht="92.25" customHeight="1">
      <c r="A86" s="293"/>
      <c r="B86" s="161"/>
      <c r="C86" s="161"/>
      <c r="D86" s="161"/>
      <c r="E86" s="178"/>
      <c r="F86" s="178"/>
      <c r="G86" s="177" t="s">
        <v>286</v>
      </c>
      <c r="H86" s="156"/>
      <c r="I86" s="211" t="s">
        <v>690</v>
      </c>
      <c r="J86" s="155" t="s">
        <v>691</v>
      </c>
      <c r="K86" s="150"/>
      <c r="L86" s="219"/>
      <c r="M86" s="150"/>
      <c r="N86" s="150"/>
      <c r="O86" s="163"/>
      <c r="P86" s="66" t="s">
        <v>330</v>
      </c>
      <c r="Q86" s="66" t="s">
        <v>330</v>
      </c>
      <c r="R86" s="66" t="s">
        <v>330</v>
      </c>
      <c r="S86" s="66" t="s">
        <v>330</v>
      </c>
      <c r="T86" s="66" t="s">
        <v>330</v>
      </c>
      <c r="U86" s="66" t="s">
        <v>330</v>
      </c>
      <c r="V86" s="66"/>
      <c r="W86" s="67"/>
      <c r="X86" s="62"/>
    </row>
    <row r="87" spans="1:24" ht="91.5" customHeight="1">
      <c r="A87" s="293"/>
      <c r="B87" s="161"/>
      <c r="C87" s="161"/>
      <c r="D87" s="161"/>
      <c r="E87" s="178"/>
      <c r="F87" s="178"/>
      <c r="G87" s="177" t="s">
        <v>288</v>
      </c>
      <c r="H87" s="167"/>
      <c r="I87" s="210" t="s">
        <v>289</v>
      </c>
      <c r="J87" s="155" t="s">
        <v>692</v>
      </c>
      <c r="K87" s="150"/>
      <c r="L87" s="219"/>
      <c r="M87" s="150"/>
      <c r="N87" s="150"/>
      <c r="O87" s="163"/>
      <c r="P87" s="66">
        <v>0</v>
      </c>
      <c r="Q87" s="66">
        <v>0</v>
      </c>
      <c r="R87" s="66">
        <v>20</v>
      </c>
      <c r="S87" s="66">
        <v>20</v>
      </c>
      <c r="T87" s="66">
        <v>10</v>
      </c>
      <c r="U87" s="66">
        <v>50</v>
      </c>
      <c r="V87" s="66"/>
      <c r="W87" s="67"/>
      <c r="X87" s="62"/>
    </row>
    <row r="88" spans="1:24" ht="15.75" customHeight="1">
      <c r="A88" s="62"/>
      <c r="B88" s="68"/>
      <c r="C88" s="68"/>
      <c r="D88" s="68"/>
      <c r="E88" s="126"/>
      <c r="F88" s="126"/>
      <c r="G88" s="68"/>
      <c r="H88" s="126"/>
      <c r="I88" s="126"/>
      <c r="J88" s="62"/>
      <c r="K88" s="84"/>
      <c r="L88" s="126"/>
      <c r="M88" s="62"/>
      <c r="N88" s="62"/>
      <c r="O88" s="62"/>
      <c r="P88" s="62"/>
      <c r="Q88" s="62"/>
      <c r="R88" s="62"/>
      <c r="S88" s="62"/>
      <c r="T88" s="62"/>
      <c r="U88" s="62"/>
      <c r="V88" s="62"/>
      <c r="W88" s="62"/>
      <c r="X88" s="62"/>
    </row>
  </sheetData>
  <mergeCells count="117">
    <mergeCell ref="G33:G34"/>
    <mergeCell ref="I37:I38"/>
    <mergeCell ref="I33:I34"/>
    <mergeCell ref="F33:F34"/>
    <mergeCell ref="G37:G38"/>
    <mergeCell ref="H37:H38"/>
    <mergeCell ref="H2:H6"/>
    <mergeCell ref="H7:H11"/>
    <mergeCell ref="H12:H16"/>
    <mergeCell ref="H17:H21"/>
    <mergeCell ref="H23:H24"/>
    <mergeCell ref="H25:H26"/>
    <mergeCell ref="H30:H32"/>
    <mergeCell ref="H33:H34"/>
    <mergeCell ref="O23:O24"/>
    <mergeCell ref="O30:O32"/>
    <mergeCell ref="O2:O6"/>
    <mergeCell ref="O7:O11"/>
    <mergeCell ref="O12:O16"/>
    <mergeCell ref="O17:O21"/>
    <mergeCell ref="O25:O26"/>
    <mergeCell ref="O33:O34"/>
    <mergeCell ref="O37:O38"/>
    <mergeCell ref="A41:A87"/>
    <mergeCell ref="I2:I6"/>
    <mergeCell ref="G2:G6"/>
    <mergeCell ref="B2:B6"/>
    <mergeCell ref="I23:I24"/>
    <mergeCell ref="G23:G24"/>
    <mergeCell ref="G25:G26"/>
    <mergeCell ref="I25:I26"/>
    <mergeCell ref="E30:E32"/>
    <mergeCell ref="G30:G32"/>
    <mergeCell ref="C30:C32"/>
    <mergeCell ref="B30:B32"/>
    <mergeCell ref="I30:I32"/>
    <mergeCell ref="G12:G16"/>
    <mergeCell ref="I17:I21"/>
    <mergeCell ref="G17:G21"/>
    <mergeCell ref="C7:C11"/>
    <mergeCell ref="C12:C16"/>
    <mergeCell ref="C17:C21"/>
    <mergeCell ref="I7:I11"/>
    <mergeCell ref="G7:G11"/>
    <mergeCell ref="I12:I16"/>
    <mergeCell ref="E12:E16"/>
    <mergeCell ref="E23:E24"/>
    <mergeCell ref="C2:C6"/>
    <mergeCell ref="E17:E21"/>
    <mergeCell ref="B17:B21"/>
    <mergeCell ref="A2:A22"/>
    <mergeCell ref="A23:A40"/>
    <mergeCell ref="B12:B16"/>
    <mergeCell ref="B7:B11"/>
    <mergeCell ref="D30:D32"/>
    <mergeCell ref="B23:B24"/>
    <mergeCell ref="C23:C24"/>
    <mergeCell ref="D23:D24"/>
    <mergeCell ref="B25:B26"/>
    <mergeCell ref="C25:C26"/>
    <mergeCell ref="D25:D26"/>
    <mergeCell ref="B37:B38"/>
    <mergeCell ref="C37:C38"/>
    <mergeCell ref="E2:E6"/>
    <mergeCell ref="E7:E11"/>
    <mergeCell ref="E25:E26"/>
    <mergeCell ref="B33:B34"/>
    <mergeCell ref="C33:C34"/>
    <mergeCell ref="D33:D34"/>
    <mergeCell ref="D2:D6"/>
    <mergeCell ref="D7:D11"/>
    <mergeCell ref="D12:D16"/>
    <mergeCell ref="D17:D21"/>
    <mergeCell ref="F2:F6"/>
    <mergeCell ref="F7:F11"/>
    <mergeCell ref="F12:F16"/>
    <mergeCell ref="F17:F21"/>
    <mergeCell ref="D37:D38"/>
    <mergeCell ref="F23:F24"/>
    <mergeCell ref="F25:F26"/>
    <mergeCell ref="F30:F32"/>
    <mergeCell ref="E33:E34"/>
    <mergeCell ref="E37:E38"/>
    <mergeCell ref="F37:F38"/>
    <mergeCell ref="G42:G43"/>
    <mergeCell ref="I42:I43"/>
    <mergeCell ref="G48:G49"/>
    <mergeCell ref="I48:I49"/>
    <mergeCell ref="G50:G51"/>
    <mergeCell ref="I50:I51"/>
    <mergeCell ref="G52:G53"/>
    <mergeCell ref="I52:I53"/>
    <mergeCell ref="I44:I45"/>
    <mergeCell ref="G44:G45"/>
    <mergeCell ref="H42:H43"/>
    <mergeCell ref="H44:H45"/>
    <mergeCell ref="H48:H49"/>
    <mergeCell ref="H50:H51"/>
    <mergeCell ref="H52:H53"/>
    <mergeCell ref="G74:G75"/>
    <mergeCell ref="I74:I75"/>
    <mergeCell ref="I55:I56"/>
    <mergeCell ref="G57:G58"/>
    <mergeCell ref="I57:I58"/>
    <mergeCell ref="G63:G64"/>
    <mergeCell ref="I63:I64"/>
    <mergeCell ref="G67:G68"/>
    <mergeCell ref="I67:I68"/>
    <mergeCell ref="I61:I62"/>
    <mergeCell ref="G61:G62"/>
    <mergeCell ref="G55:G56"/>
    <mergeCell ref="H55:H56"/>
    <mergeCell ref="H57:H58"/>
    <mergeCell ref="H61:H62"/>
    <mergeCell ref="H63:H64"/>
    <mergeCell ref="H67:H68"/>
    <mergeCell ref="H74:H75"/>
  </mergeCells>
  <phoneticPr fontId="34" type="noConversion"/>
  <dataValidations count="1">
    <dataValidation showInputMessage="1" showErrorMessage="1" error=" " promptTitle="Lookup (required)" prompt="This Indicator record must already exist in Microsoft Dynamics 365 or in this source file." sqref="J71" xr:uid="{1CECDA0E-6DDA-4C5F-926E-4A062FB2CFBB}"/>
  </dataValidations>
  <hyperlinks>
    <hyperlink ref="K29" r:id="rId1" xr:uid="{D3EDF476-0BCA-4D8F-8843-22AC5629C365}"/>
    <hyperlink ref="L29" r:id="rId2" xr:uid="{68E727E5-2E4B-4C7F-9E69-46D28CF6D95E}"/>
    <hyperlink ref="M29" r:id="rId3" xr:uid="{0C118180-A9C2-488B-A2E7-C034AE5411CE}"/>
  </hyperlinks>
  <pageMargins left="0.7" right="0.7" top="0.75" bottom="0.75" header="0.3" footer="0.3"/>
  <pageSetup paperSize="9" orientation="portrait" horizontalDpi="300" verticalDpi="0" r:id="rId4"/>
  <legacy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topLeftCell="A22" workbookViewId="0"/>
  </sheetViews>
  <sheetFormatPr defaultColWidth="12.7109375" defaultRowHeight="15.75" customHeight="1"/>
  <cols>
    <col min="1" max="1" width="12.85546875" customWidth="1"/>
    <col min="2" max="2" width="71" customWidth="1"/>
  </cols>
  <sheetData>
    <row r="1" spans="1:2" ht="13.15">
      <c r="A1" s="73"/>
      <c r="B1" s="74" t="s">
        <v>693</v>
      </c>
    </row>
    <row r="2" spans="1:2" ht="52.9">
      <c r="A2" s="75" t="s">
        <v>54</v>
      </c>
      <c r="B2" s="36" t="s">
        <v>694</v>
      </c>
    </row>
    <row r="3" spans="1:2" ht="132.6" customHeight="1">
      <c r="A3" s="76" t="s">
        <v>145</v>
      </c>
      <c r="B3" s="59" t="s">
        <v>695</v>
      </c>
    </row>
    <row r="4" spans="1:2" ht="13.15">
      <c r="A4" s="72"/>
      <c r="B4" s="38"/>
    </row>
    <row r="5" spans="1:2" ht="13.15">
      <c r="A5" s="72"/>
      <c r="B5" s="38"/>
    </row>
    <row r="6" spans="1:2" ht="13.15">
      <c r="A6" s="72"/>
      <c r="B6" s="38"/>
    </row>
    <row r="7" spans="1:2" ht="13.15">
      <c r="A7" s="72"/>
      <c r="B7" s="38"/>
    </row>
    <row r="8" spans="1:2" ht="13.15">
      <c r="A8" s="72"/>
      <c r="B8" s="38"/>
    </row>
    <row r="9" spans="1:2" ht="13.15">
      <c r="A9" s="72"/>
      <c r="B9" s="38"/>
    </row>
    <row r="10" spans="1:2" ht="13.15">
      <c r="A10" s="72"/>
      <c r="B10" s="38"/>
    </row>
    <row r="11" spans="1:2" ht="13.15">
      <c r="A11" s="72"/>
      <c r="B11" s="38"/>
    </row>
    <row r="12" spans="1:2" ht="13.15">
      <c r="A12" s="72"/>
      <c r="B12" s="38"/>
    </row>
    <row r="13" spans="1:2" ht="13.15">
      <c r="A13" s="72"/>
      <c r="B13" s="38"/>
    </row>
    <row r="14" spans="1:2" ht="13.15">
      <c r="A14" s="77"/>
      <c r="B14"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MENARD MBENDE</dc:creator>
  <cp:keywords/>
  <dc:description/>
  <cp:lastModifiedBy>MENARD MBENDE</cp:lastModifiedBy>
  <cp:revision/>
  <dcterms:created xsi:type="dcterms:W3CDTF">2025-05-16T10:16:33Z</dcterms:created>
  <dcterms:modified xsi:type="dcterms:W3CDTF">2026-04-30T08:40:49Z</dcterms:modified>
  <cp:category/>
  <cp:contentStatus/>
</cp:coreProperties>
</file>