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wwfint-my.sharepoint.com/personal/pkahuho_wwfint_org/Documents/1. CB OSP Workshop/3. DRC OSP Files/DRC OSP Files/DRC OSP Files_22_07_25/"/>
    </mc:Choice>
  </mc:AlternateContent>
  <xr:revisionPtr revIDLastSave="8" documentId="13_ncr:1_{42BBF2D6-7655-4A44-B00B-EAE346CFBD94}" xr6:coauthVersionLast="47" xr6:coauthVersionMax="47" xr10:uidLastSave="{C12798C7-D2CD-4587-BA78-24F179370B56}"/>
  <bookViews>
    <workbookView xWindow="22932" yWindow="-3024" windowWidth="30936" windowHeight="16776" firstSheet="3" activeTab="4" xr2:uid="{00000000-000D-0000-FFFF-FFFF00000000}"/>
  </bookViews>
  <sheets>
    <sheet name="OSP Vision &amp; Scope" sheetId="1" r:id="rId1"/>
    <sheet name="Conservation Focus &amp; Goals" sheetId="2" r:id="rId2"/>
    <sheet name="Resource Acquisition Priorities" sheetId="3" r:id="rId3"/>
    <sheet name="OSP M&amp;E Plan" sheetId="5" r:id="rId4"/>
    <sheet name="Organisational Management Prior"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5" l="1"/>
  <c r="G20" i="5"/>
  <c r="H20" i="5"/>
  <c r="I20" i="5"/>
  <c r="J20" i="5"/>
  <c r="E20" i="5"/>
</calcChain>
</file>

<file path=xl/sharedStrings.xml><?xml version="1.0" encoding="utf-8"?>
<sst xmlns="http://schemas.openxmlformats.org/spreadsheetml/2006/main" count="511" uniqueCount="382">
  <si>
    <t>Read Me First</t>
  </si>
  <si>
    <t>Office Name</t>
  </si>
  <si>
    <t>Please enter the Name of your office</t>
  </si>
  <si>
    <t>WWF Democratic Republic of the Congo</t>
  </si>
  <si>
    <t>Countries of Operations</t>
  </si>
  <si>
    <t>Please list the name of countries your office will officially operate under the OSP</t>
  </si>
  <si>
    <t>Democratic Republic of the Congo</t>
  </si>
  <si>
    <t>OSP Duration</t>
  </si>
  <si>
    <t xml:space="preserve">Please indicate the duration of OSP. The standard duration of OSP is 5 years. 
</t>
  </si>
  <si>
    <t xml:space="preserve">FROM: </t>
  </si>
  <si>
    <t>FY2026</t>
  </si>
  <si>
    <t xml:space="preserve">TO: </t>
  </si>
  <si>
    <t>FY2030</t>
  </si>
  <si>
    <t>Vision Statement</t>
  </si>
  <si>
    <t>Please enter the narrative vision statement for OSP.
Max 100 words.</t>
  </si>
  <si>
    <r>
      <rPr>
        <b/>
        <sz val="10"/>
        <color rgb="FF000000"/>
        <rFont val="Arial"/>
        <family val="2"/>
        <scheme val="minor"/>
      </rPr>
      <t>Vision :</t>
    </r>
    <r>
      <rPr>
        <sz val="10"/>
        <color rgb="FF000000"/>
        <rFont val="Arial"/>
        <family val="2"/>
        <scheme val="minor"/>
      </rPr>
      <t xml:space="preserve"> </t>
    </r>
    <r>
      <rPr>
        <i/>
        <sz val="10"/>
        <color rgb="FF000000"/>
        <rFont val="Arial"/>
        <family val="2"/>
        <scheme val="minor"/>
      </rPr>
      <t xml:space="preserve">The DRC's unique Biodiversity is viable, resilient and contributes to the well-being of Indigenous Peoples &amp; Local Communities and the Congolese people of the DRC as a whole.
</t>
    </r>
    <r>
      <rPr>
        <sz val="10"/>
        <color rgb="FF000000"/>
        <rFont val="Arial"/>
        <family val="2"/>
        <scheme val="minor"/>
      </rPr>
      <t xml:space="preserve">
This vision is in line with national policy with regard to the sustainable management of ecosystems, the fight against climate change, and the satisfaction of people's needs.
</t>
    </r>
    <r>
      <rPr>
        <b/>
        <u/>
        <sz val="10"/>
        <color rgb="FF000000"/>
        <rFont val="Arial"/>
        <family val="2"/>
        <scheme val="minor"/>
      </rPr>
      <t xml:space="preserve">KEY TERMS
</t>
    </r>
    <r>
      <rPr>
        <b/>
        <sz val="10"/>
        <color rgb="FF000000"/>
        <rFont val="Arial"/>
        <family val="2"/>
        <scheme val="minor"/>
      </rPr>
      <t>Biodiversity:</t>
    </r>
    <r>
      <rPr>
        <sz val="10"/>
        <color rgb="FF000000"/>
        <rFont val="Arial"/>
        <family val="2"/>
        <scheme val="minor"/>
      </rPr>
      <t xml:space="preserve"> In the context of our vision, biodiversity essentially concerns forests, wildlife, peatlands and so on.
</t>
    </r>
    <r>
      <rPr>
        <b/>
        <sz val="10"/>
        <color rgb="FF000000"/>
        <rFont val="Arial"/>
        <family val="2"/>
        <scheme val="minor"/>
      </rPr>
      <t>Viability</t>
    </r>
    <r>
      <rPr>
        <sz val="10"/>
        <color rgb="FF000000"/>
        <rFont val="Arial"/>
        <family val="2"/>
        <scheme val="minor"/>
      </rPr>
      <t xml:space="preserve"> describes perpetuity, resilience to climate change, extractive industries and all forms of threats.
According to the Millennium Ecosystem Assessment, </t>
    </r>
    <r>
      <rPr>
        <b/>
        <sz val="10"/>
        <color rgb="FF000000"/>
        <rFont val="Arial"/>
        <family val="2"/>
        <scheme val="minor"/>
      </rPr>
      <t xml:space="preserve">well-being </t>
    </r>
    <r>
      <rPr>
        <sz val="10"/>
        <color rgb="FF000000"/>
        <rFont val="Arial"/>
        <family val="2"/>
        <scheme val="minor"/>
      </rPr>
      <t>refers to the health and safety of populations, the essential elements for a satisfying life, and social and cultural relations.</t>
    </r>
  </si>
  <si>
    <t>Conservation / Human Wellbeing Focus/Focal Interest</t>
  </si>
  <si>
    <t>Description</t>
  </si>
  <si>
    <t>Key Ecological / Human Wellbeing Attribute</t>
  </si>
  <si>
    <t>Relevant Geographic Scope</t>
  </si>
  <si>
    <t>Relevant Thematic Scope</t>
  </si>
  <si>
    <t>OSP Goal Short Name</t>
  </si>
  <si>
    <t>OSP Goal Statement</t>
  </si>
  <si>
    <t>Global or Regional Goal Alignment</t>
  </si>
  <si>
    <t>READ Me First</t>
  </si>
  <si>
    <r>
      <rPr>
        <i/>
        <sz val="10"/>
        <color rgb="FF980000"/>
        <rFont val="Arial"/>
        <family val="2"/>
      </rPr>
      <t xml:space="preserve">Please list each conservation and/or human well-being focus / focal interest. 
Conservation Focus/Focal Interests can be focal species or habitats/ ecological systems. 
Human Wellbeing Focus/Focal Interests can be those component of human wellbeing affected by the status of biodiversity focal interests (material and non-material benefits obtained by ecosystem.
See </t>
    </r>
    <r>
      <rPr>
        <i/>
        <u/>
        <sz val="10"/>
        <color rgb="FF1155CC"/>
        <rFont val="Arial"/>
        <family val="2"/>
      </rPr>
      <t>Guidance by PPMS Step - Element 1.2</t>
    </r>
  </si>
  <si>
    <t xml:space="preserve">For each conservation focal interest, provide short description of why it is critical in the context of this OSP (max 200 words).
 </t>
  </si>
  <si>
    <t>Describe what aspect of a focal interest that defines good health and if lost or altered, would lead to the outright loss or extreme degradation of the focal interest over time.</t>
  </si>
  <si>
    <r>
      <rPr>
        <i/>
        <sz val="10"/>
        <color rgb="FF980000"/>
        <rFont val="Arial"/>
        <family val="2"/>
      </rPr>
      <t xml:space="preserve">"For each Conservation Focus, please define the geographic scope by selecting the relevant operational land/seascapes.
Please select relevant landscape from the </t>
    </r>
    <r>
      <rPr>
        <i/>
        <u/>
        <sz val="10"/>
        <color rgb="FF1155CC"/>
        <rFont val="Arial"/>
        <family val="2"/>
      </rPr>
      <t>Global Landscape Database</t>
    </r>
    <r>
      <rPr>
        <i/>
        <sz val="10"/>
        <color rgb="FF980000"/>
        <rFont val="Arial"/>
        <family val="2"/>
      </rPr>
      <t xml:space="preserve"> 
All land/seascapes must must apply ESSF (See </t>
    </r>
    <r>
      <rPr>
        <i/>
        <u/>
        <sz val="10"/>
        <color rgb="FF1155CC"/>
        <rFont val="Arial"/>
        <family val="2"/>
      </rPr>
      <t>Network Standards on the Environmental and Social Safeguard</t>
    </r>
    <r>
      <rPr>
        <i/>
        <sz val="10"/>
        <color rgb="FF980000"/>
        <rFont val="Arial"/>
        <family val="2"/>
      </rPr>
      <t xml:space="preserve">).
See Guidance on </t>
    </r>
    <r>
      <rPr>
        <i/>
        <u/>
        <sz val="10"/>
        <color rgb="FF1155CC"/>
        <rFont val="Arial"/>
        <family val="2"/>
      </rPr>
      <t>landscape definition</t>
    </r>
    <r>
      <rPr>
        <i/>
        <sz val="10"/>
        <color rgb="FF980000"/>
        <rFont val="Arial"/>
        <family val="2"/>
      </rPr>
      <t xml:space="preserve"> </t>
    </r>
  </si>
  <si>
    <t xml:space="preserve">For each Conservation Focus, please list the thematic scope by selecting the relevant Practice. 
</t>
  </si>
  <si>
    <t>Give a short name for the OSP Goal
Max 20 words.</t>
  </si>
  <si>
    <r>
      <rPr>
        <i/>
        <sz val="10"/>
        <color rgb="FF980000"/>
        <rFont val="Arial"/>
        <family val="2"/>
      </rPr>
      <t xml:space="preserve">Conservation Goals describes an aspect of a conservation focus that defines good health and if missing or altered, would lead to the outright loss or extreme degradation of the focal interest over time.
Max 100 words
See </t>
    </r>
    <r>
      <rPr>
        <i/>
        <u/>
        <sz val="10"/>
        <color rgb="FF1155CC"/>
        <rFont val="Arial"/>
        <family val="2"/>
      </rPr>
      <t>Guidance by PPMS Step - Element 2.1</t>
    </r>
    <r>
      <rPr>
        <i/>
        <sz val="10"/>
        <color rgb="FF980000"/>
        <rFont val="Arial"/>
        <family val="2"/>
      </rPr>
      <t xml:space="preserve">
</t>
    </r>
  </si>
  <si>
    <t xml:space="preserve">If the OSP Goal Statement is exactly the same or adopted from the Global or Regional Goals without changing the scope, please indicate the original Global or Regional Goal statement here. 
Please refer to the Roadmap 2030 and/or new regional strategic plan when available. </t>
  </si>
  <si>
    <t>Example</t>
  </si>
  <si>
    <t>Coral Reef</t>
  </si>
  <si>
    <t>Coral reefs protect Alfa and Beta coastlines from storms while providing local communities a source of food. Coral reefs is also a habitat for 200 species.</t>
  </si>
  <si>
    <t>Area of coral reef (size)</t>
  </si>
  <si>
    <t>- Beta seascape (KEN013)
- Alfa seascape (ARG123)</t>
  </si>
  <si>
    <t>Ocean</t>
  </si>
  <si>
    <t xml:space="preserve">Live coral reef covers at least 25% of the reef within the priority coastal seascapes in country Y. </t>
  </si>
  <si>
    <t>Elephants</t>
  </si>
  <si>
    <t>Population Size (N)</t>
  </si>
  <si>
    <t>PNS</t>
  </si>
  <si>
    <t>Wildlife</t>
  </si>
  <si>
    <t>Elephant Population</t>
  </si>
  <si>
    <t>By 2035, the number of individual elephants in priority landscapes is stabilized compared to the 2026 baseline</t>
  </si>
  <si>
    <t xml:space="preserve">Thriving Biodiversity </t>
  </si>
  <si>
    <t>Bonobos</t>
  </si>
  <si>
    <t xml:space="preserve">PNS, LTMN, </t>
  </si>
  <si>
    <t>Bonobos Population</t>
  </si>
  <si>
    <t>By 2035, the number of Bonobos in targeted landscapes is stabilized compared to the 2026 baseline.</t>
  </si>
  <si>
    <t>Lowland Gorillas</t>
  </si>
  <si>
    <t xml:space="preserve"> Virunga-Itombwe</t>
  </si>
  <si>
    <t>Lowland Gorillas Population</t>
  </si>
  <si>
    <t>By 2035, the number of East  lowland gorillas in targeted landscapes is stabilized compared to the 2024 baseline.</t>
  </si>
  <si>
    <t>Chimpanzees</t>
  </si>
  <si>
    <t>Mayombe-Mangroves, LTMN</t>
  </si>
  <si>
    <t>Chimpanzees Population</t>
  </si>
  <si>
    <t>By 2035, the number of chimpanzees in  targeted landscapes is stabilized compared to the 2024 baseline.</t>
  </si>
  <si>
    <t>High-value conservation (HCV) forest</t>
  </si>
  <si>
    <t>HCV Forest Intactness</t>
  </si>
  <si>
    <t>PNS, Virunga-Itombwe, Mayombe-Mangroves (and LTMN)</t>
  </si>
  <si>
    <t>Forest</t>
  </si>
  <si>
    <t>By 2035, at least 90% of the targeted high-value conservation forest in targeted  landscapes is kept intact compared to the 2025 baseline.</t>
  </si>
  <si>
    <t>Reducing emmissions and Bulding resilience to climate change; transitioning food &amp; Agricultural systems</t>
  </si>
  <si>
    <t>Dense Forest</t>
  </si>
  <si>
    <t>Dense Forest Intactness</t>
  </si>
  <si>
    <r>
      <t xml:space="preserve">By 2035, </t>
    </r>
    <r>
      <rPr>
        <sz val="11"/>
        <color theme="1"/>
        <rFont val="Calibri"/>
        <family val="2"/>
      </rPr>
      <t>dense forests in the targeted landscapes is maintained 95% intact in the targeted PAs, and  in the non-PAs compared to 2020</t>
    </r>
  </si>
  <si>
    <t>Spawning grounds</t>
  </si>
  <si>
    <t>Spawning grounds intactness</t>
  </si>
  <si>
    <t>PNS, Virunga-Itombwe and LTMN</t>
  </si>
  <si>
    <t>Freshwater</t>
  </si>
  <si>
    <t>By 2035, at 90% of targeted spawning areas in priority landscapes are kept intact compared to the 2026 baseline.</t>
  </si>
  <si>
    <t>Reducing emmissions and Bulding resilience to climate change</t>
  </si>
  <si>
    <t>Peatlands</t>
  </si>
  <si>
    <t>Peatlands intactness</t>
  </si>
  <si>
    <t>LTMN</t>
  </si>
  <si>
    <t>By 2035, at least 90% of targeted peatland areas are kept intact compared to the 2026 baseline.</t>
  </si>
  <si>
    <t>Reducing emmissions and Bulding resilience to climate change,transitioning food &amp; Agricultural systems</t>
  </si>
  <si>
    <t>Human Wellbeing</t>
  </si>
  <si>
    <t>Human wellbeing</t>
  </si>
  <si>
    <t>PNS, Virunga-Itombwe, Mayombe-Mangroves and LTMN</t>
  </si>
  <si>
    <t>Human Well Being</t>
  </si>
  <si>
    <t>By 2035, the wellbeing of targeted communities in targeted landscapes is improved by 20% relative to 2025 baseline.</t>
  </si>
  <si>
    <t>Amplifying locally Led conservation</t>
  </si>
  <si>
    <r>
      <rPr>
        <b/>
        <sz val="10"/>
        <color rgb="FFFFFFFF"/>
        <rFont val="Arial"/>
        <family val="2"/>
      </rPr>
      <t xml:space="preserve">Resource Aquisition </t>
    </r>
    <r>
      <rPr>
        <b/>
        <sz val="10"/>
        <color rgb="FFFFFFFF"/>
        <rFont val="Arial"/>
        <family val="2"/>
      </rPr>
      <t>Focus</t>
    </r>
  </si>
  <si>
    <t>Problem Statement</t>
  </si>
  <si>
    <t>Key Attribute</t>
  </si>
  <si>
    <t xml:space="preserve">Identify key resource acquisition areas your office will prioritize, informed by historical financial data, donor mapping and strategic partner/stakeholder mapping, such as donor diversification, private sector engagement, and innovative fundraising models. Assess gaps in current funding streams, target donor segments (e.g., institutional donors, private sector, high-net-worth individuals), and explore new opportunities  for funding expansion. Ensure priority areas are aligned with both immediate funding needs and long-term financial sustainability goals.                                                                                                                                
</t>
  </si>
  <si>
    <t xml:space="preserve">Write a problem statement briefly explaining why this focus area is crucial to your organization's financial health. Briefly outline key challenges your office faces such as over-reliance on a limited donor base, dependence on short-term funding cycles, or insufficient in-country fundraising capacity. Address how these issues hinder your ability to scale projects and secure sustainable, long-term funding, and underscore the need for diversification and growth in your resource acquisition strategy.                                                                     </t>
  </si>
  <si>
    <t>Identify a key attribute critical to each resource acquisition focus, such as income diversification, donor engagement, or capacity building. Consider how ineffective management of this attribute could jeopardize your strategy and negatively impact the long-term sustainability of your funding efforts.</t>
  </si>
  <si>
    <r>
      <rPr>
        <i/>
        <sz val="10"/>
        <color rgb="FF980000"/>
        <rFont val="Arial"/>
        <family val="2"/>
      </rPr>
      <t xml:space="preserve">Specify the geographic scope of your resource acquisition efforts, whether national, regional, or international. Consider focusing on national funding while exploring opportunities in areas with </t>
    </r>
    <r>
      <rPr>
        <i/>
        <sz val="10"/>
        <color rgb="FF980000"/>
        <rFont val="Arial"/>
        <family val="2"/>
      </rPr>
      <t xml:space="preserve">regional, </t>
    </r>
    <r>
      <rPr>
        <i/>
        <sz val="10"/>
        <color rgb="FF980000"/>
        <rFont val="Arial"/>
        <family val="2"/>
      </rPr>
      <t xml:space="preserve">global or high conservation </t>
    </r>
    <r>
      <rPr>
        <i/>
        <sz val="10"/>
        <color rgb="FF980000"/>
        <rFont val="Arial"/>
        <family val="2"/>
      </rPr>
      <t>impact/</t>
    </r>
    <r>
      <rPr>
        <i/>
        <sz val="10"/>
        <color rgb="FF980000"/>
        <rFont val="Arial"/>
        <family val="2"/>
      </rPr>
      <t>value.</t>
    </r>
  </si>
  <si>
    <t>Select the thematic scope for each Resource Acquisition Focus, such as Finance, External Relations, or Partnerships. Ensure it aligns with organizational priorities and supports operational goals.</t>
  </si>
  <si>
    <t>Provide a concise, 20-word name for each Resource Acquisition Focus goal, capturing its purpose (e.g., "Diversify Funding Sources"). This aids communication and aligns with the OSP.</t>
  </si>
  <si>
    <t>In 100 words or less, describe the desired future state of the resource acquisition focus. Outline what success looks like (e.g., financial stability, donor base expansion, innovative funding models). Be specific about outcomes to achieve by 2027, ensuring the goal is SMART (Specific, Measurable, Achievable, Relevant, Time-bound).</t>
  </si>
  <si>
    <t>Donor Concentration</t>
  </si>
  <si>
    <t xml:space="preserve">Over-reliance on a narrow set of international PSP donors has limited WWF XXX flexibility and long-term sustainability. Vulnerable to shortfalls if key donors withdraw. </t>
  </si>
  <si>
    <t>Expanding the donor base across sectors for resilient and flexible funding streams.</t>
  </si>
  <si>
    <t xml:space="preserve">National, with international focus. </t>
  </si>
  <si>
    <t>Finance, External Relations/Partnerships</t>
  </si>
  <si>
    <t>Secure Funds</t>
  </si>
  <si>
    <r>
      <rPr>
        <i/>
        <strike/>
        <sz val="10"/>
        <color rgb="FF0070C0"/>
        <rFont val="Arial"/>
        <family val="2"/>
      </rPr>
      <t xml:space="preserve">
</t>
    </r>
    <r>
      <rPr>
        <i/>
        <sz val="10"/>
        <color rgb="FF0070C0"/>
        <rFont val="Arial"/>
        <family val="2"/>
      </rPr>
      <t>WWF XXX will reduce reliance on PSP sector through diversification of funding streams." That would then lead to a series of outcomes (at current level of detail the outcome would eb the same as the goal), such as; (i) Reliance on PSP has been reduced to 60% of total portfolio value to avoid over concentration; (ii) increase major donor funding proportion from 5% to 15% to offset reliaunce on PSP funding; (iii) increase HNWI donor funding from 0% to 5% to ensure further diversification and creat an additional funding stream." Then, Outputs would be things like; "Hire HNWI expertise to open up opportunites with this donor stream; ." No need for activity level design.</t>
    </r>
  </si>
  <si>
    <t>Donor Diversification</t>
  </si>
  <si>
    <t xml:space="preserve">•        Too much reliance on PSP funding that account for about 93 % of funding portfolio of WWF DRC,  
•        5 PSP mayor donors cover 83 % of funding portfolio of WWF DRC which represent a risk if one of them cancel the funding,
•        Strategic engagement with donor target only one landscape, (Salonga),
•        Low level of commitment to the other protected areas of the DRC WWF landscapes (Ngiri Reserve, Tumba Lediima, Itombwe Reserve) in the past decade,
•        Weak commitment from WWF NOs to invest their own funds in activities in the DRC
</t>
  </si>
  <si>
    <t>Diversify and seek strategic funding</t>
  </si>
  <si>
    <t xml:space="preserve">National and  International focus </t>
  </si>
  <si>
    <t>Resource Mobilization</t>
  </si>
  <si>
    <t xml:space="preserve">Donor Diversification </t>
  </si>
  <si>
    <t>By 2030, WWF-DRC  maintains at least 75% of its current donors and add at least one new PSP donor as well as increase contributions from private donors funding the OSP compared to the 2025 baseline.</t>
  </si>
  <si>
    <t>Long-Term Sustainable Funding</t>
  </si>
  <si>
    <t>Long-term sustainable funding</t>
  </si>
  <si>
    <t>National and landscape level</t>
  </si>
  <si>
    <t>Financial sustainability</t>
  </si>
  <si>
    <t xml:space="preserve">By 2030, WWF DRC has positioned as '' agency of choice '' for at least 50% of donors and Government regarding REDD+, PES and inclusive conservation program in DRC
</t>
  </si>
  <si>
    <t>Strategic Partnerships / Engagement</t>
  </si>
  <si>
    <t xml:space="preserve">
•	Need for more engagement with coalition partners 
•	Need to interact more and more with changed partners to respect environmental and social norms and engage in conservation initiatives
•	Limitation in socio economic expertise especially at the landscape level which required partnership engagement with CSO, NGOs on the related topics
•	For a more inclusive conservation delivery there is need with different types of partners (research, strategic partners, changed partners…)</t>
  </si>
  <si>
    <t xml:space="preserve">Credible partnership </t>
  </si>
  <si>
    <t>Partnership engagement</t>
  </si>
  <si>
    <t> By 2030 WWF DRC is implementing at least two new jointly developed projects with credible (with signed MOU) partners (socio economic, CSO, Conservation NGO) relative to 2024 base line. </t>
  </si>
  <si>
    <t>In-Country Fundraising Capacity</t>
  </si>
  <si>
    <t xml:space="preserve">•	Absence of dedicated fundraising staff , 	Ineffective communication between WWF DRC and donors leading to poor understanding of WWF DRC delivering.
•	Poor quality of report causing lack of trust, ineffective donors stewardship and reduced funding.
•	Failure to meet with donors’ timeline and deliverables impacting donors' stewardship.  </t>
  </si>
  <si>
    <t>Fundraising capacity</t>
  </si>
  <si>
    <t>Fundraising capacity and Effective donors stewardship</t>
  </si>
  <si>
    <t>By 2030, WWF DRC with a dedicated Resources Acquisition staff is compliant with 100% donor’s requirements which increase trust for long term fundin</t>
  </si>
  <si>
    <t>OSP M&amp;E plan</t>
  </si>
  <si>
    <t>#</t>
  </si>
  <si>
    <t>Goal Name</t>
  </si>
  <si>
    <t>Indicators</t>
  </si>
  <si>
    <t>Baseline</t>
  </si>
  <si>
    <t>Year 1
Target</t>
  </si>
  <si>
    <t>Year 2
Target</t>
  </si>
  <si>
    <t>Year 3
Target</t>
  </si>
  <si>
    <t>Year 4
Target</t>
  </si>
  <si>
    <t>End Line Target</t>
  </si>
  <si>
    <t>Assumptions</t>
  </si>
  <si>
    <t>Means of Verification</t>
  </si>
  <si>
    <t>Data Collection Tool</t>
  </si>
  <si>
    <t>Frequency of Measurement</t>
  </si>
  <si>
    <t>OSP Conservation Goals</t>
  </si>
  <si>
    <t>Number of individual elephants</t>
  </si>
  <si>
    <t>1. No sudden environmental disturbances that could lead to mortality of elephants
2. Government policies remain in favour of endangered and protected species</t>
  </si>
  <si>
    <t>Elephant Survey data</t>
  </si>
  <si>
    <t>Line transect distance sampling , Camera trap distance sampling, eDNA Capture-Recapture</t>
  </si>
  <si>
    <t>Endline</t>
  </si>
  <si>
    <t>Number of elephants per surface area in sqkm</t>
  </si>
  <si>
    <t>Elephant Survey database</t>
  </si>
  <si>
    <t>Line transect distance sampling , Camera trap distance sampling, DNA Capture-Recapture</t>
  </si>
  <si>
    <t>Number of sightings of elephants in an area per unit of sampling distance in km</t>
  </si>
  <si>
    <t>TBD</t>
  </si>
  <si>
    <t>Line transect distance sampling , Reconnaissance survey</t>
  </si>
  <si>
    <t>Midline/endline</t>
  </si>
  <si>
    <t>Proportion of area occupied by elephants in an area</t>
  </si>
  <si>
    <t>Line transect distance sampling , Camera trap occupancy</t>
  </si>
  <si>
    <t>Number of independent detection events of elephants captured with camera traps per unit of sampling day</t>
  </si>
  <si>
    <t>Camera trap occupancy, camera trap reconnaissance survey</t>
  </si>
  <si>
    <t>By 2035, the number of Bonobos in targeted landscapes is stabilized  compared to the 2026 baseline.</t>
  </si>
  <si>
    <t>Number of individual Bonobos</t>
  </si>
  <si>
    <t>12595 individual (SNP) and 4000 individual (LTMN)</t>
  </si>
  <si>
    <t>12596 individual (SNP) and 4000 individual (LTMN)</t>
  </si>
  <si>
    <t>12597 individual (SNP) and 4000 individual (LTMN)</t>
  </si>
  <si>
    <t>12598 individual (SNP) and 4000 individual (LTMN)</t>
  </si>
  <si>
    <t>12599 individual (SNP) and 4000 individual (LTMN)</t>
  </si>
  <si>
    <t>12600 individual (SNP) and 4000 individual (LTMN)</t>
  </si>
  <si>
    <t>1. No sudden environmental and/or zoonotic disturbances that could lead to mortality of Bonobos apes
2. Government policies remain in favour of endangered and protected species</t>
  </si>
  <si>
    <t>Great apes Survey Data (With validated analyses and report)</t>
  </si>
  <si>
    <t>Line Transect Distance Sampling, Camera Trap Distance Sampling, DNA Capture-Recapture</t>
  </si>
  <si>
    <t>Proportion of area occupied by bonobos in an area</t>
  </si>
  <si>
    <t>Number of sightings of Bonobos in an area per unit of sampling distance in km</t>
  </si>
  <si>
    <t>Line Transect Distance Sampling, Walk Reconnaissance Survey</t>
  </si>
  <si>
    <t>Proportion of surface area occupied by Bonobos in an area</t>
  </si>
  <si>
    <t>Line Transect Distance Sampling, Camera Trap Occupancy</t>
  </si>
  <si>
    <t>Number of independent detection events of Bonobos captured with camera traps per unit of sampling day</t>
  </si>
  <si>
    <t>Camera Trap Occupancy, Camera Trap Reconnaissance survey</t>
  </si>
  <si>
    <t>By 2035, the number of East lowland gorillas in targeted landscapes is stabilized compared to the 2024 baseline.</t>
  </si>
  <si>
    <t>Number of individual East  lowland gorillas</t>
  </si>
  <si>
    <t>1. No sudden environmental and/or zoonotic disturbances that could lead to mortality of lowland Gorillas
2. Government policies remain in favour of endangered and protected species</t>
  </si>
  <si>
    <t>Proportion of area occupied by East  lowland gorillas in an area</t>
  </si>
  <si>
    <t>Number of sightings of East  lowland gorillas in an area per unit of sampling distance in km</t>
  </si>
  <si>
    <t>Proportion of surface area occupied by lowland gorillas in an area</t>
  </si>
  <si>
    <t>Number of independent detection events of lowland gorillas captured with camera traps per unit of sampling day</t>
  </si>
  <si>
    <t>Number of individual chimpanzees</t>
  </si>
  <si>
    <t>1. No sudden environmental and/or zoonotic disturbances that could lead to mortality of Chimpanzees 
2. Government policies remain in favour of endangered and protected species                                  31 reflects the numbers for one landscape. If others are to be added it needs to be checked that they add up</t>
  </si>
  <si>
    <t>Proportion of area occupied by chimpanzees in an area</t>
  </si>
  <si>
    <t>Number of sightings of chimpanzees in an area per unit of sampling distance in km</t>
  </si>
  <si>
    <t>Proportion of surface area occupied by chimpanzees in an area</t>
  </si>
  <si>
    <t>Number of independent detection events of Chimpanzees captured with camera traps per unit of sampling day</t>
  </si>
  <si>
    <t>% of HCV forest that is kept intact</t>
  </si>
  <si>
    <t>100% (SNP) and       100% CFCL(SNP)</t>
  </si>
  <si>
    <t>100% (PNS); 98% CFCL</t>
  </si>
  <si>
    <t>100% (PNS); 96% CFCL</t>
  </si>
  <si>
    <t>100% (PNS); 94% CFCL</t>
  </si>
  <si>
    <t>100% (PNS); 92% CFCL</t>
  </si>
  <si>
    <t>100% (PNS); 90% CFCL</t>
  </si>
  <si>
    <t>1. No sudden environmental disturbances that could lead to additional clearance of HCV forest surface</t>
  </si>
  <si>
    <t>Clearing and other HCVs, monitoring database</t>
  </si>
  <si>
    <t>Data collection through camera traps and permanent presence  of biomonitoring teams: Records on the size of the sites, the species present, the number of individuals visiting per species, the period of visit of species, etc.</t>
  </si>
  <si>
    <t xml:space="preserve">Endline </t>
  </si>
  <si>
    <t>Rate of use of HCV forest clearings of wildlife</t>
  </si>
  <si>
    <t>Data collection through camera traps and permanent presence  of biomonitoring teams: Records on the size of the sites, the species present, the number of individuals visiting per species, the period of visit of species, etc. 
Rate of use: Average number of visits per species / day over one year</t>
  </si>
  <si>
    <t>Annual</t>
  </si>
  <si>
    <t>By 2035,  dense forests in the targeted landscapes is maintained 95% intact in the targeted PAs, and  in the non-PAs compared to 2020</t>
  </si>
  <si>
    <t>Number of hectares of targeted forests maintained intact in PAs</t>
  </si>
  <si>
    <t>3334620 ha (SNP)</t>
  </si>
  <si>
    <t>1. No sudden environmental disturbances that could lead to additional clearance of dense forest surface</t>
  </si>
  <si>
    <t>Land cover monitoring data</t>
  </si>
  <si>
    <t>Remote sensing</t>
  </si>
  <si>
    <t>Number of ha of targeted forests maintained intact in Non-PAs</t>
  </si>
  <si>
    <t>Number of tone of above ground carbon dioxide (Co2) Stocked</t>
  </si>
  <si>
    <t>Carbon stock study database</t>
  </si>
  <si>
    <t>Field based study combined with remote sensing</t>
  </si>
  <si>
    <t>Percent of the targeted spawning areas kept intact</t>
  </si>
  <si>
    <t>1. Pollution, Climate conditions and other environmental hazards do not destroy the spawning areas</t>
  </si>
  <si>
    <t>Percent of targeted peatland maintained intact</t>
  </si>
  <si>
    <t>Pollution, Climatic hazards, and other environmental hazards do not destroy the peatlands areas</t>
  </si>
  <si>
    <t>Peatland cover monitoring database</t>
  </si>
  <si>
    <t>Peatland cover monitoring, 
Remote sensing</t>
  </si>
  <si>
    <t>Wellbeing score</t>
  </si>
  <si>
    <t>Environnement favorable et disponibilité des ressources,There are no major conflicts, displacements, or political interference that would disrupt livelihoods, services, or community cohesion.</t>
  </si>
  <si>
    <t>Wellbeing survey data (with linked database)</t>
  </si>
  <si>
    <t>Socioeconomic survey related to wellbeing aspects supported.</t>
  </si>
  <si>
    <t>Enquêtes</t>
  </si>
  <si>
    <t>OSP Resource Acquisition Goals</t>
  </si>
  <si>
    <t>By 2030, WWF DRC has a diversified and sustainable funding base for delivering the Strategic Plan, supported by in-house capacity and leveraging the localisation agenda</t>
  </si>
  <si>
    <t>Increase of funding by at least 30% relative to the 2021-2025 (OSP) baseline.</t>
  </si>
  <si>
    <t>52M$</t>
  </si>
  <si>
    <t>16M$</t>
  </si>
  <si>
    <t>32M$</t>
  </si>
  <si>
    <t>48M$</t>
  </si>
  <si>
    <t>63M$</t>
  </si>
  <si>
    <t>67.6M$</t>
  </si>
  <si>
    <t>(i)Donor interest in biodiversity, climate, and nature-based solutions remains strong until 2030. (ii) The political and institutional environment in DRC continues to allow international NGO operations and donor engagement. (iii) WWF-DRC maintains a strong reputation and trust among key partners and donors. (iv) The localisation agenda gains traction with donors, favoring in-country funding mechanisms. (v) Internal WWF-DRC teams remain stable, skilled, and sufficiently resourced to manage complex, multi-donor programs.</t>
  </si>
  <si>
    <t xml:space="preserve">(i)KPI reports (including analysis of donor diversification and funding trends, and in-country funding localization initiative ), (ii)  Donor contracts and MoUs signed with new funding partners, (iii)Organizational capacity assessment reports (e.g., HR, grant management, QA systems), (iv) Funding Grip analysis and reports with funding gap tracking,(v) GMS report </t>
  </si>
  <si>
    <t xml:space="preserve">GMS database, Funding Grid sheet, ORACLE </t>
  </si>
  <si>
    <t>Annualy</t>
  </si>
  <si>
    <t>At least 30% of funding is secured directly in the country by WWF DRC in the localization agenda approach. </t>
  </si>
  <si>
    <t>Necessary funding to deliver the OSP and cover the funding gaps secured.</t>
  </si>
  <si>
    <t>23.8M$</t>
  </si>
  <si>
    <t>1.4M$</t>
  </si>
  <si>
    <t>1.7M$</t>
  </si>
  <si>
    <t>2.7M$</t>
  </si>
  <si>
    <t>8M$</t>
  </si>
  <si>
    <t>10M$</t>
  </si>
  <si>
    <t>OSP Organisation Management Goals</t>
  </si>
  <si>
    <t>By 2030, WWF DRC has committed, satisfied and high-performing staff, working within a strong, inclusive organizational culture that lives WWF’s values.</t>
  </si>
  <si>
    <t xml:space="preserve">Staff Engagement Survey Score
Annual staff retention rate (%)
% of staff participating in professional development opportunities per year
Number of staff well-being initiatives implemented per year
% of leadership and staff demonstrating alignment with WWF values (via culture survey)
</t>
  </si>
  <si>
    <t>By 2030, WWF DRC demonstrates operational excellence, through full compliance, modern infrastructure, and digital systems.</t>
  </si>
  <si>
    <t>operational activities are completed on time
activities are digitalized</t>
  </si>
  <si>
    <t>70% of operational activities are completed on time
40% of activities are digitalized</t>
  </si>
  <si>
    <t>75% of operational activities are completed on time
45% of activities are digitalized</t>
  </si>
  <si>
    <t>85% of operational activities are completed on time
55% of activities are digitalized</t>
  </si>
  <si>
    <t>80% of operational activities are completed on time
70% of activities are digitalized</t>
  </si>
  <si>
    <t>90% of operational activities are completed on time
90% of activities are digitalized</t>
  </si>
  <si>
    <t>There is funding to support the digital infrasture upgrade</t>
  </si>
  <si>
    <t>- spot Checks results   - audit reports   - Burn rate reports  - Inventory reports  - Satisfaction surveys</t>
  </si>
  <si>
    <t>By 2030, WWF DRC is led by an effective, stable, and high-performing Country Leadership Team (CLT) and Country Management Team (CMT) that ensure strategic clarity, operational oversight, and smooth implementation of the OSP.</t>
  </si>
  <si>
    <t xml:space="preserve">Staff Engagement Survey Score
</t>
  </si>
  <si>
    <t>There is funding to maintain the positions</t>
  </si>
  <si>
    <t>By 2030, WWF DRC has significantly enhanced its public profile and visibility, leading to greater impact of its programmes, strengthened partnerships, and increased public awareness for nature conservation.</t>
  </si>
  <si>
    <t>Brand Awareness score</t>
  </si>
  <si>
    <t>By 2030, WWF DRC achieves financial sustainability through efficient, transparent, and effective financial management, improved cost recovery, diversified income streams, and strengthened financial planning and oversight.</t>
  </si>
  <si>
    <t>Stability of WWF DRC's financial resources
Annual unrestricted reserve balance (in months of core expenditure)
% of core costs covered by unrestricted income and cost recovery
Number of active income streams (diversification indicator)
% reduction in accumulated core deficit from 2024 baseline</t>
  </si>
  <si>
    <t>- Annual +ve result of more than 500K           - 70 % cost recovery of Core costs</t>
  </si>
  <si>
    <t>- Annual +ve result of more than 500K             - 80 % cost recovery of Core costs</t>
  </si>
  <si>
    <t>- Annual +ve result of more than 500K                                             - 85 % cost recovery of Core costs</t>
  </si>
  <si>
    <t>- Annual +ve result of more than 500K                                                                                            - 90 % cost recovery of Core costs</t>
  </si>
  <si>
    <t>- Breakeven from the deficit                                                                         -95% cost recovery</t>
  </si>
  <si>
    <t>the current Core structure is maintained so as not to increwase CORE costs</t>
  </si>
  <si>
    <t>- Level of cost recovery from Projects       - Annual Managemnt reports</t>
  </si>
  <si>
    <t>By 2030, WWF DRC provides high-quality, timely, and transparent procurement and logistics services that fully support the smooth and efficient implementation of its strategic and operational priorities.</t>
  </si>
  <si>
    <t>WWF DRC’s procurement and logistics processes are efficient, transparent, and aligned with strategic priorities.
% of procurement transactions meeting timeliness, cost-efficiency, and transparency standards
% of procurement audit recommendations implemented
% of service users satisfied with logistics and procurement services (annual survey)
Average procurement lead time (days)</t>
  </si>
  <si>
    <t>By 2030, WWF DRC ensures institutional reliability through an effective quality, risk, and compliance management system, aligned with WWF Network standards and good practice.</t>
  </si>
  <si>
    <t xml:space="preserve">Pourcent of policies Compliance within organisation
Pourcent of audit recommendations implemented
Pourcent resolution in complaints related to WWF’s conservation activities (from 2024 baseline)
Pourcent of identified high-risk items mitigated in landscape and national risk registers
</t>
  </si>
  <si>
    <t xml:space="preserve">70 % Pourcent of policies Compliance within organisation
70 % Pourcent of audit recommendations implemented
70 % Pourcent resolution in complaints related to WWF’s conservation activities (from 2024 baseline)
70 % Pourcent of identified high-risk items mitigated in landscape and national risk registers
</t>
  </si>
  <si>
    <t xml:space="preserve">80 % Pourcent of policies Compliance within organisation
80 % Pourcent of audit recommendations implemented
80 % Pourcent resolution in complaints related to WWF’s conservation activities (from 2024 baseline)
80 % Pourcent of identified high-risk items mitigated in landscape and national risk registers
</t>
  </si>
  <si>
    <t xml:space="preserve">85 % Pourcent of policies Compliance within organisation
85 % Pourcent of audit recommendations implemented
85 % Pourcent resolution in complaints related to WWF’s conservation activities (from 2024 baseline)
85 % Pourcent of identified high-risk items mitigated in landscape and national risk registers
</t>
  </si>
  <si>
    <t xml:space="preserve">90 % Pourcent of policies Compliance within organisation
90 % Pourcent of audit recommendations implemented
90 % Pourcent resolution in complaints related to WWF’s conservation activities (from 2024 baseline)
90 % Pourcent of identified high-risk items mitigated in landscape and national risk registers
</t>
  </si>
  <si>
    <t xml:space="preserve"> By 2030, the PMEL system at WWF-RDC is implemented and used to improve operation and make strategic decision.</t>
  </si>
  <si>
    <t>Data driven decision making for adaptive management
% of programme results tracked, reported, and updated quarterly
% of landscapes and programmes conducting annual reflection and learning sessions
Number of strategic decisions informed by PMEL data per year
% of projects using updated adaptive management plans based on monitoring results</t>
  </si>
  <si>
    <t>Organisational Managment Focus</t>
  </si>
  <si>
    <t>Please list each of the organisational managment focus areas your office intends to reach. 
These areas should also consider the critical gap identified in the Organisational Capacity Assessments
that have a likely impact on the organisation’s ability to deliver conservation impact."</t>
  </si>
  <si>
    <t>For each organisational management focus, provide short description of why it is critical in the context of this OSP (max 200 words).</t>
  </si>
  <si>
    <t>An aspect of a focal interest that defines good health and if missing or altered, would lead to the outright loss or extreme degradation of the focal interest over time.</t>
  </si>
  <si>
    <t>Select whether the scope is at the "National", “regional” or “local”.</t>
  </si>
  <si>
    <t>For each organisational managment focus, please list the thematic scope by selecting the relevant function (e.g. Communications, P&amp;C, Finance &amp; Resource Mobilization, etc)."
Ensure to use one of the Thematic scope identified in the Scope tab.</t>
  </si>
  <si>
    <t>Give a short name for OSP Goal
Max 20 words</t>
  </si>
  <si>
    <t>Describe the desired status of the Operational focus/focal interest.
Max 100 words</t>
  </si>
  <si>
    <t>Organizational Management Focus</t>
  </si>
  <si>
    <t>Examples</t>
  </si>
  <si>
    <t>People and Culture</t>
  </si>
  <si>
    <r>
      <rPr>
        <i/>
        <sz val="10"/>
        <color rgb="FF000000"/>
        <rFont val="Arial"/>
        <family val="2"/>
      </rPr>
      <t xml:space="preserve">Lack of structured capacity-building programs and </t>
    </r>
    <r>
      <rPr>
        <i/>
        <sz val="10"/>
        <color rgb="FF000000"/>
        <rFont val="Arial"/>
        <family val="2"/>
      </rPr>
      <t>HR systems coupled with limited attention to staff wellbeing, staff hardships, effective compensation &amp; benefits leading to</t>
    </r>
    <r>
      <rPr>
        <i/>
        <sz val="10"/>
        <color rgb="FF000000"/>
        <rFont val="Arial"/>
        <family val="2"/>
      </rPr>
      <t xml:space="preserve"> high turnover limiting WWF XX's operational capabilities and long-term sustainability.</t>
    </r>
  </si>
  <si>
    <r>
      <rPr>
        <i/>
        <sz val="10"/>
        <color rgb="FF000000"/>
        <rFont val="Arial"/>
        <family val="2"/>
      </rPr>
      <t xml:space="preserve">Recruitment and retention strategies: Structured capacity-building programs; </t>
    </r>
    <r>
      <rPr>
        <i/>
        <sz val="10"/>
        <color rgb="FF000000"/>
        <rFont val="Arial"/>
        <family val="2"/>
      </rPr>
      <t xml:space="preserve">Career progression and succesion plan; Annual salary COLA, effective compensation, benefits &amp; Incentives </t>
    </r>
  </si>
  <si>
    <r>
      <rPr>
        <i/>
        <sz val="10"/>
        <color rgb="FF000000"/>
        <rFont val="Arial"/>
        <family val="2"/>
      </rPr>
      <t xml:space="preserve">National </t>
    </r>
    <r>
      <rPr>
        <i/>
        <sz val="10"/>
        <color rgb="FF000000"/>
        <rFont val="Arial"/>
        <family val="2"/>
      </rPr>
      <t>and in all offices</t>
    </r>
  </si>
  <si>
    <t>People &amp; Culture</t>
  </si>
  <si>
    <t>Satisfied and engaged Staff</t>
  </si>
  <si>
    <r>
      <rPr>
        <i/>
        <sz val="10"/>
        <color rgb="FF000000"/>
        <rFont val="Arial"/>
        <family val="2"/>
      </rPr>
      <t>By 2027, workforce is capacitated and satisfied leading to a retention of 80%</t>
    </r>
    <r>
      <rPr>
        <i/>
        <sz val="10"/>
        <color rgb="FF000000"/>
        <rFont val="Arial"/>
        <family val="2"/>
      </rPr>
      <t xml:space="preserve"> </t>
    </r>
  </si>
  <si>
    <t>Operational Excellence</t>
  </si>
  <si>
    <t xml:space="preserve"> </t>
  </si>
  <si>
    <t>Streamlined and interconnected operations, automation</t>
  </si>
  <si>
    <t>Office Management (Logistics, IT, procurement)</t>
  </si>
  <si>
    <t>Operational Efficiency</t>
  </si>
  <si>
    <t>Achieve operational excellence throughstreamlined and interconnected systems, ensuring efficient project implementation across all operations by 2030.</t>
  </si>
  <si>
    <t>Governance and Leadership</t>
  </si>
  <si>
    <t>Weak of national and international networking (SMT, SLT need more strategic, regular and consistency engagement) at high level; 
Non-inclusive SMT representation; 
Lack of feedback and transparence on decision-making</t>
  </si>
  <si>
    <t>Strengthened leadership, improved governance frameworks</t>
  </si>
  <si>
    <t>National, with a focus on regional governance initiatives</t>
  </si>
  <si>
    <t>Governance, Risk &amp; Compliance</t>
  </si>
  <si>
    <r>
      <rPr>
        <i/>
        <sz val="10"/>
        <color rgb="FF000000"/>
        <rFont val="Arial"/>
        <family val="2"/>
      </rPr>
      <t xml:space="preserve">Strengthen Governance </t>
    </r>
    <r>
      <rPr>
        <i/>
        <sz val="10"/>
        <color rgb="FF000000"/>
        <rFont val="Arial"/>
        <family val="2"/>
      </rPr>
      <t>and Leadership</t>
    </r>
  </si>
  <si>
    <r>
      <rPr>
        <i/>
        <strike/>
        <sz val="10"/>
        <color rgb="FF000000"/>
        <rFont val="Arial"/>
        <family val="2"/>
      </rPr>
      <t xml:space="preserve">
</t>
    </r>
    <r>
      <rPr>
        <i/>
        <sz val="10"/>
        <color rgb="FF000000"/>
        <rFont val="Arial"/>
        <family val="2"/>
      </rPr>
      <t>By 2025, establish effective governance and Leadership  frameworks to enhance decision-making, accountability, feedback, transparence and adaptability in responding to current and emerging challenges.</t>
    </r>
  </si>
  <si>
    <t xml:space="preserve">•Need to strengthen career management within WWF DRC with succession plans
•Need for talent retention and management system
•Need to improve recruitment process
•Lack of fair contract termination system
•Lack of advantages/benefits for the staff
•Need for a better salary position on the market as compared to other organisations
•Project-based contracts to be changed to Programme-based contracts (requires long-term programme funding)
•Staff turnover, understaffing and a lack of specialized technical skills limit operational capacity, adversely affect the quality of interventions and compromise the achievement of set objectives.
•Need to adapt structure to the challenges of the new OSP
</t>
  </si>
  <si>
    <t>Recruitment and retention strategies: Structured capacity-building programs; Career progression and succesion plan; Salary scheme, benefits &amp; Incentives 
revise the structure to meet new challenges with scenarios: ideal/minimal</t>
  </si>
  <si>
    <t>National and in all offices</t>
  </si>
  <si>
    <t xml:space="preserve">By 2030, WWF-DRC turnover rate of staff is reduced at least 50% in reference to 2025 baseline
</t>
  </si>
  <si>
    <t>By 2030, WWF DRC's recruitment &amp; retention strategies &amp; tools are improved</t>
  </si>
  <si>
    <t>By 2030, WWF DRC's career progression and succession plan are in place</t>
  </si>
  <si>
    <t>By 2030, WWF DRC compensation &amp; benefit are aligned with the market are aligned with the market</t>
  </si>
  <si>
    <t>By 2030, WWF DRC has a performance management and a structured capacity-building programmes in place</t>
  </si>
  <si>
    <t>By 2030, team cohesion and well-being are improved</t>
  </si>
  <si>
    <t>By 2030, WWF DRC has a strong P&amp;C team</t>
  </si>
  <si>
    <t>•Need to update WWF DRC Risks Register to incorporate emerging issues and capacitate staff on risk management culture and practice, internal policies and procedures
•Need to boost comprehensive &amp; timely implementation of audit recommendations
•Insufficient channels for employees to provide feedback on policies and procedures.
•Reputational risk of poor results, untimely and poor quality report
•Non-compliance with WWF values
•Non-compliance with procedures undermines WWF's credibility with partners and reduces operational efficiency, thus jeopardizing the achievement of strategic objectives.</t>
  </si>
  <si>
    <t>Mitigating risk and insuring compliance</t>
  </si>
  <si>
    <t>National, with a focus on landscape operational excellence</t>
  </si>
  <si>
    <t>Office Management (IT</t>
  </si>
  <si>
    <t xml:space="preserve">By 2030, WWF DRC has achieved at least 100% compliance with required policies and procedures for quality delivery in the implementation of its 2026-2030 OSP. </t>
  </si>
  <si>
    <t>By 2026, a structured system for sharing and archiving key information by theme and landscape is up and running, and regularly updated.</t>
  </si>
  <si>
    <t>Staffs are at least 90% satisfied annually with information services, and logistics support based on survey report</t>
  </si>
  <si>
    <t>By 2027, a green energy system is installed in 100% of field offices to solve electricity problems.</t>
  </si>
  <si>
    <t>By 2027, infrastructure and equipment in the national office and in the field are upgraded to organizational standards by 2025.</t>
  </si>
  <si>
    <t>•	Inefficient manual processes lead to delays and operational errors, affecting the quality of WWF DRC's interventions, lowering its productivity and limiting the rapid achievement of set objectives.</t>
  </si>
  <si>
    <t>Invest in the digitization of administrative and operational processes (digital requisitioning, etc.).</t>
  </si>
  <si>
    <t>By 2030, 80% of WWF DRC's key operations are fully digitized and optimized to boost efficiency, reduce errors and accelerate the achievement of strategic objectives.</t>
  </si>
  <si>
    <t>•All staff not fully inducted on embedding WWF core values policies, procedures and standards.
•Need to develop a culture of change (value-based behavioural competencies) plan infomed by country level staff engagement survey results.    
•Need to improve WWF DRC capacity to be competitive in the labour market to attract/engage and retain competent staffs 
•Core values not fully internalise by staff in order to deepen understanding and mutual accountability within and between teams.   
•Insufficient Leadership Capacity for CLT and Middle-Management (Trainings)
•	Multiple decision-making centers create confusion and reduce efficiency</t>
  </si>
  <si>
    <t>Strengthened leadership, improved governance frameworks
Clarify roles and responsibilities through a governance charter.
Increased operational efficiency at all levels.</t>
  </si>
  <si>
    <t>National, with a focus on landscape governance &amp; leadership</t>
  </si>
  <si>
    <t>Compliance &amp; Risk</t>
  </si>
  <si>
    <t>Strengthen Governance and Leadership</t>
  </si>
  <si>
    <t>By 2030,  at least 90% of staff is satisfied at least 50% with the governance and leadership  system as compared to 2026 baseline.</t>
  </si>
  <si>
    <t>By 2027, the percentage of noncompliance acts will be reduced to 20% of the 2025 baseline.</t>
  </si>
  <si>
    <t>By 2027, % of recommendations in relation to audited actions is reduced by 70% compared with the 2025 baseline.</t>
  </si>
  <si>
    <t>By 2028, the percentage of staff/implementing partners guilty of F&amp;C cases is reduced to 70% of the 2025 baseline.</t>
  </si>
  <si>
    <t>By 2027, the percentage of staff/partner contracts not fulfilled is reduced to 70% of the 2025 baseline.</t>
  </si>
  <si>
    <t>By 2030, the Score on staff satisfaction is increased by 50% compared with the baseline of 2025.</t>
  </si>
  <si>
    <t xml:space="preserve">By 2030, a clear, transparent decision-making structure and process, fully respected by all staff, is in place and operational, to improve the effectiveness of strategic and operational decisions. </t>
  </si>
  <si>
    <t>•Weaknesses in intermediate managerial capacities adversely affect the implementation of WWF DRC's strategic plan, limiting effective decision-making, reducing the quality of activity monitoring and hampering the achievement of planned results.
•new CLT members</t>
  </si>
  <si>
    <t>Train middle managers through specific leadership programs, project management techniques, monitoring and evaluation, etc.
 teambuilding for CLT</t>
  </si>
  <si>
    <t>By 2030, WWF DRC has an effective and autonomous CLT and middle management, capable of ensuring optimal and sustainable implementation of operational strategies.</t>
  </si>
  <si>
    <t>Communication</t>
  </si>
  <si>
    <t>•WWF-DRC no updated communication  Action Plan 
•No brand survey carried out by WWF DRC ;
•No formal partnership with local national media , 
•Internal Communication</t>
  </si>
  <si>
    <t>National and landscapes</t>
  </si>
  <si>
    <t>Communications &amp; Marketing</t>
  </si>
  <si>
    <t>Coms</t>
  </si>
  <si>
    <t>By 2030, the score in the perception of WWF DRC has improved by at least 10% relative to 2026 baseline</t>
  </si>
  <si>
    <t>By 2026, knowledge and use of internal and external communication tools is improved to at least 75% of the 2025 baseline.</t>
  </si>
  <si>
    <t xml:space="preserve">By 2030, WWF-RDC's communication strategy will have been implemented by at least 75%.  </t>
  </si>
  <si>
    <t>By 2027, at least 75% of senior staff will be equipped to manage crisis communication with the media.</t>
  </si>
  <si>
    <t>By 2030, WWF DRC has improved its visibility by at least 25% relative to 2026 baseline</t>
  </si>
  <si>
    <t>Finance Management</t>
  </si>
  <si>
    <t xml:space="preserve">•Lack of efficient system with regular updated quality data/information on the financial status (exact expenditures recorded, closed projects not eligible for requests, etc.)
•Lo timely delivery of quality reports to donors 
•Lack of capacities/skills of the finance team (IT, HR, Training, etc.)
•Weak internal control (transparency) 
•Need to establish financial plan for the core budget with a long-term vision
•Need to reinforce the payment system by adding the Mobile Money Operations (reduce risk on cash use and increase easy and rapid payments)
</t>
  </si>
  <si>
    <t>strengthen financial management capabilities</t>
  </si>
  <si>
    <t>Finance &amp; Administration</t>
  </si>
  <si>
    <t>Finance</t>
  </si>
  <si>
    <t xml:space="preserve">By 2030, WWF DRC core funding is sustainable and can cover at least 6 months of gross core expenditure </t>
  </si>
  <si>
    <t xml:space="preserve">By 2030, WWF-DRC reduced deficit by at least 50% in reference to baseline 2025
</t>
  </si>
  <si>
    <t>Logistics</t>
  </si>
  <si>
    <t>•Weaknesses in procurement operations and logistics, as well as inadequate management, directly affect the realization of WWF DRC's strategic plan, causing delays, additional costs and reduced performance in the field.        
•Poor and risky transportation facilities (deficit in car fuel, risk of carrying cash, risk of for destruction of vehicles and engine boat with bad fuel);</t>
  </si>
  <si>
    <t>Logistic</t>
  </si>
  <si>
    <t>Logs</t>
  </si>
  <si>
    <t>By  2028, WWF DRC has improved  at least 90% of quality and timely logistics and procurement service in reference to 2025 base line.</t>
  </si>
  <si>
    <t>By 2026, procurement audit recommendations will be reduced by at least 90% compared with 2025.</t>
  </si>
  <si>
    <t>Implement centralized, transparent and digitalized purchasing, supply and inventory tracking system, combined with an integrated supply chain with standardized procedures.</t>
  </si>
  <si>
    <t>Optimized purchasing, logistics and inventory management processes.</t>
  </si>
  <si>
    <t>By 2030, smooth, cost-effective and transparent purchasing processes, with an efficient and responsive supply chain, and digitalized inventory tracking guaranteeing zero waste are ensured.</t>
  </si>
  <si>
    <t>Programme Quality, Risk and Compliance</t>
  </si>
  <si>
    <t>•        There is need for transparency in order to achieve auditing standards to enable WWF DRC to pursue and gain larger grants, more diverse forms of income and more flexible funding. 
•WWF DRC staff and partners still need capacity building on ESSF and risk mitigation measures to improve their understanding and effective implementation while carrying out their activities.
•There is further a need to reinforce WWF DC staff understanding on 
QA system and risk management measures (risk register)
•Functional standard compliance procedure - procedural manual (for both external and internal compliance, critical policy and standards compliance);
•Internal control system and implementation of recommendations. 
•	The high security risks in the DRC, linked to armed conflict, political instability and social tensions, make the WWF DRC office vulnerable, compromising the safety of staff, access to intervention areas and the overall effectiveness of projects.</t>
  </si>
  <si>
    <t>Level of implementation of risk register, QA system, compliance management system and internal control system
Implement a proactive risk management system, including regular safety training.</t>
  </si>
  <si>
    <t>By 2030, the annual rate of complaints related to WWF's conservation activities is reduced by at least 90% compared to the 2024 baseline.</t>
  </si>
  <si>
    <t>By 2030, WWF DRC mitigation plan and risk register are implemented at least 90% relative to 2025 baseline.</t>
  </si>
  <si>
    <t>By 2030, at least 90% of WWFDRC projects sent to RQAC are validated relative to 2025 baseline.</t>
  </si>
  <si>
    <t>By 2030, minimize security incidents affecting WWF DRC through proactive risk management and enhanced operational security measures.</t>
  </si>
  <si>
    <t>PMEL</t>
  </si>
  <si>
    <t>••WWF DRC has no dedicated PMEL staff.
•PMEL not fully integrated into the budgeting culture.
•Incomplete data on insight platform.
•Inaccurate field data collection
•Absence of comprehensive monitoring, evaluation and learning plan in alignment with the network’s standard
•Absence of a databank/knowledge management system (archiving of country results).
•Insufficient field monitoring and evaluation for triangulation of means of verification. 
•	Current weaknesses in activity monitoring hamper accurate evaluation of results, reduce the effectiveness of interventions and compromise the achievement of set objectives.</t>
  </si>
  <si>
    <t xml:space="preserve">Score in OSP performance rating 
Develop and implement a digital monitoring and integrated reporting system between departments. </t>
  </si>
  <si>
    <t xml:space="preserve">By 2030 a reliable PMEL system and adaptive managment practices are functional in WWF DRC both at national and landscape levels demonstrating at least 90% of tracked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</si>
</sst>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0"/>
      <color rgb="FF000000"/>
      <name val="Arial"/>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i/>
      <sz val="10"/>
      <color theme="1"/>
      <name val="Arial"/>
      <family val="2"/>
      <scheme val="minor"/>
    </font>
    <font>
      <b/>
      <sz val="10"/>
      <color rgb="FF000000"/>
      <name val="Arial"/>
      <family val="2"/>
      <scheme val="minor"/>
    </font>
    <font>
      <b/>
      <sz val="10"/>
      <color theme="1"/>
      <name val="Arial"/>
      <family val="2"/>
      <scheme val="minor"/>
    </font>
    <font>
      <i/>
      <u/>
      <sz val="10"/>
      <color rgb="FF980000"/>
      <name val="Arial"/>
      <family val="2"/>
    </font>
    <font>
      <i/>
      <sz val="10"/>
      <color rgb="FF1C4587"/>
      <name val="Arial"/>
      <family val="2"/>
      <scheme val="minor"/>
    </font>
    <font>
      <b/>
      <i/>
      <sz val="10"/>
      <color theme="1"/>
      <name val="Arial"/>
      <family val="2"/>
      <scheme val="minor"/>
    </font>
    <font>
      <sz val="10"/>
      <color theme="1"/>
      <name val="Arial"/>
      <family val="2"/>
    </font>
    <font>
      <b/>
      <sz val="10"/>
      <color rgb="FFFFFFFF"/>
      <name val="Arial"/>
      <family val="2"/>
    </font>
    <font>
      <b/>
      <i/>
      <sz val="10"/>
      <color rgb="FF980000"/>
      <name val="Arial"/>
      <family val="2"/>
    </font>
    <font>
      <i/>
      <sz val="10"/>
      <color rgb="FF980000"/>
      <name val="Arial"/>
      <family val="2"/>
    </font>
    <font>
      <i/>
      <sz val="10"/>
      <color theme="1"/>
      <name val="Arial"/>
      <family val="2"/>
    </font>
    <font>
      <b/>
      <i/>
      <sz val="10"/>
      <color theme="1"/>
      <name val="Arial"/>
      <family val="2"/>
    </font>
    <font>
      <i/>
      <sz val="10"/>
      <color rgb="FF000000"/>
      <name val="Arial"/>
      <family val="2"/>
    </font>
    <font>
      <sz val="10"/>
      <color rgb="FF000000"/>
      <name val="Arial"/>
      <family val="2"/>
      <scheme val="minor"/>
    </font>
    <font>
      <b/>
      <sz val="11"/>
      <color rgb="FFFFFFFF"/>
      <name val="Calibri"/>
      <family val="2"/>
    </font>
    <font>
      <sz val="11"/>
      <color theme="1"/>
      <name val="Calibri"/>
      <family val="2"/>
    </font>
    <font>
      <b/>
      <sz val="11"/>
      <color theme="1"/>
      <name val="Calibri"/>
      <family val="2"/>
    </font>
    <font>
      <i/>
      <u/>
      <sz val="10"/>
      <color rgb="FF1155CC"/>
      <name val="Arial"/>
      <family val="2"/>
    </font>
    <font>
      <i/>
      <strike/>
      <sz val="10"/>
      <color rgb="FF000000"/>
      <name val="Arial"/>
      <family val="2"/>
    </font>
    <font>
      <sz val="11"/>
      <name val="Calibri"/>
      <family val="2"/>
    </font>
    <font>
      <sz val="10"/>
      <color rgb="FF000000"/>
      <name val="Arial"/>
      <family val="2"/>
    </font>
    <font>
      <i/>
      <sz val="10"/>
      <color rgb="FF0070C0"/>
      <name val="Arial"/>
      <family val="2"/>
    </font>
    <font>
      <sz val="10"/>
      <color rgb="FF0070C0"/>
      <name val="Arial"/>
      <family val="2"/>
    </font>
    <font>
      <i/>
      <sz val="10"/>
      <name val="Arial"/>
      <family val="2"/>
    </font>
    <font>
      <i/>
      <strike/>
      <sz val="10"/>
      <color rgb="FF0070C0"/>
      <name val="Arial"/>
      <family val="2"/>
    </font>
    <font>
      <sz val="8"/>
      <name val="Arial"/>
      <family val="2"/>
      <scheme val="minor"/>
    </font>
    <font>
      <i/>
      <sz val="10"/>
      <color rgb="FF000000"/>
      <name val="Arial"/>
      <family val="2"/>
      <scheme val="minor"/>
    </font>
    <font>
      <b/>
      <u/>
      <sz val="10"/>
      <color rgb="FF000000"/>
      <name val="Arial"/>
      <family val="2"/>
      <scheme val="minor"/>
    </font>
  </fonts>
  <fills count="18">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FFFFFF"/>
        <bgColor rgb="FFFFFFFF"/>
      </patternFill>
    </fill>
    <fill>
      <patternFill patternType="solid">
        <fgColor rgb="FFB6D7A8"/>
        <bgColor rgb="FFB6D7A8"/>
      </patternFill>
    </fill>
    <fill>
      <patternFill patternType="solid">
        <fgColor rgb="FF000000"/>
        <bgColor rgb="FF000000"/>
      </patternFill>
    </fill>
    <fill>
      <patternFill patternType="solid">
        <fgColor rgb="FF6AA84F"/>
        <bgColor rgb="FF6AA84F"/>
      </patternFill>
    </fill>
    <fill>
      <patternFill patternType="solid">
        <fgColor rgb="FFD9EAD3"/>
        <bgColor rgb="FFD9EAD3"/>
      </patternFill>
    </fill>
    <fill>
      <patternFill patternType="solid">
        <fgColor rgb="FFFFD966"/>
        <bgColor rgb="FFFFD966"/>
      </patternFill>
    </fill>
    <fill>
      <patternFill patternType="solid">
        <fgColor rgb="FFFFF2CC"/>
        <bgColor rgb="FFFFF2CC"/>
      </patternFill>
    </fill>
    <fill>
      <patternFill patternType="solid">
        <fgColor rgb="FF999999"/>
        <bgColor rgb="FF999999"/>
      </patternFill>
    </fill>
    <fill>
      <patternFill patternType="solid">
        <fgColor rgb="FFF3F3F3"/>
        <bgColor rgb="FFF3F3F3"/>
      </patternFill>
    </fill>
    <fill>
      <patternFill patternType="solid">
        <fgColor rgb="FFD9EAD3"/>
        <bgColor rgb="FFFBE4D5"/>
      </patternFill>
    </fill>
    <fill>
      <patternFill patternType="solid">
        <fgColor theme="0" tint="-4.9989318521683403E-2"/>
        <bgColor rgb="FFD9D9D9"/>
      </patternFill>
    </fill>
    <fill>
      <patternFill patternType="solid">
        <fgColor theme="0" tint="-4.9989318521683403E-2"/>
        <bgColor indexed="64"/>
      </patternFill>
    </fill>
    <fill>
      <patternFill patternType="solid">
        <fgColor theme="0" tint="-4.9989318521683403E-2"/>
        <bgColor rgb="FFFFFF00"/>
      </patternFill>
    </fill>
    <fill>
      <patternFill patternType="solid">
        <fgColor theme="7" tint="0.39997558519241921"/>
        <bgColor rgb="FFD9D9D9"/>
      </patternFill>
    </fill>
  </fills>
  <borders count="41">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style="hair">
        <color rgb="FF000000"/>
      </top>
      <bottom style="hair">
        <color rgb="FF000000"/>
      </bottom>
      <diagonal/>
    </border>
    <border>
      <left/>
      <right/>
      <top style="hair">
        <color rgb="FF000000"/>
      </top>
      <bottom/>
      <diagonal/>
    </border>
    <border>
      <left/>
      <right/>
      <top/>
      <bottom style="hair">
        <color rgb="FF000000"/>
      </bottom>
      <diagonal/>
    </border>
    <border>
      <left/>
      <right/>
      <top style="hair">
        <color rgb="FF000000"/>
      </top>
      <bottom style="hair">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medium">
        <color rgb="FF000000"/>
      </top>
      <bottom/>
      <diagonal/>
    </border>
    <border>
      <left/>
      <right style="thin">
        <color rgb="FF000000"/>
      </right>
      <top/>
      <bottom/>
      <diagonal/>
    </border>
    <border>
      <left/>
      <right style="medium">
        <color rgb="FF000000"/>
      </right>
      <top/>
      <bottom/>
      <diagonal/>
    </border>
    <border>
      <left style="medium">
        <color rgb="FF000000"/>
      </left>
      <right/>
      <top style="medium">
        <color rgb="FF000000"/>
      </top>
      <bottom/>
      <diagonal/>
    </border>
  </borders>
  <cellStyleXfs count="2">
    <xf numFmtId="0" fontId="0" fillId="0" borderId="0"/>
    <xf numFmtId="0" fontId="19" fillId="0" borderId="0"/>
  </cellStyleXfs>
  <cellXfs count="158">
    <xf numFmtId="0" fontId="0" fillId="0" borderId="0" xfId="0"/>
    <xf numFmtId="0" fontId="1" fillId="0" borderId="1" xfId="0" applyFont="1" applyBorder="1" applyAlignment="1">
      <alignment horizontal="center" vertical="top"/>
    </xf>
    <xf numFmtId="0" fontId="2" fillId="2" borderId="2" xfId="0" applyFont="1" applyFill="1" applyBorder="1" applyAlignment="1">
      <alignment horizontal="center" vertical="top" wrapText="1"/>
    </xf>
    <xf numFmtId="0" fontId="4" fillId="3" borderId="5" xfId="0" applyFont="1" applyFill="1" applyBorder="1" applyAlignment="1">
      <alignment horizontal="center" vertical="top"/>
    </xf>
    <xf numFmtId="0" fontId="5" fillId="2" borderId="6" xfId="0" applyFont="1" applyFill="1" applyBorder="1" applyAlignment="1">
      <alignment horizontal="left" vertical="top" wrapText="1"/>
    </xf>
    <xf numFmtId="0" fontId="1" fillId="0" borderId="7" xfId="0" applyFont="1" applyBorder="1" applyAlignment="1">
      <alignment horizontal="right" vertical="top"/>
    </xf>
    <xf numFmtId="0" fontId="1" fillId="0" borderId="11" xfId="0" applyFont="1" applyBorder="1" applyAlignment="1">
      <alignment vertical="top"/>
    </xf>
    <xf numFmtId="0" fontId="1" fillId="0" borderId="0" xfId="0" applyFont="1" applyAlignment="1">
      <alignment horizontal="center" vertical="top"/>
    </xf>
    <xf numFmtId="0" fontId="6" fillId="0" borderId="0" xfId="0" applyFont="1" applyAlignment="1">
      <alignment horizontal="left" vertical="top" wrapText="1"/>
    </xf>
    <xf numFmtId="0" fontId="1" fillId="0" borderId="0" xfId="0" applyFont="1" applyAlignment="1">
      <alignment vertical="top"/>
    </xf>
    <xf numFmtId="0" fontId="7" fillId="0" borderId="14" xfId="0" applyFont="1" applyBorder="1" applyAlignment="1">
      <alignment wrapText="1"/>
    </xf>
    <xf numFmtId="0" fontId="4" fillId="3" borderId="13" xfId="0" applyFont="1" applyFill="1" applyBorder="1" applyAlignment="1">
      <alignment horizontal="left" vertical="center" wrapText="1"/>
    </xf>
    <xf numFmtId="0" fontId="4" fillId="3" borderId="0" xfId="0" applyFont="1" applyFill="1" applyAlignment="1">
      <alignment horizontal="left" vertical="center" wrapText="1"/>
    </xf>
    <xf numFmtId="0" fontId="8" fillId="0" borderId="0" xfId="0" applyFont="1" applyAlignment="1">
      <alignment wrapText="1"/>
    </xf>
    <xf numFmtId="0" fontId="2" fillId="2" borderId="15" xfId="0" applyFont="1" applyFill="1" applyBorder="1" applyAlignment="1">
      <alignment vertical="center"/>
    </xf>
    <xf numFmtId="0" fontId="9" fillId="2" borderId="6" xfId="0" applyFont="1" applyFill="1" applyBorder="1" applyAlignment="1">
      <alignment vertical="center" wrapText="1"/>
    </xf>
    <xf numFmtId="0" fontId="5" fillId="2" borderId="6" xfId="0" applyFont="1" applyFill="1" applyBorder="1" applyAlignment="1">
      <alignment vertical="center" wrapText="1"/>
    </xf>
    <xf numFmtId="0" fontId="5" fillId="2" borderId="14" xfId="0" applyFont="1" applyFill="1" applyBorder="1" applyAlignment="1">
      <alignment vertical="center" wrapText="1"/>
    </xf>
    <xf numFmtId="0" fontId="5" fillId="2" borderId="0" xfId="0" applyFont="1" applyFill="1" applyAlignment="1">
      <alignment vertical="center" wrapText="1"/>
    </xf>
    <xf numFmtId="0" fontId="10" fillId="0" borderId="0" xfId="0" applyFont="1" applyAlignment="1">
      <alignment vertical="center"/>
    </xf>
    <xf numFmtId="0" fontId="11" fillId="2" borderId="15" xfId="0" applyFont="1" applyFill="1" applyBorder="1" applyAlignment="1">
      <alignment vertical="center"/>
    </xf>
    <xf numFmtId="0" fontId="6" fillId="2" borderId="6" xfId="0" applyFont="1" applyFill="1" applyBorder="1" applyAlignment="1">
      <alignment vertical="center"/>
    </xf>
    <xf numFmtId="0" fontId="6" fillId="2" borderId="6" xfId="0" applyFont="1" applyFill="1" applyBorder="1" applyAlignment="1">
      <alignment horizontal="left" vertical="center" wrapText="1"/>
    </xf>
    <xf numFmtId="0" fontId="6" fillId="2" borderId="6" xfId="0" applyFont="1" applyFill="1" applyBorder="1" applyAlignment="1">
      <alignment vertical="center" wrapText="1"/>
    </xf>
    <xf numFmtId="0" fontId="6" fillId="2" borderId="16" xfId="0" applyFont="1" applyFill="1" applyBorder="1" applyAlignment="1">
      <alignment vertical="center" wrapText="1"/>
    </xf>
    <xf numFmtId="0" fontId="1" fillId="0" borderId="15" xfId="0" applyFont="1" applyBorder="1"/>
    <xf numFmtId="0" fontId="1" fillId="0" borderId="17" xfId="0" applyFont="1" applyBorder="1"/>
    <xf numFmtId="0" fontId="1" fillId="0" borderId="18" xfId="0" applyFont="1" applyBorder="1"/>
    <xf numFmtId="0" fontId="1" fillId="0" borderId="16" xfId="0" applyFont="1" applyBorder="1"/>
    <xf numFmtId="0" fontId="12" fillId="0" borderId="15" xfId="0" applyFont="1" applyBorder="1"/>
    <xf numFmtId="0" fontId="13" fillId="3" borderId="6" xfId="0" applyFont="1" applyFill="1" applyBorder="1" applyAlignment="1">
      <alignment wrapText="1"/>
    </xf>
    <xf numFmtId="0" fontId="13" fillId="3" borderId="13" xfId="0" applyFont="1" applyFill="1" applyBorder="1" applyAlignment="1">
      <alignment wrapText="1"/>
    </xf>
    <xf numFmtId="0" fontId="13" fillId="3" borderId="14" xfId="0" applyFont="1" applyFill="1" applyBorder="1" applyAlignment="1">
      <alignment wrapText="1"/>
    </xf>
    <xf numFmtId="0" fontId="12" fillId="0" borderId="0" xfId="0" applyFont="1"/>
    <xf numFmtId="0" fontId="14" fillId="2" borderId="15" xfId="0" applyFont="1" applyFill="1" applyBorder="1" applyAlignment="1">
      <alignment vertical="top" wrapText="1"/>
    </xf>
    <xf numFmtId="0" fontId="15" fillId="2" borderId="6" xfId="0" applyFont="1" applyFill="1" applyBorder="1" applyAlignment="1">
      <alignment vertical="top" wrapText="1"/>
    </xf>
    <xf numFmtId="0" fontId="16" fillId="4" borderId="6" xfId="0" applyFont="1" applyFill="1" applyBorder="1" applyAlignment="1">
      <alignment vertical="top" wrapText="1"/>
    </xf>
    <xf numFmtId="0" fontId="15" fillId="2" borderId="14" xfId="0" applyFont="1" applyFill="1" applyBorder="1" applyAlignment="1">
      <alignment vertical="top" wrapText="1"/>
    </xf>
    <xf numFmtId="0" fontId="12" fillId="2" borderId="15" xfId="0" applyFont="1" applyFill="1" applyBorder="1" applyAlignment="1">
      <alignment vertical="top"/>
    </xf>
    <xf numFmtId="0" fontId="16" fillId="2" borderId="6" xfId="0" applyFont="1" applyFill="1" applyBorder="1" applyAlignment="1">
      <alignment vertical="top" wrapText="1"/>
    </xf>
    <xf numFmtId="0" fontId="12" fillId="0" borderId="0" xfId="0" applyFont="1" applyAlignment="1">
      <alignment wrapText="1"/>
    </xf>
    <xf numFmtId="0" fontId="14" fillId="2" borderId="15" xfId="0" applyFont="1" applyFill="1" applyBorder="1" applyAlignment="1">
      <alignment vertical="top"/>
    </xf>
    <xf numFmtId="0" fontId="15" fillId="2" borderId="13" xfId="0" applyFont="1" applyFill="1" applyBorder="1" applyAlignment="1">
      <alignment vertical="top" wrapText="1"/>
    </xf>
    <xf numFmtId="0" fontId="17" fillId="2" borderId="6" xfId="0" applyFont="1" applyFill="1" applyBorder="1" applyAlignment="1">
      <alignment vertical="top" wrapText="1"/>
    </xf>
    <xf numFmtId="0" fontId="17" fillId="2" borderId="13" xfId="0" applyFont="1" applyFill="1" applyBorder="1" applyAlignment="1">
      <alignment vertical="top" wrapText="1"/>
    </xf>
    <xf numFmtId="0" fontId="17" fillId="2" borderId="14" xfId="0" applyFont="1" applyFill="1" applyBorder="1" applyAlignment="1">
      <alignment vertical="top" wrapText="1"/>
    </xf>
    <xf numFmtId="0" fontId="12" fillId="5" borderId="15" xfId="0" applyFont="1" applyFill="1" applyBorder="1" applyAlignment="1">
      <alignment vertical="top"/>
    </xf>
    <xf numFmtId="0" fontId="18" fillId="5" borderId="13" xfId="0" applyFont="1" applyFill="1" applyBorder="1" applyAlignment="1">
      <alignment vertical="top" wrapText="1"/>
    </xf>
    <xf numFmtId="0" fontId="19" fillId="0" borderId="0" xfId="0" applyFont="1"/>
    <xf numFmtId="0" fontId="20" fillId="6" borderId="19" xfId="0" applyFont="1" applyFill="1" applyBorder="1" applyAlignment="1">
      <alignment horizontal="center" wrapText="1"/>
    </xf>
    <xf numFmtId="0" fontId="20" fillId="6" borderId="20" xfId="0" applyFont="1" applyFill="1" applyBorder="1" applyAlignment="1">
      <alignment horizontal="center"/>
    </xf>
    <xf numFmtId="0" fontId="20" fillId="6" borderId="20" xfId="0" applyFont="1" applyFill="1" applyBorder="1" applyAlignment="1">
      <alignment horizontal="center" wrapText="1"/>
    </xf>
    <xf numFmtId="0" fontId="20" fillId="6" borderId="21" xfId="0" applyFont="1" applyFill="1" applyBorder="1" applyAlignment="1">
      <alignment horizontal="center" wrapText="1"/>
    </xf>
    <xf numFmtId="0" fontId="21" fillId="8" borderId="23" xfId="0" applyFont="1" applyFill="1" applyBorder="1"/>
    <xf numFmtId="0" fontId="21" fillId="8" borderId="24" xfId="0" applyFont="1" applyFill="1" applyBorder="1"/>
    <xf numFmtId="0" fontId="21" fillId="8" borderId="26" xfId="0" applyFont="1" applyFill="1" applyBorder="1"/>
    <xf numFmtId="0" fontId="21" fillId="12" borderId="23" xfId="0" applyFont="1" applyFill="1" applyBorder="1" applyAlignment="1">
      <alignment horizontal="center"/>
    </xf>
    <xf numFmtId="0" fontId="21" fillId="12" borderId="23" xfId="0" applyFont="1" applyFill="1" applyBorder="1"/>
    <xf numFmtId="0" fontId="21" fillId="12" borderId="24" xfId="0" applyFont="1" applyFill="1" applyBorder="1"/>
    <xf numFmtId="0" fontId="21" fillId="13" borderId="30" xfId="0" applyFont="1" applyFill="1" applyBorder="1" applyAlignment="1">
      <alignment vertical="center" wrapText="1"/>
    </xf>
    <xf numFmtId="0" fontId="21" fillId="13" borderId="30" xfId="0" applyFont="1" applyFill="1" applyBorder="1" applyAlignment="1">
      <alignment horizontal="left" vertical="center"/>
    </xf>
    <xf numFmtId="0" fontId="25" fillId="13" borderId="30" xfId="0" applyFont="1" applyFill="1" applyBorder="1" applyAlignment="1">
      <alignment horizontal="left" vertical="center" wrapText="1"/>
    </xf>
    <xf numFmtId="0" fontId="25" fillId="13" borderId="30" xfId="0" applyFont="1" applyFill="1" applyBorder="1" applyAlignment="1">
      <alignment vertical="center"/>
    </xf>
    <xf numFmtId="0" fontId="21" fillId="13" borderId="30" xfId="0" applyFont="1" applyFill="1" applyBorder="1" applyAlignment="1">
      <alignment horizontal="center" vertical="center" wrapText="1"/>
    </xf>
    <xf numFmtId="0" fontId="25" fillId="13" borderId="30" xfId="0" applyFont="1" applyFill="1" applyBorder="1" applyAlignment="1">
      <alignment horizontal="center" vertical="center" wrapText="1"/>
    </xf>
    <xf numFmtId="0" fontId="0" fillId="0" borderId="0" xfId="0" applyAlignment="1">
      <alignment horizontal="center"/>
    </xf>
    <xf numFmtId="0" fontId="1" fillId="0" borderId="15" xfId="0" applyFont="1" applyBorder="1" applyAlignment="1">
      <alignment vertical="center"/>
    </xf>
    <xf numFmtId="0" fontId="1" fillId="0" borderId="6" xfId="0" applyFont="1" applyBorder="1" applyAlignment="1">
      <alignment vertical="center"/>
    </xf>
    <xf numFmtId="0" fontId="1" fillId="0" borderId="15" xfId="0" applyFont="1" applyBorder="1" applyAlignment="1">
      <alignment vertical="center" wrapText="1"/>
    </xf>
    <xf numFmtId="0" fontId="1" fillId="0" borderId="6" xfId="0" applyFont="1" applyBorder="1" applyAlignment="1">
      <alignment vertical="top" wrapText="1"/>
    </xf>
    <xf numFmtId="0" fontId="1" fillId="0" borderId="6" xfId="0" applyFont="1" applyBorder="1" applyAlignment="1">
      <alignment vertical="top"/>
    </xf>
    <xf numFmtId="0" fontId="1" fillId="0" borderId="6" xfId="0" applyFont="1" applyBorder="1" applyAlignment="1">
      <alignment vertical="center" wrapText="1"/>
    </xf>
    <xf numFmtId="0" fontId="26" fillId="0" borderId="0" xfId="0" applyFont="1"/>
    <xf numFmtId="0" fontId="3" fillId="14" borderId="15" xfId="0" applyFont="1" applyFill="1" applyBorder="1" applyAlignment="1">
      <alignment vertical="top"/>
    </xf>
    <xf numFmtId="0" fontId="29" fillId="14" borderId="32" xfId="1" applyFont="1" applyFill="1" applyBorder="1" applyAlignment="1">
      <alignment vertical="center" wrapText="1"/>
    </xf>
    <xf numFmtId="0" fontId="29" fillId="14" borderId="32" xfId="1" applyFont="1" applyFill="1" applyBorder="1" applyAlignment="1">
      <alignment vertical="top" wrapText="1"/>
    </xf>
    <xf numFmtId="0" fontId="29" fillId="14" borderId="32" xfId="1" applyFont="1" applyFill="1" applyBorder="1" applyAlignment="1">
      <alignment horizontal="center" vertical="center" wrapText="1"/>
    </xf>
    <xf numFmtId="0" fontId="29" fillId="16" borderId="32" xfId="1" applyFont="1" applyFill="1" applyBorder="1" applyAlignment="1">
      <alignment vertical="top" wrapText="1"/>
    </xf>
    <xf numFmtId="0" fontId="3" fillId="14" borderId="32" xfId="1" applyFont="1" applyFill="1" applyBorder="1" applyAlignment="1">
      <alignment horizontal="left" vertical="top" wrapText="1"/>
    </xf>
    <xf numFmtId="0" fontId="29" fillId="14" borderId="32" xfId="1" applyFont="1" applyFill="1" applyBorder="1" applyAlignment="1">
      <alignment horizontal="left" vertical="center" wrapText="1"/>
    </xf>
    <xf numFmtId="0" fontId="3" fillId="15" borderId="32" xfId="1" applyFont="1" applyFill="1" applyBorder="1" applyAlignment="1">
      <alignment vertical="center" wrapText="1"/>
    </xf>
    <xf numFmtId="0" fontId="3" fillId="14" borderId="32" xfId="1" applyFont="1" applyFill="1" applyBorder="1" applyAlignment="1">
      <alignment horizontal="left" vertical="center" wrapText="1"/>
    </xf>
    <xf numFmtId="0" fontId="29" fillId="14" borderId="32" xfId="1" applyFont="1" applyFill="1" applyBorder="1" applyAlignment="1">
      <alignment horizontal="left" vertical="top" wrapText="1"/>
    </xf>
    <xf numFmtId="0" fontId="29" fillId="14" borderId="35" xfId="1" applyFont="1" applyFill="1" applyBorder="1" applyAlignment="1">
      <alignment horizontal="left" vertical="top" wrapText="1"/>
    </xf>
    <xf numFmtId="0" fontId="29" fillId="14" borderId="35" xfId="1" applyFont="1" applyFill="1" applyBorder="1" applyAlignment="1">
      <alignment vertical="top"/>
    </xf>
    <xf numFmtId="0" fontId="3" fillId="15" borderId="0" xfId="1" applyFont="1" applyFill="1" applyAlignment="1">
      <alignment horizontal="left" wrapText="1"/>
    </xf>
    <xf numFmtId="0" fontId="3" fillId="15" borderId="32" xfId="1" applyFont="1" applyFill="1" applyBorder="1" applyAlignment="1">
      <alignment vertical="center"/>
    </xf>
    <xf numFmtId="0" fontId="3" fillId="15" borderId="0" xfId="1" applyFont="1" applyFill="1" applyAlignment="1">
      <alignment horizontal="left" vertical="top" wrapText="1"/>
    </xf>
    <xf numFmtId="0" fontId="3" fillId="15" borderId="0" xfId="1" applyFont="1" applyFill="1" applyAlignment="1">
      <alignment vertical="top" wrapText="1"/>
    </xf>
    <xf numFmtId="0" fontId="3" fillId="15" borderId="0" xfId="1" applyFont="1" applyFill="1" applyAlignment="1">
      <alignment vertical="center" wrapText="1"/>
    </xf>
    <xf numFmtId="0" fontId="3" fillId="15" borderId="32" xfId="1" applyFont="1" applyFill="1" applyBorder="1" applyAlignment="1">
      <alignment horizontal="left" vertical="center" wrapText="1"/>
    </xf>
    <xf numFmtId="0" fontId="3" fillId="15" borderId="32" xfId="1" applyFont="1" applyFill="1" applyBorder="1" applyAlignment="1">
      <alignment horizontal="left" vertical="center"/>
    </xf>
    <xf numFmtId="0" fontId="12" fillId="2" borderId="6" xfId="0" applyFont="1" applyFill="1" applyBorder="1" applyAlignment="1">
      <alignment vertical="top" wrapText="1"/>
    </xf>
    <xf numFmtId="0" fontId="28" fillId="17" borderId="15" xfId="0" applyFont="1" applyFill="1" applyBorder="1" applyAlignment="1">
      <alignment vertical="top"/>
    </xf>
    <xf numFmtId="0" fontId="27" fillId="17" borderId="6" xfId="0" applyFont="1" applyFill="1" applyBorder="1" applyAlignment="1">
      <alignment vertical="top" wrapText="1"/>
    </xf>
    <xf numFmtId="164" fontId="21" fillId="8" borderId="23" xfId="0" applyNumberFormat="1" applyFont="1" applyFill="1" applyBorder="1"/>
    <xf numFmtId="0" fontId="21" fillId="8" borderId="38" xfId="0" applyFont="1" applyFill="1" applyBorder="1" applyAlignment="1">
      <alignment vertical="center" wrapText="1"/>
    </xf>
    <xf numFmtId="0" fontId="21" fillId="8" borderId="39" xfId="0" applyFont="1" applyFill="1" applyBorder="1"/>
    <xf numFmtId="0" fontId="21" fillId="8" borderId="23" xfId="0" applyFont="1" applyFill="1" applyBorder="1" applyAlignment="1">
      <alignment wrapText="1"/>
    </xf>
    <xf numFmtId="0" fontId="21" fillId="12" borderId="23" xfId="0" applyFont="1" applyFill="1" applyBorder="1" applyAlignment="1">
      <alignment wrapText="1"/>
    </xf>
    <xf numFmtId="0" fontId="21" fillId="8" borderId="26" xfId="0" applyFont="1" applyFill="1" applyBorder="1" applyAlignment="1">
      <alignment wrapText="1"/>
    </xf>
    <xf numFmtId="9" fontId="21" fillId="8" borderId="23" xfId="0" applyNumberFormat="1" applyFont="1" applyFill="1" applyBorder="1"/>
    <xf numFmtId="0" fontId="21" fillId="13" borderId="30" xfId="0" applyFont="1" applyFill="1" applyBorder="1" applyAlignment="1">
      <alignment wrapText="1"/>
    </xf>
    <xf numFmtId="0" fontId="21" fillId="8" borderId="38" xfId="0" applyFont="1" applyFill="1" applyBorder="1"/>
    <xf numFmtId="0" fontId="21" fillId="10" borderId="30" xfId="0" applyFont="1" applyFill="1" applyBorder="1" applyAlignment="1">
      <alignment vertical="center"/>
    </xf>
    <xf numFmtId="0" fontId="21" fillId="8" borderId="38" xfId="0" applyFont="1" applyFill="1" applyBorder="1" applyAlignment="1">
      <alignment horizontal="center" vertical="center" wrapText="1"/>
    </xf>
    <xf numFmtId="0" fontId="20" fillId="6" borderId="20" xfId="0" applyFont="1" applyFill="1" applyBorder="1" applyAlignment="1">
      <alignment horizontal="center" vertical="center" wrapText="1"/>
    </xf>
    <xf numFmtId="0" fontId="21" fillId="12" borderId="23" xfId="0" applyFont="1" applyFill="1" applyBorder="1" applyAlignment="1">
      <alignment vertical="center" wrapText="1"/>
    </xf>
    <xf numFmtId="0" fontId="21" fillId="12" borderId="23" xfId="0" applyFont="1" applyFill="1" applyBorder="1" applyAlignment="1">
      <alignment vertical="center"/>
    </xf>
    <xf numFmtId="0" fontId="25" fillId="12" borderId="23" xfId="0" applyFont="1" applyFill="1" applyBorder="1" applyAlignment="1">
      <alignment vertical="center" wrapText="1"/>
    </xf>
    <xf numFmtId="0" fontId="0" fillId="0" borderId="0" xfId="0" applyAlignment="1">
      <alignment vertical="center"/>
    </xf>
    <xf numFmtId="0" fontId="0" fillId="0" borderId="7" xfId="0" applyBorder="1" applyAlignment="1">
      <alignment vertical="top" wrapText="1"/>
    </xf>
    <xf numFmtId="0" fontId="3" fillId="0" borderId="8" xfId="0" applyFont="1" applyBorder="1" applyAlignment="1">
      <alignment wrapText="1"/>
    </xf>
    <xf numFmtId="0" fontId="1" fillId="0" borderId="3" xfId="0" applyFont="1" applyBorder="1" applyAlignment="1">
      <alignment vertical="top"/>
    </xf>
    <xf numFmtId="0" fontId="1" fillId="0" borderId="7" xfId="0" applyFont="1" applyBorder="1" applyAlignment="1">
      <alignment vertical="top"/>
    </xf>
    <xf numFmtId="0" fontId="4" fillId="3" borderId="9" xfId="0" applyFont="1" applyFill="1" applyBorder="1" applyAlignment="1">
      <alignment horizontal="center" vertical="top"/>
    </xf>
    <xf numFmtId="0" fontId="5" fillId="2" borderId="10" xfId="0" applyFont="1" applyFill="1" applyBorder="1" applyAlignment="1">
      <alignment horizontal="left" vertical="top" wrapText="1"/>
    </xf>
    <xf numFmtId="0" fontId="29" fillId="14" borderId="31" xfId="1" applyFont="1" applyFill="1" applyBorder="1" applyAlignment="1">
      <alignment horizontal="left" vertical="top" wrapText="1"/>
    </xf>
    <xf numFmtId="0" fontId="3" fillId="15" borderId="33" xfId="1" applyFont="1" applyFill="1" applyBorder="1" applyAlignment="1">
      <alignment horizontal="left"/>
    </xf>
    <xf numFmtId="0" fontId="3" fillId="15" borderId="34" xfId="1" applyFont="1" applyFill="1" applyBorder="1" applyAlignment="1">
      <alignment horizontal="left"/>
    </xf>
    <xf numFmtId="0" fontId="29" fillId="14" borderId="31" xfId="1" applyFont="1" applyFill="1" applyBorder="1" applyAlignment="1">
      <alignment vertical="top" wrapText="1"/>
    </xf>
    <xf numFmtId="0" fontId="29" fillId="14" borderId="31" xfId="1" applyFont="1" applyFill="1" applyBorder="1" applyAlignment="1">
      <alignment horizontal="left" vertical="center" wrapText="1"/>
    </xf>
    <xf numFmtId="0" fontId="29" fillId="14" borderId="31" xfId="1" applyFont="1" applyFill="1" applyBorder="1" applyAlignment="1">
      <alignment horizontal="center" vertical="center" wrapText="1"/>
    </xf>
    <xf numFmtId="0" fontId="29" fillId="14" borderId="31" xfId="1" applyFont="1" applyFill="1" applyBorder="1" applyAlignment="1">
      <alignment vertical="center" wrapText="1"/>
    </xf>
    <xf numFmtId="0" fontId="3" fillId="14" borderId="31" xfId="1" applyFont="1" applyFill="1" applyBorder="1" applyAlignment="1">
      <alignment horizontal="left" vertical="top" wrapText="1"/>
    </xf>
    <xf numFmtId="0" fontId="29" fillId="14" borderId="31" xfId="1" applyFont="1" applyFill="1" applyBorder="1" applyAlignment="1">
      <alignment horizontal="center" vertical="top" wrapText="1"/>
    </xf>
    <xf numFmtId="0" fontId="3" fillId="15" borderId="31" xfId="1" applyFont="1" applyFill="1" applyBorder="1" applyAlignment="1">
      <alignment horizontal="left" vertical="center" wrapText="1"/>
    </xf>
    <xf numFmtId="0" fontId="3" fillId="15" borderId="31" xfId="1" applyFont="1" applyFill="1" applyBorder="1" applyAlignment="1">
      <alignment horizontal="left" vertical="center"/>
    </xf>
    <xf numFmtId="0" fontId="3" fillId="15" borderId="31" xfId="1" applyFont="1" applyFill="1" applyBorder="1" applyAlignment="1">
      <alignment vertical="center"/>
    </xf>
    <xf numFmtId="0" fontId="3" fillId="15" borderId="31" xfId="1" applyFont="1" applyFill="1" applyBorder="1" applyAlignment="1">
      <alignment vertical="center" wrapText="1"/>
    </xf>
    <xf numFmtId="0" fontId="21" fillId="8" borderId="37" xfId="0" applyFont="1" applyFill="1" applyBorder="1" applyAlignment="1">
      <alignment horizontal="center" wrapText="1"/>
    </xf>
    <xf numFmtId="0" fontId="21" fillId="8" borderId="33" xfId="0" applyFont="1" applyFill="1" applyBorder="1" applyAlignment="1">
      <alignment horizontal="center"/>
    </xf>
    <xf numFmtId="0" fontId="21" fillId="8" borderId="34" xfId="0" applyFont="1" applyFill="1" applyBorder="1" applyAlignment="1">
      <alignment horizontal="center"/>
    </xf>
    <xf numFmtId="0" fontId="21" fillId="8" borderId="31" xfId="0" applyFont="1" applyFill="1" applyBorder="1" applyAlignment="1">
      <alignment horizontal="center" wrapText="1"/>
    </xf>
    <xf numFmtId="0" fontId="21" fillId="8" borderId="33" xfId="0" applyFont="1" applyFill="1" applyBorder="1" applyAlignment="1">
      <alignment horizontal="center" wrapText="1"/>
    </xf>
    <xf numFmtId="0" fontId="21" fillId="8" borderId="34" xfId="0" applyFont="1" applyFill="1" applyBorder="1" applyAlignment="1">
      <alignment horizontal="center" wrapText="1"/>
    </xf>
    <xf numFmtId="0" fontId="22" fillId="11" borderId="22" xfId="0" applyFont="1" applyFill="1" applyBorder="1" applyAlignment="1">
      <alignment vertical="center" wrapText="1"/>
    </xf>
    <xf numFmtId="0" fontId="21" fillId="13" borderId="27" xfId="0" applyFont="1" applyFill="1" applyBorder="1" applyAlignment="1">
      <alignment horizontal="center" vertical="center" wrapText="1"/>
    </xf>
    <xf numFmtId="0" fontId="21" fillId="13" borderId="28" xfId="0" applyFont="1" applyFill="1" applyBorder="1" applyAlignment="1">
      <alignment horizontal="center" vertical="center" wrapText="1"/>
    </xf>
    <xf numFmtId="0" fontId="21" fillId="13" borderId="29" xfId="0" applyFont="1" applyFill="1" applyBorder="1" applyAlignment="1">
      <alignment horizontal="center" vertical="center" wrapText="1"/>
    </xf>
    <xf numFmtId="0" fontId="21" fillId="10" borderId="30" xfId="0" applyFont="1" applyFill="1" applyBorder="1" applyAlignment="1">
      <alignment horizontal="center" vertical="center"/>
    </xf>
    <xf numFmtId="0" fontId="21" fillId="10" borderId="30" xfId="0" applyFont="1" applyFill="1" applyBorder="1" applyAlignment="1">
      <alignment horizontal="center" vertical="center" wrapText="1"/>
    </xf>
    <xf numFmtId="0" fontId="22" fillId="7" borderId="22" xfId="0" applyFont="1" applyFill="1" applyBorder="1" applyAlignment="1">
      <alignment vertical="center" wrapText="1"/>
    </xf>
    <xf numFmtId="0" fontId="22" fillId="9" borderId="40" xfId="0" applyFont="1" applyFill="1" applyBorder="1" applyAlignment="1">
      <alignment vertical="center" wrapText="1"/>
    </xf>
    <xf numFmtId="0" fontId="22" fillId="9" borderId="36" xfId="0" applyFont="1" applyFill="1" applyBorder="1" applyAlignment="1">
      <alignment vertical="center" wrapText="1"/>
    </xf>
    <xf numFmtId="0" fontId="21" fillId="13" borderId="27" xfId="0" applyFont="1" applyFill="1" applyBorder="1" applyAlignment="1">
      <alignment horizontal="left" vertical="center" wrapText="1"/>
    </xf>
    <xf numFmtId="0" fontId="21" fillId="13" borderId="28" xfId="0" applyFont="1" applyFill="1" applyBorder="1" applyAlignment="1">
      <alignment horizontal="left" vertical="center" wrapText="1"/>
    </xf>
    <xf numFmtId="0" fontId="21" fillId="13" borderId="29" xfId="0" applyFont="1" applyFill="1" applyBorder="1" applyAlignment="1">
      <alignment horizontal="left" vertical="center" wrapText="1"/>
    </xf>
    <xf numFmtId="0" fontId="21" fillId="13" borderId="30" xfId="0" applyFont="1" applyFill="1" applyBorder="1" applyAlignment="1">
      <alignment horizontal="left" vertical="center" wrapText="1"/>
    </xf>
    <xf numFmtId="0" fontId="21" fillId="10" borderId="30" xfId="0" applyFont="1" applyFill="1" applyBorder="1" applyAlignment="1">
      <alignment horizontal="left" vertical="center" wrapText="1"/>
    </xf>
    <xf numFmtId="0" fontId="3" fillId="0" borderId="4" xfId="0" applyFont="1" applyBorder="1" applyAlignment="1"/>
    <xf numFmtId="0" fontId="3" fillId="0" borderId="8" xfId="0" applyFont="1" applyBorder="1" applyAlignment="1"/>
    <xf numFmtId="0" fontId="3" fillId="0" borderId="12" xfId="0" applyFont="1" applyBorder="1" applyAlignment="1"/>
    <xf numFmtId="0" fontId="3" fillId="0" borderId="13" xfId="0" applyFont="1" applyBorder="1" applyAlignment="1"/>
    <xf numFmtId="0" fontId="3" fillId="0" borderId="25" xfId="0" applyFont="1" applyBorder="1" applyAlignment="1"/>
    <xf numFmtId="0" fontId="3" fillId="0" borderId="22" xfId="0" applyFont="1" applyBorder="1" applyAlignment="1"/>
    <xf numFmtId="0" fontId="3" fillId="15" borderId="33" xfId="1" applyFont="1" applyFill="1" applyBorder="1" applyAlignment="1"/>
    <xf numFmtId="0" fontId="3" fillId="15" borderId="34" xfId="1" applyFont="1" applyFill="1" applyBorder="1" applyAlignment="1"/>
  </cellXfs>
  <cellStyles count="2">
    <cellStyle name="Normal" xfId="0" builtinId="0"/>
    <cellStyle name="Normal 2" xfId="1" xr:uid="{E266E6CF-3212-475D-B549-00ECEFF048E6}"/>
  </cellStyles>
  <dxfs count="0"/>
  <tableStyles count="0" defaultTableStyle="TableStyleMedium2" defaultPivotStyle="PivotStyleLight16"/>
  <colors>
    <mruColors>
      <color rgb="FFD9EA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sites.google.com/wwf.panda.org/networkstandards/policy-areas/project-and-initiative-management/2-4-guidance-by-ppms-step" TargetMode="External"/><Relationship Id="rId2" Type="http://schemas.openxmlformats.org/officeDocument/2006/relationships/hyperlink" Target="https://docs.google.com/spreadsheets/d/13KeKYJIPol5haxiPcxML5mt1UQEXxjIxAeSR4llRBhs/edit"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
  <sheetViews>
    <sheetView showGridLines="0" workbookViewId="0">
      <selection activeCell="C6" sqref="C6:D6"/>
    </sheetView>
  </sheetViews>
  <sheetFormatPr defaultColWidth="12.5703125" defaultRowHeight="15.75" customHeight="1"/>
  <cols>
    <col min="1" max="1" width="28.42578125" customWidth="1"/>
    <col min="2" max="2" width="51.28515625" customWidth="1"/>
    <col min="3" max="3" width="31.5703125" customWidth="1"/>
    <col min="4" max="4" width="75.7109375" customWidth="1"/>
    <col min="5" max="5" width="3.5703125" customWidth="1"/>
  </cols>
  <sheetData>
    <row r="1" spans="1:4" ht="13.15">
      <c r="A1" s="1"/>
      <c r="B1" s="2" t="s">
        <v>0</v>
      </c>
      <c r="C1" s="113"/>
      <c r="D1" s="150"/>
    </row>
    <row r="2" spans="1:4" ht="33.75" customHeight="1">
      <c r="A2" s="3" t="s">
        <v>1</v>
      </c>
      <c r="B2" s="4" t="s">
        <v>2</v>
      </c>
      <c r="C2" s="114" t="s">
        <v>3</v>
      </c>
      <c r="D2" s="151"/>
    </row>
    <row r="3" spans="1:4" ht="33.75" customHeight="1">
      <c r="A3" s="3" t="s">
        <v>4</v>
      </c>
      <c r="B3" s="4" t="s">
        <v>5</v>
      </c>
      <c r="C3" s="114" t="s">
        <v>6</v>
      </c>
      <c r="D3" s="151"/>
    </row>
    <row r="4" spans="1:4" ht="13.15">
      <c r="A4" s="115" t="s">
        <v>7</v>
      </c>
      <c r="B4" s="116" t="s">
        <v>8</v>
      </c>
      <c r="C4" s="5" t="s">
        <v>9</v>
      </c>
      <c r="D4" s="6" t="s">
        <v>10</v>
      </c>
    </row>
    <row r="5" spans="1:4" ht="13.15">
      <c r="A5" s="152"/>
      <c r="B5" s="153"/>
      <c r="C5" s="5" t="s">
        <v>11</v>
      </c>
      <c r="D5" s="6" t="s">
        <v>12</v>
      </c>
    </row>
    <row r="6" spans="1:4" ht="243.6" customHeight="1">
      <c r="A6" s="3" t="s">
        <v>13</v>
      </c>
      <c r="B6" s="4" t="s">
        <v>14</v>
      </c>
      <c r="C6" s="111" t="s">
        <v>15</v>
      </c>
      <c r="D6" s="112"/>
    </row>
    <row r="7" spans="1:4" ht="13.15">
      <c r="A7" s="7"/>
      <c r="B7" s="8"/>
      <c r="C7" s="9"/>
      <c r="D7" s="9"/>
    </row>
  </sheetData>
  <mergeCells count="6">
    <mergeCell ref="C6:D6"/>
    <mergeCell ref="C1:D1"/>
    <mergeCell ref="C2:D2"/>
    <mergeCell ref="C3:D3"/>
    <mergeCell ref="A4:A5"/>
    <mergeCell ref="B4:B5"/>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5"/>
  <sheetViews>
    <sheetView workbookViewId="0">
      <pane xSplit="1" ySplit="1" topLeftCell="F2" activePane="bottomRight" state="frozen"/>
      <selection pane="bottomRight" activeCell="H4" sqref="H4"/>
      <selection pane="bottomLeft" activeCell="A2" sqref="A2"/>
      <selection pane="topRight" activeCell="B1" sqref="B1"/>
    </sheetView>
  </sheetViews>
  <sheetFormatPr defaultColWidth="12.5703125" defaultRowHeight="15.75" customHeight="1"/>
  <cols>
    <col min="1" max="1" width="14.28515625" customWidth="1"/>
    <col min="2" max="2" width="29.85546875" customWidth="1"/>
    <col min="3" max="3" width="42.28515625" customWidth="1"/>
    <col min="4" max="4" width="23" customWidth="1"/>
    <col min="5" max="5" width="34.5703125" customWidth="1"/>
    <col min="6" max="7" width="23" customWidth="1"/>
    <col min="8" max="8" width="73.85546875" customWidth="1"/>
    <col min="9" max="9" width="89.28515625" customWidth="1"/>
    <col min="10" max="10" width="4.28515625" customWidth="1"/>
  </cols>
  <sheetData>
    <row r="1" spans="1:10" ht="78" customHeight="1">
      <c r="A1" s="10"/>
      <c r="B1" s="11" t="s">
        <v>16</v>
      </c>
      <c r="C1" s="11" t="s">
        <v>17</v>
      </c>
      <c r="D1" s="11" t="s">
        <v>18</v>
      </c>
      <c r="E1" s="11" t="s">
        <v>19</v>
      </c>
      <c r="F1" s="11" t="s">
        <v>20</v>
      </c>
      <c r="G1" s="11" t="s">
        <v>21</v>
      </c>
      <c r="H1" s="11" t="s">
        <v>22</v>
      </c>
      <c r="I1" s="12" t="s">
        <v>23</v>
      </c>
      <c r="J1" s="13"/>
    </row>
    <row r="2" spans="1:10" ht="237.6">
      <c r="A2" s="14" t="s">
        <v>24</v>
      </c>
      <c r="B2" s="15" t="s">
        <v>25</v>
      </c>
      <c r="C2" s="16" t="s">
        <v>26</v>
      </c>
      <c r="D2" s="16" t="s">
        <v>27</v>
      </c>
      <c r="E2" s="15" t="s">
        <v>28</v>
      </c>
      <c r="F2" s="16" t="s">
        <v>29</v>
      </c>
      <c r="G2" s="17" t="s">
        <v>30</v>
      </c>
      <c r="H2" s="15" t="s">
        <v>31</v>
      </c>
      <c r="I2" s="18" t="s">
        <v>32</v>
      </c>
      <c r="J2" s="19"/>
    </row>
    <row r="3" spans="1:10" ht="52.9">
      <c r="A3" s="20" t="s">
        <v>33</v>
      </c>
      <c r="B3" s="21" t="s">
        <v>34</v>
      </c>
      <c r="C3" s="22" t="s">
        <v>35</v>
      </c>
      <c r="D3" s="21" t="s">
        <v>36</v>
      </c>
      <c r="E3" s="23" t="s">
        <v>37</v>
      </c>
      <c r="F3" s="23" t="s">
        <v>38</v>
      </c>
      <c r="G3" s="23" t="s">
        <v>34</v>
      </c>
      <c r="H3" s="23" t="s">
        <v>39</v>
      </c>
      <c r="I3" s="24"/>
      <c r="J3" s="19"/>
    </row>
    <row r="4" spans="1:10" ht="26.45">
      <c r="A4" s="25"/>
      <c r="B4" s="66" t="s">
        <v>40</v>
      </c>
      <c r="C4" s="67"/>
      <c r="D4" s="69" t="s">
        <v>41</v>
      </c>
      <c r="E4" s="67" t="s">
        <v>42</v>
      </c>
      <c r="F4" s="67" t="s">
        <v>43</v>
      </c>
      <c r="G4" s="67" t="s">
        <v>44</v>
      </c>
      <c r="H4" s="68" t="s">
        <v>45</v>
      </c>
      <c r="I4" s="26" t="s">
        <v>46</v>
      </c>
    </row>
    <row r="5" spans="1:10" ht="26.45">
      <c r="A5" s="25"/>
      <c r="B5" s="66" t="s">
        <v>47</v>
      </c>
      <c r="C5" s="67"/>
      <c r="D5" s="69" t="s">
        <v>41</v>
      </c>
      <c r="E5" s="67" t="s">
        <v>48</v>
      </c>
      <c r="F5" s="67" t="s">
        <v>43</v>
      </c>
      <c r="G5" s="67" t="s">
        <v>49</v>
      </c>
      <c r="H5" s="68" t="s">
        <v>50</v>
      </c>
      <c r="I5" s="26" t="s">
        <v>46</v>
      </c>
    </row>
    <row r="6" spans="1:10" ht="26.45">
      <c r="A6" s="25"/>
      <c r="B6" s="66" t="s">
        <v>51</v>
      </c>
      <c r="C6" s="67"/>
      <c r="D6" s="69" t="s">
        <v>41</v>
      </c>
      <c r="E6" s="67" t="s">
        <v>52</v>
      </c>
      <c r="F6" s="67" t="s">
        <v>43</v>
      </c>
      <c r="G6" s="67" t="s">
        <v>53</v>
      </c>
      <c r="H6" s="68" t="s">
        <v>54</v>
      </c>
      <c r="I6" s="26" t="s">
        <v>46</v>
      </c>
    </row>
    <row r="7" spans="1:10" ht="26.45">
      <c r="A7" s="25"/>
      <c r="B7" s="66" t="s">
        <v>55</v>
      </c>
      <c r="C7" s="67"/>
      <c r="D7" s="69" t="s">
        <v>41</v>
      </c>
      <c r="E7" s="67" t="s">
        <v>56</v>
      </c>
      <c r="F7" s="67" t="s">
        <v>43</v>
      </c>
      <c r="G7" s="67" t="s">
        <v>57</v>
      </c>
      <c r="H7" s="68" t="s">
        <v>58</v>
      </c>
      <c r="I7" s="26" t="s">
        <v>46</v>
      </c>
    </row>
    <row r="8" spans="1:10" ht="26.45">
      <c r="A8" s="25"/>
      <c r="B8" s="68" t="s">
        <v>59</v>
      </c>
      <c r="C8" s="67"/>
      <c r="D8" s="70" t="s">
        <v>60</v>
      </c>
      <c r="E8" s="67" t="s">
        <v>61</v>
      </c>
      <c r="F8" s="67" t="s">
        <v>62</v>
      </c>
      <c r="G8" s="70" t="s">
        <v>60</v>
      </c>
      <c r="H8" s="68" t="s">
        <v>63</v>
      </c>
      <c r="I8" s="27" t="s">
        <v>64</v>
      </c>
    </row>
    <row r="9" spans="1:10" ht="28.9">
      <c r="A9" s="25"/>
      <c r="B9" s="66" t="s">
        <v>65</v>
      </c>
      <c r="C9" s="67"/>
      <c r="D9" s="70" t="s">
        <v>66</v>
      </c>
      <c r="E9" s="67" t="s">
        <v>61</v>
      </c>
      <c r="F9" s="67" t="s">
        <v>62</v>
      </c>
      <c r="G9" s="70" t="s">
        <v>66</v>
      </c>
      <c r="H9" s="68" t="s">
        <v>67</v>
      </c>
      <c r="I9" s="27" t="s">
        <v>64</v>
      </c>
    </row>
    <row r="10" spans="1:10" ht="26.45">
      <c r="A10" s="25"/>
      <c r="B10" s="66" t="s">
        <v>68</v>
      </c>
      <c r="C10" s="67"/>
      <c r="D10" s="71" t="s">
        <v>69</v>
      </c>
      <c r="E10" s="67" t="s">
        <v>70</v>
      </c>
      <c r="F10" s="67" t="s">
        <v>71</v>
      </c>
      <c r="G10" s="67" t="s">
        <v>69</v>
      </c>
      <c r="H10" s="68" t="s">
        <v>72</v>
      </c>
      <c r="I10" s="27" t="s">
        <v>73</v>
      </c>
    </row>
    <row r="11" spans="1:10" ht="26.45">
      <c r="A11" s="25"/>
      <c r="B11" s="66" t="s">
        <v>74</v>
      </c>
      <c r="C11" s="67"/>
      <c r="D11" s="67" t="s">
        <v>75</v>
      </c>
      <c r="E11" s="67" t="s">
        <v>76</v>
      </c>
      <c r="F11" s="67" t="s">
        <v>71</v>
      </c>
      <c r="G11" s="67" t="s">
        <v>75</v>
      </c>
      <c r="H11" s="68" t="s">
        <v>77</v>
      </c>
      <c r="I11" s="27" t="s">
        <v>78</v>
      </c>
    </row>
    <row r="12" spans="1:10" ht="26.45">
      <c r="A12" s="25"/>
      <c r="B12" s="66" t="s">
        <v>79</v>
      </c>
      <c r="C12" s="67"/>
      <c r="D12" s="67" t="s">
        <v>80</v>
      </c>
      <c r="E12" s="67" t="s">
        <v>81</v>
      </c>
      <c r="F12" s="67" t="s">
        <v>82</v>
      </c>
      <c r="G12" s="69" t="s">
        <v>79</v>
      </c>
      <c r="H12" s="68" t="s">
        <v>83</v>
      </c>
      <c r="I12" s="27" t="s">
        <v>84</v>
      </c>
    </row>
    <row r="13" spans="1:10" ht="13.15" customHeight="1">
      <c r="I13" s="28"/>
    </row>
    <row r="14" spans="1:10" ht="13.15" customHeight="1"/>
    <row r="15" spans="1:10" ht="13.15" customHeight="1"/>
  </sheetData>
  <dataValidations count="1">
    <dataValidation type="list" allowBlank="1" showErrorMessage="1" sqref="F3:F12" xr:uid="{00000000-0002-0000-0100-000000000000}">
      <formula1>"Ocean,Forest,Freshwater,Wildlife,Food,Climate,Plastic,Finance,Human Well Being"</formula1>
    </dataValidation>
  </dataValidations>
  <hyperlinks>
    <hyperlink ref="B2" r:id="rId1" xr:uid="{00000000-0004-0000-0100-000000000000}"/>
    <hyperlink ref="E2" r:id="rId2" location="gid=189677869" xr:uid="{00000000-0004-0000-0100-000001000000}"/>
    <hyperlink ref="H2" r:id="rId3" xr:uid="{00000000-0004-0000-0100-000002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4CCCC"/>
    <outlinePr summaryBelow="0" summaryRight="0"/>
  </sheetPr>
  <dimension ref="A1:K10"/>
  <sheetViews>
    <sheetView showGridLines="0" workbookViewId="0">
      <pane ySplit="2" topLeftCell="A3" activePane="bottomLeft" state="frozen"/>
      <selection pane="bottomLeft" activeCell="C4" sqref="C4"/>
    </sheetView>
  </sheetViews>
  <sheetFormatPr defaultColWidth="12.5703125" defaultRowHeight="15.75" customHeight="1"/>
  <cols>
    <col min="1" max="1" width="17.5703125" customWidth="1"/>
    <col min="2" max="2" width="37.28515625" customWidth="1"/>
    <col min="3" max="3" width="81.28515625" customWidth="1"/>
    <col min="4" max="4" width="23.7109375" customWidth="1"/>
    <col min="5" max="5" width="31.140625" customWidth="1"/>
    <col min="7" max="7" width="20.7109375" customWidth="1"/>
    <col min="8" max="8" width="48.85546875" customWidth="1"/>
    <col min="9" max="9" width="32.140625" customWidth="1"/>
  </cols>
  <sheetData>
    <row r="1" spans="1:11" ht="39.6">
      <c r="A1" s="29"/>
      <c r="B1" s="30" t="s">
        <v>85</v>
      </c>
      <c r="C1" s="30" t="s">
        <v>86</v>
      </c>
      <c r="D1" s="30" t="s">
        <v>87</v>
      </c>
      <c r="E1" s="31" t="s">
        <v>19</v>
      </c>
      <c r="F1" s="32" t="s">
        <v>20</v>
      </c>
      <c r="G1" s="32" t="s">
        <v>21</v>
      </c>
      <c r="H1" s="30" t="s">
        <v>22</v>
      </c>
      <c r="I1" s="33"/>
      <c r="J1" s="33"/>
      <c r="K1" s="33"/>
    </row>
    <row r="2" spans="1:11" ht="39" customHeight="1">
      <c r="A2" s="34" t="s">
        <v>24</v>
      </c>
      <c r="B2" s="35" t="s">
        <v>88</v>
      </c>
      <c r="C2" s="35" t="s">
        <v>89</v>
      </c>
      <c r="D2" s="35" t="s">
        <v>90</v>
      </c>
      <c r="E2" s="35" t="s">
        <v>91</v>
      </c>
      <c r="F2" s="36" t="s">
        <v>92</v>
      </c>
      <c r="G2" s="37" t="s">
        <v>93</v>
      </c>
      <c r="H2" s="37" t="s">
        <v>94</v>
      </c>
      <c r="I2" s="33"/>
      <c r="J2" s="33"/>
      <c r="K2" s="33"/>
    </row>
    <row r="3" spans="1:11" ht="39" customHeight="1">
      <c r="A3" s="93" t="s">
        <v>33</v>
      </c>
      <c r="B3" s="94" t="s">
        <v>95</v>
      </c>
      <c r="C3" s="94" t="s">
        <v>96</v>
      </c>
      <c r="D3" s="94" t="s">
        <v>97</v>
      </c>
      <c r="E3" s="94" t="s">
        <v>98</v>
      </c>
      <c r="F3" s="94" t="s">
        <v>99</v>
      </c>
      <c r="G3" s="94" t="s">
        <v>100</v>
      </c>
      <c r="H3" s="94" t="s">
        <v>101</v>
      </c>
      <c r="I3" s="40"/>
      <c r="J3" s="33"/>
      <c r="K3" s="33"/>
    </row>
    <row r="4" spans="1:11" ht="101.25" customHeight="1">
      <c r="A4" s="38"/>
      <c r="B4" s="39" t="s">
        <v>102</v>
      </c>
      <c r="C4" s="92" t="s">
        <v>103</v>
      </c>
      <c r="D4" s="92" t="s">
        <v>104</v>
      </c>
      <c r="E4" s="92" t="s">
        <v>105</v>
      </c>
      <c r="F4" s="92" t="s">
        <v>106</v>
      </c>
      <c r="G4" s="92" t="s">
        <v>107</v>
      </c>
      <c r="H4" s="92" t="s">
        <v>108</v>
      </c>
      <c r="I4" s="33"/>
      <c r="J4" s="33"/>
      <c r="K4" s="33"/>
    </row>
    <row r="5" spans="1:11" ht="66">
      <c r="A5" s="38"/>
      <c r="B5" s="39" t="s">
        <v>109</v>
      </c>
      <c r="C5" s="92"/>
      <c r="D5" s="92" t="s">
        <v>110</v>
      </c>
      <c r="E5" s="92" t="s">
        <v>111</v>
      </c>
      <c r="F5" s="92" t="s">
        <v>106</v>
      </c>
      <c r="G5" s="92" t="s">
        <v>112</v>
      </c>
      <c r="H5" s="92" t="s">
        <v>113</v>
      </c>
      <c r="I5" s="33"/>
      <c r="J5" s="33"/>
      <c r="K5" s="33"/>
    </row>
    <row r="6" spans="1:11" ht="105.6">
      <c r="A6" s="38"/>
      <c r="B6" s="39" t="s">
        <v>114</v>
      </c>
      <c r="C6" s="92" t="s">
        <v>115</v>
      </c>
      <c r="D6" s="92" t="s">
        <v>116</v>
      </c>
      <c r="E6" s="92" t="s">
        <v>111</v>
      </c>
      <c r="F6" s="92" t="s">
        <v>106</v>
      </c>
      <c r="G6" s="92" t="s">
        <v>117</v>
      </c>
      <c r="H6" s="92" t="s">
        <v>118</v>
      </c>
      <c r="I6" s="33"/>
      <c r="J6" s="33"/>
      <c r="K6" s="33"/>
    </row>
    <row r="7" spans="1:11" ht="52.9">
      <c r="A7" s="38"/>
      <c r="B7" s="39" t="s">
        <v>119</v>
      </c>
      <c r="C7" s="92" t="s">
        <v>120</v>
      </c>
      <c r="D7" s="92" t="s">
        <v>121</v>
      </c>
      <c r="E7" s="92" t="s">
        <v>111</v>
      </c>
      <c r="F7" s="92" t="s">
        <v>106</v>
      </c>
      <c r="G7" s="92" t="s">
        <v>122</v>
      </c>
      <c r="H7" s="92" t="s">
        <v>123</v>
      </c>
      <c r="I7" s="33"/>
      <c r="J7" s="33"/>
      <c r="K7" s="33"/>
    </row>
    <row r="8" spans="1:11" ht="13.15">
      <c r="A8" s="33"/>
      <c r="B8" s="33"/>
      <c r="C8" s="33"/>
      <c r="D8" s="33"/>
      <c r="E8" s="33"/>
      <c r="F8" s="33"/>
      <c r="G8" s="33"/>
      <c r="H8" s="33"/>
      <c r="I8" s="33"/>
      <c r="J8" s="33"/>
      <c r="K8" s="33"/>
    </row>
    <row r="9" spans="1:11" ht="13.15">
      <c r="A9" s="33"/>
      <c r="B9" s="33"/>
      <c r="C9" s="33"/>
      <c r="D9" s="33"/>
      <c r="E9" s="33"/>
      <c r="F9" s="33"/>
      <c r="G9" s="33"/>
      <c r="H9" s="33"/>
      <c r="I9" s="33"/>
      <c r="J9" s="33"/>
      <c r="K9" s="33"/>
    </row>
    <row r="10" spans="1:11" ht="13.15">
      <c r="A10" s="33"/>
      <c r="B10" s="33"/>
      <c r="C10" s="33"/>
      <c r="D10" s="33"/>
      <c r="E10" s="33"/>
      <c r="F10" s="33"/>
      <c r="G10" s="33"/>
      <c r="H10" s="33"/>
      <c r="I10" s="33"/>
      <c r="J10" s="33"/>
      <c r="K10" s="33"/>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40"/>
  <sheetViews>
    <sheetView workbookViewId="0">
      <pane ySplit="1" topLeftCell="H22" activePane="bottomLeft" state="frozen"/>
      <selection pane="bottomLeft" activeCell="D26" sqref="D26"/>
    </sheetView>
  </sheetViews>
  <sheetFormatPr defaultColWidth="12.5703125" defaultRowHeight="15.75" customHeight="1"/>
  <cols>
    <col min="1" max="1" width="16.7109375" customWidth="1"/>
    <col min="2" max="2" width="12.5703125" style="65"/>
    <col min="3" max="3" width="54.7109375" style="110" customWidth="1"/>
    <col min="4" max="4" width="68.85546875" customWidth="1"/>
    <col min="5" max="5" width="16.7109375" customWidth="1"/>
    <col min="6" max="8" width="43.140625" bestFit="1" customWidth="1"/>
    <col min="9" max="9" width="34" customWidth="1"/>
    <col min="10" max="10" width="39.7109375" customWidth="1"/>
    <col min="11" max="11" width="44.140625" customWidth="1"/>
    <col min="12" max="12" width="39.140625" customWidth="1"/>
    <col min="13" max="13" width="35.28515625" customWidth="1"/>
    <col min="14" max="14" width="13.7109375" bestFit="1" customWidth="1"/>
  </cols>
  <sheetData>
    <row r="1" spans="1:14" ht="29.45" thickBot="1">
      <c r="A1" s="49" t="s">
        <v>124</v>
      </c>
      <c r="B1" s="50" t="s">
        <v>125</v>
      </c>
      <c r="C1" s="106" t="s">
        <v>126</v>
      </c>
      <c r="D1" s="51" t="s">
        <v>127</v>
      </c>
      <c r="E1" s="51" t="s">
        <v>128</v>
      </c>
      <c r="F1" s="51" t="s">
        <v>129</v>
      </c>
      <c r="G1" s="51" t="s">
        <v>130</v>
      </c>
      <c r="H1" s="51" t="s">
        <v>131</v>
      </c>
      <c r="I1" s="51" t="s">
        <v>132</v>
      </c>
      <c r="J1" s="51" t="s">
        <v>133</v>
      </c>
      <c r="K1" s="51" t="s">
        <v>134</v>
      </c>
      <c r="L1" s="51" t="s">
        <v>135</v>
      </c>
      <c r="M1" s="51" t="s">
        <v>136</v>
      </c>
      <c r="N1" s="52" t="s">
        <v>137</v>
      </c>
    </row>
    <row r="2" spans="1:14" ht="43.15">
      <c r="A2" s="142" t="s">
        <v>138</v>
      </c>
      <c r="B2" s="137">
        <v>1.1000000000000001</v>
      </c>
      <c r="C2" s="148" t="s">
        <v>45</v>
      </c>
      <c r="D2" s="59" t="s">
        <v>139</v>
      </c>
      <c r="E2" s="53">
        <v>1500</v>
      </c>
      <c r="F2" s="53">
        <v>1500</v>
      </c>
      <c r="G2" s="53">
        <v>1500</v>
      </c>
      <c r="H2" s="53">
        <v>1500</v>
      </c>
      <c r="I2" s="53">
        <v>1500</v>
      </c>
      <c r="J2" s="53">
        <v>1500</v>
      </c>
      <c r="K2" s="130" t="s">
        <v>140</v>
      </c>
      <c r="L2" s="53" t="s">
        <v>141</v>
      </c>
      <c r="M2" s="98" t="s">
        <v>142</v>
      </c>
      <c r="N2" s="54" t="s">
        <v>143</v>
      </c>
    </row>
    <row r="3" spans="1:14" ht="43.15">
      <c r="A3" s="142"/>
      <c r="B3" s="138"/>
      <c r="C3" s="148"/>
      <c r="D3" s="59" t="s">
        <v>144</v>
      </c>
      <c r="E3" s="53">
        <v>4.4600000000000001E-2</v>
      </c>
      <c r="F3" s="53">
        <v>4.4600000000000001E-2</v>
      </c>
      <c r="G3" s="53">
        <v>4.4600000000000001E-2</v>
      </c>
      <c r="H3" s="53">
        <v>4.4600000000000001E-2</v>
      </c>
      <c r="I3" s="53">
        <v>4.4600000000000001E-2</v>
      </c>
      <c r="J3" s="53">
        <v>4.4600000000000001E-2</v>
      </c>
      <c r="K3" s="131"/>
      <c r="L3" s="53" t="s">
        <v>145</v>
      </c>
      <c r="M3" s="98" t="s">
        <v>146</v>
      </c>
      <c r="N3" s="54" t="s">
        <v>143</v>
      </c>
    </row>
    <row r="4" spans="1:14" ht="28.9">
      <c r="A4" s="142"/>
      <c r="B4" s="138"/>
      <c r="C4" s="148"/>
      <c r="D4" s="59" t="s">
        <v>147</v>
      </c>
      <c r="E4" s="53" t="s">
        <v>148</v>
      </c>
      <c r="F4" s="53"/>
      <c r="G4" s="53"/>
      <c r="H4" s="53"/>
      <c r="I4" s="53"/>
      <c r="J4" s="53"/>
      <c r="K4" s="131"/>
      <c r="L4" s="53" t="s">
        <v>145</v>
      </c>
      <c r="M4" s="98" t="s">
        <v>149</v>
      </c>
      <c r="N4" s="54" t="s">
        <v>150</v>
      </c>
    </row>
    <row r="5" spans="1:14" ht="28.9">
      <c r="A5" s="142"/>
      <c r="B5" s="138"/>
      <c r="C5" s="148"/>
      <c r="D5" s="59" t="s">
        <v>151</v>
      </c>
      <c r="E5" s="101">
        <v>0.43</v>
      </c>
      <c r="F5" s="101">
        <v>0.43</v>
      </c>
      <c r="G5" s="101">
        <v>0.43</v>
      </c>
      <c r="H5" s="101">
        <v>0.43</v>
      </c>
      <c r="I5" s="101">
        <v>0.43</v>
      </c>
      <c r="J5" s="101">
        <v>0.43</v>
      </c>
      <c r="K5" s="131"/>
      <c r="L5" s="53" t="s">
        <v>145</v>
      </c>
      <c r="M5" s="98" t="s">
        <v>152</v>
      </c>
      <c r="N5" s="54" t="s">
        <v>150</v>
      </c>
    </row>
    <row r="6" spans="1:14" ht="29.45" thickBot="1">
      <c r="A6" s="142"/>
      <c r="B6" s="139"/>
      <c r="C6" s="148"/>
      <c r="D6" s="59" t="s">
        <v>153</v>
      </c>
      <c r="E6" s="53"/>
      <c r="F6" s="53"/>
      <c r="G6" s="53"/>
      <c r="H6" s="53"/>
      <c r="I6" s="53"/>
      <c r="J6" s="53"/>
      <c r="K6" s="132"/>
      <c r="L6" s="53" t="s">
        <v>145</v>
      </c>
      <c r="M6" s="98" t="s">
        <v>154</v>
      </c>
      <c r="N6" s="54" t="s">
        <v>150</v>
      </c>
    </row>
    <row r="7" spans="1:14" ht="43.15">
      <c r="A7" s="142"/>
      <c r="B7" s="137">
        <v>1.2</v>
      </c>
      <c r="C7" s="145" t="s">
        <v>155</v>
      </c>
      <c r="D7" s="59" t="s">
        <v>156</v>
      </c>
      <c r="E7" s="98" t="s">
        <v>157</v>
      </c>
      <c r="F7" s="98" t="s">
        <v>158</v>
      </c>
      <c r="G7" s="98" t="s">
        <v>159</v>
      </c>
      <c r="H7" s="98" t="s">
        <v>160</v>
      </c>
      <c r="I7" s="98" t="s">
        <v>161</v>
      </c>
      <c r="J7" s="98" t="s">
        <v>162</v>
      </c>
      <c r="K7" s="130" t="s">
        <v>163</v>
      </c>
      <c r="L7" s="98" t="s">
        <v>164</v>
      </c>
      <c r="M7" s="98" t="s">
        <v>165</v>
      </c>
      <c r="N7" s="54" t="s">
        <v>143</v>
      </c>
    </row>
    <row r="8" spans="1:14" ht="45.75">
      <c r="A8" s="142"/>
      <c r="B8" s="138"/>
      <c r="C8" s="146"/>
      <c r="D8" s="59" t="s">
        <v>166</v>
      </c>
      <c r="E8" s="53"/>
      <c r="F8" s="53"/>
      <c r="G8" s="53"/>
      <c r="H8" s="53"/>
      <c r="I8" s="53"/>
      <c r="J8" s="53"/>
      <c r="K8" s="131"/>
      <c r="L8" s="98" t="s">
        <v>164</v>
      </c>
      <c r="M8" s="98" t="s">
        <v>165</v>
      </c>
      <c r="N8" s="54" t="s">
        <v>143</v>
      </c>
    </row>
    <row r="9" spans="1:14" ht="28.9">
      <c r="A9" s="142"/>
      <c r="B9" s="138"/>
      <c r="C9" s="146"/>
      <c r="D9" s="59" t="s">
        <v>167</v>
      </c>
      <c r="E9" s="53"/>
      <c r="F9" s="53"/>
      <c r="G9" s="53"/>
      <c r="H9" s="53"/>
      <c r="I9" s="53"/>
      <c r="J9" s="53"/>
      <c r="K9" s="131"/>
      <c r="L9" s="98" t="s">
        <v>164</v>
      </c>
      <c r="M9" s="98" t="s">
        <v>168</v>
      </c>
      <c r="N9" s="54" t="s">
        <v>150</v>
      </c>
    </row>
    <row r="10" spans="1:14" ht="30.75">
      <c r="A10" s="142"/>
      <c r="B10" s="138"/>
      <c r="C10" s="146"/>
      <c r="D10" s="59" t="s">
        <v>169</v>
      </c>
      <c r="E10" s="53"/>
      <c r="F10" s="53"/>
      <c r="G10" s="53"/>
      <c r="H10" s="53"/>
      <c r="I10" s="53"/>
      <c r="J10" s="53"/>
      <c r="K10" s="131"/>
      <c r="L10" s="98" t="s">
        <v>164</v>
      </c>
      <c r="M10" s="98" t="s">
        <v>170</v>
      </c>
      <c r="N10" s="54" t="s">
        <v>150</v>
      </c>
    </row>
    <row r="11" spans="1:14" ht="29.45" thickBot="1">
      <c r="A11" s="142"/>
      <c r="B11" s="139"/>
      <c r="C11" s="147"/>
      <c r="D11" s="59" t="s">
        <v>171</v>
      </c>
      <c r="E11" s="53"/>
      <c r="F11" s="53"/>
      <c r="G11" s="53"/>
      <c r="H11" s="53"/>
      <c r="I11" s="53"/>
      <c r="J11" s="53"/>
      <c r="K11" s="132"/>
      <c r="L11" s="98" t="s">
        <v>164</v>
      </c>
      <c r="M11" s="98" t="s">
        <v>172</v>
      </c>
      <c r="N11" s="54" t="s">
        <v>150</v>
      </c>
    </row>
    <row r="12" spans="1:14" ht="43.15">
      <c r="A12" s="142"/>
      <c r="B12" s="137">
        <v>1.3</v>
      </c>
      <c r="C12" s="145" t="s">
        <v>173</v>
      </c>
      <c r="D12" s="59" t="s">
        <v>174</v>
      </c>
      <c r="E12" s="53"/>
      <c r="F12" s="53"/>
      <c r="G12" s="53"/>
      <c r="H12" s="53"/>
      <c r="I12" s="53"/>
      <c r="J12" s="53"/>
      <c r="K12" s="130" t="s">
        <v>175</v>
      </c>
      <c r="L12" s="98" t="s">
        <v>164</v>
      </c>
      <c r="M12" s="98" t="s">
        <v>165</v>
      </c>
      <c r="N12" s="54" t="s">
        <v>143</v>
      </c>
    </row>
    <row r="13" spans="1:14" ht="43.15">
      <c r="A13" s="142"/>
      <c r="B13" s="138"/>
      <c r="C13" s="146"/>
      <c r="D13" s="59" t="s">
        <v>176</v>
      </c>
      <c r="E13" s="53"/>
      <c r="F13" s="53"/>
      <c r="G13" s="53"/>
      <c r="H13" s="53"/>
      <c r="I13" s="53"/>
      <c r="J13" s="53"/>
      <c r="K13" s="131"/>
      <c r="L13" s="98" t="s">
        <v>164</v>
      </c>
      <c r="M13" s="98" t="s">
        <v>165</v>
      </c>
      <c r="N13" s="54" t="s">
        <v>143</v>
      </c>
    </row>
    <row r="14" spans="1:14" ht="28.9">
      <c r="A14" s="142"/>
      <c r="B14" s="138"/>
      <c r="C14" s="146"/>
      <c r="D14" s="59" t="s">
        <v>177</v>
      </c>
      <c r="E14" s="53"/>
      <c r="F14" s="53"/>
      <c r="G14" s="53"/>
      <c r="H14" s="53"/>
      <c r="I14" s="53"/>
      <c r="J14" s="53"/>
      <c r="K14" s="131"/>
      <c r="L14" s="98" t="s">
        <v>164</v>
      </c>
      <c r="M14" s="98" t="s">
        <v>168</v>
      </c>
      <c r="N14" s="54" t="s">
        <v>150</v>
      </c>
    </row>
    <row r="15" spans="1:14" ht="28.9">
      <c r="A15" s="142"/>
      <c r="B15" s="138"/>
      <c r="C15" s="146"/>
      <c r="D15" s="59" t="s">
        <v>178</v>
      </c>
      <c r="E15" s="53"/>
      <c r="F15" s="53"/>
      <c r="G15" s="53"/>
      <c r="H15" s="53"/>
      <c r="I15" s="53"/>
      <c r="J15" s="53"/>
      <c r="K15" s="131"/>
      <c r="L15" s="98" t="s">
        <v>164</v>
      </c>
      <c r="M15" s="98" t="s">
        <v>170</v>
      </c>
      <c r="N15" s="54" t="s">
        <v>150</v>
      </c>
    </row>
    <row r="16" spans="1:14" ht="28.9">
      <c r="A16" s="142"/>
      <c r="B16" s="139"/>
      <c r="C16" s="147"/>
      <c r="D16" s="59" t="s">
        <v>179</v>
      </c>
      <c r="E16" s="53"/>
      <c r="F16" s="53"/>
      <c r="G16" s="53"/>
      <c r="H16" s="53"/>
      <c r="I16" s="53"/>
      <c r="J16" s="53"/>
      <c r="K16" s="132"/>
      <c r="L16" s="98" t="s">
        <v>164</v>
      </c>
      <c r="M16" s="98" t="s">
        <v>172</v>
      </c>
      <c r="N16" s="54" t="s">
        <v>150</v>
      </c>
    </row>
    <row r="17" spans="1:14" ht="14.45" customHeight="1">
      <c r="A17" s="142"/>
      <c r="B17" s="137">
        <v>1.4</v>
      </c>
      <c r="C17" s="145" t="s">
        <v>58</v>
      </c>
      <c r="D17" s="59" t="s">
        <v>180</v>
      </c>
      <c r="E17" s="53"/>
      <c r="F17" s="53"/>
      <c r="G17" s="53"/>
      <c r="H17" s="53"/>
      <c r="I17" s="53"/>
      <c r="J17" s="53"/>
      <c r="K17" s="133" t="s">
        <v>181</v>
      </c>
      <c r="L17" s="98" t="s">
        <v>164</v>
      </c>
      <c r="M17" s="98" t="s">
        <v>165</v>
      </c>
      <c r="N17" s="54" t="s">
        <v>143</v>
      </c>
    </row>
    <row r="18" spans="1:14" ht="43.15">
      <c r="A18" s="142"/>
      <c r="B18" s="138"/>
      <c r="C18" s="146"/>
      <c r="D18" s="59" t="s">
        <v>182</v>
      </c>
      <c r="E18" s="53"/>
      <c r="F18" s="53"/>
      <c r="G18" s="53"/>
      <c r="H18" s="53"/>
      <c r="I18" s="53"/>
      <c r="J18" s="53"/>
      <c r="K18" s="134"/>
      <c r="L18" s="98" t="s">
        <v>164</v>
      </c>
      <c r="M18" s="98" t="s">
        <v>165</v>
      </c>
      <c r="N18" s="54" t="s">
        <v>143</v>
      </c>
    </row>
    <row r="19" spans="1:14" ht="28.9">
      <c r="A19" s="142"/>
      <c r="B19" s="138"/>
      <c r="C19" s="146"/>
      <c r="D19" s="59" t="s">
        <v>183</v>
      </c>
      <c r="E19" s="53">
        <v>31</v>
      </c>
      <c r="F19" s="53">
        <v>31</v>
      </c>
      <c r="G19" s="53">
        <v>31</v>
      </c>
      <c r="H19" s="53">
        <v>31</v>
      </c>
      <c r="I19" s="53">
        <v>31</v>
      </c>
      <c r="J19" s="53">
        <v>31</v>
      </c>
      <c r="K19" s="134"/>
      <c r="L19" s="98" t="s">
        <v>164</v>
      </c>
      <c r="M19" s="98" t="s">
        <v>168</v>
      </c>
      <c r="N19" s="54" t="s">
        <v>150</v>
      </c>
    </row>
    <row r="20" spans="1:14" ht="28.9">
      <c r="A20" s="142"/>
      <c r="B20" s="138"/>
      <c r="C20" s="146"/>
      <c r="D20" s="59" t="s">
        <v>184</v>
      </c>
      <c r="E20" s="95">
        <f>3000/31</f>
        <v>96.774193548387103</v>
      </c>
      <c r="F20" s="95">
        <f t="shared" ref="F20:J20" si="0">3000/31</f>
        <v>96.774193548387103</v>
      </c>
      <c r="G20" s="95">
        <f t="shared" si="0"/>
        <v>96.774193548387103</v>
      </c>
      <c r="H20" s="95">
        <f t="shared" si="0"/>
        <v>96.774193548387103</v>
      </c>
      <c r="I20" s="95">
        <f t="shared" si="0"/>
        <v>96.774193548387103</v>
      </c>
      <c r="J20" s="95">
        <f t="shared" si="0"/>
        <v>96.774193548387103</v>
      </c>
      <c r="K20" s="134"/>
      <c r="L20" s="98" t="s">
        <v>164</v>
      </c>
      <c r="M20" s="98" t="s">
        <v>170</v>
      </c>
      <c r="N20" s="54" t="s">
        <v>150</v>
      </c>
    </row>
    <row r="21" spans="1:14" ht="28.9">
      <c r="A21" s="142"/>
      <c r="B21" s="139"/>
      <c r="C21" s="147"/>
      <c r="D21" s="59" t="s">
        <v>185</v>
      </c>
      <c r="E21" s="53"/>
      <c r="F21" s="53"/>
      <c r="G21" s="53"/>
      <c r="H21" s="53"/>
      <c r="I21" s="53"/>
      <c r="J21" s="53"/>
      <c r="K21" s="135"/>
      <c r="L21" s="98" t="s">
        <v>164</v>
      </c>
      <c r="M21" s="98" t="s">
        <v>172</v>
      </c>
      <c r="N21" s="54" t="s">
        <v>150</v>
      </c>
    </row>
    <row r="22" spans="1:14" ht="86.45" customHeight="1">
      <c r="A22" s="142"/>
      <c r="B22" s="137">
        <v>2.1</v>
      </c>
      <c r="C22" s="145" t="s">
        <v>63</v>
      </c>
      <c r="D22" s="60" t="s">
        <v>186</v>
      </c>
      <c r="E22" s="102" t="s">
        <v>187</v>
      </c>
      <c r="F22" s="102" t="s">
        <v>188</v>
      </c>
      <c r="G22" s="102" t="s">
        <v>189</v>
      </c>
      <c r="H22" s="102" t="s">
        <v>190</v>
      </c>
      <c r="I22" s="102" t="s">
        <v>191</v>
      </c>
      <c r="J22" s="102" t="s">
        <v>192</v>
      </c>
      <c r="K22" s="133" t="s">
        <v>193</v>
      </c>
      <c r="L22" s="98" t="s">
        <v>194</v>
      </c>
      <c r="M22" s="98" t="s">
        <v>195</v>
      </c>
      <c r="N22" s="54" t="s">
        <v>196</v>
      </c>
    </row>
    <row r="23" spans="1:14" ht="33.75" customHeight="1">
      <c r="A23" s="142"/>
      <c r="B23" s="139"/>
      <c r="C23" s="147"/>
      <c r="D23" s="60" t="s">
        <v>197</v>
      </c>
      <c r="E23" s="53"/>
      <c r="F23" s="53"/>
      <c r="G23" s="53"/>
      <c r="H23" s="53"/>
      <c r="I23" s="53"/>
      <c r="J23" s="53"/>
      <c r="K23" s="135"/>
      <c r="L23" s="53" t="s">
        <v>194</v>
      </c>
      <c r="M23" s="98" t="s">
        <v>198</v>
      </c>
      <c r="N23" s="54" t="s">
        <v>199</v>
      </c>
    </row>
    <row r="24" spans="1:14" ht="15">
      <c r="A24" s="142"/>
      <c r="B24" s="137">
        <v>2.2000000000000002</v>
      </c>
      <c r="C24" s="145" t="s">
        <v>200</v>
      </c>
      <c r="D24" s="59" t="s">
        <v>201</v>
      </c>
      <c r="E24" s="102" t="s">
        <v>202</v>
      </c>
      <c r="F24" s="102" t="s">
        <v>202</v>
      </c>
      <c r="G24" s="102" t="s">
        <v>202</v>
      </c>
      <c r="H24" s="102" t="s">
        <v>202</v>
      </c>
      <c r="I24" s="102" t="s">
        <v>202</v>
      </c>
      <c r="J24" s="102" t="s">
        <v>202</v>
      </c>
      <c r="K24" s="133" t="s">
        <v>203</v>
      </c>
      <c r="L24" s="53" t="s">
        <v>204</v>
      </c>
      <c r="M24" s="98" t="s">
        <v>205</v>
      </c>
      <c r="N24" s="54" t="s">
        <v>199</v>
      </c>
    </row>
    <row r="25" spans="1:14" ht="14.45">
      <c r="A25" s="142"/>
      <c r="B25" s="138"/>
      <c r="C25" s="146"/>
      <c r="D25" s="59" t="s">
        <v>206</v>
      </c>
      <c r="E25" s="53"/>
      <c r="F25" s="53"/>
      <c r="G25" s="53"/>
      <c r="H25" s="53"/>
      <c r="I25" s="53"/>
      <c r="J25" s="53"/>
      <c r="K25" s="134"/>
      <c r="L25" s="53" t="s">
        <v>204</v>
      </c>
      <c r="M25" s="98" t="s">
        <v>205</v>
      </c>
      <c r="N25" s="54" t="s">
        <v>143</v>
      </c>
    </row>
    <row r="26" spans="1:14" ht="30.75">
      <c r="A26" s="142"/>
      <c r="B26" s="139"/>
      <c r="C26" s="147"/>
      <c r="D26" s="59" t="s">
        <v>207</v>
      </c>
      <c r="E26" s="53"/>
      <c r="F26" s="53"/>
      <c r="G26" s="53"/>
      <c r="H26" s="53"/>
      <c r="I26" s="53"/>
      <c r="J26" s="53"/>
      <c r="K26" s="135"/>
      <c r="L26" s="53" t="s">
        <v>208</v>
      </c>
      <c r="M26" s="98" t="s">
        <v>209</v>
      </c>
      <c r="N26" s="54" t="s">
        <v>143</v>
      </c>
    </row>
    <row r="27" spans="1:14" ht="43.15">
      <c r="A27" s="142"/>
      <c r="B27" s="63">
        <v>3.1</v>
      </c>
      <c r="C27" s="61" t="s">
        <v>72</v>
      </c>
      <c r="D27" s="62" t="s">
        <v>210</v>
      </c>
      <c r="E27" s="53"/>
      <c r="F27" s="53"/>
      <c r="G27" s="53"/>
      <c r="H27" s="53"/>
      <c r="I27" s="53"/>
      <c r="J27" s="53"/>
      <c r="K27" s="98" t="s">
        <v>211</v>
      </c>
      <c r="L27" s="53"/>
      <c r="M27" s="98"/>
      <c r="N27" s="54" t="s">
        <v>199</v>
      </c>
    </row>
    <row r="28" spans="1:14" ht="40.5" customHeight="1">
      <c r="A28" s="142"/>
      <c r="B28" s="64">
        <v>3.2</v>
      </c>
      <c r="C28" s="61" t="s">
        <v>77</v>
      </c>
      <c r="D28" s="62" t="s">
        <v>212</v>
      </c>
      <c r="E28" s="53"/>
      <c r="F28" s="53"/>
      <c r="G28" s="53"/>
      <c r="H28" s="53"/>
      <c r="I28" s="53"/>
      <c r="J28" s="53"/>
      <c r="K28" s="98" t="s">
        <v>213</v>
      </c>
      <c r="L28" s="53" t="s">
        <v>214</v>
      </c>
      <c r="M28" s="98" t="s">
        <v>215</v>
      </c>
      <c r="N28" s="54" t="s">
        <v>196</v>
      </c>
    </row>
    <row r="29" spans="1:14" ht="67.150000000000006" customHeight="1" thickBot="1">
      <c r="A29" s="154"/>
      <c r="B29" s="105">
        <v>4.0999999999999996</v>
      </c>
      <c r="C29" s="96" t="s">
        <v>83</v>
      </c>
      <c r="D29" s="96" t="s">
        <v>216</v>
      </c>
      <c r="E29" s="103">
        <v>0.04</v>
      </c>
      <c r="F29" s="103">
        <v>0.08</v>
      </c>
      <c r="G29" s="103">
        <v>0.12</v>
      </c>
      <c r="H29" s="103">
        <v>0.16</v>
      </c>
      <c r="I29" s="103">
        <v>0.2</v>
      </c>
      <c r="J29" s="103"/>
      <c r="K29" s="100" t="s">
        <v>217</v>
      </c>
      <c r="L29" s="55" t="s">
        <v>218</v>
      </c>
      <c r="M29" s="100" t="s">
        <v>219</v>
      </c>
      <c r="N29" s="97" t="s">
        <v>220</v>
      </c>
    </row>
    <row r="30" spans="1:14" ht="74.45" customHeight="1">
      <c r="A30" s="143" t="s">
        <v>221</v>
      </c>
      <c r="B30" s="140">
        <v>1</v>
      </c>
      <c r="C30" s="149" t="s">
        <v>222</v>
      </c>
      <c r="D30" s="104" t="s">
        <v>223</v>
      </c>
      <c r="E30" s="104" t="s">
        <v>224</v>
      </c>
      <c r="F30" s="104" t="s">
        <v>225</v>
      </c>
      <c r="G30" s="104" t="s">
        <v>226</v>
      </c>
      <c r="H30" s="104" t="s">
        <v>227</v>
      </c>
      <c r="I30" s="104" t="s">
        <v>228</v>
      </c>
      <c r="J30" s="104" t="s">
        <v>229</v>
      </c>
      <c r="K30" s="141" t="s">
        <v>230</v>
      </c>
      <c r="L30" s="141" t="s">
        <v>231</v>
      </c>
      <c r="M30" s="141" t="s">
        <v>232</v>
      </c>
      <c r="N30" s="141" t="s">
        <v>233</v>
      </c>
    </row>
    <row r="31" spans="1:14" ht="44.45" customHeight="1">
      <c r="A31" s="144"/>
      <c r="B31" s="140"/>
      <c r="C31" s="149"/>
      <c r="D31" s="104" t="s">
        <v>234</v>
      </c>
      <c r="E31" s="104">
        <v>0.43</v>
      </c>
      <c r="F31" s="104">
        <v>0.4</v>
      </c>
      <c r="G31" s="104">
        <v>0.4</v>
      </c>
      <c r="H31" s="104">
        <v>0.4</v>
      </c>
      <c r="I31" s="104">
        <v>0.4</v>
      </c>
      <c r="J31" s="104">
        <v>0.4</v>
      </c>
      <c r="K31" s="141"/>
      <c r="L31" s="141"/>
      <c r="M31" s="141"/>
      <c r="N31" s="141"/>
    </row>
    <row r="32" spans="1:14" ht="32.25" customHeight="1">
      <c r="A32" s="144"/>
      <c r="B32" s="140"/>
      <c r="C32" s="149"/>
      <c r="D32" s="104" t="s">
        <v>235</v>
      </c>
      <c r="E32" s="104" t="s">
        <v>236</v>
      </c>
      <c r="F32" s="104" t="s">
        <v>237</v>
      </c>
      <c r="G32" s="104" t="s">
        <v>238</v>
      </c>
      <c r="H32" s="104" t="s">
        <v>239</v>
      </c>
      <c r="I32" s="104" t="s">
        <v>240</v>
      </c>
      <c r="J32" s="104" t="s">
        <v>241</v>
      </c>
      <c r="K32" s="141"/>
      <c r="L32" s="141"/>
      <c r="M32" s="141"/>
      <c r="N32" s="141"/>
    </row>
    <row r="33" spans="1:14" ht="100.9">
      <c r="A33" s="136" t="s">
        <v>242</v>
      </c>
      <c r="B33" s="56">
        <v>1</v>
      </c>
      <c r="C33" s="107" t="s">
        <v>243</v>
      </c>
      <c r="D33" s="99" t="s">
        <v>244</v>
      </c>
      <c r="E33" s="57"/>
      <c r="F33" s="57"/>
      <c r="G33" s="57"/>
      <c r="H33" s="57"/>
      <c r="I33" s="57"/>
      <c r="J33" s="57"/>
      <c r="K33" s="57"/>
      <c r="L33" s="57"/>
      <c r="M33" s="57"/>
      <c r="N33" s="58"/>
    </row>
    <row r="34" spans="1:14" ht="78" customHeight="1">
      <c r="A34" s="136"/>
      <c r="B34" s="56">
        <v>2</v>
      </c>
      <c r="C34" s="107" t="s">
        <v>245</v>
      </c>
      <c r="D34" s="57" t="s">
        <v>246</v>
      </c>
      <c r="E34" s="57"/>
      <c r="F34" s="99" t="s">
        <v>247</v>
      </c>
      <c r="G34" s="99" t="s">
        <v>248</v>
      </c>
      <c r="H34" s="99" t="s">
        <v>249</v>
      </c>
      <c r="I34" s="99" t="s">
        <v>250</v>
      </c>
      <c r="J34" s="99" t="s">
        <v>251</v>
      </c>
      <c r="K34" s="99" t="s">
        <v>252</v>
      </c>
      <c r="L34" s="99" t="s">
        <v>253</v>
      </c>
      <c r="M34" s="57"/>
      <c r="N34" s="58"/>
    </row>
    <row r="35" spans="1:14" ht="57.6">
      <c r="A35" s="136"/>
      <c r="B35" s="56">
        <v>3</v>
      </c>
      <c r="C35" s="107" t="s">
        <v>254</v>
      </c>
      <c r="D35" s="99" t="s">
        <v>255</v>
      </c>
      <c r="E35" s="57"/>
      <c r="F35" s="57"/>
      <c r="G35" s="57"/>
      <c r="H35" s="57"/>
      <c r="I35" s="57"/>
      <c r="J35" s="57"/>
      <c r="K35" s="57" t="s">
        <v>256</v>
      </c>
      <c r="L35" s="57"/>
      <c r="M35" s="57"/>
      <c r="N35" s="58"/>
    </row>
    <row r="36" spans="1:14" ht="57.6">
      <c r="A36" s="136"/>
      <c r="B36" s="56">
        <v>4</v>
      </c>
      <c r="C36" s="107" t="s">
        <v>257</v>
      </c>
      <c r="D36" s="99" t="s">
        <v>258</v>
      </c>
      <c r="E36" s="57"/>
      <c r="F36" s="57"/>
      <c r="G36" s="57"/>
      <c r="H36" s="57"/>
      <c r="I36" s="57"/>
      <c r="J36" s="57"/>
      <c r="K36" s="57"/>
      <c r="L36" s="57"/>
      <c r="M36" s="57"/>
      <c r="N36" s="58"/>
    </row>
    <row r="37" spans="1:14" ht="96.6" customHeight="1">
      <c r="A37" s="136"/>
      <c r="B37" s="56">
        <v>5</v>
      </c>
      <c r="C37" s="107" t="s">
        <v>259</v>
      </c>
      <c r="D37" s="99" t="s">
        <v>260</v>
      </c>
      <c r="E37" s="57"/>
      <c r="F37" s="99" t="s">
        <v>261</v>
      </c>
      <c r="G37" s="99" t="s">
        <v>262</v>
      </c>
      <c r="H37" s="99" t="s">
        <v>263</v>
      </c>
      <c r="I37" s="99" t="s">
        <v>264</v>
      </c>
      <c r="J37" s="99" t="s">
        <v>265</v>
      </c>
      <c r="K37" s="99" t="s">
        <v>266</v>
      </c>
      <c r="L37" s="99" t="s">
        <v>267</v>
      </c>
      <c r="M37" s="57"/>
      <c r="N37" s="58"/>
    </row>
    <row r="38" spans="1:14" ht="115.15">
      <c r="A38" s="136"/>
      <c r="B38" s="56">
        <v>6</v>
      </c>
      <c r="C38" s="108" t="s">
        <v>268</v>
      </c>
      <c r="D38" s="99" t="s">
        <v>269</v>
      </c>
      <c r="E38" s="57"/>
      <c r="F38" s="57"/>
      <c r="G38" s="57"/>
      <c r="H38" s="57"/>
      <c r="I38" s="57"/>
      <c r="J38" s="57"/>
      <c r="K38" s="57"/>
      <c r="L38" s="99"/>
      <c r="M38" s="57"/>
      <c r="N38" s="58"/>
    </row>
    <row r="39" spans="1:14" ht="139.9" customHeight="1">
      <c r="A39" s="136"/>
      <c r="B39" s="56">
        <v>7</v>
      </c>
      <c r="C39" s="107" t="s">
        <v>270</v>
      </c>
      <c r="D39" s="99" t="s">
        <v>271</v>
      </c>
      <c r="E39" s="57"/>
      <c r="F39" s="99" t="s">
        <v>272</v>
      </c>
      <c r="G39" s="99" t="s">
        <v>273</v>
      </c>
      <c r="H39" s="99" t="s">
        <v>274</v>
      </c>
      <c r="I39" s="99" t="s">
        <v>275</v>
      </c>
      <c r="J39" s="99" t="s">
        <v>275</v>
      </c>
      <c r="K39" s="99"/>
      <c r="L39" s="57"/>
      <c r="M39" s="57"/>
      <c r="N39" s="58"/>
    </row>
    <row r="40" spans="1:14" ht="100.9">
      <c r="A40" s="155"/>
      <c r="B40" s="56">
        <v>8</v>
      </c>
      <c r="C40" s="109" t="s">
        <v>276</v>
      </c>
      <c r="D40" s="99" t="s">
        <v>277</v>
      </c>
      <c r="E40" s="57"/>
      <c r="F40" s="57"/>
      <c r="G40" s="57"/>
      <c r="H40" s="57"/>
      <c r="I40" s="57"/>
      <c r="J40" s="57"/>
      <c r="K40" s="57"/>
      <c r="L40" s="57"/>
      <c r="M40" s="57"/>
      <c r="N40" s="58"/>
    </row>
  </sheetData>
  <mergeCells count="27">
    <mergeCell ref="L30:L32"/>
    <mergeCell ref="M30:M32"/>
    <mergeCell ref="N30:N32"/>
    <mergeCell ref="A2:A29"/>
    <mergeCell ref="A30:A32"/>
    <mergeCell ref="C24:C26"/>
    <mergeCell ref="C2:C6"/>
    <mergeCell ref="C30:C32"/>
    <mergeCell ref="K30:K32"/>
    <mergeCell ref="C7:C11"/>
    <mergeCell ref="C12:C16"/>
    <mergeCell ref="C17:C21"/>
    <mergeCell ref="C22:C23"/>
    <mergeCell ref="K22:K23"/>
    <mergeCell ref="K24:K26"/>
    <mergeCell ref="K2:K6"/>
    <mergeCell ref="K7:K11"/>
    <mergeCell ref="K12:K16"/>
    <mergeCell ref="K17:K21"/>
    <mergeCell ref="A33:A40"/>
    <mergeCell ref="B2:B6"/>
    <mergeCell ref="B7:B11"/>
    <mergeCell ref="B12:B16"/>
    <mergeCell ref="B17:B21"/>
    <mergeCell ref="B22:B23"/>
    <mergeCell ref="B24:B26"/>
    <mergeCell ref="B30:B32"/>
  </mergeCells>
  <phoneticPr fontId="31" type="noConversion"/>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4CCCC"/>
    <outlinePr summaryBelow="0" summaryRight="0"/>
  </sheetPr>
  <dimension ref="A1:J43"/>
  <sheetViews>
    <sheetView showGridLines="0" workbookViewId="0">
      <pane ySplit="3" topLeftCell="A12" activePane="bottomLeft" state="frozen"/>
      <selection pane="bottomLeft" activeCell="A4" sqref="A4"/>
    </sheetView>
  </sheetViews>
  <sheetFormatPr defaultColWidth="12.5703125" defaultRowHeight="15.75" customHeight="1"/>
  <cols>
    <col min="1" max="1" width="18.28515625" customWidth="1"/>
    <col min="2" max="2" width="33.7109375" customWidth="1"/>
    <col min="3" max="3" width="87.140625" customWidth="1"/>
    <col min="4" max="4" width="55" customWidth="1"/>
    <col min="5" max="5" width="25.42578125" customWidth="1"/>
    <col min="6" max="6" width="38" customWidth="1"/>
    <col min="7" max="7" width="21.140625" customWidth="1"/>
    <col min="8" max="8" width="105.140625" customWidth="1"/>
  </cols>
  <sheetData>
    <row r="1" spans="1:10" ht="26.45">
      <c r="A1" s="29"/>
      <c r="B1" s="30" t="s">
        <v>278</v>
      </c>
      <c r="C1" s="30" t="s">
        <v>86</v>
      </c>
      <c r="D1" s="30" t="s">
        <v>87</v>
      </c>
      <c r="E1" s="31" t="s">
        <v>19</v>
      </c>
      <c r="F1" s="32" t="s">
        <v>20</v>
      </c>
      <c r="G1" s="32" t="s">
        <v>21</v>
      </c>
      <c r="H1" s="30" t="s">
        <v>22</v>
      </c>
    </row>
    <row r="2" spans="1:10" ht="145.15">
      <c r="A2" s="41" t="s">
        <v>24</v>
      </c>
      <c r="B2" s="42" t="s">
        <v>279</v>
      </c>
      <c r="C2" s="42" t="s">
        <v>280</v>
      </c>
      <c r="D2" s="42" t="s">
        <v>281</v>
      </c>
      <c r="E2" s="42" t="s">
        <v>282</v>
      </c>
      <c r="F2" s="42" t="s">
        <v>283</v>
      </c>
      <c r="G2" s="42" t="s">
        <v>284</v>
      </c>
      <c r="H2" s="42" t="s">
        <v>285</v>
      </c>
    </row>
    <row r="3" spans="1:10" ht="26.45">
      <c r="A3" s="38"/>
      <c r="B3" s="43" t="s">
        <v>286</v>
      </c>
      <c r="C3" s="43" t="s">
        <v>86</v>
      </c>
      <c r="D3" s="43" t="s">
        <v>87</v>
      </c>
      <c r="E3" s="44" t="s">
        <v>19</v>
      </c>
      <c r="F3" s="45" t="s">
        <v>20</v>
      </c>
      <c r="G3" s="45" t="s">
        <v>21</v>
      </c>
      <c r="H3" s="43" t="s">
        <v>22</v>
      </c>
    </row>
    <row r="4" spans="1:10" ht="52.9">
      <c r="A4" s="46" t="s">
        <v>287</v>
      </c>
      <c r="B4" s="47" t="s">
        <v>288</v>
      </c>
      <c r="C4" s="47" t="s">
        <v>289</v>
      </c>
      <c r="D4" s="47" t="s">
        <v>290</v>
      </c>
      <c r="E4" s="47" t="s">
        <v>291</v>
      </c>
      <c r="F4" s="47" t="s">
        <v>292</v>
      </c>
      <c r="G4" s="47" t="s">
        <v>293</v>
      </c>
      <c r="H4" s="47" t="s">
        <v>294</v>
      </c>
      <c r="I4" s="48"/>
      <c r="J4" s="48"/>
    </row>
    <row r="5" spans="1:10" ht="26.45">
      <c r="A5" s="46" t="s">
        <v>287</v>
      </c>
      <c r="B5" s="47" t="s">
        <v>295</v>
      </c>
      <c r="C5" s="47" t="s">
        <v>296</v>
      </c>
      <c r="D5" s="47" t="s">
        <v>297</v>
      </c>
      <c r="E5" s="47"/>
      <c r="F5" s="47" t="s">
        <v>298</v>
      </c>
      <c r="G5" s="47" t="s">
        <v>299</v>
      </c>
      <c r="H5" s="47" t="s">
        <v>300</v>
      </c>
      <c r="I5" s="48"/>
      <c r="J5" s="48"/>
    </row>
    <row r="6" spans="1:10" ht="22.15" customHeight="1">
      <c r="A6" s="46" t="s">
        <v>287</v>
      </c>
      <c r="B6" s="47" t="s">
        <v>301</v>
      </c>
      <c r="C6" s="47" t="s">
        <v>302</v>
      </c>
      <c r="D6" s="47" t="s">
        <v>303</v>
      </c>
      <c r="E6" s="47" t="s">
        <v>304</v>
      </c>
      <c r="F6" s="47" t="s">
        <v>305</v>
      </c>
      <c r="G6" s="47" t="s">
        <v>306</v>
      </c>
      <c r="H6" s="47" t="s">
        <v>307</v>
      </c>
      <c r="I6" s="48"/>
      <c r="J6" s="48"/>
    </row>
    <row r="7" spans="1:10" s="72" customFormat="1" ht="26.45">
      <c r="A7" s="73"/>
      <c r="B7" s="117" t="s">
        <v>288</v>
      </c>
      <c r="C7" s="120" t="s">
        <v>308</v>
      </c>
      <c r="D7" s="117" t="s">
        <v>309</v>
      </c>
      <c r="E7" s="74" t="s">
        <v>310</v>
      </c>
      <c r="F7" s="120" t="s">
        <v>292</v>
      </c>
      <c r="G7" s="75" t="s">
        <v>293</v>
      </c>
      <c r="H7" s="74" t="s">
        <v>311</v>
      </c>
    </row>
    <row r="8" spans="1:10" s="72" customFormat="1" ht="13.15">
      <c r="A8" s="73"/>
      <c r="B8" s="118"/>
      <c r="C8" s="156"/>
      <c r="D8" s="118"/>
      <c r="E8" s="76"/>
      <c r="F8" s="156"/>
      <c r="G8" s="75"/>
      <c r="H8" s="75" t="s">
        <v>312</v>
      </c>
    </row>
    <row r="9" spans="1:10" s="72" customFormat="1" ht="13.15">
      <c r="A9" s="73"/>
      <c r="B9" s="118"/>
      <c r="C9" s="156"/>
      <c r="D9" s="118"/>
      <c r="E9" s="76"/>
      <c r="F9" s="156"/>
      <c r="G9" s="75"/>
      <c r="H9" s="75" t="s">
        <v>313</v>
      </c>
    </row>
    <row r="10" spans="1:10" s="72" customFormat="1" ht="13.15">
      <c r="A10" s="73"/>
      <c r="B10" s="118"/>
      <c r="C10" s="156"/>
      <c r="D10" s="118"/>
      <c r="E10" s="76"/>
      <c r="F10" s="156"/>
      <c r="G10" s="75"/>
      <c r="H10" s="75" t="s">
        <v>314</v>
      </c>
    </row>
    <row r="11" spans="1:10" s="72" customFormat="1" ht="13.15">
      <c r="A11" s="73"/>
      <c r="B11" s="118"/>
      <c r="C11" s="156"/>
      <c r="D11" s="118"/>
      <c r="E11" s="76"/>
      <c r="F11" s="156"/>
      <c r="G11" s="75"/>
      <c r="H11" s="75" t="s">
        <v>315</v>
      </c>
    </row>
    <row r="12" spans="1:10" s="72" customFormat="1" ht="13.15">
      <c r="A12" s="73"/>
      <c r="B12" s="118"/>
      <c r="C12" s="156"/>
      <c r="D12" s="118"/>
      <c r="E12" s="76"/>
      <c r="F12" s="156"/>
      <c r="G12" s="75"/>
      <c r="H12" s="75" t="s">
        <v>316</v>
      </c>
    </row>
    <row r="13" spans="1:10" s="72" customFormat="1" ht="13.15">
      <c r="A13" s="73"/>
      <c r="B13" s="119"/>
      <c r="C13" s="157"/>
      <c r="D13" s="119"/>
      <c r="E13" s="76"/>
      <c r="F13" s="157"/>
      <c r="G13" s="75"/>
      <c r="H13" s="75" t="s">
        <v>317</v>
      </c>
    </row>
    <row r="14" spans="1:10" s="72" customFormat="1" ht="26.45">
      <c r="A14" s="73"/>
      <c r="B14" s="121" t="s">
        <v>295</v>
      </c>
      <c r="C14" s="121" t="s">
        <v>318</v>
      </c>
      <c r="D14" s="121" t="s">
        <v>319</v>
      </c>
      <c r="E14" s="122" t="s">
        <v>320</v>
      </c>
      <c r="F14" s="122" t="s">
        <v>321</v>
      </c>
      <c r="G14" s="123" t="s">
        <v>299</v>
      </c>
      <c r="H14" s="75" t="s">
        <v>322</v>
      </c>
    </row>
    <row r="15" spans="1:10" s="72" customFormat="1" ht="26.45">
      <c r="A15" s="73"/>
      <c r="B15" s="118"/>
      <c r="C15" s="156"/>
      <c r="D15" s="118"/>
      <c r="E15" s="156"/>
      <c r="F15" s="156"/>
      <c r="G15" s="156"/>
      <c r="H15" s="77" t="s">
        <v>323</v>
      </c>
    </row>
    <row r="16" spans="1:10" s="72" customFormat="1" ht="13.15">
      <c r="A16" s="73"/>
      <c r="B16" s="118"/>
      <c r="C16" s="156"/>
      <c r="D16" s="118"/>
      <c r="E16" s="156"/>
      <c r="F16" s="156"/>
      <c r="G16" s="156"/>
      <c r="H16" s="75" t="s">
        <v>324</v>
      </c>
    </row>
    <row r="17" spans="1:8" s="72" customFormat="1" ht="13.15">
      <c r="A17" s="73"/>
      <c r="B17" s="118"/>
      <c r="C17" s="156"/>
      <c r="D17" s="118"/>
      <c r="E17" s="156"/>
      <c r="F17" s="156"/>
      <c r="G17" s="156"/>
      <c r="H17" s="77"/>
    </row>
    <row r="18" spans="1:8" s="72" customFormat="1" ht="13.15">
      <c r="A18" s="73"/>
      <c r="B18" s="118"/>
      <c r="C18" s="156"/>
      <c r="D18" s="118"/>
      <c r="E18" s="156"/>
      <c r="F18" s="156"/>
      <c r="G18" s="156"/>
      <c r="H18" s="75" t="s">
        <v>325</v>
      </c>
    </row>
    <row r="19" spans="1:8" s="72" customFormat="1" ht="26.45">
      <c r="A19" s="73"/>
      <c r="B19" s="118"/>
      <c r="C19" s="157"/>
      <c r="D19" s="119"/>
      <c r="E19" s="156"/>
      <c r="F19" s="156"/>
      <c r="G19" s="156"/>
      <c r="H19" s="75" t="s">
        <v>326</v>
      </c>
    </row>
    <row r="20" spans="1:8" s="72" customFormat="1" ht="26.45">
      <c r="A20" s="73"/>
      <c r="B20" s="119"/>
      <c r="C20" s="78" t="s">
        <v>327</v>
      </c>
      <c r="D20" s="79" t="s">
        <v>328</v>
      </c>
      <c r="E20" s="157"/>
      <c r="F20" s="157"/>
      <c r="G20" s="157"/>
      <c r="H20" s="75" t="s">
        <v>329</v>
      </c>
    </row>
    <row r="21" spans="1:8" s="72" customFormat="1" ht="26.45">
      <c r="A21" s="73"/>
      <c r="B21" s="121" t="s">
        <v>301</v>
      </c>
      <c r="C21" s="124" t="s">
        <v>330</v>
      </c>
      <c r="D21" s="121" t="s">
        <v>331</v>
      </c>
      <c r="E21" s="122" t="s">
        <v>332</v>
      </c>
      <c r="F21" s="125" t="s">
        <v>333</v>
      </c>
      <c r="G21" s="122" t="s">
        <v>334</v>
      </c>
      <c r="H21" s="75" t="s">
        <v>335</v>
      </c>
    </row>
    <row r="22" spans="1:8" s="72" customFormat="1" ht="13.15">
      <c r="A22" s="73"/>
      <c r="B22" s="118"/>
      <c r="C22" s="156"/>
      <c r="D22" s="118"/>
      <c r="E22" s="156"/>
      <c r="F22" s="156"/>
      <c r="G22" s="156"/>
      <c r="H22" s="75" t="s">
        <v>336</v>
      </c>
    </row>
    <row r="23" spans="1:8" s="72" customFormat="1" ht="13.15">
      <c r="A23" s="73"/>
      <c r="B23" s="118"/>
      <c r="C23" s="156"/>
      <c r="D23" s="118"/>
      <c r="E23" s="156"/>
      <c r="F23" s="156"/>
      <c r="G23" s="156"/>
      <c r="H23" s="75" t="s">
        <v>337</v>
      </c>
    </row>
    <row r="24" spans="1:8" s="72" customFormat="1" ht="13.15">
      <c r="A24" s="73"/>
      <c r="B24" s="118"/>
      <c r="C24" s="156"/>
      <c r="D24" s="118"/>
      <c r="E24" s="156"/>
      <c r="F24" s="156"/>
      <c r="G24" s="156"/>
      <c r="H24" s="75" t="s">
        <v>338</v>
      </c>
    </row>
    <row r="25" spans="1:8" s="72" customFormat="1" ht="13.15">
      <c r="A25" s="73"/>
      <c r="B25" s="118"/>
      <c r="C25" s="156"/>
      <c r="D25" s="118"/>
      <c r="E25" s="156"/>
      <c r="F25" s="156"/>
      <c r="G25" s="156"/>
      <c r="H25" s="75" t="s">
        <v>339</v>
      </c>
    </row>
    <row r="26" spans="1:8" s="72" customFormat="1" ht="13.15">
      <c r="A26" s="73"/>
      <c r="B26" s="118"/>
      <c r="C26" s="156"/>
      <c r="D26" s="118"/>
      <c r="E26" s="156"/>
      <c r="F26" s="156"/>
      <c r="G26" s="156"/>
      <c r="H26" s="75" t="s">
        <v>340</v>
      </c>
    </row>
    <row r="27" spans="1:8" s="72" customFormat="1" ht="26.45">
      <c r="A27" s="73"/>
      <c r="B27" s="118"/>
      <c r="C27" s="157"/>
      <c r="D27" s="119"/>
      <c r="E27" s="157"/>
      <c r="F27" s="157"/>
      <c r="G27" s="156"/>
      <c r="H27" s="80" t="s">
        <v>341</v>
      </c>
    </row>
    <row r="28" spans="1:8" s="72" customFormat="1" ht="52.9">
      <c r="A28" s="73"/>
      <c r="B28" s="119"/>
      <c r="C28" s="81" t="s">
        <v>342</v>
      </c>
      <c r="D28" s="82" t="s">
        <v>343</v>
      </c>
      <c r="E28" s="83" t="s">
        <v>332</v>
      </c>
      <c r="F28" s="84" t="s">
        <v>292</v>
      </c>
      <c r="G28" s="157"/>
      <c r="H28" s="75" t="s">
        <v>344</v>
      </c>
    </row>
    <row r="29" spans="1:8" s="72" customFormat="1" ht="13.15">
      <c r="A29" s="73"/>
      <c r="B29" s="127" t="s">
        <v>345</v>
      </c>
      <c r="C29" s="126" t="s">
        <v>346</v>
      </c>
      <c r="D29" s="127" t="s">
        <v>345</v>
      </c>
      <c r="E29" s="128" t="s">
        <v>347</v>
      </c>
      <c r="F29" s="128" t="s">
        <v>348</v>
      </c>
      <c r="G29" s="128" t="s">
        <v>349</v>
      </c>
      <c r="H29" s="80" t="s">
        <v>350</v>
      </c>
    </row>
    <row r="30" spans="1:8" s="72" customFormat="1" ht="13.15">
      <c r="A30" s="73"/>
      <c r="B30" s="118"/>
      <c r="C30" s="156"/>
      <c r="D30" s="118"/>
      <c r="E30" s="156"/>
      <c r="F30" s="156"/>
      <c r="G30" s="156"/>
      <c r="H30" s="80" t="s">
        <v>351</v>
      </c>
    </row>
    <row r="31" spans="1:8" s="72" customFormat="1" ht="13.15">
      <c r="A31" s="73"/>
      <c r="B31" s="118"/>
      <c r="C31" s="156"/>
      <c r="D31" s="118"/>
      <c r="E31" s="156"/>
      <c r="F31" s="156"/>
      <c r="G31" s="156"/>
      <c r="H31" s="80" t="s">
        <v>352</v>
      </c>
    </row>
    <row r="32" spans="1:8" s="72" customFormat="1" ht="13.15">
      <c r="A32" s="73"/>
      <c r="B32" s="118"/>
      <c r="C32" s="156"/>
      <c r="D32" s="118"/>
      <c r="E32" s="156"/>
      <c r="F32" s="156"/>
      <c r="G32" s="156"/>
      <c r="H32" s="80" t="s">
        <v>353</v>
      </c>
    </row>
    <row r="33" spans="1:8" s="72" customFormat="1" ht="13.15">
      <c r="A33" s="73"/>
      <c r="B33" s="119"/>
      <c r="C33" s="157"/>
      <c r="D33" s="119"/>
      <c r="E33" s="157"/>
      <c r="F33" s="157"/>
      <c r="G33" s="157"/>
      <c r="H33" s="80" t="s">
        <v>354</v>
      </c>
    </row>
    <row r="34" spans="1:8" s="72" customFormat="1" ht="13.15">
      <c r="A34" s="73"/>
      <c r="B34" s="126" t="s">
        <v>355</v>
      </c>
      <c r="C34" s="126" t="s">
        <v>356</v>
      </c>
      <c r="D34" s="126" t="s">
        <v>357</v>
      </c>
      <c r="E34" s="128" t="s">
        <v>347</v>
      </c>
      <c r="F34" s="128" t="s">
        <v>358</v>
      </c>
      <c r="G34" s="126" t="s">
        <v>359</v>
      </c>
      <c r="H34" s="80" t="s">
        <v>360</v>
      </c>
    </row>
    <row r="35" spans="1:8" s="72" customFormat="1" ht="26.45">
      <c r="A35" s="73"/>
      <c r="B35" s="119"/>
      <c r="C35" s="157"/>
      <c r="D35" s="119"/>
      <c r="E35" s="157"/>
      <c r="F35" s="157"/>
      <c r="G35" s="157"/>
      <c r="H35" s="80" t="s">
        <v>361</v>
      </c>
    </row>
    <row r="36" spans="1:8" s="72" customFormat="1" ht="26.45">
      <c r="A36" s="73"/>
      <c r="B36" s="127" t="s">
        <v>362</v>
      </c>
      <c r="C36" s="126" t="s">
        <v>363</v>
      </c>
      <c r="D36" s="126" t="s">
        <v>364</v>
      </c>
      <c r="E36" s="128" t="s">
        <v>347</v>
      </c>
      <c r="F36" s="128" t="s">
        <v>362</v>
      </c>
      <c r="G36" s="126" t="s">
        <v>365</v>
      </c>
      <c r="H36" s="80" t="s">
        <v>366</v>
      </c>
    </row>
    <row r="37" spans="1:8" s="72" customFormat="1" ht="13.15">
      <c r="A37" s="73"/>
      <c r="B37" s="118"/>
      <c r="C37" s="156"/>
      <c r="D37" s="119"/>
      <c r="E37" s="157"/>
      <c r="F37" s="157"/>
      <c r="G37" s="157"/>
      <c r="H37" s="80" t="s">
        <v>367</v>
      </c>
    </row>
    <row r="38" spans="1:8" s="72" customFormat="1" ht="39.6">
      <c r="A38" s="73"/>
      <c r="B38" s="119"/>
      <c r="C38" s="157"/>
      <c r="D38" s="85" t="s">
        <v>368</v>
      </c>
      <c r="E38" s="86"/>
      <c r="F38" s="86"/>
      <c r="G38" s="87" t="s">
        <v>369</v>
      </c>
      <c r="H38" s="88" t="s">
        <v>370</v>
      </c>
    </row>
    <row r="39" spans="1:8" s="72" customFormat="1" ht="26.45">
      <c r="A39" s="73"/>
      <c r="B39" s="126" t="s">
        <v>371</v>
      </c>
      <c r="C39" s="126" t="s">
        <v>372</v>
      </c>
      <c r="D39" s="126" t="s">
        <v>373</v>
      </c>
      <c r="E39" s="128" t="s">
        <v>347</v>
      </c>
      <c r="F39" s="128" t="s">
        <v>333</v>
      </c>
      <c r="G39" s="129" t="s">
        <v>371</v>
      </c>
      <c r="H39" s="80" t="s">
        <v>374</v>
      </c>
    </row>
    <row r="40" spans="1:8" s="72" customFormat="1" ht="13.15">
      <c r="A40" s="73"/>
      <c r="B40" s="118"/>
      <c r="C40" s="156"/>
      <c r="D40" s="118"/>
      <c r="E40" s="156"/>
      <c r="F40" s="156"/>
      <c r="G40" s="156"/>
      <c r="H40" s="80" t="s">
        <v>375</v>
      </c>
    </row>
    <row r="41" spans="1:8" s="72" customFormat="1" ht="13.15">
      <c r="A41" s="73"/>
      <c r="B41" s="118"/>
      <c r="C41" s="156"/>
      <c r="D41" s="118"/>
      <c r="E41" s="156"/>
      <c r="F41" s="156"/>
      <c r="G41" s="156"/>
      <c r="H41" s="80" t="s">
        <v>376</v>
      </c>
    </row>
    <row r="42" spans="1:8" s="72" customFormat="1" ht="26.45">
      <c r="A42" s="73"/>
      <c r="B42" s="119"/>
      <c r="C42" s="157"/>
      <c r="D42" s="119"/>
      <c r="E42" s="157"/>
      <c r="F42" s="157"/>
      <c r="G42" s="157"/>
      <c r="H42" s="89" t="s">
        <v>377</v>
      </c>
    </row>
    <row r="43" spans="1:8" s="72" customFormat="1" ht="132">
      <c r="A43" s="73"/>
      <c r="B43" s="91" t="s">
        <v>378</v>
      </c>
      <c r="C43" s="90" t="s">
        <v>379</v>
      </c>
      <c r="D43" s="90" t="s">
        <v>380</v>
      </c>
      <c r="E43" s="86" t="s">
        <v>347</v>
      </c>
      <c r="F43" s="86" t="s">
        <v>378</v>
      </c>
      <c r="G43" s="86" t="s">
        <v>378</v>
      </c>
      <c r="H43" s="80" t="s">
        <v>381</v>
      </c>
    </row>
  </sheetData>
  <mergeCells count="40">
    <mergeCell ref="G39:G42"/>
    <mergeCell ref="B36:B38"/>
    <mergeCell ref="C36:C38"/>
    <mergeCell ref="D36:D37"/>
    <mergeCell ref="E36:E37"/>
    <mergeCell ref="F36:F37"/>
    <mergeCell ref="G36:G37"/>
    <mergeCell ref="B39:B42"/>
    <mergeCell ref="C39:C42"/>
    <mergeCell ref="D39:D42"/>
    <mergeCell ref="E39:E42"/>
    <mergeCell ref="F39:F42"/>
    <mergeCell ref="G34:G35"/>
    <mergeCell ref="B29:B33"/>
    <mergeCell ref="C29:C33"/>
    <mergeCell ref="D29:D33"/>
    <mergeCell ref="E29:E33"/>
    <mergeCell ref="F29:F33"/>
    <mergeCell ref="G29:G33"/>
    <mergeCell ref="B34:B35"/>
    <mergeCell ref="C34:C35"/>
    <mergeCell ref="D34:D35"/>
    <mergeCell ref="E34:E35"/>
    <mergeCell ref="F34:F35"/>
    <mergeCell ref="G14:G20"/>
    <mergeCell ref="B21:B28"/>
    <mergeCell ref="C21:C27"/>
    <mergeCell ref="D21:D27"/>
    <mergeCell ref="E21:E27"/>
    <mergeCell ref="F21:F27"/>
    <mergeCell ref="G21:G28"/>
    <mergeCell ref="B7:B13"/>
    <mergeCell ref="C7:C13"/>
    <mergeCell ref="D7:D13"/>
    <mergeCell ref="F7:F13"/>
    <mergeCell ref="B14:B20"/>
    <mergeCell ref="C14:C19"/>
    <mergeCell ref="D14:D19"/>
    <mergeCell ref="E14:E20"/>
    <mergeCell ref="F14:F20"/>
  </mergeCells>
  <dataValidations count="2">
    <dataValidation type="list" allowBlank="1" showErrorMessage="1" sqref="F3:F6" xr:uid="{00000000-0002-0000-0300-000000000000}">
      <formula1>"Resource Mobilization,Communications &amp; Marketing,Finance &amp; Administration,PMEL,Compliance &amp; Risk,People &amp; Culture,Office Management (IT, Logistics, Procurement, etc.)"</formula1>
    </dataValidation>
    <dataValidation type="list" allowBlank="1" showErrorMessage="1" sqref="F7 F14 F21 F28:F29 F34 F36 F38:F39 F43" xr:uid="{96F80D8D-1646-42E1-BCA1-2512528BCA9A}">
      <formula1>"Resource Mobilization,Communications &amp; Marketing,Finance &amp; Administration,PMEL,Compliance &amp; Risk,People &amp; Culture,Office Management (IT,Logistics,Procurement,etc.)"</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Alejandra Revilla Cejudo (WWF NL)</cp:lastModifiedBy>
  <cp:revision/>
  <dcterms:created xsi:type="dcterms:W3CDTF">2025-04-30T09:26:44Z</dcterms:created>
  <dcterms:modified xsi:type="dcterms:W3CDTF">2026-04-10T01:49:24Z</dcterms:modified>
  <cp:category/>
  <cp:contentStatus/>
</cp:coreProperties>
</file>