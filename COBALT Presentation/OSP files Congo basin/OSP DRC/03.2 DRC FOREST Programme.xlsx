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wwfint-my.sharepoint.com/personal/pkahuho_wwfint_org/Documents/1. CB OSP Workshop/3. DRC OSP Files/DRC OSP Files/DRC OSP Files_22_07_25/"/>
    </mc:Choice>
  </mc:AlternateContent>
  <xr:revisionPtr revIDLastSave="812" documentId="13_ncr:1_{63BE5039-FC29-4CB8-9DAF-6D2E14362FEF}" xr6:coauthVersionLast="47" xr6:coauthVersionMax="47" xr10:uidLastSave="{DE4A1425-EFC0-403B-9A5E-98496A7AC10D}"/>
  <bookViews>
    <workbookView xWindow="22932" yWindow="-3024" windowWidth="30936" windowHeight="16776" firstSheet="5" activeTab="5" xr2:uid="{86BFDA43-BDE9-471F-89D1-0F815686BD2B}"/>
  </bookViews>
  <sheets>
    <sheet name="Programme Profile" sheetId="1" r:id="rId1"/>
    <sheet name="Situation Analysis" sheetId="2" r:id="rId2"/>
    <sheet name="Stakeholder Analysis" sheetId="3" r:id="rId3"/>
    <sheet name="Focus &amp; Goals" sheetId="10" r:id="rId4"/>
    <sheet name="Narrative TOC" sheetId="5" r:id="rId5"/>
    <sheet name="Program M&amp;E Plan" sheetId="7" r:id="rId6"/>
    <sheet name="Result Chain" sheetId="6" state="hidden" r:id="rId7"/>
    <sheet name="Programme Implementation Plan" sheetId="8" r:id="rId8"/>
    <sheet name="Learning Questions" sheetId="9" r:id="rId9"/>
  </sheets>
  <definedNames>
    <definedName name="_xlnm._FilterDatabase" localSheetId="6" hidden="1">'Result Chain'!$A$1:$N$4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8" l="1"/>
  <c r="B5" i="8"/>
  <c r="B6" i="8"/>
  <c r="B7" i="8"/>
  <c r="B8" i="8"/>
  <c r="B9" i="8"/>
  <c r="B10" i="8"/>
  <c r="B11" i="8"/>
  <c r="B12" i="8"/>
  <c r="B13" i="8"/>
  <c r="B14" i="8"/>
  <c r="B15" i="8"/>
  <c r="B16" i="8"/>
  <c r="B17" i="8"/>
  <c r="B18" i="8"/>
  <c r="B19" i="8"/>
  <c r="B20" i="8"/>
  <c r="B21" i="8"/>
  <c r="B22" i="8"/>
  <c r="B23" i="8"/>
  <c r="B24" i="8"/>
  <c r="B25" i="8"/>
  <c r="B26" i="8"/>
  <c r="B3" i="8"/>
  <c r="F27" i="8" l="1"/>
  <c r="G27" i="8"/>
  <c r="H27" i="8"/>
  <c r="I27" i="8"/>
  <c r="J27" i="8"/>
  <c r="K9" i="8" l="1"/>
  <c r="K10" i="8"/>
  <c r="K11" i="8"/>
  <c r="K12" i="8"/>
  <c r="K13" i="8"/>
  <c r="K14" i="8"/>
  <c r="K15" i="8"/>
  <c r="K16" i="8"/>
  <c r="K17" i="8"/>
  <c r="K18" i="8"/>
  <c r="K19" i="8"/>
  <c r="K20" i="8"/>
  <c r="K21" i="8"/>
  <c r="K22" i="8"/>
  <c r="K23" i="8"/>
  <c r="K24" i="8"/>
  <c r="K25" i="8"/>
  <c r="K26" i="8"/>
  <c r="K8" i="8"/>
  <c r="K7" i="8"/>
  <c r="K6" i="8"/>
  <c r="K5" i="8"/>
  <c r="K4" i="8"/>
  <c r="K3" i="8"/>
  <c r="K27"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tc={ADDE0B69-4708-46D2-BC44-6D57D119B6CD}</author>
  </authors>
  <commentList>
    <comment ref="O1" authorId="0" shapeId="0" xr:uid="{ADDE0B69-4708-46D2-BC44-6D57D119B6C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@Margaret Madira The OSP risk assessment needs to be completed as already mentioned before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500-000001000000}">
      <text>
        <r>
          <rPr>
            <sz val="10"/>
            <color rgb="FF000000"/>
            <rFont val="Arial"/>
            <family val="2"/>
            <scheme val="minor"/>
          </rPr>
          <t>@hwilliams@wwfint.org, also here we should be align the language
_Assigned to hwilliams@wwfint.org_
	-Philip Kahuho</t>
        </r>
      </text>
    </comment>
  </commentList>
</comments>
</file>

<file path=xl/sharedStrings.xml><?xml version="1.0" encoding="utf-8"?>
<sst xmlns="http://schemas.openxmlformats.org/spreadsheetml/2006/main" count="1093" uniqueCount="659">
  <si>
    <t>Read Me First</t>
  </si>
  <si>
    <t xml:space="preserve">Programme Name
</t>
  </si>
  <si>
    <t>Please enter the Name of the Programme (Max 20 words)
See the guidance on the approach to the Programme and Project Planning</t>
  </si>
  <si>
    <t>DRC Forest Program</t>
  </si>
  <si>
    <t>Program Lead</t>
  </si>
  <si>
    <t>Please enter the Name of the Program Lead</t>
  </si>
  <si>
    <t>Program Team Member</t>
  </si>
  <si>
    <t xml:space="preserve">Please list the name of Program Staff. 
This will be the list of staff who will have access to the Program information in the new PMEL system. </t>
  </si>
  <si>
    <t>Program  Duration</t>
  </si>
  <si>
    <t xml:space="preserve">Please indicate the duration of Program. Minimum Duration of the Program is 5 years. 
</t>
  </si>
  <si>
    <t xml:space="preserve">FROM: </t>
  </si>
  <si>
    <t>FY2026</t>
  </si>
  <si>
    <t xml:space="preserve">TO: </t>
  </si>
  <si>
    <t>FY2030</t>
  </si>
  <si>
    <t>Programme Description</t>
  </si>
  <si>
    <t>Please enter a short description of the Programme (Max 200 words)</t>
  </si>
  <si>
    <r>
      <rPr>
        <b/>
        <sz val="10"/>
        <color rgb="FF000000"/>
        <rFont val="Arial"/>
        <family val="2"/>
        <scheme val="minor"/>
      </rPr>
      <t>Forest</t>
    </r>
    <r>
      <rPr>
        <sz val="10"/>
        <color rgb="FF000000"/>
        <rFont val="Arial"/>
        <family val="2"/>
        <scheme val="minor"/>
      </rPr>
      <t xml:space="preserve">
The WWF DRC Forest and Freshwater Programme aims to conserve most critical ecosystems in four landscapes, while supporting communities to thrive sustainably. Centered on high-value forests, dense forests, spawning grounds, and peatlands, the programme promotes integrated, community-led solutions that address deforestation, habitat degradation, and unsustainable resource use. The program reduces illegal logging and pressure on forests by advancing sustainable forest management, improving law enforcement, and promoting alternative energy. At the same time, it empowers farmers and fishers with knowledge, tools, and market access to adopt climate-smart practices that enhance food security and income while protecting vital habitats.
The programme directly contributes to the goals of the Global Biodiversity Framework (GBF), particularly targets related to ecosystem integrity, sustainable use, and Indigenous and community rights. It also aligns with the UN Sustainable Development Goals (SDGs), notably Goals 13 (Climate Action), 15 (Life on Land), and 14 (Life Below Water), as well as WWF’s global 2030 targets on halting deforestation, restoring degraded habitats, and enabling sustainable livelihoods.
With a focus on local ownership, inclusive governance, and long-term resilience, the Forest and Freshwater Programme is building a future where nature and people thrive together across DRC’s most ecologically significant landscapes.</t>
    </r>
  </si>
  <si>
    <t>Program Focus / Focal Area</t>
  </si>
  <si>
    <t xml:space="preserve">Please select one or more Conservation and/or Human well being Focus areas that your program will be focusing on. 
Please make sure this is a subset of what's selected in the OSP. 
</t>
  </si>
  <si>
    <t>Geographic Scope (Landscape)</t>
  </si>
  <si>
    <r>
      <rPr>
        <i/>
        <sz val="10"/>
        <color rgb="FF980000"/>
        <rFont val="Arial"/>
        <family val="2"/>
      </rPr>
      <t xml:space="preserve">Please list all the operational land/seascapes that are within the scope of the Program.
For each land/seascape, provide short description of why the scape is critical in the context of this Program (max 200 words per land/seascape).
Example: 
Name of the land/seascape: Description max 200 words.
All land/seascapes must must apply ESSF.
</t>
    </r>
    <r>
      <rPr>
        <i/>
        <u/>
        <sz val="10"/>
        <color rgb="FF1155CC"/>
        <rFont val="Arial"/>
        <family val="2"/>
      </rPr>
      <t>Guidance on landscape definition is here</t>
    </r>
  </si>
  <si>
    <t>Name of land/seascape</t>
  </si>
  <si>
    <t>Description (Max 200 words)</t>
  </si>
  <si>
    <t xml:space="preserve">Salonga Landscape </t>
  </si>
  <si>
    <t xml:space="preserve">The Salonga landscape encompasses one of the largest intact blocks of lowland forest in the Congo Basin and as such, is of exceptional importance for biodiversity, CO2 sequestration and the stabilization of hydrological systems at both regional and global levels. The size and integrity of forest, with its extensive network of river systems provides secure habitat for forest elephants, bonobos, Congo peacocks, bongos, giant pangolins and eight other species of diurnal primates, with high numbers of bird and freshwater fish species as well. 
At the centre of the landscape and occupying over a third of our area of intervention, is the Salonga National Park (33,676 km2), the largest national park in Africa, and the third largest tropical forest park in the world. The Park is divided into southern (17,323 km2) and northern (16,353 km2) blocks, separated by a corridor approximately 45 km wide. The Park was declared a UNESCO World Heritage Site in 1984, and reclassified as one of the sites in danger in 1999. </t>
  </si>
  <si>
    <t xml:space="preserve">Virunga Landscape </t>
  </si>
  <si>
    <t xml:space="preserve">Our zone of intervention in the Virunga landscape is located in the province of North Kivu, along the western border of Virunga National Park, the first national park created in Africa, famous for the iconic mountain gorilla and also home to the eastern lowland gorilla and chimpanzee. It is an area of rich faunal biodiversity, with 210 mammalian species, 21 of which are endemic to DRC, and over 700 species of birds, including several endemics. The region lies within the Albertine Rift, has volcanic mountains and rugged terrain with average slopes of greater than 15%.  
The province itself, an area of 59,483 km2, has a population of approximately 8.9 million inhabitants spread over six territories: Beni, Lubero, Masisi, Nyiragongo, Rutshuru, and Walikale. The agricultural sector is of paramount importance, providing nearly six out of ten jobs. Rural communities depend highly on access to natural resources for their livelihoods, and supplying the demand from urban areas for products including charcoal and bush meat is 
placing unsustainable pressure on the environment and wildlife. </t>
  </si>
  <si>
    <t xml:space="preserve"> Lacs Tumba-Mai Ndombe </t>
  </si>
  <si>
    <t xml:space="preserve">The Lacs Tumba-Mai Ndombe landscape lies along the western border of the DRC, and includes one of the largest wetlands in the world. In the northern zone, there are varied forest stands including swamp forests on peatland, limbali forests and secondary forests. The wetland ecosystem provides important bird habitat and was designated as a Ramsar Site in 2008. The diverse ecosystems are home to emblematic and endemic species of fauna, 
including large mammals, reptiles, amphibians and fish. There are also high densities of two threatened species of African apes, chimpanzees (Pan troglodytes) and bonobos (Pan paniscus), as well as forest elephants (Loxodonta cyclotis), hippopotamus (Hippopotamus amphibius), approximately 16 species of diurnal monkeys, seven species of duikers, and leopards. 
There are four protected areas within the landscape: the Ngiri Triangle Nature Reserve, the Tumba Lediima Reserve, the Eala Botanical Garden and the Mabali Scientific Reserve. The first three are managed by the Institut Congolais pour la Conservation de la Nature (ICCN) and the last by the DRC Ministry of Scientific Research. There are also community forest concessions of which 6, covering 14,900 ha, have been set up with the primary objectives of conservation and bonobo ecotourism (Malebo area, located in the Bateke-Nord chiefdom). The Malebo area contains some of the highest densities of bonobos recorded (0.79 bonobo/km²).  
The landscape is home to more than two million people, with almost half resident in the city of Mbandaka to the north, and the remainder in smaller towns (Lukolela, Makanza, Bikoro, Bomongo, Inongo, Kwamouth, Bolobo, etc.) and villages situated along the rivers and lakes. Farming, fishing, hunting, and collecting non-timber forest products (NTFPs) are the main sources of income for rural communities. </t>
  </si>
  <si>
    <t>Itombwe</t>
  </si>
  <si>
    <t>Itombwe landscape is based in Bukavu, the largest city in the province of South Kivu. Areas of concern to conservation efforts include the Natural 
Reserve of Itombwe (RNI), located at the western escarpment of the Albertine Rift, at the northern end of Lake Tanganyika. The RNI occupies an area of 5,732 km2 in the Itombwe Massif, which is part of the African Rift Lakes Region, one of the 35 global priority places under the WWF Global Priority Framework (GPF). Flagship species in the region are the lowland gorilla, chimpanzee, and a small population of forest elephants among other protected species in the DRC. The reserve has been identified as a site of significant importance for the conservation of threatened and endemic birds, amphibians, and various endangered large mammals.  
There are approximately 1,182,000 inhabitants in the province, who are very unevenly distributed: there is a high concentration in the eastern part, along the main roads, shores and low slopes near Lake Tanganyika. This is where the major urban centres such as Luvungi, Sange, Uvira, Nundu, Baraka, are located. The largely rural population is dependent on subsistence agriculture and exploitation of natural resources. There is a high level of insecurity 
in the region due to armed militia groups</t>
  </si>
  <si>
    <t xml:space="preserve"> Luki Project Site</t>
  </si>
  <si>
    <t xml:space="preserve">The Luki project site centres in and around the Luki Biosphere Reserve (RBL), which was created in 1976, and is recognized by UNESCO. The 33,000 ha reserve is a community protected area in the larger Mayombe forest ecosystem, located in the province of Kongo Central. The presence of the Central African chimpanzee (Pan troglodytes troglodytes) in the Reserve was recently confirmed. The Reserve is the only remaining forested area without 
significant degradation, as the province is relatively small and densely populated. There are two large cities, Boma and Matadi, and the area is within a day’s travel to Kinshasa. As a result, forests surrounding the reserve have been decimated both by agricultural expansion and harvesting for timber and charcoal production. </t>
  </si>
  <si>
    <t>Thematic Scope (Practices)</t>
  </si>
  <si>
    <r>
      <rPr>
        <i/>
        <sz val="10"/>
        <color rgb="FF980000"/>
        <rFont val="Arial"/>
        <family val="2"/>
      </rPr>
      <t xml:space="preserve">Please list all the thematic that are relevant to the scope of the OSP. (Choice: Finance &amp; Administration, Fundraising, Communications, P&amp;C, Partnership, PMEL, etc.). 
For each theme, provide short description of why the theme is critical in the context of the OSP (max 200 words per theme).
Example: 
Name of the theme: Description max 200 words.
See </t>
    </r>
    <r>
      <rPr>
        <i/>
        <u/>
        <sz val="10"/>
        <color rgb="FF1155CC"/>
        <rFont val="Arial"/>
        <family val="2"/>
      </rPr>
      <t>Guidance by PPMS Step - Element 1.2</t>
    </r>
  </si>
  <si>
    <t>Name of Thematic Scope</t>
  </si>
  <si>
    <t>Forest</t>
  </si>
  <si>
    <t>Political</t>
  </si>
  <si>
    <r>
      <rPr>
        <i/>
        <sz val="10"/>
        <color rgb="FF980000"/>
        <rFont val="Arial"/>
        <family val="2"/>
      </rPr>
      <t xml:space="preserve">Please enter the concise analysis (narrative) of context and trends (political, social, economic, climate &amp; environmental, and institutional) in country that has effects on the scope of the Programme. 
Depending on the nature of the program, some context may be more relevant than the others. 
(See </t>
    </r>
    <r>
      <rPr>
        <i/>
        <u/>
        <sz val="10"/>
        <color rgb="FF1155CC"/>
        <rFont val="Arial"/>
        <family val="2"/>
      </rPr>
      <t>Guidance by PPMS Step - Element 1.3,</t>
    </r>
    <r>
      <rPr>
        <i/>
        <sz val="10"/>
        <color rgb="FF980000"/>
        <rFont val="Arial"/>
        <family val="2"/>
      </rPr>
      <t xml:space="preserve"> and </t>
    </r>
    <r>
      <rPr>
        <i/>
        <u/>
        <sz val="10"/>
        <color rgb="FF1155CC"/>
        <rFont val="Arial"/>
        <family val="2"/>
      </rPr>
      <t>IUCN-CMP Unified classification of Threat 2.0s</t>
    </r>
    <r>
      <rPr>
        <i/>
        <sz val="10"/>
        <color rgb="FF980000"/>
        <rFont val="Arial"/>
        <family val="2"/>
      </rPr>
      <t xml:space="preserve">)
</t>
    </r>
  </si>
  <si>
    <t>The political situation in the target landscapes reflects a variety of dynamics depending on local realities. In the Virunga region, political complexity remains high due to persistent security tensions. The DRC government has instituted a state of siege in conflict-affected provinces, particularly North Kivu, accompanied by significant security, judicial, administrative and constitutional reforms. The Disarmament, Demobilization, Reintegration and Stabilization Program (PDDRC-S) supports this security dynamic. However, the reform of the Independent National Electoral Commission (CENI) in 2022 has raised concerns about possible electoral tensions. On the other hand, the DRC's active participation in the Nairobi and Luanda peace processes underlines a commitment to long-term stability in the east of the country.
In comparison, the Lac Tumba Mai-Ndombé landscape presents a relatively stable and peaceful provincial political context, supported by innovative policies, particularly in terms of peatland and biodiversity preservation. This stability is accompanied by a recent improvement in respect for the rights of indigenous peoples, thanks to the enactment of specific laws reinforcing their protection.
Similarly, in the Mayombe Mangroves landscape, the political framework is strengthened by provincial autonomy established by the law on the free administration of the provinces. This autonomy encourages local management in key areas such as the environment, land and energy. WWF plays a key role in working closely with the authorities and stakeholders to ensure effective implementation of environmental policies.
Finally, in the Salonga National Park, sustained efforts are being made to strengthen governance and security. Particular emphasis is placed on the application of a robust environmental and social framework, with the overriding aim of preventing human rights abuses and ensuring the sustainable and respectful management of the park's resources.</t>
  </si>
  <si>
    <t>Social</t>
  </si>
  <si>
    <t xml:space="preserve">In the Virunga region, complexity remains high due to persistent insecurity for over 30 years, exacerbated by the activities of rebel groups such as the M23. The provinces of North and South Kivu are experiencing massive internal population displacements, severe food insecurity, and widespread human rights violations, including sexual violence and indiscriminate shelling. This major humanitarian crisis continues to weigh heavily on peace efforts, despite regional initiatives such as the Nairobi and Luanda processes, and government reforms aimed at stabilizing eastern DRC.
In contrast, the Lac Tumba Mai-Ndombé landscape displays a diverse and relatively stable social framework, inhabited by a cultural mosaic composed mainly of farmers, hunters, fishermen and gatherers. Although the precise representation of indigenous populations is uncertain, their recent recognition thanks to new legislation bears witness to a positive evolution in the protection of their rights. Large towns such as Inongo and Mbandaka are major socio-economic hubs, with local populations heavily dependent on water resources.
The Mayombe Mangrove landscape, on the other hand, presents a mono-ethnic context mainly dominated by ethnic Kongo groups (Yombe, Woyo, Asolongo and Mboma), living in harmony in an urban ano-rural setting. This cultural homogeneity contributes to a stable political environment, facilitated by provincial autonomy established by the law on the free administration of the provinces, which enables effective local management, particularly in the environmental field.
Finally, in the Salonga National Park, current efforts are focused on strengthening governance and environmental and social security. Significant action is being taken to prevent human rights abuses and ensure sustainable management of the park's natural resources, despite the challenges posed by the region's isolation and logistical complexity.
</t>
  </si>
  <si>
    <t>Economic</t>
  </si>
  <si>
    <t xml:space="preserve">The Virunga region remains marked by chronic instability due to the prolonged presence of rebel groups and the illicit exploitation of its abundant natural resources. The provinces of North and South Kivu are rich in precious minerals such as coltan, gold, cassiterite and wolframite, highly prized resources that fuel a complex clandestine trade involving regional and international players. This illegal trade deprives the Congolese state of substantial revenues, while indirectly financing armed conflict. Violent clashes also lead to massive population displacement, exacerbating a major humanitarian crisis characterized by serious human rights violations.
In contrast, the Lac Tumba Mai-Ndombe landscape features a local economy dominated by agriculture and fishing, which are the main sources of income for the communities. Despite the presence of largely inactive industrial logging concessions, artisanal and illegal logging and the growing production of charcoal represent major economic and environmental challenges for this region.
In the Mayombe Mangrove landscape, the state remains the main employer, while the local economy is essentially based on agriculture, fishing and small-scale trade. However, the lack of opportunities is driving many young people into unsustainable activities such as illegal logging and charcoal-making, threatening the natural resources of the protected areas. Agricultural products such as cocoa, palm oil, coffee, cassava, bananas and corn are important economic assets.
Finally, the Salonga National Park is pursuing its efforts in terms of environmental and social governance to ensure sustainable management, despite significant logistical challenges linked to geographical isolation. Targeted initiatives aim to strengthen the protection of natural resources while guaranteeing respect for human rights.
</t>
  </si>
  <si>
    <t>Climate &amp; Environmental</t>
  </si>
  <si>
    <t xml:space="preserve">The Virunga region remains marked by chronic instability, exacerbated by the presence of rebel groups and the illicit exploitation of its abundant natural resources. The provinces of North and South Kivu, rich in strategic minerals such as coltan, gold and cassiterite, suffer the effects of a complex clandestine trade involving regional and international players. This illegal trade directly fuels armed conflict, while depriving the Congolese state of vital financial resources. In addition, the effects of climate change are aggravating the situation, leading to catastrophic flooding, mass displacement and increased pressure on already fragile local communities. This dynamic also contributes to the recruitment of young people into armed groups, fuelling a vicious circle of violence and poverty.
By comparison, the Lac Tumba Mai-Ndombé landscape is characterized by a predominantly agricultural and fish-farming economy but is facing increasing pressure on its forest resources. Rapid deforestation, largely due to artisanal logging and charcoal production, threatens the integrity of the vast rainforests and peatlands, essential for climate regulation. The environmental situation is worrying, with deforestation rates well above the national average, jeopardizing the region's unique biodiversity.
In the Mayombe Mangrove landscape, the state remains the main employer, but local economic activities remain limited, pushing young people towards unsustainable practices such as charcoal-making and illegal logging. The hot, humid equatorial climate exacerbates environmental vulnerability, and unsustainable agricultural practices and recurrent bush fires threaten forest, savannah and aquatic ecosystems.
Finally, in the Salonga National Park, despite its geographical isolation and the associated logistical challenges, initiatives continue to strengthen environmental and social governance to ensure the sustainable protection of its exceptional biodiversity, while ensuring respect for the rights of local populations.
</t>
  </si>
  <si>
    <t>Institutional</t>
  </si>
  <si>
    <t xml:space="preserve">The Virunga region continues to face persistent instability, amplified by the presence of armed groups and the illegal exploitation of strategic natural resources. The provinces of North and South Kivu, rich in essential minerals such as coltan, gold and cassiterite, are subject to a complex clandestine trade involving regional and international players, which finances conflicts and impoverishes the Congolese state. The situation is exacerbated by climate change, illustrated by recurrent large-scale flooding such as that which recently occurred in South Kivu province. Faced with these challenges, initiatives such as the Priority Action Plan (PAP 2025) in North Kivu and the Provincial Development Plan (2024-2028) in South Kivu are being implemented with the support of international partners to improve living conditions and strengthen the resilience of local communities.
In the Lac Tumba Mai-Ndombe landscape, shared between the Equateur and Mai-Ndombe provinces, the dominant economic activities are agriculture and fishing, which play a key role for local communities. However, artisanal logging and the growing production of charcoal represent significant environmental pressures. A decentralized institutional structure, comprising provincial governments, provincial assemblies and local authorities, collaborates with institutions such as the Institut Congolais pour la Conservation de la Nature (ICCN) to ensure sustainable management of natural resources.
The Mayombe Mangrove landscape, located entirely within the province of Kongo Central, benefits from a provincial administration structured around a governor and a provincial assembly. Despite this favorable institutional context, limited economic opportunities are driving young people towards the unsustainable exploitation of natural resources. The State and various stakeholders, notably the ICCN, the Local Steering Committee (CLP) and civil society, are working together to ensure the sustainable management of natural resources.
Finally, the Salonga National Park is pursuing its environmental and social protection efforts, despite major logistical and geographical constraints. Targeted initiatives are being deployed to ensure the conservation of biodiversity and the protection of local communities' rights.
</t>
  </si>
  <si>
    <t>Stakeholder Name</t>
  </si>
  <si>
    <t>Stakeholder Description</t>
  </si>
  <si>
    <t>Stakeholder Type</t>
  </si>
  <si>
    <t>Engagement Stage (planning, Implementation, MEL)</t>
  </si>
  <si>
    <t>Engagement methods &amp; strategies</t>
  </si>
  <si>
    <t>Due Diligence (Y/N)</t>
  </si>
  <si>
    <t>READ Me First</t>
  </si>
  <si>
    <r>
      <rPr>
        <i/>
        <sz val="10"/>
        <color rgb="FF980000"/>
        <rFont val="Arial"/>
        <family val="2"/>
      </rPr>
      <t xml:space="preserve">Please list key groups of stakeholders (people and organizations) who will be influenced by, have an impact on, or will help implement conservation to engage during the Programme planning, implementation, monitoring, and learning. 
Max 20 words.
See </t>
    </r>
    <r>
      <rPr>
        <i/>
        <u/>
        <sz val="10"/>
        <color rgb="FF1155CC"/>
        <rFont val="Arial"/>
        <family val="2"/>
      </rPr>
      <t>Guidance by PPMS Step - Element 1.4</t>
    </r>
  </si>
  <si>
    <t>Please briefly explain the significance of engaging with the stakeholder, and what you expect  from the effective engagement. 
max 200 words</t>
  </si>
  <si>
    <t xml:space="preserve">Please indicate the type of stakeholders (individual or organization):
- Indigenous People &amp; Local Communities
- Civil Society Organization
- Government's / Public Sector Organization
- Companies / Private Sector 
- Universities / Research Organization 
- Other </t>
  </si>
  <si>
    <t>Please indicate what stage each stakeholder group will be engaged - Programme planning, implementation, M&amp;E, and Learning, etc.</t>
  </si>
  <si>
    <t xml:space="preserve">Please describe how each stakeholder group will be engaged. Make sure that stakeholders will have regular access to the Programme information and, as appropriate, are aware of complaints procedures and feedback mechanisms. </t>
  </si>
  <si>
    <r>
      <rPr>
        <i/>
        <sz val="10"/>
        <color rgb="FF980000"/>
        <rFont val="Arial"/>
        <family val="2"/>
      </rPr>
      <t xml:space="preserve">For corporate &amp; philanthropic partners (major donors, trusts, and foundations), please indicate if the due diligence is already conducted or not. For Other stakeholders, put NA.
</t>
    </r>
    <r>
      <rPr>
        <i/>
        <u/>
        <sz val="10"/>
        <color rgb="FF1155CC"/>
        <rFont val="Arial"/>
        <family val="2"/>
      </rPr>
      <t>Corporate Partnership Rules &amp; Guidelines
Philanthropy Due Diligence</t>
    </r>
    <r>
      <rPr>
        <i/>
        <sz val="10"/>
        <color rgb="FF980000"/>
        <rFont val="Arial"/>
        <family val="2"/>
      </rPr>
      <t xml:space="preserve">
</t>
    </r>
  </si>
  <si>
    <t xml:space="preserve"> </t>
  </si>
  <si>
    <t>ACUCOBA</t>
  </si>
  <si>
    <t>Association of farmers from the BATANGI and BAMATE communities</t>
  </si>
  <si>
    <t>SHOW JUMPING</t>
  </si>
  <si>
    <t>Designing, Planning, implementation and monitoring</t>
  </si>
  <si>
    <t>Service Agreement. Discussion of different types of restoration for different kinds of land use.</t>
  </si>
  <si>
    <t>Yes</t>
  </si>
  <si>
    <t>APLORERU</t>
  </si>
  <si>
    <t>Association of Local Nurserymen for the Reforestation of Rusthuru</t>
  </si>
  <si>
    <t>ASPA</t>
  </si>
  <si>
    <t>Action Solidaire pour la Protection des Abeilles (Solidarity Action for the Protection of Bees)</t>
  </si>
  <si>
    <t>Planning, implementation and monitoring</t>
  </si>
  <si>
    <t>Service agreement. Discussion on the promotion of the honey value chain</t>
  </si>
  <si>
    <t>CEMADI</t>
  </si>
  <si>
    <t>Center for Managerial Education for Integral Development</t>
  </si>
  <si>
    <t>Service Agreement. Discussion on the promotion of the honey value chain</t>
  </si>
  <si>
    <t>CENED</t>
  </si>
  <si>
    <t>Center for Nutritional and Environmental Education for Development</t>
  </si>
  <si>
    <t>CICEKI</t>
  </si>
  <si>
    <t>Complexe d'initiatives des Cultivateurs du Kivu</t>
  </si>
  <si>
    <t>COOPAL</t>
  </si>
  <si>
    <t>Lubero Planters' Cooperative</t>
  </si>
  <si>
    <t>Service Agreement. Discussion in support charcoal value chain</t>
  </si>
  <si>
    <t>CRRDC</t>
  </si>
  <si>
    <t>Red Cross Comité provincial du Nord-Kivu</t>
  </si>
  <si>
    <t>Government Agency</t>
  </si>
  <si>
    <t>Designing, Planning, implementatio n and monitoring</t>
  </si>
  <si>
    <t>MoU, Establishing grievance and redress mechanism</t>
  </si>
  <si>
    <t>FODE</t>
  </si>
  <si>
    <t>Front Opérationnel de Défenseurs des Ecosystèmes Ecologiques</t>
  </si>
  <si>
    <t>Designing, Planning and implementation</t>
  </si>
  <si>
    <t>INITIAM</t>
  </si>
  <si>
    <t>Enhanced Intelligent Technology Initiative</t>
  </si>
  <si>
    <t>Implementation and monitoring</t>
  </si>
  <si>
    <t>Service Agreement.</t>
  </si>
  <si>
    <t>ONDE</t>
  </si>
  <si>
    <t>Organization of Naturalists for the Defense of the Environment</t>
  </si>
  <si>
    <t>PAEDE</t>
  </si>
  <si>
    <t>Support Program for Farmers and Breeders for Endogenous Development</t>
  </si>
  <si>
    <t>Implementation</t>
  </si>
  <si>
    <t>Service Agreement</t>
  </si>
  <si>
    <t>RAPNAV</t>
  </si>
  <si>
    <t>Network of Associations for the Protection of Nature around Virunga</t>
  </si>
  <si>
    <t>Network CSO</t>
  </si>
  <si>
    <t>PIDP</t>
  </si>
  <si>
    <t>Integrated Program for the Development of the Pygmy People in Kivu</t>
  </si>
  <si>
    <t>North Kivu Civil Society</t>
  </si>
  <si>
    <t>Société civile Force Vive du Nord-Kivu</t>
  </si>
  <si>
    <t>MoU. Advocacy</t>
  </si>
  <si>
    <t>UGADEC</t>
  </si>
  <si>
    <t>Union of Conservation Associations Gorillas for Community Development in Eastern DR Congo</t>
  </si>
  <si>
    <t>MoU. Supporting Community forest concessions</t>
  </si>
  <si>
    <t>APAB</t>
  </si>
  <si>
    <t>Batwa Indigenous Peoples Association</t>
  </si>
  <si>
    <t>CAFEPADE</t>
  </si>
  <si>
    <t>Caisse des femmes paysannes pour le développement</t>
  </si>
  <si>
    <t>CBFC</t>
  </si>
  <si>
    <t>Consortium Brave Femmes du Congo</t>
  </si>
  <si>
    <t>Young Methodists</t>
  </si>
  <si>
    <t>SOCEARUCO</t>
  </si>
  <si>
    <t>Environmental and agrarian civil society of Congo</t>
  </si>
  <si>
    <t>TRAFEED</t>
  </si>
  <si>
    <t>Networking with Federations of Women and Children in Need</t>
  </si>
  <si>
    <t xml:space="preserve"> NVD</t>
  </si>
  <si>
    <t>Society civil organization</t>
  </si>
  <si>
    <t>Planning &amp; implementation</t>
  </si>
  <si>
    <t>NVD, being an Executing Agency under the PIREDD plateau project, is involved in the planning and implementation of activities, regularly participating in project meetings.</t>
  </si>
  <si>
    <t xml:space="preserve"> GI-Agro</t>
  </si>
  <si>
    <t>CIAPAFED, being an Executing Agency within the PIREDD plateau project, is involved in the planning and implementation of activities, regularly participating in project meetings.</t>
  </si>
  <si>
    <t xml:space="preserve"> CIAPAFED</t>
  </si>
  <si>
    <t>Quarterly meetings, reporting, sharing action plans, (how we work with partners)</t>
  </si>
  <si>
    <t xml:space="preserve"> Mbou Mon Tour,</t>
  </si>
  <si>
    <t>implementation</t>
  </si>
  <si>
    <t>Private companies - SOGENAC (cattle rearing)</t>
  </si>
  <si>
    <t>private sector</t>
  </si>
  <si>
    <t xml:space="preserve"> ERA Congo (carbon credit)</t>
  </si>
  <si>
    <t>Learning</t>
  </si>
  <si>
    <t xml:space="preserve"> SODEFOR (logging)</t>
  </si>
  <si>
    <t>Local communities managing CFCL</t>
  </si>
  <si>
    <t>Local communities</t>
  </si>
  <si>
    <t>Academics and scientists monitoring peatlands and forests - University of Gembloux</t>
  </si>
  <si>
    <t>University</t>
  </si>
  <si>
    <t xml:space="preserve"> Univ of Kisang ani, Univ Mbandaka</t>
  </si>
  <si>
    <t>Governorates</t>
  </si>
  <si>
    <t>Public sector</t>
  </si>
  <si>
    <t>Planning</t>
  </si>
  <si>
    <t>ICCN,</t>
  </si>
  <si>
    <t xml:space="preserve"> RSM</t>
  </si>
  <si>
    <t>Provincial and territorial administrations</t>
  </si>
  <si>
    <t>The provincial and territorial administration participates in the implementation of PIREDD project activities, and is involved in monitoring.</t>
  </si>
  <si>
    <t>RF Norway</t>
  </si>
  <si>
    <t>ERAIFT</t>
  </si>
  <si>
    <t>Haute Ecole and Research</t>
  </si>
  <si>
    <t>Involved in the planning and implementation of Alliance Verte, EU-Luki, PASAGAR and other projects</t>
  </si>
  <si>
    <t>ACODED/AMAR</t>
  </si>
  <si>
    <t>NGO</t>
  </si>
  <si>
    <t>Stakeholder in the implementation of the Alliance Verte project</t>
  </si>
  <si>
    <t>ADEV</t>
  </si>
  <si>
    <t>Caritas Matadi</t>
  </si>
  <si>
    <t>CCPN</t>
  </si>
  <si>
    <t>ULB-Coopération</t>
  </si>
  <si>
    <t>INGO</t>
  </si>
  <si>
    <t>Research &amp; Development</t>
  </si>
  <si>
    <t>Implements research and development projects in the landscape</t>
  </si>
  <si>
    <t>UKV</t>
  </si>
  <si>
    <t>Training and Research</t>
  </si>
  <si>
    <t>Stakeholder in the Alliance Verte project</t>
  </si>
  <si>
    <t>ISDR- Kinzau and ISEA-Tshela</t>
  </si>
  <si>
    <t>Universities</t>
  </si>
  <si>
    <t>Provincial Government</t>
  </si>
  <si>
    <t>Public institution</t>
  </si>
  <si>
    <t>Monitoring and evaluation of project implementation in the landscape</t>
  </si>
  <si>
    <t>Decentralized and centralized territorial entities</t>
  </si>
  <si>
    <t>Monitoring and evaluation</t>
  </si>
  <si>
    <t>CARG</t>
  </si>
  <si>
    <t>Farmers' civil society</t>
  </si>
  <si>
    <t>Monitoring and assessment</t>
  </si>
  <si>
    <t>ICCN</t>
  </si>
  <si>
    <t>Participates in planning projects in the Marine Park</t>
  </si>
  <si>
    <t>CLP</t>
  </si>
  <si>
    <t>Participates in project planning at the Luki Reserve</t>
  </si>
  <si>
    <t>CLDs</t>
  </si>
  <si>
    <t>Project beneficiaries in the landscape</t>
  </si>
  <si>
    <t xml:space="preserve">Conservation Focus </t>
  </si>
  <si>
    <t>Relevant OSP Goals</t>
  </si>
  <si>
    <t>Key Assumptions</t>
  </si>
  <si>
    <t>Please list each conservation focus / focal interest. Biodiversity Focal Interests can be focal species or habitats/ ecological systems. Human Wellbeing Focal Interests can be those component of human wellbeing affected by the status of biodiversity focal interests (material and non-material benefits obtained by ecosystem.
Please ensure that focus / focal interest is a subset of those selected under the OSP. You may define further detail.</t>
  </si>
  <si>
    <t xml:space="preserve">Based on the focus / focal interest selected, Please select the OSP Goal that your program is aiming to deliver.
Please list the OSP Goal statement. </t>
  </si>
  <si>
    <t xml:space="preserve">Please identify the key assumptions that underpin the logical sequences linking strategies to one or more focal interests. Assumptions may also express how external variables may influence the achievement of results. 
Once the assumptions are identified, make sure to reflect them when completing the risk assessment. </t>
  </si>
  <si>
    <t>Example</t>
  </si>
  <si>
    <t xml:space="preserve">Coral Reef in Beta seascape. </t>
  </si>
  <si>
    <t>Live coral reef covers at least 25% of the reef within the priority coastal seascapes in country Y.</t>
  </si>
  <si>
    <t xml:space="preserve">WWF or its partner organization can monitor the live coral reef coverage in the coastal Beta seascape with proper funding. </t>
  </si>
  <si>
    <t>High-value conservation (HCV) forest</t>
  </si>
  <si>
    <t>By 2035, at least 90% of the targeted high-value conservation forest in targeted  landscapes is kept intact compared to the 2025 baseline.</t>
  </si>
  <si>
    <t>1. No sudden environmental disturbances that could lead to additional clearance of HCV forest surface</t>
  </si>
  <si>
    <t>Dense Forest</t>
  </si>
  <si>
    <r>
      <rPr>
        <sz val="10"/>
        <color rgb="FF000000"/>
        <rFont val="Arial"/>
        <family val="2"/>
        <scheme val="minor"/>
      </rPr>
      <t xml:space="preserve">By 2035, </t>
    </r>
    <r>
      <rPr>
        <sz val="11"/>
        <color rgb="FF000000"/>
        <rFont val="Calibri"/>
        <family val="2"/>
      </rPr>
      <t>dense forests in the targeted landscapes is maintained 100% intact in the targeted PAs, and 95%  in the non-PAs compared to 2025</t>
    </r>
  </si>
  <si>
    <t>1. No sudden environmental disturbances that could lead to additional clearance of dense forest surface</t>
  </si>
  <si>
    <t>Narrative Theory of Change</t>
  </si>
  <si>
    <r>
      <rPr>
        <i/>
        <sz val="10"/>
        <color rgb="FF980000"/>
        <rFont val="Arial"/>
        <family val="2"/>
      </rPr>
      <t xml:space="preserve">Please articulate the Theory of Change in Narrative. 
A Theory of Change (ToC) should be underpinned by evidence of the logic.  Articulate the causal pathway that leads from the current to the desired situation, describing how the Programme activities will deliver the envisioned Programme Outputs and Outcomes, and ultimately the Programme/OSP Goals. 
Key risks associated with the key assumptions along the Theory of Change to achieve its Programme Outcomes and Goals must be articulated. 
A risk is potential future event that may impact achievement of goals.
Assumptions are explicit statements of what the CO assumes is true. The logical sequences must link activities to one or more focal interests as reflected in a theory of change. Assumptions may also express how external variables may influence the achievement of results. 
Max. 500 words
</t>
    </r>
    <r>
      <rPr>
        <i/>
        <u/>
        <sz val="10"/>
        <color rgb="FF1155CC"/>
        <rFont val="Arial"/>
        <family val="2"/>
      </rPr>
      <t>See Guidance by PPMS Step - Element 2.1</t>
    </r>
    <r>
      <rPr>
        <i/>
        <sz val="10"/>
        <color rgb="FF980000"/>
        <rFont val="Arial"/>
        <family val="2"/>
      </rPr>
      <t xml:space="preserve">
</t>
    </r>
  </si>
  <si>
    <r>
      <rPr>
        <sz val="9"/>
        <color rgb="FF000000"/>
        <rFont val="Arial"/>
        <family val="2"/>
        <scheme val="minor"/>
      </rPr>
      <t xml:space="preserve">The Forest and Freshwater Programme in DRC seeks to safeguard critical ecosystems, secure biodiversity, and improve the livelihoods of local communities by addressing the root causes of forest degradation and freshwater ecosystem decline while ensuring an inclusive conservation agenda. This theory of change is premised on the belief that sustainable conservation outcomes can be achieved by simultaneously strengthening governance and enforcement, supporting community-driven solutions, and improving practices in agriculture and forestry.
WWF will </t>
    </r>
    <r>
      <rPr>
        <b/>
        <sz val="9"/>
        <color rgb="FF000000"/>
        <rFont val="Arial"/>
        <family val="2"/>
        <scheme val="minor"/>
      </rPr>
      <t>support the development of sustainable forest management plans and policies</t>
    </r>
    <r>
      <rPr>
        <sz val="9"/>
        <color rgb="FF000000"/>
        <rFont val="Arial"/>
        <family val="2"/>
        <scheme val="minor"/>
      </rPr>
      <t>, alongside</t>
    </r>
    <r>
      <rPr>
        <b/>
        <sz val="9"/>
        <color rgb="FF000000"/>
        <rFont val="Arial"/>
        <family val="2"/>
        <scheme val="minor"/>
      </rPr>
      <t xml:space="preserve"> improved law enforcement </t>
    </r>
    <r>
      <rPr>
        <sz val="9"/>
        <color rgb="FF000000"/>
        <rFont val="Arial"/>
        <family val="2"/>
        <scheme val="minor"/>
      </rPr>
      <t xml:space="preserve">through partnerships with authorities and transboundary collaboration. These efforts will contribute to reducing illegal logging and improve forest monitoring. Better enforcement enables stronger market regulation, curbing overexploitation of timber, leading to maintaining the integrity of high conservation value forests and dense forest cover.
</t>
    </r>
    <r>
      <rPr>
        <b/>
        <sz val="9"/>
        <color rgb="FF000000"/>
        <rFont val="Arial"/>
        <family val="2"/>
        <scheme val="minor"/>
      </rPr>
      <t>Community engagement and participation is central</t>
    </r>
    <r>
      <rPr>
        <sz val="9"/>
        <color rgb="FF000000"/>
        <rFont val="Arial"/>
        <family val="2"/>
        <scheme val="minor"/>
      </rPr>
      <t xml:space="preserve">. Through awareness-raising and capacity-building, farmers adopt sustainable practices that reduce shifting cultivation, and drainage of lowland areas. Adopting improved practices will contribute to the protection of forest, while also enhancing food security and income. Other support to increase adoption of best practices will include training, improved inputs, pilot farms, and market access.
The programme will </t>
    </r>
    <r>
      <rPr>
        <b/>
        <sz val="9"/>
        <color rgb="FF000000"/>
        <rFont val="Arial"/>
        <family val="2"/>
        <scheme val="minor"/>
      </rPr>
      <t>promote alternative energy solutions</t>
    </r>
    <r>
      <rPr>
        <sz val="9"/>
        <color rgb="FF000000"/>
        <rFont val="Arial"/>
        <family val="2"/>
        <scheme val="minor"/>
      </rPr>
      <t xml:space="preserve">, such as improved cookstoves, charcoal kilns, and biogas, to relieve pressure on forests while supporting fuelwood plantations and advocating for favourable energy taxation. As communities adopt cleaner energy, reliance on wood fuel will decrease, reducing deforestation and emissions.
The programme also invests in </t>
    </r>
    <r>
      <rPr>
        <b/>
        <sz val="9"/>
        <color rgb="FF000000"/>
        <rFont val="Arial"/>
        <family val="2"/>
        <scheme val="minor"/>
      </rPr>
      <t>ecosystem restoration</t>
    </r>
    <r>
      <rPr>
        <sz val="9"/>
        <color rgb="FF000000"/>
        <rFont val="Arial"/>
        <family val="2"/>
        <scheme val="minor"/>
      </rPr>
      <t xml:space="preserve">, using reforestation, assisted natural regeneration, and incentives like Payment for Ecosystem Services. These efforts will create local benefits while restoring degraded areas.
</t>
    </r>
    <r>
      <rPr>
        <b/>
        <sz val="9"/>
        <color rgb="FF000000"/>
        <rFont val="Arial"/>
        <family val="2"/>
        <scheme val="minor"/>
      </rPr>
      <t xml:space="preserve">Empowering communities to manage natural resources </t>
    </r>
    <r>
      <rPr>
        <sz val="9"/>
        <color rgb="FF000000"/>
        <rFont val="Arial"/>
        <family val="2"/>
        <scheme val="minor"/>
      </rPr>
      <t>is key. WWF will support the registration of community forest concessions, development of inclusive management plans, and creation of accountable governance structures. This secures land rights, reduces conflict, and ensures communities, especially women and IPLC, lead conservation and development efforts.
These strategies reinforce one another. Strong governance reduces external pressures, improved practices protect habitats and sustain livelihoods, and clean energy reduces forest dependence</t>
    </r>
  </si>
  <si>
    <t>Opportunities for Innovation</t>
  </si>
  <si>
    <t>Please articulate priority areas of innovation and research where needed. Innovation and Research activities must be included in the Programme Implementation Plan, 
Max. 500 words</t>
  </si>
  <si>
    <t>Programme M&amp;E plan</t>
  </si>
  <si>
    <t>Program</t>
  </si>
  <si>
    <t>Prog_ID</t>
  </si>
  <si>
    <t>Relevant Geographic Scope</t>
  </si>
  <si>
    <t>Focus</t>
  </si>
  <si>
    <t xml:space="preserve">Priority Threats / Other Factors </t>
  </si>
  <si>
    <t>Result ID</t>
  </si>
  <si>
    <t>Result Name</t>
  </si>
  <si>
    <t>Goal, Outcome and Output Statement</t>
  </si>
  <si>
    <t>Indicator</t>
  </si>
  <si>
    <t>Description</t>
  </si>
  <si>
    <t>Means of Verification (Source of Data)</t>
  </si>
  <si>
    <t>Data Collection and Analysis Methodology</t>
  </si>
  <si>
    <t>Frequency of Measurement</t>
  </si>
  <si>
    <r>
      <t xml:space="preserve">Key Assumptions </t>
    </r>
    <r>
      <rPr>
        <b/>
        <sz val="11"/>
        <color rgb="FFC00000"/>
        <rFont val="Calibri"/>
        <family val="2"/>
      </rPr>
      <t>&amp; Risks</t>
    </r>
  </si>
  <si>
    <t>Baseline</t>
  </si>
  <si>
    <t>Year 1
Target</t>
  </si>
  <si>
    <t>Year 2
Target</t>
  </si>
  <si>
    <t>Year 3
Target</t>
  </si>
  <si>
    <t>Year 4
Target</t>
  </si>
  <si>
    <t xml:space="preserve">End-line Target </t>
  </si>
  <si>
    <t>Location</t>
  </si>
  <si>
    <t>Responsible</t>
  </si>
  <si>
    <t>Forest Conservation</t>
  </si>
  <si>
    <t>Forest (High-value conservation (HCV) forest)</t>
  </si>
  <si>
    <t>% of HCV forest that is kept intact</t>
  </si>
  <si>
    <t>Forest intactness refers to the state of a forest that is largely free from significant human disturbance and fragmentation, retaining its natural structure and function 
Target forest/habitats include (Services, forest clearings, baïs)</t>
  </si>
  <si>
    <t>Clearing and other HCVs, monitoring database</t>
  </si>
  <si>
    <t>Data collection through camera traps and permanent presence  of biomonitoring teams: Records on the size of the sites, the species present, the number of individuals visiting per species, the period of visit of species, etc.</t>
  </si>
  <si>
    <t>Annual</t>
  </si>
  <si>
    <t>Rate of use of HCV forest clearings of wildlife</t>
  </si>
  <si>
    <t>This indicator gives the viability of the forest clearing</t>
  </si>
  <si>
    <t>Data collection through camera traps and permanent presence  of biomonitoring teams: Records on the size of the sites, the species present, the number of individuals visiting per species, the period of visit of species, etc. 
Rate of use: Average number of visits per species / day over one year</t>
  </si>
  <si>
    <t>TBD</t>
  </si>
  <si>
    <t>Forest (Dense Forest)</t>
  </si>
  <si>
    <t>By 2035, dense forests in the targeted landscapes is maintained 100% intact in the targeted PAs, and at least 95% in the non-PAs compared to 2020</t>
  </si>
  <si>
    <t>Number of hectares of targeted forests maintained intact in PAs</t>
  </si>
  <si>
    <t>Ha of dense forests measured in targeted PAs</t>
  </si>
  <si>
    <t>Land cover monitoring data</t>
  </si>
  <si>
    <t>Remote sensing</t>
  </si>
  <si>
    <t>Endline</t>
  </si>
  <si>
    <t xml:space="preserve">
Salonga : 335000
Mayombe/Luki/PMM: 109000
</t>
  </si>
  <si>
    <t xml:space="preserve">
Salonga : 335000
Mayombe/Luki/PMM: 109000
</t>
  </si>
  <si>
    <t>Number of ha of targeted forests maintained intact in Non-PAs</t>
  </si>
  <si>
    <t>Ha of dense forests measured in targeted NON PAs</t>
  </si>
  <si>
    <t xml:space="preserve">LTMN :334471
Salonga : 248530
Mayombe/LukiTBD
Virunga/Itombwe: 320000
</t>
  </si>
  <si>
    <t xml:space="preserve">LTMN :334471
Salonga : 300000
Mayombe/Luki:
Virunga/Itombwe: 320000
</t>
  </si>
  <si>
    <t>Number of tone of above ground carbon dioxide (Co2) Stocked</t>
  </si>
  <si>
    <t xml:space="preserve">Carbon stock in above ground biomass in targeted areas </t>
  </si>
  <si>
    <t>Carbon stock study database</t>
  </si>
  <si>
    <t>Field based study combined with remote sensing</t>
  </si>
  <si>
    <t>Cross Cutting</t>
  </si>
  <si>
    <t>1
2
3</t>
  </si>
  <si>
    <t>Human Wellbeing</t>
  </si>
  <si>
    <t>By 2035, the wellbeing of targeted communities in targeted landscapes is improved by 20% relative to 2025 baseline.</t>
  </si>
  <si>
    <t>Wellbeing score</t>
  </si>
  <si>
    <t>Wellbeing includes materials for good life, social cohesion, rights, access to natural resources/5 categories of wellbeing</t>
  </si>
  <si>
    <t>Wellbeing survey data (with linked database)</t>
  </si>
  <si>
    <t>Socioeconomic survey related to wellbeing aspects supported.</t>
  </si>
  <si>
    <t xml:space="preserve">Endline </t>
  </si>
  <si>
    <t>There are no major conflicts, displacements, or political interference that would disrupt livelihoods, services, or community cohesion.</t>
  </si>
  <si>
    <t xml:space="preserve">LTMN : 0.3
Salonga :0.52
Mayombe/Luki:
Virunga/Itombwe
</t>
  </si>
  <si>
    <t xml:space="preserve">LTMN : 0.35
Salonga : 0.55
Mayombe/Luki:
Virunga/Itombwe
</t>
  </si>
  <si>
    <t>Outcomes</t>
  </si>
  <si>
    <t>Conversion of HCV to other land uses</t>
  </si>
  <si>
    <t>2.1.1</t>
  </si>
  <si>
    <t>Zero conversion in HCV</t>
  </si>
  <si>
    <t>By 2030, zero Ha of HCV forests converted to other land uses in targeted landscapes</t>
  </si>
  <si>
    <t>Area (ha) of HCV mapped</t>
  </si>
  <si>
    <t>Land-use plans are enforced and not overridden by economic or political interests</t>
  </si>
  <si>
    <t>Land cover monitoring data
Field verification</t>
  </si>
  <si>
    <t>Remote sensing
Field verification</t>
  </si>
  <si>
    <t xml:space="preserve">Protection of HCV is not overridden by economic or political interests
The law enforcement is effective in protecting the HCV forest,/ Institutional and legal enforcement capacity exists to prevent unauthorized land conversion or encroachment.
Conflict between conservation vs development interest remain manageable and does affrect HCV </t>
  </si>
  <si>
    <t xml:space="preserve">LTMN: 442268
Salonga: 3350000
Mayombe-Mangrove: 28 477
Vir/Itombwe:320000
</t>
  </si>
  <si>
    <t xml:space="preserve">LTMN: 442268
Salonga: 3350000
Mayombe-Mangrove:28 477
Vir/Itombwe
</t>
  </si>
  <si>
    <t>Land clearing for Agriculture</t>
  </si>
  <si>
    <t>2.2.1</t>
  </si>
  <si>
    <t>Forest cleared for agriculture reduced</t>
  </si>
  <si>
    <t>By 2030, area of forest cleared for agriculture in the targeted landscape is reduced by at least 30%, compared to the 2025 baseline.</t>
  </si>
  <si>
    <t>Area (ha) of forest converted for agricultural use annually</t>
  </si>
  <si>
    <t xml:space="preserve">1. Farmers practice sustainable yield-boosting methods that reduce the need to clear new land.
2. Farmers will not see increased yield as an incentive to expand their lands
3. Climate, economic and market situations remain stable </t>
  </si>
  <si>
    <t xml:space="preserve">LTMN: TBD
Salonga: TBD
Mayombe-Mangrove:95, 19
Vir/Itombwe: TBD
</t>
  </si>
  <si>
    <t xml:space="preserve">LTMN: TBD
Salonga: TBD
Mayombe-Mangrove:80
Vir/Itombwe: TBD
</t>
  </si>
  <si>
    <t xml:space="preserve">LTMN: TBD
Salonga: TBD
Mayombe-Mangrove:70
Vir/Itombwe: TBD
</t>
  </si>
  <si>
    <t xml:space="preserve">LTMN: TBD
Salonga: TBD
Mayombe-Mangrove:60
Vir/Itombwe: TBD
</t>
  </si>
  <si>
    <t xml:space="preserve">LTMN: TBD
Salonga: TBD
Mayombe-Mangrove:66,49
Vir/Itombwe: TBD
</t>
  </si>
  <si>
    <t>poor/unsustainable agricultural practice</t>
  </si>
  <si>
    <t>2.2.2</t>
  </si>
  <si>
    <t>Best agricultural  practices supported</t>
  </si>
  <si>
    <t>By 2030, at least 80% of targeted farmers  supported in priority landscapes use best agricultural  practices.</t>
  </si>
  <si>
    <t># of farmers applying low-carbon agricultural techniques</t>
  </si>
  <si>
    <t>Targeted farmers include farmers of cassava, rice, etc.
Best practices include practices follow Deforestation and Carbon Free -DCF program, deforestation, Nature positive practices, etc.</t>
  </si>
  <si>
    <t>Farm Survey database</t>
  </si>
  <si>
    <t>Farm Survey</t>
  </si>
  <si>
    <t>Annually</t>
  </si>
  <si>
    <t>Other external factors, such as climate or market forces, will not affect the production and  prices in a manner that farmers don’t see the benefits of good practices
The community and agribusiness will accept changing their farming practice to sustainable yield boosting practices
Farmers will not see increased yield as an incentive to expand farming land</t>
  </si>
  <si>
    <t xml:space="preserve">LTMN: 1046
Salonga:10000
Mayombe-Mangrove:200
Vir/Itombwe:28 974
</t>
  </si>
  <si>
    <t xml:space="preserve">LTMN: 1046
Salonga:1000
Mayombe-Mangrove:200
Vir/Itombwe:
</t>
  </si>
  <si>
    <t xml:space="preserve">LTMN: 1000
Salonga:10000
Mayombe-Mangrove:200
Vir/Itombwe:
</t>
  </si>
  <si>
    <t xml:space="preserve">LTMN:1000
Salonga:500
Mayombe-Mangrove:200
Vir/Itombwe:
</t>
  </si>
  <si>
    <t xml:space="preserve">LTMN: 1000
Salonga:500
Mayombe-Mangrove:200
Vir/Itombwe:
</t>
  </si>
  <si>
    <t xml:space="preserve">LTMN: 1000
Salonga:500
Mayombe-Mangrove:200
Vir/Itombwe:28 974
</t>
  </si>
  <si>
    <t>Poor and/or weak governance, management, and capacities</t>
  </si>
  <si>
    <t>2.2.3</t>
  </si>
  <si>
    <t>community with   management plans established</t>
  </si>
  <si>
    <t>By 2030, at least 600,000 ha of community forests are established and operate with  approved management plans</t>
  </si>
  <si>
    <t># of community forest with improved management with support from WWF</t>
  </si>
  <si>
    <t>Define Community Forest</t>
  </si>
  <si>
    <t>Community Forests database</t>
  </si>
  <si>
    <t>Project Implementation activity</t>
  </si>
  <si>
    <t>National and local authorities continue to support and process community forest applications within a reasonable timeframe.
Management plans are formally approved by relevant government authorities.
IPLC apply best management practices in managing their community forest, even after the end of the support</t>
  </si>
  <si>
    <t xml:space="preserve">LTMN: 14
Salonga:06
Mayombe-Mangrove:0
Vir/Itombwe:22
</t>
  </si>
  <si>
    <t>LTMN: 14
Salonga:1
Mayombe-Mangrove:0
Vir/Itombwe:0</t>
  </si>
  <si>
    <t xml:space="preserve">LTMN:5
Salonga:2
Mayombe-Mangrove:1
Vir/Itombwe:0
</t>
  </si>
  <si>
    <t xml:space="preserve">LTMN: 1
Salonga:1
Mayombe-Mangrove:0
Vir/Itombwe:0
</t>
  </si>
  <si>
    <t xml:space="preserve">LTMN:2
Salonga:1
Mayombe-Mangrove:0
Vir/Itombwe:0
</t>
  </si>
  <si>
    <t xml:space="preserve">LTMN: 4
Salonga:1
Mayombe-Mangrove:2
Vir/Itombwe:3
</t>
  </si>
  <si>
    <t>Forest (HCV, Dense Forest)</t>
  </si>
  <si>
    <t>Minning, Logging, conversion to other land uses
Cutting for firewood &amp; charcoal]
Artisan/industrial exploitation of wood</t>
  </si>
  <si>
    <t>2.2.4</t>
  </si>
  <si>
    <t>Habitats are restored</t>
  </si>
  <si>
    <t xml:space="preserve">By 2030, 100,000 ha of targeted habitats are restored. </t>
  </si>
  <si>
    <t>Hectares of habitat restored</t>
  </si>
  <si>
    <t xml:space="preserve"> The targeted areas include savannahs, forest, mangroves. </t>
  </si>
  <si>
    <t>Restoration Database</t>
  </si>
  <si>
    <t>Field restoration activity: Recording of restored area size</t>
  </si>
  <si>
    <t xml:space="preserve">Relevant stakeholders and partners will take part in restoration activities
Landholders and communities understand and support restoration </t>
  </si>
  <si>
    <t xml:space="preserve">LTMN: 25226
Salonga:0
Mayombe-Mangrove:8722
</t>
  </si>
  <si>
    <t xml:space="preserve">LTMN: 25226
Salonga:0
Mayombe-Mangrove:8752
</t>
  </si>
  <si>
    <t xml:space="preserve">LTMN: 3000
Salonga:0
Mayombe-Mangrove:8786
</t>
  </si>
  <si>
    <t xml:space="preserve">LTMN: 3300
Salonga:0
Mayombe-Mangrove:8792
</t>
  </si>
  <si>
    <t xml:space="preserve">LTMN:3600
Salonga:0
Mayombe-Mangrove:8832
</t>
  </si>
  <si>
    <t xml:space="preserve">LTMN: 38226
Salonga:0
Mayombe-Mangrove:8882
</t>
  </si>
  <si>
    <t>Human rights abuse</t>
  </si>
  <si>
    <t>4.1.1</t>
  </si>
  <si>
    <t>Conservation related complaints reduced</t>
  </si>
  <si>
    <t>By 2030, the percentage of conservation related complaints related to CCO-supported conservation activities in target landscapes is reduced by at least 90%.</t>
  </si>
  <si>
    <t>% of conservation related complaints related to CCO conservation activities</t>
  </si>
  <si>
    <r>
      <rPr>
        <sz val="11"/>
        <color rgb="FF000000"/>
        <rFont val="Calibri"/>
        <family val="2"/>
      </rPr>
      <t xml:space="preserve">This will be measured on national level not on program level.
</t>
    </r>
    <r>
      <rPr>
        <b/>
        <sz val="11"/>
        <color rgb="FF000000"/>
        <rFont val="Calibri"/>
        <family val="2"/>
      </rPr>
      <t xml:space="preserve">Numerator: </t>
    </r>
    <r>
      <rPr>
        <sz val="11"/>
        <color rgb="FF000000"/>
        <rFont val="Calibri"/>
        <family val="2"/>
      </rPr>
      <t xml:space="preserve">Number of conservation related complaints related to CCO conservation activities
Divided by:
</t>
    </r>
    <r>
      <rPr>
        <b/>
        <sz val="11"/>
        <color rgb="FF000000"/>
        <rFont val="Calibri"/>
        <family val="2"/>
      </rPr>
      <t xml:space="preserve">Denominator: </t>
    </r>
    <r>
      <rPr>
        <sz val="11"/>
        <color rgb="FF000000"/>
        <rFont val="Calibri"/>
        <family val="2"/>
      </rPr>
      <t>Number of conservation related complaints</t>
    </r>
  </si>
  <si>
    <t>Grievance mechanism database</t>
  </si>
  <si>
    <t>Grievance mechanism system</t>
  </si>
  <si>
    <t>There is confidence and trust in grievance redress mechanisms and are communities are using it to report</t>
  </si>
  <si>
    <t xml:space="preserve">LTMN : 100% (10 complaints)
Salonga: 100% (78 complaints)
Mayombe/Luki:0%
Vir / Itombwe:100% ( 7 complaints)
</t>
  </si>
  <si>
    <t xml:space="preserve">LTMN : 100%
Salonga : 60%
Mayombe/Luki:0%
Vir / Itombwe:
</t>
  </si>
  <si>
    <t xml:space="preserve">LTMN : 80%
Sal : 50%
Mayombe/Luki:0%
Vir / Itombwe:
</t>
  </si>
  <si>
    <t xml:space="preserve">LTMN : 50%
Sal : 40%
Mayombe/Luki:TBD
Vir / Itombwe:
</t>
  </si>
  <si>
    <t xml:space="preserve">LTMN : 30%
Sal : 30%
Mayombe/Luki:TBD
Vir / Itombwe:
</t>
  </si>
  <si>
    <t xml:space="preserve">LTMN : 10%
Sal : 20%
Mayombe/Luki:TBD
Vir / Itombwe:10%
</t>
  </si>
  <si>
    <t>Number of human rights violation cases by WWF's or implementing partners staff</t>
  </si>
  <si>
    <t>Salonga:55</t>
  </si>
  <si>
    <t>Salonga:45</t>
  </si>
  <si>
    <t>Salonga:35</t>
  </si>
  <si>
    <t>Salonga:25</t>
  </si>
  <si>
    <t>Salonga:15</t>
  </si>
  <si>
    <t>Salonga:5</t>
  </si>
  <si>
    <t>Weak support to conservation</t>
  </si>
  <si>
    <t>4.1.2</t>
  </si>
  <si>
    <t xml:space="preserve">Positive perception on conservation improved </t>
  </si>
  <si>
    <t>By 2030, at least 80% of targeted IPLCs in CCO-supported landscapes have a positive perception towards conservation projects/ideas.</t>
  </si>
  <si>
    <t>% of targeted IPLC who have a positive perception towards CCO-supported conservation projects/ ideas</t>
  </si>
  <si>
    <t>This will be measured on national level not on program level.</t>
  </si>
  <si>
    <t>Perception survey data</t>
  </si>
  <si>
    <t>Perception Survey</t>
  </si>
  <si>
    <t>Conservation efforts produce tangible social or economic benefits for IPLCs (e.g., jobs, ecosystem services, access rights)</t>
  </si>
  <si>
    <t xml:space="preserve">LTMN : TBD
Sal : 63%
Mayombe/Luki:TBD
Vir / Itombwe:58%
</t>
  </si>
  <si>
    <t xml:space="preserve">LTMN :
Sal : 63%
Mayombe/Luki
Vir / Itombwe
</t>
  </si>
  <si>
    <t xml:space="preserve">LTMN :
Sal : 65%
Mayombe/Luki
Vir / Itombwe
</t>
  </si>
  <si>
    <t xml:space="preserve">LTMN :
Sal : 66%
Mayombe/Luki
Vir / Itombwe
</t>
  </si>
  <si>
    <t xml:space="preserve">LTMN :
Sal : 67%
Mayombe/Luki
Vir / Itombwe
</t>
  </si>
  <si>
    <t xml:space="preserve">LTMN :
Sal : 68%
Mayombe/Luki
Vir / Itombwe:58%
</t>
  </si>
  <si>
    <t>Poverty and lack of buy in to conservation</t>
  </si>
  <si>
    <t>4.1.3</t>
  </si>
  <si>
    <t>Students supported</t>
  </si>
  <si>
    <t>By 2030, at least 20% of supported students complete primary or secondary school education</t>
  </si>
  <si>
    <t>% supported primary school students that have completed their primary education</t>
  </si>
  <si>
    <t>School Records</t>
  </si>
  <si>
    <t>Parents/guardians and communities value and support education—especially for girls and IPs
No major disruptions (e.g., political instability, natural disasters, pandemics) impact schooling</t>
  </si>
  <si>
    <t>Salonga: 3567</t>
  </si>
  <si>
    <t>Poverty</t>
  </si>
  <si>
    <t>4.1.4</t>
  </si>
  <si>
    <t>Household income increased</t>
  </si>
  <si>
    <t>By 2030, targeted IPLC gain at least a 10% increase in household income from WWF-supported activities compared to the 2025 baseline</t>
  </si>
  <si>
    <t>Average household income of targeted IPLC</t>
  </si>
  <si>
    <t>Household income could be derived from IGA value chains, tourism, etc.</t>
  </si>
  <si>
    <t xml:space="preserve">Household survey data </t>
  </si>
  <si>
    <t>Household survey on WWF-supported activities</t>
  </si>
  <si>
    <t>Midline (only measured half way and at the end)</t>
  </si>
  <si>
    <t>Markets remain stable or grow for the products/services linked to WWF-supported activities
Climate and environmental conditions do not severely disrupt production (e.g., droughts, disease, flooding)</t>
  </si>
  <si>
    <t xml:space="preserve">LTMN :TBD
Sal :TBD
Mayombe/Luki TBD
Vir / Itombwe TBD
</t>
  </si>
  <si>
    <t>Average total annual income gained by IPLC through direct employment in conservation related activities</t>
  </si>
  <si>
    <t xml:space="preserve">The income that is paid to IPLC directly from conservation activities </t>
  </si>
  <si>
    <t>HR salary data</t>
  </si>
  <si>
    <t>HR salary checks</t>
  </si>
  <si>
    <t>4.1.5</t>
  </si>
  <si>
    <t>Access to materials of good life improved</t>
  </si>
  <si>
    <t xml:space="preserve">By 2030, the number of targeted IPLC communities in WWF-supported landscapes having access to materials of good life has increased by at least 50% relative to the 2025 baseline </t>
  </si>
  <si>
    <t>% of targeted IPLC communities in the WWF-supported landscapes that have access to materials of good life</t>
  </si>
  <si>
    <r>
      <t xml:space="preserve">Access means the ability for the targeted group to make use of the materials. Materials of good life include portable water, health care, natural resources, food, education and traditional sites inside PAs. Communities refers to a group of people living in one village. 
</t>
    </r>
    <r>
      <rPr>
        <b/>
        <sz val="11"/>
        <color rgb="FF000000"/>
        <rFont val="Calibri"/>
        <family val="2"/>
      </rPr>
      <t>Numerator</t>
    </r>
    <r>
      <rPr>
        <sz val="11"/>
        <color rgb="FF000000"/>
        <rFont val="Calibri"/>
        <family val="2"/>
      </rPr>
      <t xml:space="preserve">: Number of targeted communities with access to the materials of a good life
</t>
    </r>
    <r>
      <rPr>
        <b/>
        <sz val="11"/>
        <color rgb="FF000000"/>
        <rFont val="Calibri"/>
        <family val="2"/>
      </rPr>
      <t>Denominator</t>
    </r>
    <r>
      <rPr>
        <sz val="11"/>
        <color rgb="FF000000"/>
        <rFont val="Calibri"/>
        <family val="2"/>
      </rPr>
      <t>: Number of targeted communities</t>
    </r>
  </si>
  <si>
    <t>Community survey as well as program data (with linked database)</t>
  </si>
  <si>
    <t>Community surveys and program progress reports</t>
  </si>
  <si>
    <t>Communities are not subjected to conflict, displacement, or governance instability that disrupt access to basic needs or services.</t>
  </si>
  <si>
    <t xml:space="preserve">
Salonga : 6%
</t>
  </si>
  <si>
    <t xml:space="preserve">
Salonga : 6%
</t>
  </si>
  <si>
    <t xml:space="preserve">
Salonga : 6,5%
</t>
  </si>
  <si>
    <t xml:space="preserve">
Salonga:7%
</t>
  </si>
  <si>
    <t xml:space="preserve">
Salonga : 8%
</t>
  </si>
  <si>
    <t xml:space="preserve">
Salonga : 9%
</t>
  </si>
  <si>
    <t xml:space="preserve">Exclusion of IPLCs
Inadequate or Weak policy on Protection of IPLC rights
</t>
  </si>
  <si>
    <t>4.1.6</t>
  </si>
  <si>
    <t xml:space="preserve">policies &amp; decisions promoting IPLC rights enacted </t>
  </si>
  <si>
    <t xml:space="preserve">By 2030, at least one new or revised policies or decisions promoting the rights and interests of IPLC enacted with  WWF support </t>
  </si>
  <si>
    <t xml:space="preserve">Number of new or revised policy or decisions promoting the rights and interests of IPLC enacted with  WWF support 
</t>
  </si>
  <si>
    <t xml:space="preserve"> policies include decrees or other circular decisions</t>
  </si>
  <si>
    <t>Policy and advocacy database (With validated analyses and report)</t>
  </si>
  <si>
    <t>Policy and advocacy activities</t>
  </si>
  <si>
    <t>The government is willing to engage with WWF and partners (incl. IPLC) in the propositions, enacting and reviewing of the policies/ decisions</t>
  </si>
  <si>
    <t xml:space="preserve">LTMN :TBD
Salonga Decret of CFCL : 17
Mayombe/Luki TBD
Vir / Itombwe TBD
</t>
  </si>
  <si>
    <t>Ouputs</t>
  </si>
  <si>
    <t>2.1.1.1</t>
  </si>
  <si>
    <t xml:space="preserve">By 2030, at least 50% of LDCs in priority landscapes are supported in sustainable agriculture. </t>
  </si>
  <si>
    <t># of households adopting sustainable agriculture practices in target areas</t>
  </si>
  <si>
    <t>LTMN 28312
Mayombe-Mangrove:10000
Salonga:10000</t>
  </si>
  <si>
    <t xml:space="preserve">LTMN 
Mayombe-Mangrove: 2000
</t>
  </si>
  <si>
    <t xml:space="preserve">LTMN 
Mayombe-Mangrove:2000
</t>
  </si>
  <si>
    <t>LTMN 
Mayombe-Mangrove:2000
Salonga:13500</t>
  </si>
  <si>
    <t>2.1.1.2</t>
  </si>
  <si>
    <t>By 2027, HCV forest areas are fully mapped and demarcated in all targeted landscapes, with GIS data integrated into national or regional land-use planning systems.</t>
  </si>
  <si>
    <t>Ares (Ha) of High Conservation Value forests converted to other land uses</t>
  </si>
  <si>
    <t xml:space="preserve">LTMN: TBD
Salonga: TB
Mayombe-Mangrove:95, 19
Vir/Itombwe: TBD
</t>
  </si>
  <si>
    <t>2.1.1.3</t>
  </si>
  <si>
    <r>
      <rPr>
        <sz val="11"/>
        <color rgb="FF000000"/>
        <rFont val="Calibri"/>
      </rPr>
      <t xml:space="preserve">By 2028, Formal agreements (e.g., MOUs, conservation easements, or community protocols) covering </t>
    </r>
    <r>
      <rPr>
        <b/>
        <sz val="10"/>
        <color rgb="FF000000"/>
        <rFont val="Arial"/>
        <scheme val="minor"/>
      </rPr>
      <t>100% of mapped HCV areas</t>
    </r>
    <r>
      <rPr>
        <sz val="10"/>
        <color rgb="FF000000"/>
        <rFont val="Arial"/>
        <scheme val="minor"/>
      </rPr>
      <t xml:space="preserve"> are signed with landowners, communities, or custodians.</t>
    </r>
  </si>
  <si>
    <t># of MoUs signed</t>
  </si>
  <si>
    <t xml:space="preserve">LTMN:0
Salonga:01
Mayombe-Mangrove:0
Vir/Itombwe:0
</t>
  </si>
  <si>
    <t xml:space="preserve">LTMN:3
Salonga:01
Mayombe-Mangrove:1
Vir/Itombwe:0
</t>
  </si>
  <si>
    <t xml:space="preserve">LTMN:5
Salonga:01
Mayombe-Mangrove:0
Vir/Itombwe:0
</t>
  </si>
  <si>
    <t xml:space="preserve">LTMN:2
Salonga:01
Mayombe-Mangrove:0
Vir/Itombwe:0
</t>
  </si>
  <si>
    <t>2.2.4.1</t>
  </si>
  <si>
    <t xml:space="preserve">By 2030, at least 100,000 ha of degraded areas (savannahs, forests, mangroves) are under restoration </t>
  </si>
  <si>
    <t xml:space="preserve">Area (ha) of degraded ecosystems mapped and prioritized for restoration
</t>
  </si>
  <si>
    <t>LTMN:2868
Mayombe-Mangrove:12522
Virunga-Itombwe:TBD</t>
  </si>
  <si>
    <t xml:space="preserve">LTMN:2868
Mayombe-Mangrove:12522
</t>
  </si>
  <si>
    <t>2.2.1.1</t>
  </si>
  <si>
    <t>By 2030, the coverage of community monitoring activities in local community forest concessions (LCFCs) is increased by at least 20% compared with 2025.</t>
  </si>
  <si>
    <t>Coverage area in LCFCs
% of local community forest concessions are covered by community monitoring</t>
  </si>
  <si>
    <t xml:space="preserve">LTMN:TBD
Mayombe-Mangrove:TBD
Vir/Itombwe:TBD
</t>
  </si>
  <si>
    <t>2.2.1.2</t>
  </si>
  <si>
    <t>A forest-clearing monitoring and enforcement system is operational, with community and government participation, across all high-risk zones in the targeted landscape.</t>
  </si>
  <si>
    <t>% of High-Risk Areas Covered by Patrols/ surveillence</t>
  </si>
  <si>
    <t xml:space="preserve">LTMN:0%
Mayombe-Mangrove:20%
Vir/Itombwe:55%
</t>
  </si>
  <si>
    <t xml:space="preserve">LTMN:10%
Mayombe-Mangrove:30%
Vir/Itombwe:55%
</t>
  </si>
  <si>
    <t xml:space="preserve">LTMN:15%
Mayombe-Mangrove:40%
Vir/Itombwe:60%
</t>
  </si>
  <si>
    <t xml:space="preserve">LTMN:20%
Mayombe-Mangrove:50%
Vir/Itombwe:70%
</t>
  </si>
  <si>
    <t xml:space="preserve">LTMN:30%
Mayombe-Mangrove:60%
Vir/Itombwe:80%
</t>
  </si>
  <si>
    <t>By 2030, at least 80% of small-scale farmers in priority landscapes are trained in sustainable agriculture.</t>
  </si>
  <si>
    <t>Number of training sessions conducted on sustainable agruclture</t>
  </si>
  <si>
    <t xml:space="preserve">LTMN:7
Salonga: 
Mayombe-Mangrove:4
Vir/Itombwe:TBD
</t>
  </si>
  <si>
    <t xml:space="preserve">LTMN:5
Salonga:
Mayombe-Mangrove:4
Vir/Itombwe:TBD
</t>
  </si>
  <si>
    <t>2.2.2.2</t>
  </si>
  <si>
    <t xml:space="preserve">By 2030, Extension services or farmer field schools are operational in all priority landscapes </t>
  </si>
  <si>
    <t># of smallholder farmers actively engaged in and regularly participating in cooperative activities.</t>
  </si>
  <si>
    <t xml:space="preserve">LTMN:396
Mayombe-Mangrove:2
Vir/Itombwe:TBD
</t>
  </si>
  <si>
    <t>2.2.2.3</t>
  </si>
  <si>
    <t>Incentive mechanisms (e.g., inputs, market access, certification, or micro-finance) are in place to support at least 80% of targeted farmers</t>
  </si>
  <si>
    <t># of Smallholder Farmers with Access to Farming Inputs</t>
  </si>
  <si>
    <t>LTMN:1046
Mayombe-Mangrove:200
Vir/Itombwe:TBD
Salonga:1000</t>
  </si>
  <si>
    <t>LTMN:6000
Mayombe-Mangrove:200
Vir/Itombwe:TBD
Salonga:12500</t>
  </si>
  <si>
    <t>2.2.3.1</t>
  </si>
  <si>
    <t>By 2030, at least 80% of Local community forest concessions will be supported by WWF and its partners to develop Sustainable Management Plans (SMPs).</t>
  </si>
  <si>
    <t># of forest management plans in place</t>
  </si>
  <si>
    <t>LTMN:14
Mayombe-Mangrove:0
Vir/Itombwe:22
Salonga:06</t>
  </si>
  <si>
    <t>Area (ha) of Local community forest concessions under sustainable management plan</t>
  </si>
  <si>
    <t>LTMN:TBD
Mayombe-Mangrove:32000
Vir/Itombwe:0
Salonga:178424</t>
  </si>
  <si>
    <t>LTMN:TBD
Mayombe-Mangrove:32000
Vir/Itombwe:0
Salonga:0</t>
  </si>
  <si>
    <t>2.2.3.2</t>
  </si>
  <si>
    <t>By 2030, at least 30% of simplified community forest concession management plans are implemented with support from WWF and its partners</t>
  </si>
  <si>
    <t>Area (ha) of community-managed forest areas under sustainable management practices</t>
  </si>
  <si>
    <t>LTMN:78852
Mayombe-Mangrove:0
Vir/Itombwe:341 645
Salonga178424</t>
  </si>
  <si>
    <t>4.1.1.1</t>
  </si>
  <si>
    <t>By 2026, grievance redress mechanisms (GRMs) are established in 100% of target landscapes with annual tracking and response of cases.</t>
  </si>
  <si>
    <t>% landscapres with grievance Mechanisms in place</t>
  </si>
  <si>
    <t xml:space="preserve">LTMN/Plateau:100%
Sal : 100%
Mayombe/Luki: 60%
Vir / Itombwe:100%
</t>
  </si>
  <si>
    <t xml:space="preserve">LTMN/Plateau:100%
Sal : 100%
Mayombe/Luki: 80%
Vir / Itombwe:100%
</t>
  </si>
  <si>
    <t xml:space="preserve">LTMN/Plateau:100%
Sal : 100%
Mayombe/Luki: 100%
Vir / Itombwe:100%
</t>
  </si>
  <si>
    <t xml:space="preserve">% of reported grievances that are related to WWF work 
</t>
  </si>
  <si>
    <t>LTMN/Malebo :100%
Salonga : 70%
Mayombe/Luki: 30%</t>
  </si>
  <si>
    <t>LTMN/Malebo :100%
Salonga : 80%
Mayombe/Luki: 100%</t>
  </si>
  <si>
    <t>LTMN/Malebo :100%
Salonga : 100%
Mayombe/Luki: 100%</t>
  </si>
  <si>
    <t>4.1.1.2</t>
  </si>
  <si>
    <t xml:space="preserve">By 2030, the number of Human rights violations (physical and moral violations) linked to WWF's activities in priority landscapes are reduced </t>
  </si>
  <si>
    <t>Number of reported human rights violations cases associated with WWF-supported activities</t>
  </si>
  <si>
    <t>4.1.1.3</t>
  </si>
  <si>
    <t>By 2030, at least 100% of ESSF flagship tools (ESIA, CGES, MGP, GBV Action Plan, Gender Analysis, HSSE Action Plan, Stakeholder Engagement Plan, and IP Engagement Plan) are developed, adopted, and implemented.</t>
  </si>
  <si>
    <t>% of landscapes that have implemented 80% of their ESSF actions</t>
  </si>
  <si>
    <t xml:space="preserve">LTMN: 70%
Sal : 70%
Mayombe/Luki: 40%
Vir / Itombwe:70%
</t>
  </si>
  <si>
    <t xml:space="preserve">LTMN: 70%
Sal : 70%
Mayombe/Luki: 60%
Vir / Itombwe:70%
</t>
  </si>
  <si>
    <t xml:space="preserve">LTMN: 80%
Sal : 80%
Mayombe/Luki: 80%
Vir / Itombwe:70%
</t>
  </si>
  <si>
    <t xml:space="preserve">LTMN: 90%
Sal : 90%
Mayombe/Luki: 100%
Vir / Itombwe:80%
</t>
  </si>
  <si>
    <t xml:space="preserve">LTMN: 95%
Sal : 95%
Mayombe/Luki: 100%
Vir / Itombwe:90%
</t>
  </si>
  <si>
    <t xml:space="preserve">LTMN:100%
Sal : 100%
Mayombe/Luki: 100%
Vir / Itombwe:100%
</t>
  </si>
  <si>
    <t>4.1.1.4</t>
  </si>
  <si>
    <t>By 2030,  Salonga ecoguards are trained on human-right based approaches to law enforcement</t>
  </si>
  <si>
    <t>Number of eco-guards trained in human rights-based approaches to law enforcement</t>
  </si>
  <si>
    <t xml:space="preserve">Sal : 210
Mayombe/Luki: 60
</t>
  </si>
  <si>
    <t xml:space="preserve">Sal :62
Mayombe/Luki: 15
</t>
  </si>
  <si>
    <t xml:space="preserve">Sal : 0
Mayombe/Luki: 0
</t>
  </si>
  <si>
    <t xml:space="preserve">Sal : 50
Mayombe/Luki: 0
</t>
  </si>
  <si>
    <t xml:space="preserve">Sal : 30
Mayombe/Luki: 0
</t>
  </si>
  <si>
    <t xml:space="preserve">Sal :30
Mayombe/Luki: 0
</t>
  </si>
  <si>
    <t>% of trained eco-guards who demonstrate knowledge of human rights-based approaches in law enforcement</t>
  </si>
  <si>
    <t>Salonga 80%</t>
  </si>
  <si>
    <t>4.1.2.1</t>
  </si>
  <si>
    <t>By 2020, studies or surveys on the negative perception of IPs/LCs living in the SNP and its periphery with regard to conservation are carried out.</t>
  </si>
  <si>
    <t>Number of perception studies or surveys conducted</t>
  </si>
  <si>
    <t>4.1.3.1</t>
  </si>
  <si>
    <t>By 2030, at least 5% of pupils in SNP (Monkoto &amp; Yokelelu) will be supported through the provision of school supplies.</t>
  </si>
  <si>
    <t>Number of pupils provided with school supplies</t>
  </si>
  <si>
    <t>4.1.4.1</t>
  </si>
  <si>
    <t xml:space="preserve">By 2030, at least 50% of households in targeted IP/LC communities are actively participating in at least one WWF-supported innovative income-generating activity (PES, biodiversity credits, LCFCs, or micro-enterprises). </t>
  </si>
  <si>
    <t>% of benefit sharing mechanisms that are functional</t>
  </si>
  <si>
    <t xml:space="preserve">LTMN:16 %
Sal : TBD
Mayombe/Luki: TBD
Vir / Itombwe:TBD
</t>
  </si>
  <si>
    <t xml:space="preserve">LTMN:20 %
Sal : TBD
Mayombe/Luki: TBD
Vir / Itombwe:TBD
</t>
  </si>
  <si>
    <t xml:space="preserve">LTMN:30%
Sal : TBD
Mayombe/Luki: TBD
Vir / Itombwe:TBD
</t>
  </si>
  <si>
    <t xml:space="preserve">LTMN:45 %
Sal : TBD
Mayombe/Luki: TBD
Vir / Itombwe:TBD
</t>
  </si>
  <si>
    <t xml:space="preserve">LTMN:50 %
Sal : TBD
Mayombe/Luki: TBD
Vir / Itombwe:TBD
</t>
  </si>
  <si>
    <t>4.1.4.2</t>
  </si>
  <si>
    <t>By 2030, at least 36 structures are supported to implement Payment for Ecosystem Services (PES) schemes</t>
  </si>
  <si>
    <t>% of target structures supported to implement PES scheme</t>
  </si>
  <si>
    <t>LTMN :4
Mayombe/Luki:3
Vir-Itombwe:19</t>
  </si>
  <si>
    <t>LTMN : 3
Mayombe/Luki:0
Vir-Itombwe:0</t>
  </si>
  <si>
    <t xml:space="preserve">LTMN :0
Mayombe/Luki:0
</t>
  </si>
  <si>
    <t>LTMN :1
Mayombe/Luki:0
Vir-Itombwe:1</t>
  </si>
  <si>
    <t>4.1.4.3</t>
  </si>
  <si>
    <t>By 2030, WWF facilitates partnerships with at least 120 LCFCs, OECMs, and private sector entities to promote the delivery and sustainability of ecosystem services in target landscapes.</t>
  </si>
  <si>
    <t>Number of partnership agreements signed or established</t>
  </si>
  <si>
    <t xml:space="preserve">LTMN :0
Mayombe/Luki:1
</t>
  </si>
  <si>
    <t xml:space="preserve">LTMN :2
Mayombe/Luki:0
</t>
  </si>
  <si>
    <t xml:space="preserve">LTMN :1
Mayombe/Luki:0
</t>
  </si>
  <si>
    <t>4.1.4.4</t>
  </si>
  <si>
    <t>By 2030, partnerships is established with at least three operators  to facilitate fund transfer for PES and other credit mechanisms.</t>
  </si>
  <si>
    <t>Number of partnerships entered with operators to facilitate funds transfer to community</t>
  </si>
  <si>
    <t xml:space="preserve">LTMN :1
Sal : 1
Mayombe/Luki: 1
Vir / Itombwe:1
</t>
  </si>
  <si>
    <t xml:space="preserve">LTMN :1
Sal : 1
Mayombe/Luki: 1
Vir / Itombwe:1
</t>
  </si>
  <si>
    <t>Number of people receiving funds from established operators</t>
  </si>
  <si>
    <t xml:space="preserve">LTMN :0
Sal : 0
Mayombe/Luki: 0
Vir / Itombwe:0
</t>
  </si>
  <si>
    <t>4.1.4.5</t>
  </si>
  <si>
    <t xml:space="preserve">By 2030, at least 5 value chains (rice, charcoal, honey, etc.) are developed with market access in priority landscapes. </t>
  </si>
  <si>
    <t>Number of value chains developed</t>
  </si>
  <si>
    <t xml:space="preserve">LTMN :0
Sal : 3
Mayombe/Luki: 2
Vir / Itombwe:2
</t>
  </si>
  <si>
    <t xml:space="preserve">LTMN :0
Sal : 1
Mayombe/Luki: 1
Vir / Itombwe:0
</t>
  </si>
  <si>
    <t xml:space="preserve">LTMN :1
Sal : 1
Mayombe/Luki: 0
Vir / Itombwe:0
</t>
  </si>
  <si>
    <t xml:space="preserve">LTMN :1
Sal : 1
Mayombe/Luki: 0
Vir / Itombwe:0
</t>
  </si>
  <si>
    <t xml:space="preserve">LTMN :1
Sal : 0
Mayombe/Luki: 1
Vir / Itombwe:0
</t>
  </si>
  <si>
    <t xml:space="preserve">LTMN :1
Sal : 1
Mayombe/Luki: 0
Vir / Itombwe:0
</t>
  </si>
  <si>
    <t>4.1.5.1</t>
  </si>
  <si>
    <t>By 2030, at least 4 water points (e.g., boreholes, wells) are constructed or rehabilitated in underserved IPLC communities within WWF-supported landscapes.</t>
  </si>
  <si>
    <t># of water sources protected</t>
  </si>
  <si>
    <t>Mayombe-Mangroves: 2
Salonga: 4</t>
  </si>
  <si>
    <t>Mayombe-Mangroves: 2
Salonga: 1</t>
  </si>
  <si>
    <t>Mayombe-Mangroves: 1
Salonga: 1</t>
  </si>
  <si>
    <t>Mayombe-Mangroves: 0
Salonga: 1</t>
  </si>
  <si>
    <t>4.1.5.2</t>
  </si>
  <si>
    <t>By 2030, livelihood support is provided to at least 50000 IP&amp;LC communities in priority landscapes</t>
  </si>
  <si>
    <t xml:space="preserve">% of ragetet IP &amp;LC households provided with livelihood support </t>
  </si>
  <si>
    <t>Virunga: 28974</t>
  </si>
  <si>
    <t>4.1.5.3</t>
  </si>
  <si>
    <t>By 2030, at least 15 solar-powered lighting or energy systems are installed in schools, health centers, or public spaces in priority villages.</t>
  </si>
  <si>
    <t>Number of functional renewable energy installations</t>
  </si>
  <si>
    <t xml:space="preserve">LTMN :0
Salonga: 2
Mayombe/Luki: 0
</t>
  </si>
  <si>
    <t>4.1.5.4</t>
  </si>
  <si>
    <t>By 2030, all targeted IPLC communities define their "priorities of good life" through a participatory assessment, + these are integrated into local development planning.</t>
  </si>
  <si>
    <t>Number of community-defined development plans incorporating “good life” priorities</t>
  </si>
  <si>
    <t xml:space="preserve">LTMN :14
Mayombe/Luki: 0
</t>
  </si>
  <si>
    <t>4.1.6.1</t>
  </si>
  <si>
    <t xml:space="preserve">By 2030, at least 50% of decisions taken by protected area managers will take into account the interests of IPs/LCs in accessing resources. </t>
  </si>
  <si>
    <t xml:space="preserve">% of documented PA decisions (e.g., access rules, zoning, benefit-sharing) that include IPLC consultation records 
</t>
  </si>
  <si>
    <t>Salonga 20%</t>
  </si>
  <si>
    <t>4.1.6.2</t>
  </si>
  <si>
    <t>By 2030, WWF commissions and disseminates at least one legal/policy gap analysis on IPLC rights and access to resources across supported landscapes.</t>
  </si>
  <si>
    <t>Number of policy/legal analysis reports completed and shared with decision-makers</t>
  </si>
  <si>
    <t>4.1.6.3</t>
  </si>
  <si>
    <t>By 2030, at least 3 multi-stakeholder consultation meetings are held with government, civil society, and IPLC representatives to advocate for IPLC-inclusive policy reforms.</t>
  </si>
  <si>
    <t>Number of stakeholder meetings convened with documented participation from IPLCs</t>
  </si>
  <si>
    <t>Salonga:2</t>
  </si>
  <si>
    <t>4.1.6.4</t>
  </si>
  <si>
    <t>By 2030, WWF provides technical support in the development, revision, or validation of at least one draft policy, decree, or strategy that explicitly safeguards IPLC rights and access to natural resources.</t>
  </si>
  <si>
    <t>Number of policy drafts/revisions with WWF-supported IPLC language or provisions</t>
  </si>
  <si>
    <t>National level:0</t>
  </si>
  <si>
    <t>4.1.7.1</t>
  </si>
  <si>
    <t>By 2030, representatives from WWF-supported landscapes in DRC participate in cross-border steering committee meetings on biodiversity and environmental governance, with documented contributions.</t>
  </si>
  <si>
    <t>% of cross-border meetings attended by WWF-supported landscape representatives</t>
  </si>
  <si>
    <t>Virunga: 0%</t>
  </si>
  <si>
    <t>4.1.7.2</t>
  </si>
  <si>
    <t>By 2030, WWF provides technical, financial, or coordination support to the implementation of at least 6 national and international biodiversity-related strategies or frameworks (e.g., NBSAP, NDC, 30x30), including documented actions and results.</t>
  </si>
  <si>
    <t>Number of biodiversity-related national/international frameworks receiving documented WWF implementation support</t>
  </si>
  <si>
    <t>4.1.7.3</t>
  </si>
  <si>
    <t>By 2030, at least USD 50 million will be mobilized internationally by the Congolese government (MEDD) to finance nature conservation and Climate Action with the support of WWF-DRC.</t>
  </si>
  <si>
    <t>Total USD committed to DRC for nature conservation and climate action (with WWF support)</t>
  </si>
  <si>
    <t xml:space="preserve">Conservation Focus of the Programme
</t>
  </si>
  <si>
    <t>Program Outcomes</t>
  </si>
  <si>
    <t>Relevant Thematic Scope</t>
  </si>
  <si>
    <t>Annual Result -  
Year 1</t>
  </si>
  <si>
    <t>Output (Annual Result) - 
Year 2</t>
  </si>
  <si>
    <t>Output (Annual Result) - 
Year 3</t>
  </si>
  <si>
    <t>Output (Annual Result) - 
Year 4</t>
  </si>
  <si>
    <t>Output (Annual Result) - 
Year 5</t>
  </si>
  <si>
    <r>
      <rPr>
        <b/>
        <sz val="10"/>
        <color rgb="FFFFFFFF"/>
        <rFont val="Arial"/>
        <family val="2"/>
      </rPr>
      <t xml:space="preserve">Key Assumptions </t>
    </r>
    <r>
      <rPr>
        <b/>
        <sz val="10"/>
        <color rgb="FFFF0000"/>
        <rFont val="Arial"/>
        <family val="2"/>
      </rPr>
      <t>&amp; Risks</t>
    </r>
  </si>
  <si>
    <t>Sustainability &amp; Exit Plan</t>
  </si>
  <si>
    <t xml:space="preserve">Please copy the list of Conservation Focus from the previous tab. </t>
  </si>
  <si>
    <r>
      <rPr>
        <i/>
        <sz val="10"/>
        <color rgb="FF980000"/>
        <rFont val="Arial"/>
        <family val="2"/>
      </rPr>
      <t>For each Conservation Focus  please list the priority threat (or other factors). Please use one line for each threat/factor.
If a single threats affect more than one Conservation Focus, please list all the relevant conservation focus/focal interest under the column B.
CMP Direct Threat Classification is available here - h</t>
    </r>
    <r>
      <rPr>
        <i/>
        <u/>
        <sz val="10"/>
        <color rgb="FF1155CC"/>
        <rFont val="Arial"/>
        <family val="2"/>
      </rPr>
      <t xml:space="preserve">ttps://docs.google.com/spreadsheets/d/1rJSNz1LG_KOqoudVFglodx47HZ9LR-M6iVlRYMvn9Wk/edit#gid=310830663
</t>
    </r>
    <r>
      <rPr>
        <i/>
        <sz val="10"/>
        <color rgb="FF980000"/>
        <rFont val="Arial"/>
        <family val="2"/>
      </rPr>
      <t xml:space="preserve">
Please ensure that priority threats/other factors are subset of those selected under the OSP. You may define further in detail.</t>
    </r>
  </si>
  <si>
    <t xml:space="preserve">Please Describe the desired reduction of threats (or changes to the identified factors). Please make sure the statement is SMART.
</t>
  </si>
  <si>
    <t xml:space="preserve">Please indicate the relevant Geographic Scope for each Outcome statement. 
Ensure to use one of the Geographic scope identified in the Scope tab of OSP Design Template. </t>
  </si>
  <si>
    <t xml:space="preserve">Please indicate the relevant Thematic Scope for each Goal statement. 
Ensure to use one of the Thematic scope identified in the Scope tab of OSP Design Template. </t>
  </si>
  <si>
    <r>
      <rPr>
        <i/>
        <sz val="10"/>
        <color rgb="FF980000"/>
        <rFont val="Arial"/>
        <family val="2"/>
      </rPr>
      <t xml:space="preserve">Please define measurable Programme Annual Results which are milestones in achieving Programme outcomes. 
Therefore Programme Outcome must be embedded in the Programme Outputs. Outputs must represent tangible deliverables, within our area of control, that are critical to achieving the Programme Outcomes, in line with the Theory of Change. 
If there are areas of innovation and/or research, please make sure to include those outputs and activities as well. 
See the </t>
    </r>
    <r>
      <rPr>
        <i/>
        <u/>
        <sz val="10"/>
        <color rgb="FF1155CC"/>
        <rFont val="Arial"/>
        <family val="2"/>
      </rPr>
      <t>guidance on the approach to the Programme and Project Planning</t>
    </r>
  </si>
  <si>
    <r>
      <rPr>
        <i/>
        <sz val="10"/>
        <color rgb="FF980000"/>
        <rFont val="Arial"/>
        <family val="2"/>
      </rPr>
      <t xml:space="preserve">Please identify the key assumptions that underpin the logical sequences linking Outputs, and Outcomes, and to one or more Goals 
Assumptions may also express how external variables may influence the achievement of results. 
Once the assumptions are identified, make sure to reflect them when completing the risk assessment. 
</t>
    </r>
    <r>
      <rPr>
        <i/>
        <sz val="10"/>
        <color rgb="FFFF0000"/>
        <rFont val="Arial"/>
        <family val="2"/>
      </rPr>
      <t xml:space="preserve">WWF policies do not require risk assessment at program level but at Office level and at Project level. However each Program team is encouraged to perform Program Risk assessment. Use the </t>
    </r>
    <r>
      <rPr>
        <i/>
        <u/>
        <sz val="10"/>
        <color rgb="FF1155CC"/>
        <rFont val="Arial"/>
        <family val="2"/>
      </rPr>
      <t xml:space="preserve">Office risk register template </t>
    </r>
    <r>
      <rPr>
        <i/>
        <sz val="10"/>
        <color rgb="FFFF0000"/>
        <rFont val="Arial"/>
        <family val="2"/>
      </rPr>
      <t>in such case.</t>
    </r>
  </si>
  <si>
    <r>
      <rPr>
        <i/>
        <sz val="10"/>
        <color rgb="FF980000"/>
        <rFont val="Arial"/>
        <family val="2"/>
      </rPr>
      <t xml:space="preserve">Please describe how your program aims to ensure the sustainability of the program outcome and an eventual exit by WWF. 
See </t>
    </r>
    <r>
      <rPr>
        <i/>
        <u/>
        <sz val="10"/>
        <color rgb="FF1155CC"/>
        <rFont val="Arial"/>
        <family val="2"/>
      </rPr>
      <t>Guidance by PPMS Step - Element 2.3</t>
    </r>
  </si>
  <si>
    <t>Coral Reef
Marine priority species</t>
  </si>
  <si>
    <t xml:space="preserve">Overfishing / unsustainable fisheries </t>
  </si>
  <si>
    <t xml:space="preserve">By 2030, fisheries management plans are in place (implemented &amp; monitored) in 80% of coastal fisheries in ABC coastal communities.  </t>
  </si>
  <si>
    <t>Beta seascape</t>
  </si>
  <si>
    <t>Ocean</t>
  </si>
  <si>
    <t>Awareness of unsustainable fisheries increased in ABC coastal communities by 50%</t>
  </si>
  <si>
    <t xml:space="preserve">Technical capacity of 10 fisheries communities built on fisheries management plan </t>
  </si>
  <si>
    <t>5 fisheries communities developed fisheries management plan</t>
  </si>
  <si>
    <t>4 fisheries communities developed fisheries management plan</t>
  </si>
  <si>
    <t xml:space="preserve">Local communities can improve (or at least maintain) the economic state after the fisheries management plan. </t>
  </si>
  <si>
    <t xml:space="preserve">Creation of alternative sustainable income to ensure that the sustainable implementation of the fisheries management plan. Also, inclusion of CSO (and their capacity building) in the project implementation to enable the eventual exit of WWF and transition of responsibility to the local CSO. </t>
  </si>
  <si>
    <t>Baseline assessment of current fisheries practices conducted for 10 fisheries in ABC coastal community</t>
  </si>
  <si>
    <t>50% of coastal fisheries are implementing and monitoring fisheries management plan</t>
  </si>
  <si>
    <t>80% of coastal fisheries are implementing and monitoring fisheries management plan</t>
  </si>
  <si>
    <t>Outcome ID</t>
  </si>
  <si>
    <t>Outcome Name</t>
  </si>
  <si>
    <t>Output ID</t>
  </si>
  <si>
    <t>Output Statement</t>
  </si>
  <si>
    <t>FY26 Cost</t>
  </si>
  <si>
    <t>FY27 Cost</t>
  </si>
  <si>
    <t>FY28 Cost</t>
  </si>
  <si>
    <t>FY29 Cost</t>
  </si>
  <si>
    <t>FY30 Cost</t>
  </si>
  <si>
    <t>Total Output Cost + Management fee</t>
  </si>
  <si>
    <t>Current Project (CPM Project #)</t>
  </si>
  <si>
    <t xml:space="preserve">Target Funding Source </t>
  </si>
  <si>
    <t>Please enter the FY of planned Annual Results. It should capture the full length of the OSP.</t>
  </si>
  <si>
    <t xml:space="preserve">Please list all the outputs identified under Program M&amp;E Tab. During the annual planning and budgeting process, the Programme will have opportunities to further refine and detail the activities and costs. 
The initial costing of the programme outputs can be estimated, which will be used to estimate the cost of total OSP implementation and the development of the financial plan.  
Please make sure to include outputs related to M&amp;E, ESSF and other risk mitigation, etc. </t>
  </si>
  <si>
    <t xml:space="preserve">If the activity is already funded, please indicate the relevant CPM number(s). </t>
  </si>
  <si>
    <t xml:space="preserve">If there is a funding gap and have prospective funding sources, please indicate the source. </t>
  </si>
  <si>
    <t>ABC224678</t>
  </si>
  <si>
    <t>ABCC224678</t>
  </si>
  <si>
    <t>By 2028, Formal agreements (e.g., MOUs, conservation easements, or community protocols) covering 100% of mapped HCV areas are signed with landowners, communities, or custodians.</t>
  </si>
  <si>
    <t>2.2.2.1</t>
  </si>
  <si>
    <t>By 2030, livelihood support is provided to at least 5,000 IP&amp;LC communities in priority landscapes</t>
  </si>
  <si>
    <t>Total Annual Cost + Management Fee</t>
  </si>
  <si>
    <t>Learning Questions</t>
  </si>
  <si>
    <t>Please articulate specific learning questions that your program will regularly reflect on for the learning priority.
Max 100 words.</t>
  </si>
  <si>
    <t xml:space="preserve">- To what extent are the program's activities effective in achieving the planned results? 
- What worked and what didn’t?
- Were there any unintended consequences? (positive or negative/ internal or external)
- Were there any emergent results? (more than the planned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</si>
</sst>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48">
    <font>
      <sz val="10"/>
      <color rgb="FF000000"/>
      <name val="Arial"/>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b/>
      <sz val="10"/>
      <color rgb="FFFFFFFF"/>
      <name val="Arial"/>
      <family val="2"/>
    </font>
    <font>
      <i/>
      <sz val="10"/>
      <color rgb="FF980000"/>
      <name val="Arial"/>
      <family val="2"/>
    </font>
    <font>
      <sz val="10"/>
      <color theme="1"/>
      <name val="Arial"/>
      <family val="2"/>
    </font>
    <font>
      <i/>
      <u/>
      <sz val="10"/>
      <color rgb="FF980000"/>
      <name val="Arial"/>
      <family val="2"/>
    </font>
    <font>
      <b/>
      <sz val="10"/>
      <color theme="1"/>
      <name val="Arial"/>
      <family val="2"/>
    </font>
    <font>
      <i/>
      <sz val="10"/>
      <color theme="1"/>
      <name val="Arial"/>
      <family val="2"/>
      <scheme val="minor"/>
    </font>
    <font>
      <b/>
      <i/>
      <sz val="10"/>
      <color theme="1"/>
      <name val="Arial"/>
      <family val="2"/>
      <scheme val="minor"/>
    </font>
    <font>
      <b/>
      <i/>
      <sz val="10"/>
      <color rgb="FFFFFFFF"/>
      <name val="Arial"/>
      <family val="2"/>
    </font>
    <font>
      <b/>
      <sz val="10"/>
      <color rgb="FF000000"/>
      <name val="Arial"/>
      <family val="2"/>
      <scheme val="minor"/>
    </font>
    <font>
      <b/>
      <sz val="10"/>
      <color theme="1"/>
      <name val="Arial"/>
      <family val="2"/>
      <scheme val="minor"/>
    </font>
    <font>
      <i/>
      <sz val="10"/>
      <color rgb="FF1C4587"/>
      <name val="Arial"/>
      <family val="2"/>
      <scheme val="minor"/>
    </font>
    <font>
      <i/>
      <sz val="10"/>
      <color theme="1"/>
      <name val="Arial"/>
      <family val="2"/>
    </font>
    <font>
      <b/>
      <sz val="11"/>
      <color rgb="FFFFFFFF"/>
      <name val="Calibri"/>
      <family val="2"/>
    </font>
    <font>
      <sz val="11"/>
      <color theme="1"/>
      <name val="Calibri"/>
      <family val="2"/>
    </font>
    <font>
      <b/>
      <sz val="11"/>
      <color theme="1"/>
      <name val="Calibri"/>
      <family val="2"/>
    </font>
    <font>
      <b/>
      <sz val="11"/>
      <color rgb="FF000000"/>
      <name val="Calibri"/>
      <family val="2"/>
    </font>
    <font>
      <b/>
      <i/>
      <sz val="10"/>
      <color rgb="FF980000"/>
      <name val="Arial"/>
      <family val="2"/>
    </font>
    <font>
      <i/>
      <u/>
      <sz val="10"/>
      <color rgb="FF1155CC"/>
      <name val="Arial"/>
      <family val="2"/>
    </font>
    <font>
      <b/>
      <sz val="10"/>
      <color rgb="FFFF0000"/>
      <name val="Arial"/>
      <family val="2"/>
    </font>
    <font>
      <i/>
      <sz val="10"/>
      <color rgb="FFFF0000"/>
      <name val="Arial"/>
      <family val="2"/>
    </font>
    <font>
      <sz val="10"/>
      <color rgb="FF000000"/>
      <name val="Arial"/>
      <family val="2"/>
      <scheme val="minor"/>
    </font>
    <font>
      <sz val="8"/>
      <name val="Arial"/>
      <family val="2"/>
      <scheme val="minor"/>
    </font>
    <font>
      <b/>
      <sz val="12"/>
      <color theme="1"/>
      <name val="Arial"/>
      <family val="2"/>
      <scheme val="minor"/>
    </font>
    <font>
      <sz val="12"/>
      <color rgb="FF000000"/>
      <name val="Arial"/>
      <family val="2"/>
      <scheme val="minor"/>
    </font>
    <font>
      <b/>
      <sz val="10"/>
      <name val="Arial"/>
      <family val="2"/>
    </font>
    <font>
      <sz val="11"/>
      <name val="Calibri"/>
      <family val="2"/>
    </font>
    <font>
      <sz val="8"/>
      <name val="Arial"/>
      <family val="2"/>
      <scheme val="minor"/>
    </font>
    <font>
      <sz val="11"/>
      <color rgb="FF000000"/>
      <name val="Calibri"/>
      <family val="2"/>
    </font>
    <font>
      <b/>
      <sz val="11"/>
      <color rgb="FFC00000"/>
      <name val="Calibri"/>
      <family val="2"/>
    </font>
    <font>
      <sz val="9"/>
      <color theme="1"/>
      <name val="Calibri"/>
      <family val="2"/>
    </font>
    <font>
      <sz val="9"/>
      <color rgb="FF000000"/>
      <name val="Arial"/>
      <family val="2"/>
      <scheme val="minor"/>
    </font>
    <font>
      <b/>
      <sz val="9"/>
      <color rgb="FF000000"/>
      <name val="Arial"/>
      <family val="2"/>
      <scheme val="minor"/>
    </font>
    <font>
      <sz val="10"/>
      <color rgb="FF000000"/>
      <name val="Calibri"/>
      <family val="2"/>
      <charset val="1"/>
    </font>
    <font>
      <sz val="10"/>
      <color rgb="FF000000"/>
      <name val="Arial"/>
      <family val="2"/>
      <charset val="1"/>
    </font>
    <font>
      <i/>
      <sz val="10"/>
      <color rgb="FF000000"/>
      <name val="Arial"/>
      <family val="2"/>
      <charset val="1"/>
    </font>
    <font>
      <sz val="10"/>
      <color rgb="FF212121"/>
      <name val="Arial"/>
      <family val="2"/>
      <charset val="1"/>
    </font>
    <font>
      <sz val="10"/>
      <color rgb="FFFF0000"/>
      <name val="Arial"/>
      <family val="2"/>
      <charset val="1"/>
    </font>
    <font>
      <sz val="9"/>
      <name val="Calibri"/>
      <family val="2"/>
    </font>
    <font>
      <i/>
      <sz val="10"/>
      <color rgb="FFFF0000"/>
      <name val="Arial"/>
      <family val="2"/>
      <scheme val="minor"/>
    </font>
    <font>
      <sz val="11"/>
      <color theme="1"/>
      <name val="Calibri"/>
    </font>
    <font>
      <sz val="11"/>
      <color rgb="FF000000"/>
      <name val="Calibri"/>
    </font>
    <font>
      <b/>
      <sz val="10"/>
      <color rgb="FF000000"/>
      <name val="Arial"/>
      <scheme val="minor"/>
    </font>
  </fonts>
  <fills count="20">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1F3864"/>
        <bgColor rgb="FF1F3864"/>
      </patternFill>
    </fill>
    <fill>
      <patternFill patternType="solid">
        <fgColor rgb="FFED7D31"/>
        <bgColor rgb="FFED7D31"/>
      </patternFill>
    </fill>
    <fill>
      <patternFill patternType="solid">
        <fgColor rgb="FFFBE4D5"/>
        <bgColor rgb="FFFBE4D5"/>
      </patternFill>
    </fill>
    <fill>
      <patternFill patternType="solid">
        <fgColor rgb="FFFEF2CB"/>
        <bgColor rgb="FFFEF2CB"/>
      </patternFill>
    </fill>
    <fill>
      <patternFill patternType="solid">
        <fgColor rgb="FF70AD47"/>
        <bgColor rgb="FF70AD47"/>
      </patternFill>
    </fill>
    <fill>
      <patternFill patternType="solid">
        <fgColor rgb="FFE2EFD9"/>
        <bgColor rgb="FFE2EFD9"/>
      </patternFill>
    </fill>
    <fill>
      <patternFill patternType="solid">
        <fgColor theme="1"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EF2CB"/>
        <bgColor indexed="64"/>
      </patternFill>
    </fill>
    <fill>
      <patternFill patternType="solid">
        <fgColor rgb="FFFFC000"/>
        <bgColor indexed="64"/>
      </patternFill>
    </fill>
    <fill>
      <patternFill patternType="solid">
        <fgColor rgb="FFE2EFDA"/>
        <bgColor rgb="FF000000"/>
      </patternFill>
    </fill>
    <fill>
      <patternFill patternType="solid">
        <fgColor rgb="FFE2EFDA"/>
        <bgColor rgb="FFE2EFD9"/>
      </patternFill>
    </fill>
    <fill>
      <patternFill patternType="solid">
        <fgColor rgb="FFFFFF00"/>
        <bgColor indexed="64"/>
      </patternFill>
    </fill>
    <fill>
      <patternFill patternType="solid">
        <fgColor theme="8"/>
        <bgColor indexed="64"/>
      </patternFill>
    </fill>
    <fill>
      <patternFill patternType="solid">
        <fgColor theme="6"/>
        <bgColor indexed="64"/>
      </patternFill>
    </fill>
  </fills>
  <borders count="54">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diagonal/>
    </border>
    <border>
      <left/>
      <right style="thin">
        <color rgb="FF000000"/>
      </right>
      <top style="thin">
        <color rgb="FF000000"/>
      </top>
      <bottom/>
      <diagonal/>
    </border>
    <border>
      <left style="thin">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bottom/>
      <diagonal/>
    </border>
    <border>
      <left/>
      <right style="hair">
        <color rgb="FF000000"/>
      </right>
      <top/>
      <bottom/>
      <diagonal/>
    </border>
    <border>
      <left/>
      <right style="thin">
        <color rgb="FF000000"/>
      </right>
      <top/>
      <bottom style="hair">
        <color rgb="FF000000"/>
      </bottom>
      <diagonal/>
    </border>
    <border>
      <left/>
      <right style="thin">
        <color rgb="FF000000"/>
      </right>
      <top/>
      <bottom/>
      <diagonal/>
    </border>
    <border>
      <left style="thin">
        <color rgb="FF000000"/>
      </left>
      <right style="hair">
        <color rgb="FF000000"/>
      </right>
      <top/>
      <bottom style="thin">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bottom style="thin">
        <color rgb="FF000000"/>
      </bottom>
      <diagonal/>
    </border>
    <border>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top style="medium">
        <color rgb="FF000000"/>
      </top>
      <bottom style="medium">
        <color rgb="FF000000"/>
      </bottom>
      <diagonal/>
    </border>
    <border>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top/>
      <bottom/>
      <diagonal/>
    </border>
    <border>
      <left/>
      <right/>
      <top style="medium">
        <color rgb="FF000000"/>
      </top>
      <bottom/>
      <diagonal/>
    </border>
    <border>
      <left/>
      <right style="medium">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rgb="FF000000"/>
      </right>
      <top style="thin">
        <color indexed="64"/>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style="thin">
        <color rgb="FF000000"/>
      </left>
      <right style="thin">
        <color indexed="64"/>
      </right>
      <top style="thin">
        <color indexed="64"/>
      </top>
      <bottom/>
      <diagonal/>
    </border>
    <border>
      <left style="thin">
        <color indexed="64"/>
      </left>
      <right style="thin">
        <color indexed="64"/>
      </right>
      <top style="thin">
        <color rgb="FF000000"/>
      </top>
      <bottom/>
      <diagonal/>
    </border>
    <border>
      <left style="hair">
        <color rgb="FF000000"/>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164" fontId="26" fillId="0" borderId="0" applyFont="0" applyFill="0" applyBorder="0" applyAlignment="0" applyProtection="0"/>
  </cellStyleXfs>
  <cellXfs count="304">
    <xf numFmtId="0" fontId="0" fillId="0" borderId="0" xfId="0"/>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8" fillId="0" borderId="9" xfId="0" applyFont="1" applyBorder="1" applyAlignment="1">
      <alignment horizontal="right" vertical="top"/>
    </xf>
    <xf numFmtId="0" fontId="8" fillId="0" borderId="10" xfId="0" applyFont="1" applyBorder="1" applyAlignment="1">
      <alignment vertical="top"/>
    </xf>
    <xf numFmtId="0" fontId="8" fillId="0" borderId="0" xfId="0" applyFont="1"/>
    <xf numFmtId="0" fontId="8" fillId="0" borderId="14" xfId="0" applyFont="1" applyBorder="1" applyAlignment="1">
      <alignment vertical="top"/>
    </xf>
    <xf numFmtId="0" fontId="10" fillId="0" borderId="9" xfId="0" applyFont="1" applyBorder="1" applyAlignment="1">
      <alignment horizontal="center" vertical="top"/>
    </xf>
    <xf numFmtId="0" fontId="10" fillId="0" borderId="10" xfId="0" applyFont="1" applyBorder="1" applyAlignment="1">
      <alignment horizontal="center" vertical="top"/>
    </xf>
    <xf numFmtId="0" fontId="8" fillId="0" borderId="12" xfId="0" applyFont="1" applyBorder="1" applyAlignment="1">
      <alignment vertical="top"/>
    </xf>
    <xf numFmtId="0" fontId="8" fillId="0" borderId="17" xfId="0" applyFont="1" applyBorder="1" applyAlignment="1">
      <alignment vertical="top"/>
    </xf>
    <xf numFmtId="0" fontId="8" fillId="0" borderId="16" xfId="0" applyFont="1" applyBorder="1" applyAlignment="1">
      <alignment vertical="top"/>
    </xf>
    <xf numFmtId="0" fontId="8" fillId="0" borderId="18" xfId="0" applyFont="1" applyBorder="1" applyAlignment="1">
      <alignment vertical="top"/>
    </xf>
    <xf numFmtId="0" fontId="8" fillId="0" borderId="13" xfId="0" applyFont="1" applyBorder="1" applyAlignment="1">
      <alignment vertical="top"/>
    </xf>
    <xf numFmtId="0" fontId="4" fillId="3" borderId="0" xfId="0" applyFont="1" applyFill="1" applyAlignment="1">
      <alignment horizontal="left" vertical="center" wrapText="1"/>
    </xf>
    <xf numFmtId="0" fontId="5" fillId="2" borderId="0" xfId="0" applyFont="1"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xf>
    <xf numFmtId="0" fontId="2" fillId="2" borderId="2" xfId="0" applyFont="1" applyFill="1" applyBorder="1" applyAlignment="1">
      <alignment horizontal="center" vertical="top" wrapText="1"/>
    </xf>
    <xf numFmtId="0" fontId="1" fillId="0" borderId="20" xfId="0" applyFont="1" applyBorder="1"/>
    <xf numFmtId="0" fontId="4" fillId="3" borderId="24" xfId="0" applyFont="1" applyFill="1" applyBorder="1" applyAlignment="1">
      <alignment horizontal="left" vertical="center" wrapText="1"/>
    </xf>
    <xf numFmtId="0" fontId="11" fillId="0" borderId="0" xfId="0" applyFont="1" applyAlignment="1">
      <alignment horizontal="left" vertical="top" wrapText="1"/>
    </xf>
    <xf numFmtId="0" fontId="1" fillId="0" borderId="0" xfId="0" applyFont="1" applyAlignment="1">
      <alignment vertical="top"/>
    </xf>
    <xf numFmtId="0" fontId="12" fillId="0" borderId="0" xfId="0" applyFont="1" applyAlignment="1">
      <alignment horizontal="center" vertical="top" wrapText="1"/>
    </xf>
    <xf numFmtId="0" fontId="8" fillId="0" borderId="1" xfId="0" applyFont="1" applyBorder="1" applyAlignment="1">
      <alignment vertical="center"/>
    </xf>
    <xf numFmtId="0" fontId="6" fillId="3" borderId="26" xfId="0" applyFont="1" applyFill="1" applyBorder="1" applyAlignment="1">
      <alignment vertical="top"/>
    </xf>
    <xf numFmtId="0" fontId="13" fillId="3" borderId="26" xfId="0" applyFont="1" applyFill="1" applyBorder="1" applyAlignment="1">
      <alignment vertical="top" wrapText="1"/>
    </xf>
    <xf numFmtId="0" fontId="6" fillId="3" borderId="27" xfId="0" applyFont="1" applyFill="1" applyBorder="1" applyAlignment="1">
      <alignment vertical="top"/>
    </xf>
    <xf numFmtId="0" fontId="8" fillId="0" borderId="0" xfId="0" applyFont="1" applyAlignment="1">
      <alignment vertical="top"/>
    </xf>
    <xf numFmtId="0" fontId="2" fillId="2" borderId="5" xfId="0" applyFont="1" applyFill="1" applyBorder="1" applyAlignment="1">
      <alignment vertical="center" wrapText="1"/>
    </xf>
    <xf numFmtId="0" fontId="7" fillId="2" borderId="9" xfId="0" applyFont="1" applyFill="1" applyBorder="1" applyAlignment="1">
      <alignment vertical="top" wrapText="1"/>
    </xf>
    <xf numFmtId="0" fontId="5" fillId="2" borderId="28" xfId="0" applyFont="1" applyFill="1" applyBorder="1" applyAlignment="1">
      <alignment horizontal="left" vertical="top" wrapText="1"/>
    </xf>
    <xf numFmtId="0" fontId="5" fillId="2" borderId="28" xfId="0" applyFont="1" applyFill="1" applyBorder="1" applyAlignment="1">
      <alignment vertical="top" wrapText="1"/>
    </xf>
    <xf numFmtId="0" fontId="5" fillId="0" borderId="0" xfId="0" applyFont="1"/>
    <xf numFmtId="0" fontId="1" fillId="0" borderId="28" xfId="0" applyFont="1" applyBorder="1"/>
    <xf numFmtId="0" fontId="14" fillId="0" borderId="12" xfId="0" applyFont="1" applyBorder="1" applyAlignment="1">
      <alignment vertical="center" wrapText="1"/>
    </xf>
    <xf numFmtId="0" fontId="4" fillId="3" borderId="29" xfId="0" applyFont="1" applyFill="1" applyBorder="1" applyAlignment="1">
      <alignment vertical="center" wrapText="1"/>
    </xf>
    <xf numFmtId="0" fontId="4" fillId="3" borderId="29" xfId="0" applyFont="1" applyFill="1" applyBorder="1" applyAlignment="1">
      <alignment horizontal="center" vertical="top" wrapText="1"/>
    </xf>
    <xf numFmtId="0" fontId="15" fillId="0" borderId="0" xfId="0" applyFont="1" applyAlignment="1">
      <alignment vertical="center" wrapText="1"/>
    </xf>
    <xf numFmtId="0" fontId="2" fillId="2" borderId="9" xfId="0" applyFont="1" applyFill="1" applyBorder="1" applyAlignment="1">
      <alignment vertical="top" wrapText="1"/>
    </xf>
    <xf numFmtId="0" fontId="16" fillId="0" borderId="0" xfId="0" applyFont="1" applyAlignment="1">
      <alignment vertical="top"/>
    </xf>
    <xf numFmtId="0" fontId="5" fillId="2" borderId="28" xfId="0" applyFont="1" applyFill="1" applyBorder="1" applyAlignment="1">
      <alignment vertical="top"/>
    </xf>
    <xf numFmtId="0" fontId="1" fillId="0" borderId="9" xfId="0" applyFont="1" applyBorder="1" applyAlignment="1">
      <alignment wrapText="1"/>
    </xf>
    <xf numFmtId="0" fontId="1" fillId="0" borderId="21" xfId="0" applyFont="1" applyBorder="1"/>
    <xf numFmtId="0" fontId="1" fillId="0" borderId="0" xfId="0" applyFont="1" applyAlignment="1">
      <alignment wrapText="1"/>
    </xf>
    <xf numFmtId="0" fontId="1" fillId="0" borderId="1" xfId="0" applyFont="1" applyBorder="1" applyAlignment="1">
      <alignment horizontal="center" vertical="top"/>
    </xf>
    <xf numFmtId="0" fontId="4" fillId="3" borderId="5" xfId="0" applyFont="1" applyFill="1" applyBorder="1" applyAlignment="1">
      <alignment horizontal="center" vertical="top"/>
    </xf>
    <xf numFmtId="0" fontId="14" fillId="0" borderId="12" xfId="0" applyFont="1" applyBorder="1" applyAlignment="1">
      <alignment horizontal="center" vertical="center" wrapText="1"/>
    </xf>
    <xf numFmtId="0" fontId="6" fillId="3" borderId="29" xfId="0" applyFont="1" applyFill="1" applyBorder="1" applyAlignment="1">
      <alignment horizontal="center" vertical="top" wrapText="1"/>
    </xf>
    <xf numFmtId="0" fontId="6" fillId="3" borderId="12" xfId="0" applyFont="1" applyFill="1" applyBorder="1" applyAlignment="1">
      <alignment horizontal="center" vertical="top" wrapText="1"/>
    </xf>
    <xf numFmtId="0" fontId="4" fillId="3" borderId="0" xfId="0" applyFont="1" applyFill="1" applyAlignment="1">
      <alignment horizontal="center" vertical="top" wrapText="1"/>
    </xf>
    <xf numFmtId="0" fontId="15" fillId="0" borderId="0" xfId="0" applyFont="1" applyAlignment="1">
      <alignment horizontal="center" vertical="top" wrapText="1"/>
    </xf>
    <xf numFmtId="0" fontId="2" fillId="2" borderId="9" xfId="0" applyFont="1" applyFill="1" applyBorder="1" applyAlignment="1">
      <alignment vertical="center" wrapText="1"/>
    </xf>
    <xf numFmtId="0" fontId="7" fillId="2" borderId="29" xfId="0" applyFont="1" applyFill="1" applyBorder="1" applyAlignment="1">
      <alignment vertical="top" wrapText="1"/>
    </xf>
    <xf numFmtId="0" fontId="7" fillId="2" borderId="12" xfId="0" applyFont="1" applyFill="1" applyBorder="1" applyAlignment="1">
      <alignment vertical="top" wrapText="1"/>
    </xf>
    <xf numFmtId="0" fontId="11" fillId="2" borderId="28" xfId="0" applyFont="1" applyFill="1" applyBorder="1" applyAlignment="1">
      <alignment vertical="center" wrapText="1"/>
    </xf>
    <xf numFmtId="0" fontId="1" fillId="0" borderId="9" xfId="0" applyFont="1" applyBorder="1" applyAlignment="1">
      <alignment vertical="center" wrapText="1"/>
    </xf>
    <xf numFmtId="0" fontId="1" fillId="0" borderId="0" xfId="0" applyFont="1" applyAlignment="1">
      <alignment vertical="center" wrapText="1"/>
    </xf>
    <xf numFmtId="0" fontId="19" fillId="0" borderId="0" xfId="0" applyFont="1"/>
    <xf numFmtId="0" fontId="19" fillId="9" borderId="14" xfId="0" applyFont="1" applyFill="1" applyBorder="1"/>
    <xf numFmtId="0" fontId="19" fillId="9" borderId="32" xfId="0" applyFont="1" applyFill="1" applyBorder="1"/>
    <xf numFmtId="0" fontId="14" fillId="3" borderId="12" xfId="0" applyFont="1" applyFill="1" applyBorder="1" applyAlignment="1">
      <alignment vertical="center" wrapText="1"/>
    </xf>
    <xf numFmtId="0" fontId="4" fillId="3" borderId="0" xfId="0" applyFont="1" applyFill="1" applyAlignment="1">
      <alignment vertical="center" wrapText="1"/>
    </xf>
    <xf numFmtId="0" fontId="15" fillId="0" borderId="0" xfId="0" applyFont="1" applyAlignment="1">
      <alignment wrapText="1"/>
    </xf>
    <xf numFmtId="0" fontId="22" fillId="2" borderId="9" xfId="0" applyFont="1" applyFill="1" applyBorder="1" applyAlignment="1">
      <alignment vertical="top"/>
    </xf>
    <xf numFmtId="0" fontId="11" fillId="2" borderId="21" xfId="0" applyFont="1" applyFill="1" applyBorder="1" applyAlignment="1">
      <alignment horizontal="center" vertical="center"/>
    </xf>
    <xf numFmtId="0" fontId="1" fillId="0" borderId="9" xfId="0" applyFont="1" applyBorder="1"/>
    <xf numFmtId="0" fontId="14" fillId="0" borderId="12" xfId="0" applyFont="1" applyBorder="1" applyAlignment="1">
      <alignment wrapText="1"/>
    </xf>
    <xf numFmtId="0" fontId="4" fillId="3" borderId="29" xfId="0" applyFont="1" applyFill="1" applyBorder="1" applyAlignment="1">
      <alignment wrapText="1"/>
    </xf>
    <xf numFmtId="0" fontId="2" fillId="2" borderId="9" xfId="0" applyFont="1" applyFill="1" applyBorder="1" applyAlignment="1">
      <alignment vertical="top"/>
    </xf>
    <xf numFmtId="0" fontId="12" fillId="2" borderId="9" xfId="0" applyFont="1" applyFill="1" applyBorder="1" applyAlignment="1">
      <alignment vertical="center"/>
    </xf>
    <xf numFmtId="0" fontId="1" fillId="0" borderId="8" xfId="0" applyFont="1" applyBorder="1"/>
    <xf numFmtId="0" fontId="29" fillId="0" borderId="0" xfId="0" applyFont="1" applyAlignment="1">
      <alignment vertical="center"/>
    </xf>
    <xf numFmtId="165" fontId="28" fillId="11" borderId="28" xfId="1" applyNumberFormat="1" applyFont="1" applyFill="1" applyBorder="1" applyAlignment="1">
      <alignment vertical="center"/>
    </xf>
    <xf numFmtId="0" fontId="19" fillId="0" borderId="0" xfId="0" applyFont="1" applyAlignment="1">
      <alignment vertical="center"/>
    </xf>
    <xf numFmtId="0" fontId="0" fillId="0" borderId="0" xfId="0" applyAlignment="1">
      <alignment vertical="center"/>
    </xf>
    <xf numFmtId="0" fontId="19" fillId="0" borderId="0" xfId="0" applyFont="1" applyAlignment="1">
      <alignment wrapText="1"/>
    </xf>
    <xf numFmtId="0" fontId="0" fillId="0" borderId="0" xfId="0" applyAlignment="1">
      <alignment wrapText="1"/>
    </xf>
    <xf numFmtId="0" fontId="18" fillId="4" borderId="35" xfId="0" applyFont="1" applyFill="1" applyBorder="1" applyAlignment="1">
      <alignment horizontal="center" vertical="center"/>
    </xf>
    <xf numFmtId="0" fontId="18" fillId="4" borderId="35" xfId="0" applyFont="1" applyFill="1" applyBorder="1" applyAlignment="1">
      <alignment horizontal="center" vertical="center" wrapText="1"/>
    </xf>
    <xf numFmtId="0" fontId="18" fillId="4" borderId="36" xfId="0" applyFont="1" applyFill="1" applyBorder="1" applyAlignment="1">
      <alignment horizontal="center" vertical="center" wrapText="1"/>
    </xf>
    <xf numFmtId="0" fontId="19" fillId="6" borderId="33" xfId="0" applyFont="1" applyFill="1" applyBorder="1" applyAlignment="1">
      <alignment horizontal="left" vertical="center" wrapText="1"/>
    </xf>
    <xf numFmtId="0" fontId="19" fillId="6" borderId="33" xfId="0" applyFont="1" applyFill="1" applyBorder="1" applyAlignment="1">
      <alignment wrapText="1"/>
    </xf>
    <xf numFmtId="0" fontId="19" fillId="6" borderId="33" xfId="0" applyFont="1" applyFill="1" applyBorder="1"/>
    <xf numFmtId="0" fontId="19" fillId="6" borderId="33" xfId="0" quotePrefix="1" applyFont="1" applyFill="1" applyBorder="1"/>
    <xf numFmtId="0" fontId="19" fillId="6" borderId="33" xfId="0" quotePrefix="1" applyFont="1" applyFill="1" applyBorder="1" applyAlignment="1">
      <alignment wrapText="1"/>
    </xf>
    <xf numFmtId="0" fontId="19" fillId="6" borderId="33" xfId="0" applyFont="1" applyFill="1" applyBorder="1" applyAlignment="1">
      <alignment vertical="center" wrapText="1"/>
    </xf>
    <xf numFmtId="0" fontId="19" fillId="6" borderId="33" xfId="0" applyFont="1" applyFill="1" applyBorder="1" applyAlignment="1">
      <alignment horizontal="center" vertical="center" wrapText="1"/>
    </xf>
    <xf numFmtId="0" fontId="19" fillId="6" borderId="33" xfId="0" applyFont="1" applyFill="1" applyBorder="1" applyAlignment="1">
      <alignment horizontal="center" vertical="center"/>
    </xf>
    <xf numFmtId="0" fontId="19" fillId="6" borderId="33" xfId="0" applyFont="1" applyFill="1" applyBorder="1" applyAlignment="1">
      <alignment vertical="center"/>
    </xf>
    <xf numFmtId="0" fontId="3" fillId="0" borderId="29" xfId="0" applyFont="1" applyBorder="1"/>
    <xf numFmtId="0" fontId="11" fillId="2" borderId="21" xfId="0" applyFont="1" applyFill="1" applyBorder="1" applyAlignment="1">
      <alignment vertical="center" wrapText="1"/>
    </xf>
    <xf numFmtId="0" fontId="19" fillId="9" borderId="14" xfId="0" applyFont="1" applyFill="1" applyBorder="1" applyAlignment="1">
      <alignment vertical="center"/>
    </xf>
    <xf numFmtId="0" fontId="19" fillId="7" borderId="33" xfId="0" applyFont="1" applyFill="1" applyBorder="1" applyAlignment="1">
      <alignment horizontal="center" vertical="center"/>
    </xf>
    <xf numFmtId="0" fontId="19" fillId="7" borderId="33" xfId="0" applyFont="1" applyFill="1" applyBorder="1" applyAlignment="1">
      <alignment horizontal="left" vertical="center" wrapText="1"/>
    </xf>
    <xf numFmtId="0" fontId="19" fillId="7" borderId="33" xfId="0" applyFont="1" applyFill="1" applyBorder="1" applyAlignment="1">
      <alignment vertical="center" wrapText="1"/>
    </xf>
    <xf numFmtId="0" fontId="19" fillId="7" borderId="33" xfId="0" applyFont="1" applyFill="1" applyBorder="1" applyAlignment="1">
      <alignment vertical="center"/>
    </xf>
    <xf numFmtId="0" fontId="19" fillId="7" borderId="33" xfId="0" applyFont="1" applyFill="1" applyBorder="1"/>
    <xf numFmtId="0" fontId="19" fillId="7" borderId="33" xfId="0" quotePrefix="1" applyFont="1" applyFill="1" applyBorder="1"/>
    <xf numFmtId="0" fontId="19" fillId="7" borderId="33" xfId="0" applyFont="1" applyFill="1" applyBorder="1" applyAlignment="1">
      <alignment horizontal="center" vertical="center" wrapText="1"/>
    </xf>
    <xf numFmtId="0" fontId="19" fillId="7" borderId="41" xfId="0" applyFont="1" applyFill="1" applyBorder="1" applyAlignment="1">
      <alignment vertical="top" wrapText="1"/>
    </xf>
    <xf numFmtId="0" fontId="19" fillId="6" borderId="33" xfId="0" applyFont="1" applyFill="1" applyBorder="1" applyAlignment="1">
      <alignment horizontal="left" vertical="center"/>
    </xf>
    <xf numFmtId="0" fontId="19" fillId="7" borderId="40" xfId="0" applyFont="1" applyFill="1" applyBorder="1" applyAlignment="1">
      <alignment vertical="center" wrapText="1"/>
    </xf>
    <xf numFmtId="0" fontId="19" fillId="7" borderId="41" xfId="0" applyFont="1" applyFill="1" applyBorder="1" applyAlignment="1">
      <alignment horizontal="left" vertical="center" wrapText="1"/>
    </xf>
    <xf numFmtId="0" fontId="19" fillId="7" borderId="45" xfId="0" applyFont="1" applyFill="1" applyBorder="1" applyAlignment="1">
      <alignment horizontal="left" vertical="top" wrapText="1"/>
    </xf>
    <xf numFmtId="0" fontId="19" fillId="7" borderId="41" xfId="0" applyFont="1" applyFill="1" applyBorder="1" applyAlignment="1">
      <alignment horizontal="left" vertical="top" wrapText="1"/>
    </xf>
    <xf numFmtId="0" fontId="19" fillId="7" borderId="18" xfId="0" applyFont="1" applyFill="1" applyBorder="1" applyAlignment="1">
      <alignment horizontal="left" vertical="top" wrapText="1"/>
    </xf>
    <xf numFmtId="0" fontId="19" fillId="12" borderId="41" xfId="0" applyFont="1" applyFill="1" applyBorder="1" applyAlignment="1">
      <alignment horizontal="left" vertical="center" wrapText="1"/>
    </xf>
    <xf numFmtId="0" fontId="19" fillId="12" borderId="40" xfId="0" applyFont="1" applyFill="1" applyBorder="1" applyAlignment="1">
      <alignment horizontal="center" vertical="center" wrapText="1"/>
    </xf>
    <xf numFmtId="0" fontId="18" fillId="4" borderId="35" xfId="0" applyFont="1" applyFill="1" applyBorder="1" applyAlignment="1">
      <alignment horizontal="left" vertical="center" wrapText="1"/>
    </xf>
    <xf numFmtId="0" fontId="19" fillId="7" borderId="33" xfId="0" applyFont="1" applyFill="1" applyBorder="1" applyAlignment="1">
      <alignment horizontal="left" vertical="center"/>
    </xf>
    <xf numFmtId="0" fontId="19" fillId="7" borderId="33" xfId="0" applyFont="1" applyFill="1" applyBorder="1" applyAlignment="1">
      <alignment horizontal="left" vertical="top" wrapText="1"/>
    </xf>
    <xf numFmtId="0" fontId="0" fillId="0" borderId="0" xfId="0" applyAlignment="1">
      <alignment horizontal="left"/>
    </xf>
    <xf numFmtId="0" fontId="19" fillId="12" borderId="40" xfId="0" applyFont="1" applyFill="1" applyBorder="1" applyAlignment="1">
      <alignment horizontal="left" vertical="center" wrapText="1"/>
    </xf>
    <xf numFmtId="0" fontId="19" fillId="9" borderId="14" xfId="0" applyFont="1" applyFill="1" applyBorder="1" applyAlignment="1">
      <alignment horizontal="left" vertical="center"/>
    </xf>
    <xf numFmtId="0" fontId="19" fillId="7" borderId="40" xfId="0" applyFont="1" applyFill="1" applyBorder="1" applyAlignment="1">
      <alignment horizontal="left" vertical="center" wrapText="1"/>
    </xf>
    <xf numFmtId="0" fontId="18" fillId="4" borderId="35" xfId="0" applyFont="1" applyFill="1" applyBorder="1" applyAlignment="1">
      <alignment horizontal="left" vertical="center"/>
    </xf>
    <xf numFmtId="0" fontId="35" fillId="7" borderId="33" xfId="0" applyFont="1" applyFill="1" applyBorder="1" applyAlignment="1">
      <alignment horizontal="left" vertical="top" wrapText="1"/>
    </xf>
    <xf numFmtId="0" fontId="14" fillId="0" borderId="0" xfId="0" applyFont="1"/>
    <xf numFmtId="0" fontId="18" fillId="4" borderId="31" xfId="0" applyFont="1" applyFill="1" applyBorder="1" applyAlignment="1">
      <alignment horizontal="center" vertical="center" wrapText="1"/>
    </xf>
    <xf numFmtId="0" fontId="1" fillId="0" borderId="3" xfId="0" applyFont="1" applyBorder="1"/>
    <xf numFmtId="0" fontId="3" fillId="0" borderId="4" xfId="0" applyFont="1" applyBorder="1"/>
    <xf numFmtId="0" fontId="15" fillId="0" borderId="3" xfId="0" applyFont="1" applyBorder="1" applyAlignment="1">
      <alignment vertical="center"/>
    </xf>
    <xf numFmtId="0" fontId="30" fillId="0" borderId="4" xfId="0" applyFont="1" applyBorder="1" applyAlignment="1">
      <alignment vertical="center"/>
    </xf>
    <xf numFmtId="0" fontId="19" fillId="6" borderId="39" xfId="0" applyFont="1" applyFill="1" applyBorder="1" applyAlignment="1">
      <alignment horizontal="left" vertical="center" wrapText="1"/>
    </xf>
    <xf numFmtId="0" fontId="19" fillId="6" borderId="38" xfId="0" applyFont="1" applyFill="1" applyBorder="1" applyAlignment="1">
      <alignment horizontal="left" vertical="center" wrapText="1"/>
    </xf>
    <xf numFmtId="0" fontId="0" fillId="0" borderId="0" xfId="0" applyAlignment="1">
      <alignment horizontal="center"/>
    </xf>
    <xf numFmtId="0" fontId="8" fillId="0" borderId="17" xfId="0" applyFont="1" applyBorder="1" applyAlignment="1">
      <alignment vertical="top" wrapText="1"/>
    </xf>
    <xf numFmtId="0" fontId="8" fillId="0" borderId="18" xfId="0" applyFont="1" applyBorder="1" applyAlignment="1">
      <alignment vertical="top" wrapText="1"/>
    </xf>
    <xf numFmtId="0" fontId="19" fillId="6" borderId="37" xfId="0" applyFont="1" applyFill="1" applyBorder="1" applyAlignment="1">
      <alignment horizontal="left" vertical="center"/>
    </xf>
    <xf numFmtId="0" fontId="19" fillId="6" borderId="38" xfId="0" applyFont="1" applyFill="1" applyBorder="1" applyAlignment="1">
      <alignment horizontal="left" vertical="center"/>
    </xf>
    <xf numFmtId="0" fontId="8" fillId="0" borderId="16" xfId="0" applyFont="1" applyBorder="1" applyAlignment="1">
      <alignment horizontal="right" vertical="top"/>
    </xf>
    <xf numFmtId="0" fontId="4" fillId="3" borderId="29" xfId="0" applyFont="1" applyFill="1" applyBorder="1" applyAlignment="1">
      <alignment horizontal="center" vertical="center" wrapText="1"/>
    </xf>
    <xf numFmtId="0" fontId="31" fillId="7" borderId="33" xfId="0" applyFont="1" applyFill="1" applyBorder="1" applyAlignment="1">
      <alignment horizontal="left" vertical="center" wrapText="1"/>
    </xf>
    <xf numFmtId="0" fontId="9" fillId="2" borderId="28" xfId="0" applyFont="1" applyFill="1" applyBorder="1" applyAlignment="1">
      <alignment vertical="top" wrapText="1"/>
    </xf>
    <xf numFmtId="0" fontId="9" fillId="2" borderId="22" xfId="0" applyFont="1" applyFill="1" applyBorder="1" applyAlignment="1">
      <alignment vertical="top" wrapText="1"/>
    </xf>
    <xf numFmtId="0" fontId="9" fillId="2" borderId="28" xfId="0" applyFont="1" applyFill="1" applyBorder="1" applyAlignment="1">
      <alignment horizontal="left" vertical="top" wrapText="1"/>
    </xf>
    <xf numFmtId="0" fontId="9" fillId="2" borderId="9" xfId="0" applyFont="1" applyFill="1" applyBorder="1" applyAlignment="1">
      <alignment vertical="top" wrapText="1"/>
    </xf>
    <xf numFmtId="0" fontId="9" fillId="2" borderId="0" xfId="0" applyFont="1" applyFill="1" applyAlignment="1">
      <alignment vertical="top" wrapText="1"/>
    </xf>
    <xf numFmtId="0" fontId="19" fillId="9" borderId="33" xfId="0" applyFont="1" applyFill="1" applyBorder="1" applyAlignment="1">
      <alignment horizontal="center"/>
    </xf>
    <xf numFmtId="0" fontId="19" fillId="9" borderId="33" xfId="0" applyFont="1" applyFill="1" applyBorder="1" applyAlignment="1">
      <alignment vertical="center" wrapText="1"/>
    </xf>
    <xf numFmtId="2" fontId="19" fillId="9" borderId="33" xfId="0" applyNumberFormat="1" applyFont="1" applyFill="1" applyBorder="1" applyAlignment="1">
      <alignment horizontal="center"/>
    </xf>
    <xf numFmtId="2" fontId="19" fillId="9" borderId="33" xfId="0" applyNumberFormat="1" applyFont="1" applyFill="1" applyBorder="1" applyAlignment="1">
      <alignment horizontal="left"/>
    </xf>
    <xf numFmtId="0" fontId="19" fillId="9" borderId="33" xfId="0" applyFont="1" applyFill="1" applyBorder="1" applyAlignment="1">
      <alignment vertical="center"/>
    </xf>
    <xf numFmtId="0" fontId="19" fillId="6" borderId="49" xfId="0" applyFont="1" applyFill="1" applyBorder="1" applyAlignment="1">
      <alignment horizontal="left" vertical="center"/>
    </xf>
    <xf numFmtId="0" fontId="19" fillId="6" borderId="49" xfId="0" applyFont="1" applyFill="1" applyBorder="1" applyAlignment="1">
      <alignment horizontal="left" vertical="center" wrapText="1"/>
    </xf>
    <xf numFmtId="0" fontId="19" fillId="7" borderId="49" xfId="0" applyFont="1" applyFill="1" applyBorder="1" applyAlignment="1">
      <alignment horizontal="left" vertical="center" wrapText="1"/>
    </xf>
    <xf numFmtId="0" fontId="19" fillId="7" borderId="33" xfId="0" applyFont="1" applyFill="1" applyBorder="1" applyAlignment="1">
      <alignment vertical="top" wrapText="1"/>
    </xf>
    <xf numFmtId="0" fontId="36" fillId="0" borderId="0" xfId="0" applyFont="1" applyAlignment="1">
      <alignment vertical="top" wrapText="1"/>
    </xf>
    <xf numFmtId="0" fontId="11" fillId="2" borderId="21" xfId="0" applyFont="1" applyFill="1" applyBorder="1" applyAlignment="1">
      <alignment horizontal="left" vertical="center" wrapText="1"/>
    </xf>
    <xf numFmtId="0" fontId="38" fillId="0" borderId="38" xfId="0" applyFont="1" applyBorder="1"/>
    <xf numFmtId="0" fontId="39" fillId="0" borderId="51" xfId="0" applyFont="1" applyBorder="1"/>
    <xf numFmtId="0" fontId="5" fillId="2" borderId="21" xfId="0" applyFont="1" applyFill="1" applyBorder="1" applyAlignment="1">
      <alignment vertical="top" wrapText="1"/>
    </xf>
    <xf numFmtId="0" fontId="1" fillId="0" borderId="30" xfId="0" applyFont="1" applyBorder="1" applyAlignment="1">
      <alignment vertical="center" wrapText="1"/>
    </xf>
    <xf numFmtId="0" fontId="1" fillId="0" borderId="9" xfId="0" applyFont="1" applyBorder="1" applyAlignment="1">
      <alignment vertical="center"/>
    </xf>
    <xf numFmtId="165" fontId="11" fillId="2" borderId="28" xfId="1" applyNumberFormat="1" applyFont="1" applyFill="1" applyBorder="1" applyAlignment="1">
      <alignment vertical="center" wrapText="1"/>
    </xf>
    <xf numFmtId="165" fontId="12" fillId="2" borderId="28" xfId="1" applyNumberFormat="1" applyFont="1" applyFill="1" applyBorder="1" applyAlignment="1">
      <alignment vertical="center" wrapText="1"/>
    </xf>
    <xf numFmtId="165" fontId="11" fillId="2" borderId="21" xfId="1" applyNumberFormat="1" applyFont="1" applyFill="1" applyBorder="1" applyAlignment="1">
      <alignment horizontal="center" vertical="center"/>
    </xf>
    <xf numFmtId="0" fontId="28" fillId="10" borderId="9" xfId="0" applyFont="1" applyFill="1" applyBorder="1" applyAlignment="1">
      <alignment vertical="center"/>
    </xf>
    <xf numFmtId="0" fontId="39" fillId="0" borderId="51" xfId="0" applyFont="1" applyBorder="1" applyAlignment="1">
      <alignment wrapText="1"/>
    </xf>
    <xf numFmtId="0" fontId="40" fillId="0" borderId="51" xfId="0" applyFont="1" applyBorder="1" applyAlignment="1">
      <alignment wrapText="1"/>
    </xf>
    <xf numFmtId="0" fontId="38" fillId="0" borderId="38" xfId="0" applyFont="1" applyBorder="1" applyAlignment="1">
      <alignment vertical="center"/>
    </xf>
    <xf numFmtId="0" fontId="39" fillId="0" borderId="51" xfId="0" applyFont="1" applyBorder="1" applyAlignment="1">
      <alignment vertical="center"/>
    </xf>
    <xf numFmtId="0" fontId="39" fillId="0" borderId="51" xfId="0" applyFont="1" applyBorder="1" applyAlignment="1">
      <alignment vertical="center" wrapText="1"/>
    </xf>
    <xf numFmtId="0" fontId="40" fillId="0" borderId="51" xfId="0" applyFont="1" applyBorder="1" applyAlignment="1">
      <alignment vertical="center" wrapText="1"/>
    </xf>
    <xf numFmtId="0" fontId="41" fillId="0" borderId="51" xfId="0" applyFont="1" applyBorder="1" applyAlignment="1">
      <alignment vertical="center"/>
    </xf>
    <xf numFmtId="0" fontId="42" fillId="0" borderId="51" xfId="0" applyFont="1" applyBorder="1" applyAlignment="1">
      <alignment vertical="center" wrapText="1"/>
    </xf>
    <xf numFmtId="0" fontId="31" fillId="9" borderId="33" xfId="0" applyFont="1" applyFill="1" applyBorder="1" applyAlignment="1">
      <alignment horizontal="left" vertical="center" wrapText="1"/>
    </xf>
    <xf numFmtId="0" fontId="19" fillId="9" borderId="33" xfId="0" applyFont="1" applyFill="1" applyBorder="1" applyAlignment="1">
      <alignment horizontal="left" vertical="center" wrapText="1"/>
    </xf>
    <xf numFmtId="0" fontId="31" fillId="9" borderId="33" xfId="0" applyFont="1" applyFill="1" applyBorder="1" applyAlignment="1">
      <alignment vertical="center" wrapText="1"/>
    </xf>
    <xf numFmtId="0" fontId="31" fillId="16" borderId="33" xfId="0" applyFont="1" applyFill="1" applyBorder="1" applyAlignment="1">
      <alignment vertical="center" wrapText="1"/>
    </xf>
    <xf numFmtId="0" fontId="31" fillId="16" borderId="33" xfId="0" applyFont="1" applyFill="1" applyBorder="1" applyAlignment="1">
      <alignment wrapText="1"/>
    </xf>
    <xf numFmtId="0" fontId="19" fillId="6" borderId="50" xfId="0" applyFont="1" applyFill="1" applyBorder="1" applyAlignment="1">
      <alignment horizontal="center" vertical="center" wrapText="1"/>
    </xf>
    <xf numFmtId="0" fontId="19" fillId="7" borderId="50" xfId="0" applyFont="1" applyFill="1" applyBorder="1" applyAlignment="1">
      <alignment horizontal="center" vertical="center"/>
    </xf>
    <xf numFmtId="0" fontId="19" fillId="7" borderId="50" xfId="0" applyFont="1" applyFill="1" applyBorder="1" applyAlignment="1">
      <alignment horizontal="center" vertical="center" wrapText="1"/>
    </xf>
    <xf numFmtId="0" fontId="19" fillId="6" borderId="49" xfId="0" applyFont="1" applyFill="1" applyBorder="1" applyAlignment="1">
      <alignment horizontal="left" wrapText="1"/>
    </xf>
    <xf numFmtId="0" fontId="19" fillId="7" borderId="49" xfId="0" applyFont="1" applyFill="1" applyBorder="1" applyAlignment="1">
      <alignment horizontal="left" vertical="center"/>
    </xf>
    <xf numFmtId="0" fontId="19" fillId="12" borderId="45" xfId="0" applyFont="1" applyFill="1" applyBorder="1" applyAlignment="1">
      <alignment horizontal="left" vertical="center" wrapText="1"/>
    </xf>
    <xf numFmtId="0" fontId="19" fillId="12" borderId="14" xfId="0" applyFont="1" applyFill="1" applyBorder="1" applyAlignment="1">
      <alignment horizontal="left" vertical="center" wrapText="1"/>
    </xf>
    <xf numFmtId="0" fontId="21" fillId="13" borderId="33" xfId="0" applyFont="1" applyFill="1" applyBorder="1" applyAlignment="1">
      <alignment horizontal="left" vertical="top" wrapText="1"/>
    </xf>
    <xf numFmtId="0" fontId="33" fillId="12" borderId="33" xfId="0" applyFont="1" applyFill="1" applyBorder="1" applyAlignment="1">
      <alignment horizontal="left" vertical="center" wrapText="1"/>
    </xf>
    <xf numFmtId="0" fontId="33" fillId="12" borderId="33" xfId="0" applyFont="1" applyFill="1" applyBorder="1" applyAlignment="1">
      <alignment horizontal="center" vertical="center" wrapText="1"/>
    </xf>
    <xf numFmtId="0" fontId="33" fillId="12" borderId="33" xfId="0" applyFont="1" applyFill="1" applyBorder="1" applyAlignment="1">
      <alignment horizontal="left" vertical="top" wrapText="1"/>
    </xf>
    <xf numFmtId="0" fontId="33" fillId="9" borderId="33" xfId="0" applyFont="1" applyFill="1" applyBorder="1" applyAlignment="1">
      <alignment vertical="center" wrapText="1"/>
    </xf>
    <xf numFmtId="165" fontId="44" fillId="2" borderId="28" xfId="1" applyNumberFormat="1" applyFont="1" applyFill="1" applyBorder="1" applyAlignment="1">
      <alignment vertical="center" wrapText="1"/>
    </xf>
    <xf numFmtId="3" fontId="1" fillId="0" borderId="0" xfId="0" applyNumberFormat="1" applyFont="1" applyAlignment="1">
      <alignment wrapText="1"/>
    </xf>
    <xf numFmtId="0" fontId="11" fillId="11" borderId="21" xfId="0" applyFont="1" applyFill="1" applyBorder="1" applyAlignment="1">
      <alignment horizontal="left" vertical="center" wrapText="1"/>
    </xf>
    <xf numFmtId="165" fontId="11" fillId="11" borderId="28" xfId="1" applyNumberFormat="1" applyFont="1" applyFill="1" applyBorder="1" applyAlignment="1">
      <alignment vertical="center" wrapText="1"/>
    </xf>
    <xf numFmtId="165" fontId="11" fillId="11" borderId="21" xfId="1" applyNumberFormat="1" applyFont="1" applyFill="1" applyBorder="1" applyAlignment="1">
      <alignment horizontal="center" vertical="center"/>
    </xf>
    <xf numFmtId="165" fontId="12" fillId="11" borderId="28" xfId="1" applyNumberFormat="1" applyFont="1" applyFill="1" applyBorder="1" applyAlignment="1">
      <alignment vertical="center" wrapText="1"/>
    </xf>
    <xf numFmtId="0" fontId="11" fillId="11" borderId="21" xfId="0" applyFont="1" applyFill="1" applyBorder="1" applyAlignment="1">
      <alignment horizontal="center" vertical="center"/>
    </xf>
    <xf numFmtId="0" fontId="19" fillId="6" borderId="44" xfId="0" applyFont="1" applyFill="1" applyBorder="1" applyAlignment="1">
      <alignment horizontal="center" vertical="center" wrapText="1"/>
    </xf>
    <xf numFmtId="0" fontId="19" fillId="6" borderId="42" xfId="0" applyFont="1" applyFill="1" applyBorder="1" applyAlignment="1">
      <alignment horizontal="center" vertical="center" wrapText="1"/>
    </xf>
    <xf numFmtId="0" fontId="19" fillId="6" borderId="53" xfId="0" applyFont="1" applyFill="1" applyBorder="1" applyAlignment="1">
      <alignment horizontal="center" vertical="center" wrapText="1"/>
    </xf>
    <xf numFmtId="0" fontId="0" fillId="0" borderId="0" xfId="0" applyAlignment="1">
      <alignment horizontal="center" wrapText="1"/>
    </xf>
    <xf numFmtId="0" fontId="19" fillId="9" borderId="33" xfId="0" applyFont="1" applyFill="1" applyBorder="1" applyAlignment="1">
      <alignment horizontal="center" vertical="center" wrapText="1"/>
    </xf>
    <xf numFmtId="0" fontId="31" fillId="9" borderId="33" xfId="0" applyFont="1" applyFill="1" applyBorder="1" applyAlignment="1">
      <alignment horizontal="center" vertical="center" wrapText="1"/>
    </xf>
    <xf numFmtId="0" fontId="31" fillId="9" borderId="33" xfId="0" applyFont="1" applyFill="1" applyBorder="1" applyAlignment="1">
      <alignment horizontal="center" vertical="center"/>
    </xf>
    <xf numFmtId="0" fontId="19" fillId="9" borderId="33" xfId="0" applyFont="1" applyFill="1" applyBorder="1" applyAlignment="1">
      <alignment horizontal="center" vertical="center"/>
    </xf>
    <xf numFmtId="0" fontId="43" fillId="15" borderId="33" xfId="0" applyFont="1" applyFill="1" applyBorder="1" applyAlignment="1">
      <alignment horizontal="center" vertical="center"/>
    </xf>
    <xf numFmtId="0" fontId="11" fillId="2" borderId="21" xfId="0" applyFont="1" applyFill="1" applyBorder="1" applyAlignment="1">
      <alignment horizontal="center" vertical="center" wrapText="1"/>
    </xf>
    <xf numFmtId="165" fontId="12" fillId="2" borderId="21" xfId="1" applyNumberFormat="1" applyFont="1" applyFill="1" applyBorder="1" applyAlignment="1">
      <alignment horizontal="center" vertical="center"/>
    </xf>
    <xf numFmtId="0" fontId="26" fillId="0" borderId="9" xfId="0" applyFont="1" applyBorder="1" applyAlignment="1">
      <alignment vertical="center" wrapText="1"/>
    </xf>
    <xf numFmtId="0" fontId="19" fillId="7" borderId="44" xfId="0" applyFont="1" applyFill="1" applyBorder="1" applyAlignment="1">
      <alignment horizontal="center" vertical="center"/>
    </xf>
    <xf numFmtId="0" fontId="35" fillId="7" borderId="46" xfId="0" applyFont="1" applyFill="1" applyBorder="1" applyAlignment="1">
      <alignment horizontal="left" vertical="top" wrapText="1"/>
    </xf>
    <xf numFmtId="0" fontId="19" fillId="7" borderId="47" xfId="0" applyFont="1" applyFill="1" applyBorder="1" applyAlignment="1">
      <alignment horizontal="left" wrapText="1"/>
    </xf>
    <xf numFmtId="0" fontId="19" fillId="7" borderId="44" xfId="0" applyFont="1" applyFill="1" applyBorder="1" applyAlignment="1">
      <alignment horizontal="center" vertical="center" wrapText="1"/>
    </xf>
    <xf numFmtId="0" fontId="19" fillId="7" borderId="37" xfId="0" applyFont="1" applyFill="1" applyBorder="1" applyAlignment="1">
      <alignment horizontal="left" vertical="center" wrapText="1"/>
    </xf>
    <xf numFmtId="0" fontId="19" fillId="7" borderId="37" xfId="0" applyFont="1" applyFill="1" applyBorder="1" applyAlignment="1">
      <alignment horizontal="center" vertical="center" wrapText="1"/>
    </xf>
    <xf numFmtId="0" fontId="19" fillId="7" borderId="37" xfId="0" applyFont="1" applyFill="1" applyBorder="1" applyAlignment="1">
      <alignment horizontal="center" vertical="center"/>
    </xf>
    <xf numFmtId="9" fontId="19" fillId="6" borderId="33" xfId="0" applyNumberFormat="1" applyFont="1" applyFill="1" applyBorder="1"/>
    <xf numFmtId="0" fontId="19" fillId="7" borderId="33" xfId="0" applyFont="1" applyFill="1" applyBorder="1" applyAlignment="1">
      <alignment wrapText="1"/>
    </xf>
    <xf numFmtId="0" fontId="19" fillId="7" borderId="33" xfId="0" quotePrefix="1" applyFont="1" applyFill="1" applyBorder="1" applyAlignment="1">
      <alignment wrapText="1"/>
    </xf>
    <xf numFmtId="0" fontId="46" fillId="7" borderId="33" xfId="0" applyFont="1" applyFill="1" applyBorder="1" applyAlignment="1">
      <alignment wrapText="1"/>
    </xf>
    <xf numFmtId="0" fontId="33" fillId="7" borderId="33" xfId="0" applyFont="1" applyFill="1" applyBorder="1" applyAlignment="1">
      <alignment wrapText="1"/>
    </xf>
    <xf numFmtId="0" fontId="45" fillId="9" borderId="33" xfId="0" applyFont="1" applyFill="1" applyBorder="1" applyAlignment="1">
      <alignment vertical="center" wrapText="1"/>
    </xf>
    <xf numFmtId="0" fontId="19" fillId="9" borderId="14" xfId="0" applyFont="1" applyFill="1" applyBorder="1" applyAlignment="1">
      <alignment wrapText="1"/>
    </xf>
    <xf numFmtId="0" fontId="19" fillId="9" borderId="18" xfId="0" applyFont="1" applyFill="1" applyBorder="1" applyAlignment="1">
      <alignment horizontal="left" vertical="center"/>
    </xf>
    <xf numFmtId="0" fontId="19" fillId="9" borderId="18" xfId="0" applyFont="1" applyFill="1" applyBorder="1" applyAlignment="1">
      <alignment vertical="center"/>
    </xf>
    <xf numFmtId="0" fontId="19" fillId="9" borderId="18" xfId="0" applyFont="1" applyFill="1" applyBorder="1"/>
    <xf numFmtId="0" fontId="19" fillId="9" borderId="49" xfId="0" applyFont="1" applyFill="1" applyBorder="1" applyAlignment="1">
      <alignment horizontal="left" vertical="center"/>
    </xf>
    <xf numFmtId="0" fontId="19" fillId="9" borderId="50" xfId="0" applyFont="1" applyFill="1" applyBorder="1"/>
    <xf numFmtId="9" fontId="19" fillId="9" borderId="41" xfId="0" applyNumberFormat="1" applyFont="1" applyFill="1" applyBorder="1"/>
    <xf numFmtId="0" fontId="19" fillId="9" borderId="41" xfId="0" applyFont="1" applyFill="1" applyBorder="1"/>
    <xf numFmtId="0" fontId="31" fillId="9" borderId="37" xfId="0" applyFont="1" applyFill="1" applyBorder="1" applyAlignment="1">
      <alignment vertical="center" wrapText="1"/>
    </xf>
    <xf numFmtId="9" fontId="19" fillId="9" borderId="14" xfId="0" applyNumberFormat="1" applyFont="1" applyFill="1" applyBorder="1"/>
    <xf numFmtId="0" fontId="19" fillId="17" borderId="14" xfId="0" applyFont="1" applyFill="1" applyBorder="1" applyAlignment="1">
      <alignment wrapText="1"/>
    </xf>
    <xf numFmtId="0" fontId="45" fillId="17" borderId="33" xfId="0" applyFont="1" applyFill="1" applyBorder="1" applyAlignment="1">
      <alignment vertical="center" wrapText="1"/>
    </xf>
    <xf numFmtId="9" fontId="19" fillId="18" borderId="14" xfId="0" applyNumberFormat="1" applyFont="1" applyFill="1" applyBorder="1"/>
    <xf numFmtId="0" fontId="19" fillId="18" borderId="14" xfId="0" applyFont="1" applyFill="1" applyBorder="1"/>
    <xf numFmtId="0" fontId="19" fillId="18" borderId="33" xfId="0" applyFont="1" applyFill="1" applyBorder="1" applyAlignment="1">
      <alignment wrapText="1"/>
    </xf>
    <xf numFmtId="0" fontId="19" fillId="18" borderId="33" xfId="0" applyFont="1" applyFill="1" applyBorder="1" applyAlignment="1">
      <alignment horizontal="left" vertical="top" wrapText="1"/>
    </xf>
    <xf numFmtId="0" fontId="19" fillId="18" borderId="33" xfId="0" applyFont="1" applyFill="1" applyBorder="1"/>
    <xf numFmtId="0" fontId="46" fillId="18" borderId="33" xfId="0" applyFont="1" applyFill="1" applyBorder="1" applyAlignment="1">
      <alignment wrapText="1"/>
    </xf>
    <xf numFmtId="0" fontId="19" fillId="18" borderId="33" xfId="0" applyFont="1" applyFill="1" applyBorder="1" applyAlignment="1">
      <alignment vertical="center" wrapText="1"/>
    </xf>
    <xf numFmtId="2" fontId="19" fillId="19" borderId="33" xfId="0" applyNumberFormat="1" applyFont="1" applyFill="1" applyBorder="1" applyAlignment="1">
      <alignment horizontal="center"/>
    </xf>
    <xf numFmtId="2" fontId="19" fillId="19" borderId="33" xfId="0" applyNumberFormat="1" applyFont="1" applyFill="1" applyBorder="1" applyAlignment="1">
      <alignment horizontal="left"/>
    </xf>
    <xf numFmtId="0" fontId="33" fillId="19" borderId="33" xfId="0" applyFont="1" applyFill="1" applyBorder="1" applyAlignment="1">
      <alignment wrapText="1"/>
    </xf>
    <xf numFmtId="0" fontId="19" fillId="19" borderId="33" xfId="0" applyFont="1" applyFill="1" applyBorder="1" applyAlignment="1">
      <alignment horizontal="center"/>
    </xf>
    <xf numFmtId="0" fontId="19" fillId="19" borderId="33" xfId="0" applyFont="1" applyFill="1" applyBorder="1" applyAlignment="1">
      <alignment vertical="center" wrapText="1"/>
    </xf>
    <xf numFmtId="0" fontId="19" fillId="19" borderId="33" xfId="0" applyFont="1" applyFill="1" applyBorder="1" applyAlignment="1">
      <alignment vertical="center"/>
    </xf>
    <xf numFmtId="0" fontId="19" fillId="19" borderId="14" xfId="0" applyFont="1" applyFill="1" applyBorder="1" applyAlignment="1">
      <alignment horizontal="left" vertical="center"/>
    </xf>
    <xf numFmtId="0" fontId="19" fillId="19" borderId="14" xfId="0" applyFont="1" applyFill="1" applyBorder="1" applyAlignment="1">
      <alignment vertical="center"/>
    </xf>
    <xf numFmtId="0" fontId="19" fillId="19" borderId="14" xfId="0" applyFont="1" applyFill="1" applyBorder="1"/>
    <xf numFmtId="0" fontId="45" fillId="19" borderId="33" xfId="0" applyFont="1" applyFill="1" applyBorder="1" applyAlignment="1">
      <alignment vertical="center" wrapText="1"/>
    </xf>
    <xf numFmtId="0" fontId="19" fillId="19" borderId="32" xfId="0" applyFont="1" applyFill="1" applyBorder="1"/>
    <xf numFmtId="0" fontId="19" fillId="19" borderId="0" xfId="0" applyFont="1" applyFill="1"/>
    <xf numFmtId="0" fontId="0" fillId="19" borderId="0" xfId="0" applyFill="1"/>
    <xf numFmtId="0" fontId="45" fillId="18" borderId="33" xfId="0" applyFont="1" applyFill="1" applyBorder="1" applyAlignment="1">
      <alignment vertical="center" wrapText="1"/>
    </xf>
    <xf numFmtId="0" fontId="19" fillId="6" borderId="37" xfId="0" applyFont="1" applyFill="1" applyBorder="1" applyAlignment="1">
      <alignment horizontal="left" vertical="center" wrapText="1"/>
    </xf>
    <xf numFmtId="0" fontId="19" fillId="6" borderId="33" xfId="0" applyFont="1" applyFill="1" applyBorder="1" applyAlignment="1">
      <alignment horizontal="left" vertical="center" wrapText="1"/>
    </xf>
    <xf numFmtId="0" fontId="19" fillId="6" borderId="44" xfId="0" applyFont="1" applyFill="1" applyBorder="1" applyAlignment="1">
      <alignment horizontal="center" vertical="center"/>
    </xf>
    <xf numFmtId="0" fontId="19" fillId="9" borderId="33" xfId="0" applyFont="1" applyFill="1" applyBorder="1" applyAlignment="1">
      <alignment vertical="center" wrapText="1"/>
    </xf>
    <xf numFmtId="0" fontId="31" fillId="9" borderId="33" xfId="0" applyFont="1" applyFill="1" applyBorder="1" applyAlignment="1">
      <alignment horizontal="center" vertical="center"/>
    </xf>
    <xf numFmtId="0" fontId="19" fillId="7" borderId="33" xfId="0" applyFont="1" applyFill="1" applyBorder="1" applyAlignment="1">
      <alignment horizontal="left" vertical="center" wrapText="1"/>
    </xf>
    <xf numFmtId="0" fontId="19" fillId="7" borderId="46" xfId="0" applyFont="1" applyFill="1" applyBorder="1" applyAlignment="1">
      <alignment horizontal="left" vertical="top" wrapText="1"/>
    </xf>
    <xf numFmtId="0" fontId="19" fillId="7" borderId="43" xfId="0" applyFont="1" applyFill="1" applyBorder="1" applyAlignment="1">
      <alignment horizontal="left" vertical="center" wrapText="1"/>
    </xf>
    <xf numFmtId="0" fontId="19" fillId="7" borderId="44" xfId="0" applyFont="1" applyFill="1" applyBorder="1" applyAlignment="1">
      <alignment horizontal="center" vertical="center" wrapText="1"/>
    </xf>
    <xf numFmtId="0" fontId="19" fillId="7" borderId="37" xfId="0" applyFont="1" applyFill="1" applyBorder="1" applyAlignment="1">
      <alignment horizontal="left" vertical="center" wrapText="1"/>
    </xf>
    <xf numFmtId="0" fontId="19" fillId="7" borderId="44" xfId="0" applyFont="1" applyFill="1" applyBorder="1" applyAlignment="1">
      <alignment horizontal="center" vertical="center"/>
    </xf>
    <xf numFmtId="0" fontId="19" fillId="7" borderId="37" xfId="0" applyFont="1" applyFill="1" applyBorder="1" applyAlignment="1">
      <alignment horizontal="center" vertical="center" wrapText="1"/>
    </xf>
    <xf numFmtId="0" fontId="21" fillId="8" borderId="52" xfId="0" applyFont="1" applyFill="1" applyBorder="1" applyAlignment="1">
      <alignment horizontal="center" vertical="center" wrapText="1"/>
    </xf>
    <xf numFmtId="0" fontId="19" fillId="7" borderId="37" xfId="0" applyFont="1" applyFill="1" applyBorder="1" applyAlignment="1">
      <alignment horizontal="center" vertical="center"/>
    </xf>
    <xf numFmtId="0" fontId="20" fillId="5" borderId="34" xfId="0" applyFont="1" applyFill="1" applyBorder="1" applyAlignment="1">
      <alignment vertical="center"/>
    </xf>
    <xf numFmtId="0" fontId="30" fillId="14" borderId="34" xfId="0" applyFont="1" applyFill="1" applyBorder="1" applyAlignment="1">
      <alignment vertical="center"/>
    </xf>
    <xf numFmtId="0" fontId="19" fillId="6" borderId="37" xfId="0" applyFont="1" applyFill="1" applyBorder="1" applyAlignment="1">
      <alignment horizontal="center" vertical="center" wrapText="1"/>
    </xf>
    <xf numFmtId="0" fontId="19" fillId="9" borderId="33" xfId="0" applyFont="1" applyFill="1" applyBorder="1" applyAlignment="1">
      <alignment horizontal="center" vertical="center"/>
    </xf>
    <xf numFmtId="0" fontId="19" fillId="9" borderId="33" xfId="0" applyFont="1" applyFill="1" applyBorder="1" applyAlignment="1">
      <alignment horizontal="left" vertical="center" wrapText="1"/>
    </xf>
    <xf numFmtId="0" fontId="31" fillId="9" borderId="33" xfId="0" applyFont="1" applyFill="1" applyBorder="1" applyAlignment="1">
      <alignment horizontal="center" vertical="center" wrapText="1"/>
    </xf>
    <xf numFmtId="0" fontId="31" fillId="9" borderId="33" xfId="0" applyFont="1" applyFill="1" applyBorder="1" applyAlignment="1">
      <alignment horizontal="left" vertical="center" wrapText="1"/>
    </xf>
    <xf numFmtId="0" fontId="19" fillId="7" borderId="37" xfId="0" applyFont="1" applyFill="1" applyBorder="1" applyAlignment="1">
      <alignment horizontal="left" vertical="center"/>
    </xf>
    <xf numFmtId="0" fontId="26" fillId="0" borderId="33" xfId="0" applyFont="1" applyBorder="1" applyAlignment="1">
      <alignment horizontal="left" vertical="top" wrapText="1"/>
    </xf>
    <xf numFmtId="0" fontId="6" fillId="3" borderId="7" xfId="0" applyFont="1" applyFill="1" applyBorder="1" applyAlignment="1">
      <alignment horizontal="left" vertical="top" wrapText="1"/>
    </xf>
    <xf numFmtId="0" fontId="9" fillId="2" borderId="8" xfId="0" applyFont="1" applyFill="1" applyBorder="1" applyAlignment="1">
      <alignment vertical="top" wrapText="1"/>
    </xf>
    <xf numFmtId="0" fontId="7" fillId="2" borderId="8" xfId="0" applyFont="1" applyFill="1" applyBorder="1" applyAlignment="1">
      <alignment vertical="top" wrapText="1"/>
    </xf>
    <xf numFmtId="0" fontId="6" fillId="3" borderId="15" xfId="0" applyFont="1" applyFill="1" applyBorder="1" applyAlignment="1">
      <alignment horizontal="left" vertical="top" wrapText="1"/>
    </xf>
    <xf numFmtId="0" fontId="6" fillId="3" borderId="11" xfId="0" applyFont="1" applyFill="1" applyBorder="1" applyAlignment="1">
      <alignment horizontal="left" vertical="top" wrapText="1"/>
    </xf>
    <xf numFmtId="0" fontId="9" fillId="2" borderId="21" xfId="0" applyFont="1" applyFill="1" applyBorder="1" applyAlignment="1">
      <alignment horizontal="left" vertical="top" wrapText="1"/>
    </xf>
    <xf numFmtId="0" fontId="9" fillId="2" borderId="23" xfId="0" applyFont="1" applyFill="1" applyBorder="1" applyAlignment="1">
      <alignment horizontal="left" vertical="top" wrapText="1"/>
    </xf>
    <xf numFmtId="0" fontId="9" fillId="2" borderId="29" xfId="0" applyFont="1" applyFill="1" applyBorder="1" applyAlignment="1">
      <alignment horizontal="left" vertical="top" wrapText="1"/>
    </xf>
    <xf numFmtId="0" fontId="17" fillId="2" borderId="16" xfId="0" applyFont="1" applyFill="1" applyBorder="1" applyAlignment="1">
      <alignment vertical="center" wrapText="1"/>
    </xf>
    <xf numFmtId="0" fontId="17" fillId="2" borderId="0" xfId="0" applyFont="1" applyFill="1" applyAlignment="1">
      <alignment vertical="center" wrapText="1"/>
    </xf>
    <xf numFmtId="0" fontId="9" fillId="2" borderId="6" xfId="0" applyFont="1" applyFill="1" applyBorder="1" applyAlignment="1">
      <alignment vertical="top" wrapText="1"/>
    </xf>
    <xf numFmtId="0" fontId="12" fillId="2" borderId="8" xfId="0" applyFont="1" applyFill="1" applyBorder="1" applyAlignment="1">
      <alignment vertical="center" wrapText="1"/>
    </xf>
    <xf numFmtId="0" fontId="11" fillId="2" borderId="21" xfId="0" applyFont="1" applyFill="1" applyBorder="1" applyAlignment="1">
      <alignment vertical="center" wrapText="1"/>
    </xf>
    <xf numFmtId="0" fontId="3" fillId="0" borderId="29" xfId="0" applyFont="1" applyBorder="1" applyAlignment="1">
      <alignment wrapText="1"/>
    </xf>
    <xf numFmtId="0" fontId="3" fillId="0" borderId="11" xfId="0" applyFont="1" applyBorder="1" applyAlignment="1"/>
    <xf numFmtId="0" fontId="3" fillId="0" borderId="12" xfId="0" applyFont="1" applyBorder="1" applyAlignment="1"/>
    <xf numFmtId="0" fontId="1" fillId="0" borderId="48" xfId="0" applyFont="1" applyBorder="1" applyAlignment="1"/>
    <xf numFmtId="0" fontId="3" fillId="0" borderId="18" xfId="0" applyFont="1" applyBorder="1" applyAlignment="1"/>
    <xf numFmtId="0" fontId="3" fillId="0" borderId="15" xfId="0" applyFont="1" applyBorder="1" applyAlignment="1"/>
    <xf numFmtId="0" fontId="3" fillId="0" borderId="16" xfId="0" applyFont="1" applyBorder="1" applyAlignment="1"/>
    <xf numFmtId="0" fontId="3" fillId="0" borderId="19" xfId="0" applyFont="1" applyBorder="1" applyAlignment="1"/>
    <xf numFmtId="0" fontId="3" fillId="0" borderId="13" xfId="0" applyFont="1" applyBorder="1" applyAlignment="1"/>
    <xf numFmtId="0" fontId="1" fillId="0" borderId="3" xfId="0" applyFont="1" applyBorder="1" applyAlignment="1"/>
    <xf numFmtId="0" fontId="3" fillId="0" borderId="4" xfId="0" applyFont="1" applyBorder="1" applyAlignment="1"/>
    <xf numFmtId="0" fontId="3" fillId="0" borderId="23" xfId="0" applyFont="1" applyBorder="1" applyAlignment="1"/>
    <xf numFmtId="0" fontId="3" fillId="0" borderId="25" xfId="0" applyFont="1" applyBorder="1" applyAlignment="1"/>
    <xf numFmtId="0" fontId="3" fillId="0" borderId="30" xfId="0" applyFont="1" applyBorder="1" applyAlignment="1"/>
    <xf numFmtId="0" fontId="3" fillId="0" borderId="9" xfId="0" applyFont="1" applyBorder="1" applyAlignment="1"/>
    <xf numFmtId="0" fontId="3" fillId="0" borderId="29" xfId="0" applyFont="1" applyBorder="1" applyAlignment="1"/>
    <xf numFmtId="0" fontId="0" fillId="0" borderId="0" xfId="0" applyAlignme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ocumenttasks/documenttask1.xml><?xml version="1.0" encoding="utf-8"?>
<Tasks xmlns="http://schemas.microsoft.com/office/tasks/2019/documenttasks">
  <Task id="{E3F9318D-F700-48C2-A905-1613A67D6218}">
    <Anchor>
      <Comment id="{ADDE0B69-4708-46D2-BC44-6D57D119B6CD}"/>
    </Anchor>
    <History>
      <Event time="2025-07-10T15:09:59.55" id="{441B2CE5-26C4-407C-9528-9D0B6DB3F501}">
        <Attribution userId="S::anjiraini@wwfint.org::d557b7a7-4bb2-40fd-91c0-864ae5da9c3c" userName="Andrew Njiraini" userProvider="AD"/>
        <Anchor>
          <Comment id="{ADDE0B69-4708-46D2-BC44-6D57D119B6CD}"/>
        </Anchor>
        <Create/>
      </Event>
      <Event time="2025-07-10T15:09:59.55" id="{3FFA0DE0-E80E-46B1-9910-0F0BD6956E07}">
        <Attribution userId="S::anjiraini@wwfint.org::d557b7a7-4bb2-40fd-91c0-864ae5da9c3c" userName="Andrew Njiraini" userProvider="AD"/>
        <Anchor>
          <Comment id="{ADDE0B69-4708-46D2-BC44-6D57D119B6CD}"/>
        </Anchor>
        <Assign userId="S::mmadira@wwfdrc.org::e436019a-efca-4986-9979-5ef8190f188e" userName="Margaret Madira" userProvider="AD"/>
      </Event>
      <Event time="2025-07-10T15:09:59.55" id="{FCF2B55E-63FC-445C-AB53-18894E722166}">
        <Attribution userId="S::anjiraini@wwfint.org::d557b7a7-4bb2-40fd-91c0-864ae5da9c3c" userName="Andrew Njiraini" userProvider="AD"/>
        <Anchor>
          <Comment id="{ADDE0B69-4708-46D2-BC44-6D57D119B6CD}"/>
        </Anchor>
        <SetTitle title="@Margaret Madira The OSP risk assessment needs to be completed as already mentioned before"/>
      </Event>
    </History>
  </Task>
</Tasks>
</file>

<file path=xl/persons/person.xml><?xml version="1.0" encoding="utf-8"?>
<personList xmlns="http://schemas.microsoft.com/office/spreadsheetml/2018/threadedcomments" xmlns:x="http://schemas.openxmlformats.org/spreadsheetml/2006/main">
  <person displayName="Margaret Madira" id="{2B32C86E-0FCD-43C1-804B-B4AAA79D503C}" userId="mmadira@wwfdrc.org" providerId="PeoplePicker"/>
  <person displayName="Andrew Njiraini" id="{E73C8767-A66C-4097-A0F9-B22CCD81C28B}" userId="S::anjiraini@wwfint.org::d557b7a7-4bb2-40fd-91c0-864ae5da9c3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1" dT="2025-07-10T15:09:59.94" personId="{E73C8767-A66C-4097-A0F9-B22CCD81C28B}" id="{ADDE0B69-4708-46D2-BC44-6D57D119B6CD}">
    <text xml:space="preserve">@Margaret Madira The OSP risk assessment needs to be completed as already mentioned before </text>
    <mentions>
      <mention mentionpersonId="{2B32C86E-0FCD-43C1-804B-B4AAA79D503C}" mentionId="{3CE7FCC4-9716-4E4D-A5BC-DA6EE4CE7728}" startIndex="0" length="16"/>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sites.google.com/wwf.panda.org/networkstandards/policy-areas/project-and-initiative-management/2-4-guidance-by-ppms-step" TargetMode="External"/><Relationship Id="rId1" Type="http://schemas.openxmlformats.org/officeDocument/2006/relationships/hyperlink" Target="https://docs.google.com/document/d/1Yf9FS3-lfBxl0m3i-Vhrw6evzd6Z2oIVjc4GuzK85DY/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sites.google.com/wwf.panda.org/policyportal/corporate-partnerships"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hyperlink" Target="https://docs.google.com/spreadsheets/d/12w9iVzqPBKFrypyBXrGP7D5opTqItKBmNHEHdp55NzQ/edit?gid=2139057269" TargetMode="External"/><Relationship Id="rId2" Type="http://schemas.openxmlformats.org/officeDocument/2006/relationships/hyperlink" Target="https://docs.google.com/document/d/1ET4NoRCPXj9JSFroxgGZ44kO9lW6i7NNU02J-UMBai8/edit" TargetMode="External"/><Relationship Id="rId1" Type="http://schemas.openxmlformats.org/officeDocument/2006/relationships/hyperlink" Target="https://docs.google.com/spreadsheets/d/1rJSNz1LG_KOqoudVFglodx47HZ9LR-M6iVlRYMvn9Wk/edit"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s://sites.google.com/wwf.panda.org/networkstandards/policy-areas/project-and-initiative-management/2-4-guidance-by-ppms-ste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14"/>
  <sheetViews>
    <sheetView workbookViewId="0"/>
  </sheetViews>
  <sheetFormatPr defaultColWidth="12.7109375" defaultRowHeight="15.75" customHeight="1"/>
  <cols>
    <col min="1" max="1" width="14.7109375" customWidth="1"/>
    <col min="2" max="2" width="32.7109375" customWidth="1"/>
    <col min="3" max="3" width="25" customWidth="1"/>
    <col min="4" max="4" width="96.5703125" customWidth="1"/>
  </cols>
  <sheetData>
    <row r="1" spans="1:24" ht="13.15">
      <c r="A1" s="1"/>
      <c r="B1" s="2" t="s">
        <v>0</v>
      </c>
      <c r="C1" s="122"/>
      <c r="D1" s="123"/>
    </row>
    <row r="2" spans="1:24" ht="66">
      <c r="A2" s="3" t="s">
        <v>1</v>
      </c>
      <c r="B2" s="4" t="s">
        <v>2</v>
      </c>
      <c r="C2" s="124" t="s">
        <v>3</v>
      </c>
      <c r="D2" s="125"/>
    </row>
    <row r="3" spans="1:24" ht="80.25" customHeight="1">
      <c r="A3" s="3" t="s">
        <v>4</v>
      </c>
      <c r="B3" s="4" t="s">
        <v>5</v>
      </c>
      <c r="C3" s="122"/>
      <c r="D3" s="123"/>
    </row>
    <row r="4" spans="1:24" ht="80.25" customHeight="1">
      <c r="A4" s="3" t="s">
        <v>6</v>
      </c>
      <c r="B4" s="4" t="s">
        <v>7</v>
      </c>
      <c r="C4" s="122"/>
      <c r="D4" s="123"/>
    </row>
    <row r="5" spans="1:24" ht="29.25" customHeight="1">
      <c r="A5" s="274" t="s">
        <v>8</v>
      </c>
      <c r="B5" s="276" t="s">
        <v>9</v>
      </c>
      <c r="C5" s="5" t="s">
        <v>10</v>
      </c>
      <c r="D5" s="6" t="s">
        <v>11</v>
      </c>
      <c r="E5" s="7"/>
      <c r="F5" s="7"/>
      <c r="G5" s="7"/>
      <c r="H5" s="7"/>
      <c r="I5" s="7"/>
      <c r="J5" s="7"/>
      <c r="K5" s="7"/>
      <c r="L5" s="7"/>
      <c r="M5" s="7"/>
      <c r="N5" s="7"/>
      <c r="O5" s="7"/>
      <c r="P5" s="7"/>
      <c r="Q5" s="7"/>
      <c r="R5" s="7"/>
      <c r="S5" s="7"/>
      <c r="T5" s="7"/>
      <c r="U5" s="7"/>
      <c r="V5" s="7"/>
      <c r="W5" s="7"/>
      <c r="X5" s="7"/>
    </row>
    <row r="6" spans="1:24" ht="32.25" customHeight="1">
      <c r="A6" s="288"/>
      <c r="B6" s="289"/>
      <c r="C6" s="133" t="s">
        <v>12</v>
      </c>
      <c r="D6" s="14" t="s">
        <v>13</v>
      </c>
      <c r="E6" s="7"/>
      <c r="F6" s="7"/>
      <c r="G6" s="7"/>
      <c r="H6" s="7"/>
      <c r="I6" s="7"/>
      <c r="J6" s="7"/>
      <c r="K6" s="7"/>
      <c r="L6" s="7"/>
      <c r="M6" s="7"/>
      <c r="N6" s="7"/>
      <c r="O6" s="7"/>
      <c r="P6" s="7"/>
      <c r="Q6" s="7"/>
      <c r="R6" s="7"/>
      <c r="S6" s="7"/>
      <c r="T6" s="7"/>
      <c r="U6" s="7"/>
      <c r="V6" s="7"/>
      <c r="W6" s="7"/>
      <c r="X6" s="7"/>
    </row>
    <row r="7" spans="1:24" ht="241.9" customHeight="1">
      <c r="A7" s="3" t="s">
        <v>14</v>
      </c>
      <c r="B7" s="4" t="s">
        <v>15</v>
      </c>
      <c r="C7" s="273" t="s">
        <v>16</v>
      </c>
      <c r="D7" s="273"/>
    </row>
    <row r="8" spans="1:24" ht="92.45">
      <c r="A8" s="3" t="s">
        <v>17</v>
      </c>
      <c r="B8" s="4" t="s">
        <v>18</v>
      </c>
      <c r="C8" s="290"/>
      <c r="D8" s="291"/>
    </row>
    <row r="9" spans="1:24" ht="13.15" customHeight="1">
      <c r="A9" s="274" t="s">
        <v>19</v>
      </c>
      <c r="B9" s="279" t="s">
        <v>20</v>
      </c>
      <c r="C9" s="9" t="s">
        <v>21</v>
      </c>
      <c r="D9" s="10" t="s">
        <v>22</v>
      </c>
    </row>
    <row r="10" spans="1:24" ht="145.15">
      <c r="A10" s="277"/>
      <c r="B10" s="280"/>
      <c r="C10" s="11" t="s">
        <v>23</v>
      </c>
      <c r="D10" s="129" t="s">
        <v>24</v>
      </c>
    </row>
    <row r="11" spans="1:24" ht="158.44999999999999">
      <c r="A11" s="277"/>
      <c r="B11" s="280"/>
      <c r="C11" s="11" t="s">
        <v>25</v>
      </c>
      <c r="D11" s="129" t="s">
        <v>26</v>
      </c>
    </row>
    <row r="12" spans="1:24" ht="264">
      <c r="A12" s="277"/>
      <c r="B12" s="280"/>
      <c r="C12" s="11" t="s">
        <v>27</v>
      </c>
      <c r="D12" s="129" t="s">
        <v>28</v>
      </c>
    </row>
    <row r="13" spans="1:24" ht="198">
      <c r="A13" s="277"/>
      <c r="B13" s="280"/>
      <c r="C13" s="13" t="s">
        <v>29</v>
      </c>
      <c r="D13" s="130" t="s">
        <v>30</v>
      </c>
    </row>
    <row r="14" spans="1:24" ht="105.6">
      <c r="A14" s="278"/>
      <c r="B14" s="281"/>
      <c r="C14" s="13" t="s">
        <v>31</v>
      </c>
      <c r="D14" s="130" t="s">
        <v>32</v>
      </c>
    </row>
    <row r="15" spans="1:24" ht="27.6" customHeight="1">
      <c r="A15" s="274" t="s">
        <v>33</v>
      </c>
      <c r="B15" s="275" t="s">
        <v>34</v>
      </c>
      <c r="C15" s="9" t="s">
        <v>35</v>
      </c>
      <c r="D15" s="10" t="s">
        <v>22</v>
      </c>
    </row>
    <row r="16" spans="1:24" ht="61.5" customHeight="1">
      <c r="A16" s="292"/>
      <c r="B16" s="293"/>
      <c r="C16" s="11" t="s">
        <v>36</v>
      </c>
      <c r="D16" s="12"/>
    </row>
    <row r="17" spans="1:4" ht="61.5" customHeight="1">
      <c r="A17" s="292"/>
      <c r="B17" s="293"/>
      <c r="C17" s="11"/>
      <c r="D17" s="12"/>
    </row>
    <row r="18" spans="1:4" ht="61.5" customHeight="1">
      <c r="A18" s="292"/>
      <c r="B18" s="293"/>
      <c r="C18" s="11"/>
      <c r="D18" s="12"/>
    </row>
    <row r="19" spans="1:4" ht="61.5" customHeight="1">
      <c r="A19" s="294"/>
      <c r="B19" s="295"/>
      <c r="C19" s="15"/>
      <c r="D19" s="8"/>
    </row>
    <row r="20" spans="1:4" ht="13.15">
      <c r="A20" s="16"/>
      <c r="B20" s="17"/>
      <c r="C20" s="296"/>
      <c r="D20" s="297"/>
    </row>
    <row r="21" spans="1:4" ht="13.15">
      <c r="A21" s="18"/>
      <c r="B21" s="19"/>
    </row>
    <row r="22" spans="1:4" ht="13.15">
      <c r="A22" s="18"/>
      <c r="B22" s="19"/>
    </row>
    <row r="23" spans="1:4" ht="13.15">
      <c r="A23" s="18"/>
      <c r="B23" s="19"/>
    </row>
    <row r="24" spans="1:4" ht="13.15">
      <c r="A24" s="18"/>
      <c r="B24" s="19"/>
    </row>
    <row r="25" spans="1:4" ht="13.15">
      <c r="A25" s="18"/>
      <c r="B25" s="19"/>
    </row>
    <row r="26" spans="1:4" ht="13.15">
      <c r="A26" s="18"/>
      <c r="B26" s="19"/>
    </row>
    <row r="27" spans="1:4" ht="13.15">
      <c r="A27" s="18"/>
      <c r="B27" s="19"/>
    </row>
    <row r="28" spans="1:4" ht="13.15">
      <c r="A28" s="18"/>
      <c r="B28" s="19"/>
    </row>
    <row r="29" spans="1:4" ht="13.15">
      <c r="A29" s="18"/>
      <c r="B29" s="19"/>
    </row>
    <row r="30" spans="1:4" ht="13.15">
      <c r="A30" s="18"/>
      <c r="B30" s="19"/>
    </row>
    <row r="31" spans="1:4" ht="13.15">
      <c r="A31" s="18"/>
      <c r="B31" s="19"/>
    </row>
    <row r="32" spans="1:4" ht="13.15">
      <c r="A32" s="18"/>
      <c r="B32" s="19"/>
    </row>
    <row r="33" spans="1:2" ht="13.15">
      <c r="A33" s="18"/>
      <c r="B33" s="19"/>
    </row>
    <row r="34" spans="1:2" ht="13.15">
      <c r="A34" s="18"/>
      <c r="B34" s="19"/>
    </row>
    <row r="35" spans="1:2" ht="13.15">
      <c r="A35" s="18"/>
      <c r="B35" s="19"/>
    </row>
    <row r="36" spans="1:2" ht="13.15">
      <c r="A36" s="18"/>
      <c r="B36" s="19"/>
    </row>
    <row r="37" spans="1:2" ht="13.15">
      <c r="A37" s="18"/>
      <c r="B37" s="19"/>
    </row>
    <row r="38" spans="1:2" ht="13.15">
      <c r="A38" s="18"/>
      <c r="B38" s="19"/>
    </row>
    <row r="39" spans="1:2" ht="13.15">
      <c r="A39" s="18"/>
      <c r="B39" s="19"/>
    </row>
    <row r="40" spans="1:2" ht="13.15">
      <c r="A40" s="18"/>
      <c r="B40" s="19"/>
    </row>
    <row r="41" spans="1:2" ht="13.15">
      <c r="A41" s="18"/>
      <c r="B41" s="19"/>
    </row>
    <row r="42" spans="1:2" ht="13.15">
      <c r="A42" s="18"/>
      <c r="B42" s="19"/>
    </row>
    <row r="43" spans="1:2" ht="13.15">
      <c r="A43" s="18"/>
      <c r="B43" s="19"/>
    </row>
    <row r="44" spans="1:2" ht="13.15">
      <c r="A44" s="18"/>
      <c r="B44" s="19"/>
    </row>
    <row r="45" spans="1:2" ht="13.15">
      <c r="A45" s="18"/>
      <c r="B45" s="19"/>
    </row>
    <row r="46" spans="1:2" ht="13.15">
      <c r="A46" s="18"/>
      <c r="B46" s="19"/>
    </row>
    <row r="47" spans="1:2" ht="13.15">
      <c r="A47" s="18"/>
      <c r="B47" s="19"/>
    </row>
    <row r="48" spans="1:2" ht="13.15">
      <c r="A48" s="18"/>
      <c r="B48" s="19"/>
    </row>
    <row r="49" spans="1:2" ht="13.15">
      <c r="A49" s="18"/>
      <c r="B49" s="19"/>
    </row>
    <row r="50" spans="1:2" ht="13.15">
      <c r="A50" s="18"/>
      <c r="B50" s="19"/>
    </row>
    <row r="51" spans="1:2" ht="13.15">
      <c r="A51" s="18"/>
      <c r="B51" s="19"/>
    </row>
    <row r="52" spans="1:2" ht="13.15">
      <c r="A52" s="18"/>
      <c r="B52" s="19"/>
    </row>
    <row r="53" spans="1:2" ht="13.15">
      <c r="A53" s="18"/>
      <c r="B53" s="19"/>
    </row>
    <row r="54" spans="1:2" ht="13.15">
      <c r="A54" s="18"/>
      <c r="B54" s="19"/>
    </row>
    <row r="55" spans="1:2" ht="13.15">
      <c r="A55" s="18"/>
      <c r="B55" s="19"/>
    </row>
    <row r="56" spans="1:2" ht="13.15">
      <c r="A56" s="18"/>
      <c r="B56" s="19"/>
    </row>
    <row r="57" spans="1:2" ht="13.15">
      <c r="A57" s="18"/>
      <c r="B57" s="19"/>
    </row>
    <row r="58" spans="1:2" ht="13.15">
      <c r="A58" s="18"/>
      <c r="B58" s="19"/>
    </row>
    <row r="59" spans="1:2" ht="13.15">
      <c r="A59" s="18"/>
      <c r="B59" s="19"/>
    </row>
    <row r="60" spans="1:2" ht="13.15">
      <c r="A60" s="18"/>
      <c r="B60" s="19"/>
    </row>
    <row r="61" spans="1:2" ht="13.15">
      <c r="A61" s="18"/>
      <c r="B61" s="19"/>
    </row>
    <row r="62" spans="1:2" ht="13.15">
      <c r="A62" s="18"/>
      <c r="B62" s="19"/>
    </row>
    <row r="63" spans="1:2" ht="13.15">
      <c r="A63" s="18"/>
      <c r="B63" s="19"/>
    </row>
    <row r="64" spans="1:2" ht="13.15">
      <c r="A64" s="18"/>
      <c r="B64" s="19"/>
    </row>
    <row r="65" spans="1:2" ht="13.15">
      <c r="A65" s="18"/>
      <c r="B65" s="19"/>
    </row>
    <row r="66" spans="1:2" ht="13.15">
      <c r="A66" s="18"/>
      <c r="B66" s="19"/>
    </row>
    <row r="67" spans="1:2" ht="13.15">
      <c r="A67" s="18"/>
      <c r="B67" s="19"/>
    </row>
    <row r="68" spans="1:2" ht="13.15">
      <c r="A68" s="18"/>
      <c r="B68" s="19"/>
    </row>
    <row r="69" spans="1:2" ht="13.15">
      <c r="A69" s="18"/>
      <c r="B69" s="19"/>
    </row>
    <row r="70" spans="1:2" ht="13.15">
      <c r="A70" s="18"/>
      <c r="B70" s="19"/>
    </row>
    <row r="71" spans="1:2" ht="13.15">
      <c r="A71" s="18"/>
      <c r="B71" s="19"/>
    </row>
    <row r="72" spans="1:2" ht="13.15">
      <c r="A72" s="18"/>
      <c r="B72" s="19"/>
    </row>
    <row r="73" spans="1:2" ht="13.15">
      <c r="A73" s="18"/>
      <c r="B73" s="19"/>
    </row>
    <row r="74" spans="1:2" ht="13.15">
      <c r="A74" s="18"/>
      <c r="B74" s="19"/>
    </row>
    <row r="75" spans="1:2" ht="13.15">
      <c r="A75" s="18"/>
      <c r="B75" s="19"/>
    </row>
    <row r="76" spans="1:2" ht="13.15">
      <c r="A76" s="18"/>
      <c r="B76" s="19"/>
    </row>
    <row r="77" spans="1:2" ht="13.15">
      <c r="A77" s="18"/>
      <c r="B77" s="19"/>
    </row>
    <row r="78" spans="1:2" ht="13.15">
      <c r="A78" s="18"/>
      <c r="B78" s="19"/>
    </row>
    <row r="79" spans="1:2" ht="13.15">
      <c r="A79" s="18"/>
      <c r="B79" s="19"/>
    </row>
    <row r="80" spans="1:2" ht="13.15">
      <c r="A80" s="18"/>
      <c r="B80" s="19"/>
    </row>
    <row r="81" spans="1:2" ht="13.15">
      <c r="A81" s="18"/>
      <c r="B81" s="19"/>
    </row>
    <row r="82" spans="1:2" ht="13.15">
      <c r="A82" s="18"/>
      <c r="B82" s="19"/>
    </row>
    <row r="83" spans="1:2" ht="13.15">
      <c r="A83" s="18"/>
      <c r="B83" s="19"/>
    </row>
    <row r="84" spans="1:2" ht="13.15">
      <c r="A84" s="18"/>
      <c r="B84" s="19"/>
    </row>
    <row r="85" spans="1:2" ht="13.15">
      <c r="A85" s="18"/>
      <c r="B85" s="19"/>
    </row>
    <row r="86" spans="1:2" ht="13.15">
      <c r="A86" s="18"/>
      <c r="B86" s="19"/>
    </row>
    <row r="87" spans="1:2" ht="13.15">
      <c r="A87" s="18"/>
      <c r="B87" s="19"/>
    </row>
    <row r="88" spans="1:2" ht="13.15">
      <c r="A88" s="18"/>
      <c r="B88" s="19"/>
    </row>
    <row r="89" spans="1:2" ht="13.15">
      <c r="A89" s="18"/>
      <c r="B89" s="19"/>
    </row>
    <row r="90" spans="1:2" ht="13.15">
      <c r="A90" s="18"/>
      <c r="B90" s="19"/>
    </row>
    <row r="91" spans="1:2" ht="13.15">
      <c r="A91" s="18"/>
      <c r="B91" s="19"/>
    </row>
    <row r="92" spans="1:2" ht="13.15">
      <c r="A92" s="18"/>
      <c r="B92" s="19"/>
    </row>
    <row r="93" spans="1:2" ht="13.15">
      <c r="A93" s="18"/>
      <c r="B93" s="19"/>
    </row>
    <row r="94" spans="1:2" ht="13.15">
      <c r="A94" s="18"/>
      <c r="B94" s="19"/>
    </row>
    <row r="95" spans="1:2" ht="13.15">
      <c r="A95" s="18"/>
      <c r="B95" s="19"/>
    </row>
    <row r="96" spans="1:2" ht="13.15">
      <c r="A96" s="18"/>
      <c r="B96" s="19"/>
    </row>
    <row r="97" spans="1:2" ht="13.15">
      <c r="A97" s="18"/>
      <c r="B97" s="19"/>
    </row>
    <row r="98" spans="1:2" ht="13.15">
      <c r="A98" s="18"/>
      <c r="B98" s="19"/>
    </row>
    <row r="99" spans="1:2" ht="13.15">
      <c r="A99" s="18"/>
      <c r="B99" s="19"/>
    </row>
    <row r="100" spans="1:2" ht="13.15">
      <c r="A100" s="18"/>
      <c r="B100" s="19"/>
    </row>
    <row r="101" spans="1:2" ht="13.15">
      <c r="A101" s="18"/>
      <c r="B101" s="19"/>
    </row>
    <row r="102" spans="1:2" ht="13.15">
      <c r="A102" s="18"/>
      <c r="B102" s="19"/>
    </row>
    <row r="103" spans="1:2" ht="13.15">
      <c r="A103" s="18"/>
      <c r="B103" s="19"/>
    </row>
    <row r="104" spans="1:2" ht="13.15">
      <c r="A104" s="18"/>
      <c r="B104" s="19"/>
    </row>
    <row r="105" spans="1:2" ht="13.15">
      <c r="A105" s="18"/>
      <c r="B105" s="19"/>
    </row>
    <row r="106" spans="1:2" ht="13.15">
      <c r="A106" s="18"/>
      <c r="B106" s="19"/>
    </row>
    <row r="107" spans="1:2" ht="13.15">
      <c r="A107" s="18"/>
      <c r="B107" s="19"/>
    </row>
    <row r="108" spans="1:2" ht="13.15">
      <c r="A108" s="18"/>
      <c r="B108" s="19"/>
    </row>
    <row r="109" spans="1:2" ht="13.15">
      <c r="A109" s="18"/>
      <c r="B109" s="19"/>
    </row>
    <row r="110" spans="1:2" ht="13.15">
      <c r="A110" s="18"/>
      <c r="B110" s="19"/>
    </row>
    <row r="111" spans="1:2" ht="13.15">
      <c r="A111" s="18"/>
      <c r="B111" s="19"/>
    </row>
    <row r="112" spans="1:2" ht="13.15">
      <c r="A112" s="18"/>
      <c r="B112" s="19"/>
    </row>
    <row r="113" spans="1:2" ht="13.15">
      <c r="A113" s="18"/>
      <c r="B113" s="19"/>
    </row>
    <row r="114" spans="1:2" ht="13.15">
      <c r="A114" s="18"/>
      <c r="B114" s="19"/>
    </row>
    <row r="115" spans="1:2" ht="13.15">
      <c r="A115" s="18"/>
      <c r="B115" s="19"/>
    </row>
    <row r="116" spans="1:2" ht="13.15">
      <c r="A116" s="18"/>
      <c r="B116" s="19"/>
    </row>
    <row r="117" spans="1:2" ht="13.15">
      <c r="A117" s="18"/>
      <c r="B117" s="19"/>
    </row>
    <row r="118" spans="1:2" ht="13.15">
      <c r="A118" s="18"/>
      <c r="B118" s="19"/>
    </row>
    <row r="119" spans="1:2" ht="13.15">
      <c r="A119" s="18"/>
      <c r="B119" s="19"/>
    </row>
    <row r="120" spans="1:2" ht="13.15">
      <c r="A120" s="18"/>
      <c r="B120" s="19"/>
    </row>
    <row r="121" spans="1:2" ht="13.15">
      <c r="A121" s="18"/>
      <c r="B121" s="19"/>
    </row>
    <row r="122" spans="1:2" ht="13.15">
      <c r="A122" s="18"/>
      <c r="B122" s="19"/>
    </row>
    <row r="123" spans="1:2" ht="13.15">
      <c r="A123" s="18"/>
      <c r="B123" s="19"/>
    </row>
    <row r="124" spans="1:2" ht="13.15">
      <c r="A124" s="18"/>
      <c r="B124" s="19"/>
    </row>
    <row r="125" spans="1:2" ht="13.15">
      <c r="A125" s="18"/>
      <c r="B125" s="19"/>
    </row>
    <row r="126" spans="1:2" ht="13.15">
      <c r="A126" s="18"/>
      <c r="B126" s="19"/>
    </row>
    <row r="127" spans="1:2" ht="13.15">
      <c r="A127" s="18"/>
      <c r="B127" s="19"/>
    </row>
    <row r="128" spans="1:2" ht="13.15">
      <c r="A128" s="18"/>
      <c r="B128" s="19"/>
    </row>
    <row r="129" spans="1:2" ht="13.15">
      <c r="A129" s="18"/>
      <c r="B129" s="19"/>
    </row>
    <row r="130" spans="1:2" ht="13.15">
      <c r="A130" s="18"/>
      <c r="B130" s="19"/>
    </row>
    <row r="131" spans="1:2" ht="13.15">
      <c r="A131" s="18"/>
      <c r="B131" s="19"/>
    </row>
    <row r="132" spans="1:2" ht="13.15">
      <c r="A132" s="18"/>
      <c r="B132" s="19"/>
    </row>
    <row r="133" spans="1:2" ht="13.15">
      <c r="A133" s="18"/>
      <c r="B133" s="19"/>
    </row>
    <row r="134" spans="1:2" ht="13.15">
      <c r="A134" s="18"/>
      <c r="B134" s="19"/>
    </row>
    <row r="135" spans="1:2" ht="13.15">
      <c r="A135" s="18"/>
      <c r="B135" s="19"/>
    </row>
    <row r="136" spans="1:2" ht="13.15">
      <c r="A136" s="18"/>
      <c r="B136" s="19"/>
    </row>
    <row r="137" spans="1:2" ht="13.15">
      <c r="A137" s="18"/>
      <c r="B137" s="19"/>
    </row>
    <row r="138" spans="1:2" ht="13.15">
      <c r="A138" s="18"/>
      <c r="B138" s="19"/>
    </row>
    <row r="139" spans="1:2" ht="13.15">
      <c r="A139" s="18"/>
      <c r="B139" s="19"/>
    </row>
    <row r="140" spans="1:2" ht="13.15">
      <c r="A140" s="18"/>
      <c r="B140" s="19"/>
    </row>
    <row r="141" spans="1:2" ht="13.15">
      <c r="A141" s="18"/>
      <c r="B141" s="19"/>
    </row>
    <row r="142" spans="1:2" ht="13.15">
      <c r="A142" s="18"/>
      <c r="B142" s="19"/>
    </row>
    <row r="143" spans="1:2" ht="13.15">
      <c r="A143" s="18"/>
      <c r="B143" s="19"/>
    </row>
    <row r="144" spans="1:2" ht="13.15">
      <c r="A144" s="18"/>
      <c r="B144" s="19"/>
    </row>
    <row r="145" spans="1:2" ht="13.15">
      <c r="A145" s="18"/>
      <c r="B145" s="19"/>
    </row>
    <row r="146" spans="1:2" ht="13.15">
      <c r="A146" s="18"/>
      <c r="B146" s="19"/>
    </row>
    <row r="147" spans="1:2" ht="13.15">
      <c r="A147" s="18"/>
      <c r="B147" s="19"/>
    </row>
    <row r="148" spans="1:2" ht="13.15">
      <c r="A148" s="18"/>
      <c r="B148" s="19"/>
    </row>
    <row r="149" spans="1:2" ht="13.15">
      <c r="A149" s="18"/>
      <c r="B149" s="19"/>
    </row>
    <row r="150" spans="1:2" ht="13.15">
      <c r="A150" s="18"/>
      <c r="B150" s="19"/>
    </row>
    <row r="151" spans="1:2" ht="13.15">
      <c r="A151" s="18"/>
      <c r="B151" s="19"/>
    </row>
    <row r="152" spans="1:2" ht="13.15">
      <c r="A152" s="18"/>
      <c r="B152" s="19"/>
    </row>
    <row r="153" spans="1:2" ht="13.15">
      <c r="A153" s="18"/>
      <c r="B153" s="19"/>
    </row>
    <row r="154" spans="1:2" ht="13.15">
      <c r="A154" s="18"/>
      <c r="B154" s="19"/>
    </row>
    <row r="155" spans="1:2" ht="13.15">
      <c r="A155" s="18"/>
      <c r="B155" s="19"/>
    </row>
    <row r="156" spans="1:2" ht="13.15">
      <c r="A156" s="18"/>
      <c r="B156" s="19"/>
    </row>
    <row r="157" spans="1:2" ht="13.15">
      <c r="A157" s="18"/>
      <c r="B157" s="19"/>
    </row>
    <row r="158" spans="1:2" ht="13.15">
      <c r="A158" s="18"/>
      <c r="B158" s="19"/>
    </row>
    <row r="159" spans="1:2" ht="13.15">
      <c r="A159" s="18"/>
      <c r="B159" s="19"/>
    </row>
    <row r="160" spans="1:2" ht="13.15">
      <c r="A160" s="18"/>
      <c r="B160" s="19"/>
    </row>
    <row r="161" spans="1:2" ht="13.15">
      <c r="A161" s="18"/>
      <c r="B161" s="19"/>
    </row>
    <row r="162" spans="1:2" ht="13.15">
      <c r="A162" s="18"/>
      <c r="B162" s="19"/>
    </row>
    <row r="163" spans="1:2" ht="13.15">
      <c r="A163" s="18"/>
      <c r="B163" s="19"/>
    </row>
    <row r="164" spans="1:2" ht="13.15">
      <c r="A164" s="18"/>
      <c r="B164" s="19"/>
    </row>
    <row r="165" spans="1:2" ht="13.15">
      <c r="A165" s="18"/>
      <c r="B165" s="19"/>
    </row>
    <row r="166" spans="1:2" ht="13.15">
      <c r="A166" s="18"/>
      <c r="B166" s="19"/>
    </row>
    <row r="167" spans="1:2" ht="13.15">
      <c r="A167" s="18"/>
      <c r="B167" s="19"/>
    </row>
    <row r="168" spans="1:2" ht="13.15">
      <c r="A168" s="18"/>
      <c r="B168" s="19"/>
    </row>
    <row r="169" spans="1:2" ht="13.15">
      <c r="A169" s="18"/>
      <c r="B169" s="19"/>
    </row>
    <row r="170" spans="1:2" ht="13.15">
      <c r="A170" s="18"/>
      <c r="B170" s="19"/>
    </row>
    <row r="171" spans="1:2" ht="13.15">
      <c r="A171" s="18"/>
      <c r="B171" s="19"/>
    </row>
    <row r="172" spans="1:2" ht="13.15">
      <c r="A172" s="18"/>
      <c r="B172" s="19"/>
    </row>
    <row r="173" spans="1:2" ht="13.15">
      <c r="A173" s="18"/>
      <c r="B173" s="19"/>
    </row>
    <row r="174" spans="1:2" ht="13.15">
      <c r="A174" s="18"/>
      <c r="B174" s="19"/>
    </row>
    <row r="175" spans="1:2" ht="13.15">
      <c r="A175" s="18"/>
      <c r="B175" s="19"/>
    </row>
    <row r="176" spans="1:2" ht="13.15">
      <c r="A176" s="18"/>
      <c r="B176" s="19"/>
    </row>
    <row r="177" spans="1:2" ht="13.15">
      <c r="A177" s="18"/>
      <c r="B177" s="19"/>
    </row>
    <row r="178" spans="1:2" ht="13.15">
      <c r="A178" s="18"/>
      <c r="B178" s="19"/>
    </row>
    <row r="179" spans="1:2" ht="13.15">
      <c r="A179" s="18"/>
      <c r="B179" s="19"/>
    </row>
    <row r="180" spans="1:2" ht="13.15">
      <c r="A180" s="18"/>
      <c r="B180" s="19"/>
    </row>
    <row r="181" spans="1:2" ht="13.15">
      <c r="A181" s="18"/>
      <c r="B181" s="19"/>
    </row>
    <row r="182" spans="1:2" ht="13.15">
      <c r="A182" s="18"/>
      <c r="B182" s="19"/>
    </row>
    <row r="183" spans="1:2" ht="13.15">
      <c r="A183" s="18"/>
      <c r="B183" s="19"/>
    </row>
    <row r="184" spans="1:2" ht="13.15">
      <c r="A184" s="18"/>
      <c r="B184" s="19"/>
    </row>
    <row r="185" spans="1:2" ht="13.15">
      <c r="A185" s="18"/>
      <c r="B185" s="19"/>
    </row>
    <row r="186" spans="1:2" ht="13.15">
      <c r="A186" s="18"/>
      <c r="B186" s="19"/>
    </row>
    <row r="187" spans="1:2" ht="13.15">
      <c r="A187" s="18"/>
      <c r="B187" s="19"/>
    </row>
    <row r="188" spans="1:2" ht="13.15">
      <c r="A188" s="18"/>
      <c r="B188" s="19"/>
    </row>
    <row r="189" spans="1:2" ht="13.15">
      <c r="A189" s="18"/>
      <c r="B189" s="19"/>
    </row>
    <row r="190" spans="1:2" ht="13.15">
      <c r="A190" s="18"/>
      <c r="B190" s="19"/>
    </row>
    <row r="191" spans="1:2" ht="13.15">
      <c r="A191" s="18"/>
      <c r="B191" s="19"/>
    </row>
    <row r="192" spans="1:2" ht="13.15">
      <c r="A192" s="18"/>
      <c r="B192" s="19"/>
    </row>
    <row r="193" spans="1:2" ht="13.15">
      <c r="A193" s="18"/>
      <c r="B193" s="19"/>
    </row>
    <row r="194" spans="1:2" ht="13.15">
      <c r="A194" s="18"/>
      <c r="B194" s="19"/>
    </row>
    <row r="195" spans="1:2" ht="13.15">
      <c r="A195" s="18"/>
      <c r="B195" s="19"/>
    </row>
    <row r="196" spans="1:2" ht="13.15">
      <c r="A196" s="18"/>
      <c r="B196" s="19"/>
    </row>
    <row r="197" spans="1:2" ht="13.15">
      <c r="A197" s="18"/>
      <c r="B197" s="19"/>
    </row>
    <row r="198" spans="1:2" ht="13.15">
      <c r="A198" s="18"/>
      <c r="B198" s="19"/>
    </row>
    <row r="199" spans="1:2" ht="13.15">
      <c r="A199" s="18"/>
      <c r="B199" s="19"/>
    </row>
    <row r="200" spans="1:2" ht="13.15">
      <c r="A200" s="18"/>
      <c r="B200" s="19"/>
    </row>
    <row r="201" spans="1:2" ht="13.15">
      <c r="A201" s="18"/>
      <c r="B201" s="19"/>
    </row>
    <row r="202" spans="1:2" ht="13.15">
      <c r="A202" s="18"/>
      <c r="B202" s="19"/>
    </row>
    <row r="203" spans="1:2" ht="13.15">
      <c r="A203" s="18"/>
      <c r="B203" s="19"/>
    </row>
    <row r="204" spans="1:2" ht="13.15">
      <c r="A204" s="18"/>
      <c r="B204" s="19"/>
    </row>
    <row r="205" spans="1:2" ht="13.15">
      <c r="A205" s="18"/>
      <c r="B205" s="19"/>
    </row>
    <row r="206" spans="1:2" ht="13.15">
      <c r="A206" s="18"/>
      <c r="B206" s="19"/>
    </row>
    <row r="207" spans="1:2" ht="13.15">
      <c r="A207" s="18"/>
      <c r="B207" s="19"/>
    </row>
    <row r="208" spans="1:2" ht="13.15">
      <c r="A208" s="18"/>
      <c r="B208" s="19"/>
    </row>
    <row r="209" spans="1:2" ht="13.15">
      <c r="A209" s="18"/>
      <c r="B209" s="19"/>
    </row>
    <row r="210" spans="1:2" ht="13.15">
      <c r="A210" s="18"/>
      <c r="B210" s="19"/>
    </row>
    <row r="211" spans="1:2" ht="13.15">
      <c r="A211" s="18"/>
      <c r="B211" s="19"/>
    </row>
    <row r="212" spans="1:2" ht="13.15">
      <c r="A212" s="18"/>
      <c r="B212" s="19"/>
    </row>
    <row r="213" spans="1:2" ht="13.15">
      <c r="A213" s="18"/>
      <c r="B213" s="19"/>
    </row>
    <row r="214" spans="1:2" ht="13.15">
      <c r="A214" s="18"/>
      <c r="B214" s="19"/>
    </row>
    <row r="215" spans="1:2" ht="13.15">
      <c r="A215" s="18"/>
      <c r="B215" s="19"/>
    </row>
    <row r="216" spans="1:2" ht="13.15">
      <c r="A216" s="18"/>
      <c r="B216" s="19"/>
    </row>
    <row r="217" spans="1:2" ht="13.15">
      <c r="A217" s="18"/>
      <c r="B217" s="19"/>
    </row>
    <row r="218" spans="1:2" ht="13.15">
      <c r="A218" s="18"/>
      <c r="B218" s="19"/>
    </row>
    <row r="219" spans="1:2" ht="13.15">
      <c r="A219" s="18"/>
      <c r="B219" s="19"/>
    </row>
    <row r="220" spans="1:2" ht="13.15">
      <c r="A220" s="18"/>
      <c r="B220" s="19"/>
    </row>
    <row r="221" spans="1:2" ht="13.15">
      <c r="A221" s="18"/>
      <c r="B221" s="19"/>
    </row>
    <row r="222" spans="1:2" ht="13.15">
      <c r="A222" s="18"/>
      <c r="B222" s="19"/>
    </row>
    <row r="223" spans="1:2" ht="13.15">
      <c r="A223" s="18"/>
      <c r="B223" s="19"/>
    </row>
    <row r="224" spans="1:2" ht="13.15">
      <c r="A224" s="18"/>
      <c r="B224" s="19"/>
    </row>
    <row r="225" spans="1:2" ht="13.15">
      <c r="A225" s="18"/>
      <c r="B225" s="19"/>
    </row>
    <row r="226" spans="1:2" ht="13.15">
      <c r="A226" s="18"/>
      <c r="B226" s="19"/>
    </row>
    <row r="227" spans="1:2" ht="13.15">
      <c r="A227" s="18"/>
      <c r="B227" s="19"/>
    </row>
    <row r="228" spans="1:2" ht="13.15">
      <c r="A228" s="18"/>
      <c r="B228" s="19"/>
    </row>
    <row r="229" spans="1:2" ht="13.15">
      <c r="A229" s="18"/>
      <c r="B229" s="19"/>
    </row>
    <row r="230" spans="1:2" ht="13.15">
      <c r="A230" s="18"/>
      <c r="B230" s="19"/>
    </row>
    <row r="231" spans="1:2" ht="13.15">
      <c r="A231" s="18"/>
      <c r="B231" s="19"/>
    </row>
    <row r="232" spans="1:2" ht="13.15">
      <c r="A232" s="18"/>
      <c r="B232" s="19"/>
    </row>
    <row r="233" spans="1:2" ht="13.15">
      <c r="A233" s="18"/>
      <c r="B233" s="19"/>
    </row>
    <row r="234" spans="1:2" ht="13.15">
      <c r="A234" s="18"/>
      <c r="B234" s="19"/>
    </row>
    <row r="235" spans="1:2" ht="13.15">
      <c r="A235" s="18"/>
      <c r="B235" s="19"/>
    </row>
    <row r="236" spans="1:2" ht="13.15">
      <c r="A236" s="18"/>
      <c r="B236" s="19"/>
    </row>
    <row r="237" spans="1:2" ht="13.15">
      <c r="A237" s="18"/>
      <c r="B237" s="19"/>
    </row>
    <row r="238" spans="1:2" ht="13.15">
      <c r="A238" s="18"/>
      <c r="B238" s="19"/>
    </row>
    <row r="239" spans="1:2" ht="13.15">
      <c r="A239" s="18"/>
      <c r="B239" s="19"/>
    </row>
    <row r="240" spans="1:2" ht="13.15">
      <c r="A240" s="18"/>
      <c r="B240" s="19"/>
    </row>
    <row r="241" spans="1:2" ht="13.15">
      <c r="A241" s="18"/>
      <c r="B241" s="19"/>
    </row>
    <row r="242" spans="1:2" ht="13.15">
      <c r="A242" s="18"/>
      <c r="B242" s="19"/>
    </row>
    <row r="243" spans="1:2" ht="13.15">
      <c r="A243" s="18"/>
      <c r="B243" s="19"/>
    </row>
    <row r="244" spans="1:2" ht="13.15">
      <c r="A244" s="18"/>
      <c r="B244" s="19"/>
    </row>
    <row r="245" spans="1:2" ht="13.15">
      <c r="A245" s="18"/>
      <c r="B245" s="19"/>
    </row>
    <row r="246" spans="1:2" ht="13.15">
      <c r="A246" s="18"/>
      <c r="B246" s="19"/>
    </row>
    <row r="247" spans="1:2" ht="13.15">
      <c r="A247" s="18"/>
      <c r="B247" s="19"/>
    </row>
    <row r="248" spans="1:2" ht="13.15">
      <c r="A248" s="18"/>
      <c r="B248" s="19"/>
    </row>
    <row r="249" spans="1:2" ht="13.15">
      <c r="A249" s="18"/>
      <c r="B249" s="19"/>
    </row>
    <row r="250" spans="1:2" ht="13.15">
      <c r="A250" s="18"/>
      <c r="B250" s="19"/>
    </row>
    <row r="251" spans="1:2" ht="13.15">
      <c r="A251" s="18"/>
      <c r="B251" s="19"/>
    </row>
    <row r="252" spans="1:2" ht="13.15">
      <c r="A252" s="18"/>
      <c r="B252" s="19"/>
    </row>
    <row r="253" spans="1:2" ht="13.15">
      <c r="A253" s="18"/>
      <c r="B253" s="19"/>
    </row>
    <row r="254" spans="1:2" ht="13.15">
      <c r="A254" s="18"/>
      <c r="B254" s="19"/>
    </row>
    <row r="255" spans="1:2" ht="13.15">
      <c r="A255" s="18"/>
      <c r="B255" s="19"/>
    </row>
    <row r="256" spans="1:2" ht="13.15">
      <c r="A256" s="18"/>
      <c r="B256" s="19"/>
    </row>
    <row r="257" spans="1:2" ht="13.15">
      <c r="A257" s="18"/>
      <c r="B257" s="19"/>
    </row>
    <row r="258" spans="1:2" ht="13.15">
      <c r="A258" s="18"/>
      <c r="B258" s="19"/>
    </row>
    <row r="259" spans="1:2" ht="13.15">
      <c r="A259" s="18"/>
      <c r="B259" s="19"/>
    </row>
    <row r="260" spans="1:2" ht="13.15">
      <c r="A260" s="18"/>
      <c r="B260" s="19"/>
    </row>
    <row r="261" spans="1:2" ht="13.15">
      <c r="A261" s="18"/>
      <c r="B261" s="19"/>
    </row>
    <row r="262" spans="1:2" ht="13.15">
      <c r="A262" s="18"/>
      <c r="B262" s="19"/>
    </row>
    <row r="263" spans="1:2" ht="13.15">
      <c r="A263" s="18"/>
      <c r="B263" s="19"/>
    </row>
    <row r="264" spans="1:2" ht="13.15">
      <c r="A264" s="18"/>
      <c r="B264" s="19"/>
    </row>
    <row r="265" spans="1:2" ht="13.15">
      <c r="A265" s="18"/>
      <c r="B265" s="19"/>
    </row>
    <row r="266" spans="1:2" ht="13.15">
      <c r="A266" s="18"/>
      <c r="B266" s="19"/>
    </row>
    <row r="267" spans="1:2" ht="13.15">
      <c r="A267" s="18"/>
      <c r="B267" s="19"/>
    </row>
    <row r="268" spans="1:2" ht="13.15">
      <c r="A268" s="18"/>
      <c r="B268" s="19"/>
    </row>
    <row r="269" spans="1:2" ht="13.15">
      <c r="A269" s="18"/>
      <c r="B269" s="19"/>
    </row>
    <row r="270" spans="1:2" ht="13.15">
      <c r="A270" s="18"/>
      <c r="B270" s="19"/>
    </row>
    <row r="271" spans="1:2" ht="13.15">
      <c r="A271" s="18"/>
      <c r="B271" s="19"/>
    </row>
    <row r="272" spans="1:2" ht="13.15">
      <c r="A272" s="18"/>
      <c r="B272" s="19"/>
    </row>
    <row r="273" spans="1:2" ht="13.15">
      <c r="A273" s="18"/>
      <c r="B273" s="19"/>
    </row>
    <row r="274" spans="1:2" ht="13.15">
      <c r="A274" s="18"/>
      <c r="B274" s="19"/>
    </row>
    <row r="275" spans="1:2" ht="13.15">
      <c r="A275" s="18"/>
      <c r="B275" s="19"/>
    </row>
    <row r="276" spans="1:2" ht="13.15">
      <c r="A276" s="18"/>
      <c r="B276" s="19"/>
    </row>
    <row r="277" spans="1:2" ht="13.15">
      <c r="A277" s="18"/>
      <c r="B277" s="19"/>
    </row>
    <row r="278" spans="1:2" ht="13.15">
      <c r="A278" s="18"/>
      <c r="B278" s="19"/>
    </row>
    <row r="279" spans="1:2" ht="13.15">
      <c r="A279" s="18"/>
      <c r="B279" s="19"/>
    </row>
    <row r="280" spans="1:2" ht="13.15">
      <c r="A280" s="18"/>
      <c r="B280" s="19"/>
    </row>
    <row r="281" spans="1:2" ht="13.15">
      <c r="A281" s="18"/>
      <c r="B281" s="19"/>
    </row>
    <row r="282" spans="1:2" ht="13.15">
      <c r="A282" s="18"/>
      <c r="B282" s="19"/>
    </row>
    <row r="283" spans="1:2" ht="13.15">
      <c r="A283" s="18"/>
      <c r="B283" s="19"/>
    </row>
    <row r="284" spans="1:2" ht="13.15">
      <c r="A284" s="18"/>
      <c r="B284" s="19"/>
    </row>
    <row r="285" spans="1:2" ht="13.15">
      <c r="A285" s="18"/>
      <c r="B285" s="19"/>
    </row>
    <row r="286" spans="1:2" ht="13.15">
      <c r="A286" s="18"/>
      <c r="B286" s="19"/>
    </row>
    <row r="287" spans="1:2" ht="13.15">
      <c r="A287" s="18"/>
      <c r="B287" s="19"/>
    </row>
    <row r="288" spans="1:2" ht="13.15">
      <c r="A288" s="18"/>
      <c r="B288" s="19"/>
    </row>
    <row r="289" spans="1:2" ht="13.15">
      <c r="A289" s="18"/>
      <c r="B289" s="19"/>
    </row>
    <row r="290" spans="1:2" ht="13.15">
      <c r="A290" s="18"/>
      <c r="B290" s="19"/>
    </row>
    <row r="291" spans="1:2" ht="13.15">
      <c r="A291" s="18"/>
      <c r="B291" s="19"/>
    </row>
    <row r="292" spans="1:2" ht="13.15">
      <c r="A292" s="18"/>
      <c r="B292" s="19"/>
    </row>
    <row r="293" spans="1:2" ht="13.15">
      <c r="A293" s="18"/>
      <c r="B293" s="19"/>
    </row>
    <row r="294" spans="1:2" ht="13.15">
      <c r="A294" s="18"/>
      <c r="B294" s="19"/>
    </row>
    <row r="295" spans="1:2" ht="13.15">
      <c r="A295" s="18"/>
      <c r="B295" s="19"/>
    </row>
    <row r="296" spans="1:2" ht="13.15">
      <c r="A296" s="18"/>
      <c r="B296" s="19"/>
    </row>
    <row r="297" spans="1:2" ht="13.15">
      <c r="A297" s="18"/>
      <c r="B297" s="19"/>
    </row>
    <row r="298" spans="1:2" ht="13.15">
      <c r="A298" s="18"/>
      <c r="B298" s="19"/>
    </row>
    <row r="299" spans="1:2" ht="13.15">
      <c r="A299" s="18"/>
      <c r="B299" s="19"/>
    </row>
    <row r="300" spans="1:2" ht="13.15">
      <c r="A300" s="18"/>
      <c r="B300" s="19"/>
    </row>
    <row r="301" spans="1:2" ht="13.15">
      <c r="A301" s="18"/>
      <c r="B301" s="19"/>
    </row>
    <row r="302" spans="1:2" ht="13.15">
      <c r="A302" s="18"/>
      <c r="B302" s="19"/>
    </row>
    <row r="303" spans="1:2" ht="13.15">
      <c r="A303" s="18"/>
      <c r="B303" s="19"/>
    </row>
    <row r="304" spans="1:2" ht="13.15">
      <c r="A304" s="18"/>
      <c r="B304" s="19"/>
    </row>
    <row r="305" spans="1:2" ht="13.15">
      <c r="A305" s="18"/>
      <c r="B305" s="19"/>
    </row>
    <row r="306" spans="1:2" ht="13.15">
      <c r="A306" s="18"/>
      <c r="B306" s="19"/>
    </row>
    <row r="307" spans="1:2" ht="13.15">
      <c r="A307" s="18"/>
      <c r="B307" s="19"/>
    </row>
    <row r="308" spans="1:2" ht="13.15">
      <c r="A308" s="18"/>
      <c r="B308" s="19"/>
    </row>
    <row r="309" spans="1:2" ht="13.15">
      <c r="A309" s="18"/>
      <c r="B309" s="19"/>
    </row>
    <row r="310" spans="1:2" ht="13.15">
      <c r="A310" s="18"/>
      <c r="B310" s="19"/>
    </row>
    <row r="311" spans="1:2" ht="13.15">
      <c r="A311" s="18"/>
      <c r="B311" s="19"/>
    </row>
    <row r="312" spans="1:2" ht="13.15">
      <c r="A312" s="18"/>
      <c r="B312" s="19"/>
    </row>
    <row r="313" spans="1:2" ht="13.15">
      <c r="A313" s="18"/>
      <c r="B313" s="19"/>
    </row>
    <row r="314" spans="1:2" ht="13.15">
      <c r="A314" s="18"/>
      <c r="B314" s="19"/>
    </row>
    <row r="315" spans="1:2" ht="13.15">
      <c r="A315" s="18"/>
      <c r="B315" s="19"/>
    </row>
    <row r="316" spans="1:2" ht="13.15">
      <c r="A316" s="18"/>
      <c r="B316" s="19"/>
    </row>
    <row r="317" spans="1:2" ht="13.15">
      <c r="A317" s="18"/>
      <c r="B317" s="19"/>
    </row>
    <row r="318" spans="1:2" ht="13.15">
      <c r="A318" s="18"/>
      <c r="B318" s="19"/>
    </row>
    <row r="319" spans="1:2" ht="13.15">
      <c r="A319" s="18"/>
      <c r="B319" s="19"/>
    </row>
    <row r="320" spans="1:2" ht="13.15">
      <c r="A320" s="18"/>
      <c r="B320" s="19"/>
    </row>
    <row r="321" spans="1:2" ht="13.15">
      <c r="A321" s="18"/>
      <c r="B321" s="19"/>
    </row>
    <row r="322" spans="1:2" ht="13.15">
      <c r="A322" s="18"/>
      <c r="B322" s="19"/>
    </row>
    <row r="323" spans="1:2" ht="13.15">
      <c r="A323" s="18"/>
      <c r="B323" s="19"/>
    </row>
    <row r="324" spans="1:2" ht="13.15">
      <c r="A324" s="18"/>
      <c r="B324" s="19"/>
    </row>
    <row r="325" spans="1:2" ht="13.15">
      <c r="A325" s="18"/>
      <c r="B325" s="19"/>
    </row>
    <row r="326" spans="1:2" ht="13.15">
      <c r="A326" s="18"/>
      <c r="B326" s="19"/>
    </row>
    <row r="327" spans="1:2" ht="13.15">
      <c r="A327" s="18"/>
      <c r="B327" s="19"/>
    </row>
    <row r="328" spans="1:2" ht="13.15">
      <c r="A328" s="18"/>
      <c r="B328" s="19"/>
    </row>
    <row r="329" spans="1:2" ht="13.15">
      <c r="A329" s="18"/>
      <c r="B329" s="19"/>
    </row>
    <row r="330" spans="1:2" ht="13.15">
      <c r="A330" s="18"/>
      <c r="B330" s="19"/>
    </row>
    <row r="331" spans="1:2" ht="13.15">
      <c r="A331" s="18"/>
      <c r="B331" s="19"/>
    </row>
    <row r="332" spans="1:2" ht="13.15">
      <c r="A332" s="18"/>
      <c r="B332" s="19"/>
    </row>
    <row r="333" spans="1:2" ht="13.15">
      <c r="A333" s="18"/>
      <c r="B333" s="19"/>
    </row>
    <row r="334" spans="1:2" ht="13.15">
      <c r="A334" s="18"/>
      <c r="B334" s="19"/>
    </row>
    <row r="335" spans="1:2" ht="13.15">
      <c r="A335" s="18"/>
      <c r="B335" s="19"/>
    </row>
    <row r="336" spans="1:2" ht="13.15">
      <c r="A336" s="18"/>
      <c r="B336" s="19"/>
    </row>
    <row r="337" spans="1:2" ht="13.15">
      <c r="A337" s="18"/>
      <c r="B337" s="19"/>
    </row>
    <row r="338" spans="1:2" ht="13.15">
      <c r="A338" s="18"/>
      <c r="B338" s="19"/>
    </row>
    <row r="339" spans="1:2" ht="13.15">
      <c r="A339" s="18"/>
      <c r="B339" s="19"/>
    </row>
    <row r="340" spans="1:2" ht="13.15">
      <c r="A340" s="18"/>
      <c r="B340" s="19"/>
    </row>
    <row r="341" spans="1:2" ht="13.15">
      <c r="A341" s="18"/>
      <c r="B341" s="19"/>
    </row>
    <row r="342" spans="1:2" ht="13.15">
      <c r="A342" s="18"/>
      <c r="B342" s="19"/>
    </row>
    <row r="343" spans="1:2" ht="13.15">
      <c r="A343" s="18"/>
      <c r="B343" s="19"/>
    </row>
    <row r="344" spans="1:2" ht="13.15">
      <c r="A344" s="18"/>
      <c r="B344" s="19"/>
    </row>
    <row r="345" spans="1:2" ht="13.15">
      <c r="A345" s="18"/>
      <c r="B345" s="19"/>
    </row>
    <row r="346" spans="1:2" ht="13.15">
      <c r="A346" s="18"/>
      <c r="B346" s="19"/>
    </row>
    <row r="347" spans="1:2" ht="13.15">
      <c r="A347" s="18"/>
      <c r="B347" s="19"/>
    </row>
    <row r="348" spans="1:2" ht="13.15">
      <c r="A348" s="18"/>
      <c r="B348" s="19"/>
    </row>
    <row r="349" spans="1:2" ht="13.15">
      <c r="A349" s="18"/>
      <c r="B349" s="19"/>
    </row>
    <row r="350" spans="1:2" ht="13.15">
      <c r="A350" s="18"/>
      <c r="B350" s="19"/>
    </row>
    <row r="351" spans="1:2" ht="13.15">
      <c r="A351" s="18"/>
      <c r="B351" s="19"/>
    </row>
    <row r="352" spans="1:2" ht="13.15">
      <c r="A352" s="18"/>
      <c r="B352" s="19"/>
    </row>
    <row r="353" spans="1:2" ht="13.15">
      <c r="A353" s="18"/>
      <c r="B353" s="19"/>
    </row>
    <row r="354" spans="1:2" ht="13.15">
      <c r="A354" s="18"/>
      <c r="B354" s="19"/>
    </row>
    <row r="355" spans="1:2" ht="13.15">
      <c r="A355" s="18"/>
      <c r="B355" s="19"/>
    </row>
    <row r="356" spans="1:2" ht="13.15">
      <c r="A356" s="18"/>
      <c r="B356" s="19"/>
    </row>
    <row r="357" spans="1:2" ht="13.15">
      <c r="A357" s="18"/>
      <c r="B357" s="19"/>
    </row>
    <row r="358" spans="1:2" ht="13.15">
      <c r="A358" s="18"/>
      <c r="B358" s="19"/>
    </row>
    <row r="359" spans="1:2" ht="13.15">
      <c r="A359" s="18"/>
      <c r="B359" s="19"/>
    </row>
    <row r="360" spans="1:2" ht="13.15">
      <c r="A360" s="18"/>
      <c r="B360" s="19"/>
    </row>
    <row r="361" spans="1:2" ht="13.15">
      <c r="A361" s="18"/>
      <c r="B361" s="19"/>
    </row>
    <row r="362" spans="1:2" ht="13.15">
      <c r="A362" s="18"/>
      <c r="B362" s="19"/>
    </row>
    <row r="363" spans="1:2" ht="13.15">
      <c r="A363" s="18"/>
      <c r="B363" s="19"/>
    </row>
    <row r="364" spans="1:2" ht="13.15">
      <c r="A364" s="18"/>
      <c r="B364" s="19"/>
    </row>
    <row r="365" spans="1:2" ht="13.15">
      <c r="A365" s="18"/>
      <c r="B365" s="19"/>
    </row>
    <row r="366" spans="1:2" ht="13.15">
      <c r="A366" s="18"/>
      <c r="B366" s="19"/>
    </row>
    <row r="367" spans="1:2" ht="13.15">
      <c r="A367" s="18"/>
      <c r="B367" s="19"/>
    </row>
    <row r="368" spans="1:2" ht="13.15">
      <c r="A368" s="18"/>
      <c r="B368" s="19"/>
    </row>
    <row r="369" spans="1:2" ht="13.15">
      <c r="A369" s="18"/>
      <c r="B369" s="19"/>
    </row>
    <row r="370" spans="1:2" ht="13.15">
      <c r="A370" s="18"/>
      <c r="B370" s="19"/>
    </row>
    <row r="371" spans="1:2" ht="13.15">
      <c r="A371" s="18"/>
      <c r="B371" s="19"/>
    </row>
    <row r="372" spans="1:2" ht="13.15">
      <c r="A372" s="18"/>
      <c r="B372" s="19"/>
    </row>
    <row r="373" spans="1:2" ht="13.15">
      <c r="A373" s="18"/>
      <c r="B373" s="19"/>
    </row>
    <row r="374" spans="1:2" ht="13.15">
      <c r="A374" s="18"/>
      <c r="B374" s="19"/>
    </row>
    <row r="375" spans="1:2" ht="13.15">
      <c r="A375" s="18"/>
      <c r="B375" s="19"/>
    </row>
    <row r="376" spans="1:2" ht="13.15">
      <c r="A376" s="18"/>
      <c r="B376" s="19"/>
    </row>
    <row r="377" spans="1:2" ht="13.15">
      <c r="A377" s="18"/>
      <c r="B377" s="19"/>
    </row>
    <row r="378" spans="1:2" ht="13.15">
      <c r="A378" s="18"/>
      <c r="B378" s="19"/>
    </row>
    <row r="379" spans="1:2" ht="13.15">
      <c r="A379" s="18"/>
      <c r="B379" s="19"/>
    </row>
    <row r="380" spans="1:2" ht="13.15">
      <c r="A380" s="18"/>
      <c r="B380" s="19"/>
    </row>
    <row r="381" spans="1:2" ht="13.15">
      <c r="A381" s="18"/>
      <c r="B381" s="19"/>
    </row>
    <row r="382" spans="1:2" ht="13.15">
      <c r="A382" s="18"/>
      <c r="B382" s="19"/>
    </row>
    <row r="383" spans="1:2" ht="13.15">
      <c r="A383" s="18"/>
      <c r="B383" s="19"/>
    </row>
    <row r="384" spans="1:2" ht="13.15">
      <c r="A384" s="18"/>
      <c r="B384" s="19"/>
    </row>
    <row r="385" spans="1:2" ht="13.15">
      <c r="A385" s="18"/>
      <c r="B385" s="19"/>
    </row>
    <row r="386" spans="1:2" ht="13.15">
      <c r="A386" s="18"/>
      <c r="B386" s="19"/>
    </row>
    <row r="387" spans="1:2" ht="13.15">
      <c r="A387" s="18"/>
      <c r="B387" s="19"/>
    </row>
    <row r="388" spans="1:2" ht="13.15">
      <c r="A388" s="18"/>
      <c r="B388" s="19"/>
    </row>
    <row r="389" spans="1:2" ht="13.15">
      <c r="A389" s="18"/>
      <c r="B389" s="19"/>
    </row>
    <row r="390" spans="1:2" ht="13.15">
      <c r="A390" s="18"/>
      <c r="B390" s="19"/>
    </row>
    <row r="391" spans="1:2" ht="13.15">
      <c r="A391" s="18"/>
      <c r="B391" s="19"/>
    </row>
    <row r="392" spans="1:2" ht="13.15">
      <c r="A392" s="18"/>
      <c r="B392" s="19"/>
    </row>
    <row r="393" spans="1:2" ht="13.15">
      <c r="A393" s="18"/>
      <c r="B393" s="19"/>
    </row>
    <row r="394" spans="1:2" ht="13.15">
      <c r="A394" s="18"/>
      <c r="B394" s="19"/>
    </row>
    <row r="395" spans="1:2" ht="13.15">
      <c r="A395" s="18"/>
      <c r="B395" s="19"/>
    </row>
    <row r="396" spans="1:2" ht="13.15">
      <c r="A396" s="18"/>
      <c r="B396" s="19"/>
    </row>
    <row r="397" spans="1:2" ht="13.15">
      <c r="A397" s="18"/>
      <c r="B397" s="19"/>
    </row>
    <row r="398" spans="1:2" ht="13.15">
      <c r="A398" s="18"/>
      <c r="B398" s="19"/>
    </row>
    <row r="399" spans="1:2" ht="13.15">
      <c r="A399" s="18"/>
      <c r="B399" s="19"/>
    </row>
    <row r="400" spans="1:2" ht="13.15">
      <c r="A400" s="18"/>
      <c r="B400" s="19"/>
    </row>
    <row r="401" spans="1:2" ht="13.15">
      <c r="A401" s="18"/>
      <c r="B401" s="19"/>
    </row>
    <row r="402" spans="1:2" ht="13.15">
      <c r="A402" s="18"/>
      <c r="B402" s="19"/>
    </row>
    <row r="403" spans="1:2" ht="13.15">
      <c r="A403" s="18"/>
      <c r="B403" s="19"/>
    </row>
    <row r="404" spans="1:2" ht="13.15">
      <c r="A404" s="18"/>
      <c r="B404" s="19"/>
    </row>
    <row r="405" spans="1:2" ht="13.15">
      <c r="A405" s="18"/>
      <c r="B405" s="19"/>
    </row>
    <row r="406" spans="1:2" ht="13.15">
      <c r="A406" s="18"/>
      <c r="B406" s="19"/>
    </row>
    <row r="407" spans="1:2" ht="13.15">
      <c r="A407" s="18"/>
      <c r="B407" s="19"/>
    </row>
    <row r="408" spans="1:2" ht="13.15">
      <c r="A408" s="18"/>
      <c r="B408" s="19"/>
    </row>
    <row r="409" spans="1:2" ht="13.15">
      <c r="A409" s="18"/>
      <c r="B409" s="19"/>
    </row>
    <row r="410" spans="1:2" ht="13.15">
      <c r="A410" s="18"/>
      <c r="B410" s="19"/>
    </row>
    <row r="411" spans="1:2" ht="13.15">
      <c r="A411" s="18"/>
      <c r="B411" s="19"/>
    </row>
    <row r="412" spans="1:2" ht="13.15">
      <c r="A412" s="18"/>
      <c r="B412" s="19"/>
    </row>
    <row r="413" spans="1:2" ht="13.15">
      <c r="A413" s="18"/>
      <c r="B413" s="19"/>
    </row>
    <row r="414" spans="1:2" ht="13.15">
      <c r="A414" s="18"/>
      <c r="B414" s="19"/>
    </row>
    <row r="415" spans="1:2" ht="13.15">
      <c r="A415" s="18"/>
      <c r="B415" s="19"/>
    </row>
    <row r="416" spans="1:2" ht="13.15">
      <c r="A416" s="18"/>
      <c r="B416" s="19"/>
    </row>
    <row r="417" spans="1:2" ht="13.15">
      <c r="A417" s="18"/>
      <c r="B417" s="19"/>
    </row>
    <row r="418" spans="1:2" ht="13.15">
      <c r="A418" s="18"/>
      <c r="B418" s="19"/>
    </row>
    <row r="419" spans="1:2" ht="13.15">
      <c r="A419" s="18"/>
      <c r="B419" s="19"/>
    </row>
    <row r="420" spans="1:2" ht="13.15">
      <c r="A420" s="18"/>
      <c r="B420" s="19"/>
    </row>
    <row r="421" spans="1:2" ht="13.15">
      <c r="A421" s="18"/>
      <c r="B421" s="19"/>
    </row>
    <row r="422" spans="1:2" ht="13.15">
      <c r="A422" s="18"/>
      <c r="B422" s="19"/>
    </row>
    <row r="423" spans="1:2" ht="13.15">
      <c r="A423" s="18"/>
      <c r="B423" s="19"/>
    </row>
    <row r="424" spans="1:2" ht="13.15">
      <c r="A424" s="18"/>
      <c r="B424" s="19"/>
    </row>
    <row r="425" spans="1:2" ht="13.15">
      <c r="A425" s="18"/>
      <c r="B425" s="19"/>
    </row>
    <row r="426" spans="1:2" ht="13.15">
      <c r="A426" s="18"/>
      <c r="B426" s="19"/>
    </row>
    <row r="427" spans="1:2" ht="13.15">
      <c r="A427" s="18"/>
      <c r="B427" s="19"/>
    </row>
    <row r="428" spans="1:2" ht="13.15">
      <c r="A428" s="18"/>
      <c r="B428" s="19"/>
    </row>
    <row r="429" spans="1:2" ht="13.15">
      <c r="A429" s="18"/>
      <c r="B429" s="19"/>
    </row>
    <row r="430" spans="1:2" ht="13.15">
      <c r="A430" s="18"/>
      <c r="B430" s="19"/>
    </row>
    <row r="431" spans="1:2" ht="13.15">
      <c r="A431" s="18"/>
      <c r="B431" s="19"/>
    </row>
    <row r="432" spans="1:2" ht="13.15">
      <c r="A432" s="18"/>
      <c r="B432" s="19"/>
    </row>
    <row r="433" spans="1:2" ht="13.15">
      <c r="A433" s="18"/>
      <c r="B433" s="19"/>
    </row>
    <row r="434" spans="1:2" ht="13.15">
      <c r="A434" s="18"/>
      <c r="B434" s="19"/>
    </row>
    <row r="435" spans="1:2" ht="13.15">
      <c r="A435" s="18"/>
      <c r="B435" s="19"/>
    </row>
    <row r="436" spans="1:2" ht="13.15">
      <c r="A436" s="18"/>
      <c r="B436" s="19"/>
    </row>
    <row r="437" spans="1:2" ht="13.15">
      <c r="A437" s="18"/>
      <c r="B437" s="19"/>
    </row>
    <row r="438" spans="1:2" ht="13.15">
      <c r="A438" s="18"/>
      <c r="B438" s="19"/>
    </row>
    <row r="439" spans="1:2" ht="13.15">
      <c r="A439" s="18"/>
      <c r="B439" s="19"/>
    </row>
    <row r="440" spans="1:2" ht="13.15">
      <c r="A440" s="18"/>
      <c r="B440" s="19"/>
    </row>
    <row r="441" spans="1:2" ht="13.15">
      <c r="A441" s="18"/>
      <c r="B441" s="19"/>
    </row>
    <row r="442" spans="1:2" ht="13.15">
      <c r="A442" s="18"/>
      <c r="B442" s="19"/>
    </row>
    <row r="443" spans="1:2" ht="13.15">
      <c r="A443" s="18"/>
      <c r="B443" s="19"/>
    </row>
    <row r="444" spans="1:2" ht="13.15">
      <c r="A444" s="18"/>
      <c r="B444" s="19"/>
    </row>
    <row r="445" spans="1:2" ht="13.15">
      <c r="A445" s="18"/>
      <c r="B445" s="19"/>
    </row>
    <row r="446" spans="1:2" ht="13.15">
      <c r="A446" s="18"/>
      <c r="B446" s="19"/>
    </row>
    <row r="447" spans="1:2" ht="13.15">
      <c r="A447" s="18"/>
      <c r="B447" s="19"/>
    </row>
    <row r="448" spans="1:2" ht="13.15">
      <c r="A448" s="18"/>
      <c r="B448" s="19"/>
    </row>
    <row r="449" spans="1:2" ht="13.15">
      <c r="A449" s="18"/>
      <c r="B449" s="19"/>
    </row>
    <row r="450" spans="1:2" ht="13.15">
      <c r="A450" s="18"/>
      <c r="B450" s="19"/>
    </row>
    <row r="451" spans="1:2" ht="13.15">
      <c r="A451" s="18"/>
      <c r="B451" s="19"/>
    </row>
    <row r="452" spans="1:2" ht="13.15">
      <c r="A452" s="18"/>
      <c r="B452" s="19"/>
    </row>
    <row r="453" spans="1:2" ht="13.15">
      <c r="A453" s="18"/>
      <c r="B453" s="19"/>
    </row>
    <row r="454" spans="1:2" ht="13.15">
      <c r="A454" s="18"/>
      <c r="B454" s="19"/>
    </row>
    <row r="455" spans="1:2" ht="13.15">
      <c r="A455" s="18"/>
      <c r="B455" s="19"/>
    </row>
    <row r="456" spans="1:2" ht="13.15">
      <c r="A456" s="18"/>
      <c r="B456" s="19"/>
    </row>
    <row r="457" spans="1:2" ht="13.15">
      <c r="A457" s="18"/>
      <c r="B457" s="19"/>
    </row>
    <row r="458" spans="1:2" ht="13.15">
      <c r="A458" s="18"/>
      <c r="B458" s="19"/>
    </row>
    <row r="459" spans="1:2" ht="13.15">
      <c r="A459" s="18"/>
      <c r="B459" s="19"/>
    </row>
    <row r="460" spans="1:2" ht="13.15">
      <c r="A460" s="18"/>
      <c r="B460" s="19"/>
    </row>
    <row r="461" spans="1:2" ht="13.15">
      <c r="A461" s="18"/>
      <c r="B461" s="19"/>
    </row>
    <row r="462" spans="1:2" ht="13.15">
      <c r="A462" s="18"/>
      <c r="B462" s="19"/>
    </row>
    <row r="463" spans="1:2" ht="13.15">
      <c r="A463" s="18"/>
      <c r="B463" s="19"/>
    </row>
    <row r="464" spans="1:2" ht="13.15">
      <c r="A464" s="18"/>
      <c r="B464" s="19"/>
    </row>
    <row r="465" spans="1:2" ht="13.15">
      <c r="A465" s="18"/>
      <c r="B465" s="19"/>
    </row>
    <row r="466" spans="1:2" ht="13.15">
      <c r="A466" s="18"/>
      <c r="B466" s="19"/>
    </row>
    <row r="467" spans="1:2" ht="13.15">
      <c r="A467" s="18"/>
      <c r="B467" s="19"/>
    </row>
    <row r="468" spans="1:2" ht="13.15">
      <c r="A468" s="18"/>
      <c r="B468" s="19"/>
    </row>
    <row r="469" spans="1:2" ht="13.15">
      <c r="A469" s="18"/>
      <c r="B469" s="19"/>
    </row>
    <row r="470" spans="1:2" ht="13.15">
      <c r="A470" s="18"/>
      <c r="B470" s="19"/>
    </row>
    <row r="471" spans="1:2" ht="13.15">
      <c r="A471" s="18"/>
      <c r="B471" s="19"/>
    </row>
    <row r="472" spans="1:2" ht="13.15">
      <c r="A472" s="18"/>
      <c r="B472" s="19"/>
    </row>
    <row r="473" spans="1:2" ht="13.15">
      <c r="A473" s="18"/>
      <c r="B473" s="19"/>
    </row>
    <row r="474" spans="1:2" ht="13.15">
      <c r="A474" s="18"/>
      <c r="B474" s="19"/>
    </row>
    <row r="475" spans="1:2" ht="13.15">
      <c r="A475" s="18"/>
      <c r="B475" s="19"/>
    </row>
    <row r="476" spans="1:2" ht="13.15">
      <c r="A476" s="18"/>
      <c r="B476" s="19"/>
    </row>
    <row r="477" spans="1:2" ht="13.15">
      <c r="A477" s="18"/>
      <c r="B477" s="19"/>
    </row>
    <row r="478" spans="1:2" ht="13.15">
      <c r="A478" s="18"/>
      <c r="B478" s="19"/>
    </row>
    <row r="479" spans="1:2" ht="13.15">
      <c r="A479" s="18"/>
      <c r="B479" s="19"/>
    </row>
    <row r="480" spans="1:2" ht="13.15">
      <c r="A480" s="18"/>
      <c r="B480" s="19"/>
    </row>
    <row r="481" spans="1:2" ht="13.15">
      <c r="A481" s="18"/>
      <c r="B481" s="19"/>
    </row>
    <row r="482" spans="1:2" ht="13.15">
      <c r="A482" s="18"/>
      <c r="B482" s="19"/>
    </row>
    <row r="483" spans="1:2" ht="13.15">
      <c r="A483" s="18"/>
      <c r="B483" s="19"/>
    </row>
    <row r="484" spans="1:2" ht="13.15">
      <c r="A484" s="18"/>
      <c r="B484" s="19"/>
    </row>
    <row r="485" spans="1:2" ht="13.15">
      <c r="A485" s="18"/>
      <c r="B485" s="19"/>
    </row>
    <row r="486" spans="1:2" ht="13.15">
      <c r="A486" s="18"/>
      <c r="B486" s="19"/>
    </row>
    <row r="487" spans="1:2" ht="13.15">
      <c r="A487" s="18"/>
      <c r="B487" s="19"/>
    </row>
    <row r="488" spans="1:2" ht="13.15">
      <c r="A488" s="18"/>
      <c r="B488" s="19"/>
    </row>
    <row r="489" spans="1:2" ht="13.15">
      <c r="A489" s="18"/>
      <c r="B489" s="19"/>
    </row>
    <row r="490" spans="1:2" ht="13.15">
      <c r="A490" s="18"/>
      <c r="B490" s="19"/>
    </row>
    <row r="491" spans="1:2" ht="13.15">
      <c r="A491" s="18"/>
      <c r="B491" s="19"/>
    </row>
    <row r="492" spans="1:2" ht="13.15">
      <c r="A492" s="18"/>
      <c r="B492" s="19"/>
    </row>
    <row r="493" spans="1:2" ht="13.15">
      <c r="A493" s="18"/>
      <c r="B493" s="19"/>
    </row>
    <row r="494" spans="1:2" ht="13.15">
      <c r="A494" s="18"/>
      <c r="B494" s="19"/>
    </row>
    <row r="495" spans="1:2" ht="13.15">
      <c r="A495" s="18"/>
      <c r="B495" s="19"/>
    </row>
    <row r="496" spans="1:2" ht="13.15">
      <c r="A496" s="18"/>
      <c r="B496" s="19"/>
    </row>
    <row r="497" spans="1:2" ht="13.15">
      <c r="A497" s="18"/>
      <c r="B497" s="19"/>
    </row>
    <row r="498" spans="1:2" ht="13.15">
      <c r="A498" s="18"/>
      <c r="B498" s="19"/>
    </row>
    <row r="499" spans="1:2" ht="13.15">
      <c r="A499" s="18"/>
      <c r="B499" s="19"/>
    </row>
    <row r="500" spans="1:2" ht="13.15">
      <c r="A500" s="18"/>
      <c r="B500" s="19"/>
    </row>
    <row r="501" spans="1:2" ht="13.15">
      <c r="A501" s="18"/>
      <c r="B501" s="19"/>
    </row>
    <row r="502" spans="1:2" ht="13.15">
      <c r="A502" s="18"/>
      <c r="B502" s="19"/>
    </row>
    <row r="503" spans="1:2" ht="13.15">
      <c r="A503" s="18"/>
      <c r="B503" s="19"/>
    </row>
    <row r="504" spans="1:2" ht="13.15">
      <c r="A504" s="18"/>
      <c r="B504" s="19"/>
    </row>
    <row r="505" spans="1:2" ht="13.15">
      <c r="A505" s="18"/>
      <c r="B505" s="19"/>
    </row>
    <row r="506" spans="1:2" ht="13.15">
      <c r="A506" s="18"/>
      <c r="B506" s="19"/>
    </row>
    <row r="507" spans="1:2" ht="13.15">
      <c r="A507" s="18"/>
      <c r="B507" s="19"/>
    </row>
    <row r="508" spans="1:2" ht="13.15">
      <c r="A508" s="18"/>
      <c r="B508" s="19"/>
    </row>
    <row r="509" spans="1:2" ht="13.15">
      <c r="A509" s="18"/>
      <c r="B509" s="19"/>
    </row>
    <row r="510" spans="1:2" ht="13.15">
      <c r="A510" s="18"/>
      <c r="B510" s="19"/>
    </row>
    <row r="511" spans="1:2" ht="13.15">
      <c r="A511" s="18"/>
      <c r="B511" s="19"/>
    </row>
    <row r="512" spans="1:2" ht="13.15">
      <c r="A512" s="18"/>
      <c r="B512" s="19"/>
    </row>
    <row r="513" spans="1:2" ht="13.15">
      <c r="A513" s="18"/>
      <c r="B513" s="19"/>
    </row>
    <row r="514" spans="1:2" ht="13.15">
      <c r="A514" s="18"/>
      <c r="B514" s="19"/>
    </row>
    <row r="515" spans="1:2" ht="13.15">
      <c r="A515" s="18"/>
      <c r="B515" s="19"/>
    </row>
    <row r="516" spans="1:2" ht="13.15">
      <c r="A516" s="18"/>
      <c r="B516" s="19"/>
    </row>
    <row r="517" spans="1:2" ht="13.15">
      <c r="A517" s="18"/>
      <c r="B517" s="19"/>
    </row>
    <row r="518" spans="1:2" ht="13.15">
      <c r="A518" s="18"/>
      <c r="B518" s="19"/>
    </row>
    <row r="519" spans="1:2" ht="13.15">
      <c r="A519" s="18"/>
      <c r="B519" s="19"/>
    </row>
    <row r="520" spans="1:2" ht="13.15">
      <c r="A520" s="18"/>
      <c r="B520" s="19"/>
    </row>
    <row r="521" spans="1:2" ht="13.15">
      <c r="A521" s="18"/>
      <c r="B521" s="19"/>
    </row>
    <row r="522" spans="1:2" ht="13.15">
      <c r="A522" s="18"/>
      <c r="B522" s="19"/>
    </row>
    <row r="523" spans="1:2" ht="13.15">
      <c r="A523" s="18"/>
      <c r="B523" s="19"/>
    </row>
    <row r="524" spans="1:2" ht="13.15">
      <c r="A524" s="18"/>
      <c r="B524" s="19"/>
    </row>
    <row r="525" spans="1:2" ht="13.15">
      <c r="A525" s="18"/>
      <c r="B525" s="19"/>
    </row>
    <row r="526" spans="1:2" ht="13.15">
      <c r="A526" s="18"/>
      <c r="B526" s="19"/>
    </row>
    <row r="527" spans="1:2" ht="13.15">
      <c r="A527" s="18"/>
      <c r="B527" s="19"/>
    </row>
    <row r="528" spans="1:2" ht="13.15">
      <c r="A528" s="18"/>
      <c r="B528" s="19"/>
    </row>
    <row r="529" spans="1:2" ht="13.15">
      <c r="A529" s="18"/>
      <c r="B529" s="19"/>
    </row>
    <row r="530" spans="1:2" ht="13.15">
      <c r="A530" s="18"/>
      <c r="B530" s="19"/>
    </row>
    <row r="531" spans="1:2" ht="13.15">
      <c r="A531" s="18"/>
      <c r="B531" s="19"/>
    </row>
    <row r="532" spans="1:2" ht="13.15">
      <c r="A532" s="18"/>
      <c r="B532" s="19"/>
    </row>
    <row r="533" spans="1:2" ht="13.15">
      <c r="A533" s="18"/>
      <c r="B533" s="19"/>
    </row>
    <row r="534" spans="1:2" ht="13.15">
      <c r="A534" s="18"/>
      <c r="B534" s="19"/>
    </row>
    <row r="535" spans="1:2" ht="13.15">
      <c r="A535" s="18"/>
      <c r="B535" s="19"/>
    </row>
    <row r="536" spans="1:2" ht="13.15">
      <c r="A536" s="18"/>
      <c r="B536" s="19"/>
    </row>
    <row r="537" spans="1:2" ht="13.15">
      <c r="A537" s="18"/>
      <c r="B537" s="19"/>
    </row>
    <row r="538" spans="1:2" ht="13.15">
      <c r="A538" s="18"/>
      <c r="B538" s="19"/>
    </row>
    <row r="539" spans="1:2" ht="13.15">
      <c r="A539" s="18"/>
      <c r="B539" s="19"/>
    </row>
    <row r="540" spans="1:2" ht="13.15">
      <c r="A540" s="18"/>
      <c r="B540" s="19"/>
    </row>
    <row r="541" spans="1:2" ht="13.15">
      <c r="A541" s="18"/>
      <c r="B541" s="19"/>
    </row>
    <row r="542" spans="1:2" ht="13.15">
      <c r="A542" s="18"/>
      <c r="B542" s="19"/>
    </row>
    <row r="543" spans="1:2" ht="13.15">
      <c r="A543" s="18"/>
      <c r="B543" s="19"/>
    </row>
    <row r="544" spans="1:2" ht="13.15">
      <c r="A544" s="18"/>
      <c r="B544" s="19"/>
    </row>
    <row r="545" spans="1:2" ht="13.15">
      <c r="A545" s="18"/>
      <c r="B545" s="19"/>
    </row>
    <row r="546" spans="1:2" ht="13.15">
      <c r="A546" s="18"/>
      <c r="B546" s="19"/>
    </row>
    <row r="547" spans="1:2" ht="13.15">
      <c r="A547" s="18"/>
      <c r="B547" s="19"/>
    </row>
    <row r="548" spans="1:2" ht="13.15">
      <c r="A548" s="18"/>
      <c r="B548" s="19"/>
    </row>
    <row r="549" spans="1:2" ht="13.15">
      <c r="A549" s="18"/>
      <c r="B549" s="19"/>
    </row>
    <row r="550" spans="1:2" ht="13.15">
      <c r="A550" s="18"/>
      <c r="B550" s="19"/>
    </row>
    <row r="551" spans="1:2" ht="13.15">
      <c r="A551" s="18"/>
      <c r="B551" s="19"/>
    </row>
    <row r="552" spans="1:2" ht="13.15">
      <c r="A552" s="18"/>
      <c r="B552" s="19"/>
    </row>
    <row r="553" spans="1:2" ht="13.15">
      <c r="A553" s="18"/>
      <c r="B553" s="19"/>
    </row>
    <row r="554" spans="1:2" ht="13.15">
      <c r="A554" s="18"/>
      <c r="B554" s="19"/>
    </row>
    <row r="555" spans="1:2" ht="13.15">
      <c r="A555" s="18"/>
      <c r="B555" s="19"/>
    </row>
    <row r="556" spans="1:2" ht="13.15">
      <c r="A556" s="18"/>
      <c r="B556" s="19"/>
    </row>
    <row r="557" spans="1:2" ht="13.15">
      <c r="A557" s="18"/>
      <c r="B557" s="19"/>
    </row>
    <row r="558" spans="1:2" ht="13.15">
      <c r="A558" s="18"/>
      <c r="B558" s="19"/>
    </row>
    <row r="559" spans="1:2" ht="13.15">
      <c r="A559" s="18"/>
      <c r="B559" s="19"/>
    </row>
    <row r="560" spans="1:2" ht="13.15">
      <c r="A560" s="18"/>
      <c r="B560" s="19"/>
    </row>
    <row r="561" spans="1:2" ht="13.15">
      <c r="A561" s="18"/>
      <c r="B561" s="19"/>
    </row>
    <row r="562" spans="1:2" ht="13.15">
      <c r="A562" s="18"/>
      <c r="B562" s="19"/>
    </row>
    <row r="563" spans="1:2" ht="13.15">
      <c r="A563" s="18"/>
      <c r="B563" s="19"/>
    </row>
    <row r="564" spans="1:2" ht="13.15">
      <c r="A564" s="18"/>
      <c r="B564" s="19"/>
    </row>
    <row r="565" spans="1:2" ht="13.15">
      <c r="A565" s="18"/>
      <c r="B565" s="19"/>
    </row>
    <row r="566" spans="1:2" ht="13.15">
      <c r="A566" s="18"/>
      <c r="B566" s="19"/>
    </row>
    <row r="567" spans="1:2" ht="13.15">
      <c r="A567" s="18"/>
      <c r="B567" s="19"/>
    </row>
    <row r="568" spans="1:2" ht="13.15">
      <c r="A568" s="18"/>
      <c r="B568" s="19"/>
    </row>
    <row r="569" spans="1:2" ht="13.15">
      <c r="A569" s="18"/>
      <c r="B569" s="19"/>
    </row>
    <row r="570" spans="1:2" ht="13.15">
      <c r="A570" s="18"/>
      <c r="B570" s="19"/>
    </row>
    <row r="571" spans="1:2" ht="13.15">
      <c r="A571" s="18"/>
      <c r="B571" s="19"/>
    </row>
    <row r="572" spans="1:2" ht="13.15">
      <c r="A572" s="18"/>
      <c r="B572" s="19"/>
    </row>
    <row r="573" spans="1:2" ht="13.15">
      <c r="A573" s="18"/>
      <c r="B573" s="19"/>
    </row>
    <row r="574" spans="1:2" ht="13.15">
      <c r="A574" s="18"/>
      <c r="B574" s="19"/>
    </row>
    <row r="575" spans="1:2" ht="13.15">
      <c r="A575" s="18"/>
      <c r="B575" s="19"/>
    </row>
    <row r="576" spans="1:2" ht="13.15">
      <c r="A576" s="18"/>
      <c r="B576" s="19"/>
    </row>
    <row r="577" spans="1:2" ht="13.15">
      <c r="A577" s="18"/>
      <c r="B577" s="19"/>
    </row>
    <row r="578" spans="1:2" ht="13.15">
      <c r="A578" s="18"/>
      <c r="B578" s="19"/>
    </row>
    <row r="579" spans="1:2" ht="13.15">
      <c r="A579" s="18"/>
      <c r="B579" s="19"/>
    </row>
    <row r="580" spans="1:2" ht="13.15">
      <c r="A580" s="18"/>
      <c r="B580" s="19"/>
    </row>
    <row r="581" spans="1:2" ht="13.15">
      <c r="A581" s="18"/>
      <c r="B581" s="19"/>
    </row>
    <row r="582" spans="1:2" ht="13.15">
      <c r="A582" s="18"/>
      <c r="B582" s="19"/>
    </row>
    <row r="583" spans="1:2" ht="13.15">
      <c r="A583" s="18"/>
      <c r="B583" s="19"/>
    </row>
    <row r="584" spans="1:2" ht="13.15">
      <c r="A584" s="18"/>
      <c r="B584" s="19"/>
    </row>
    <row r="585" spans="1:2" ht="13.15">
      <c r="A585" s="18"/>
      <c r="B585" s="19"/>
    </row>
    <row r="586" spans="1:2" ht="13.15">
      <c r="A586" s="18"/>
      <c r="B586" s="19"/>
    </row>
    <row r="587" spans="1:2" ht="13.15">
      <c r="A587" s="18"/>
      <c r="B587" s="19"/>
    </row>
    <row r="588" spans="1:2" ht="13.15">
      <c r="A588" s="18"/>
      <c r="B588" s="19"/>
    </row>
    <row r="589" spans="1:2" ht="13.15">
      <c r="A589" s="18"/>
      <c r="B589" s="19"/>
    </row>
    <row r="590" spans="1:2" ht="13.15">
      <c r="A590" s="18"/>
      <c r="B590" s="19"/>
    </row>
    <row r="591" spans="1:2" ht="13.15">
      <c r="A591" s="18"/>
      <c r="B591" s="19"/>
    </row>
    <row r="592" spans="1:2" ht="13.15">
      <c r="A592" s="18"/>
      <c r="B592" s="19"/>
    </row>
    <row r="593" spans="1:2" ht="13.15">
      <c r="A593" s="18"/>
      <c r="B593" s="19"/>
    </row>
    <row r="594" spans="1:2" ht="13.15">
      <c r="A594" s="18"/>
      <c r="B594" s="19"/>
    </row>
    <row r="595" spans="1:2" ht="13.15">
      <c r="A595" s="18"/>
      <c r="B595" s="19"/>
    </row>
    <row r="596" spans="1:2" ht="13.15">
      <c r="A596" s="18"/>
      <c r="B596" s="19"/>
    </row>
    <row r="597" spans="1:2" ht="13.15">
      <c r="A597" s="18"/>
      <c r="B597" s="19"/>
    </row>
    <row r="598" spans="1:2" ht="13.15">
      <c r="A598" s="18"/>
      <c r="B598" s="19"/>
    </row>
    <row r="599" spans="1:2" ht="13.15">
      <c r="A599" s="18"/>
      <c r="B599" s="19"/>
    </row>
    <row r="600" spans="1:2" ht="13.15">
      <c r="A600" s="18"/>
      <c r="B600" s="19"/>
    </row>
    <row r="601" spans="1:2" ht="13.15">
      <c r="A601" s="18"/>
      <c r="B601" s="19"/>
    </row>
    <row r="602" spans="1:2" ht="13.15">
      <c r="A602" s="18"/>
      <c r="B602" s="19"/>
    </row>
    <row r="603" spans="1:2" ht="13.15">
      <c r="A603" s="18"/>
      <c r="B603" s="19"/>
    </row>
    <row r="604" spans="1:2" ht="13.15">
      <c r="A604" s="18"/>
      <c r="B604" s="19"/>
    </row>
    <row r="605" spans="1:2" ht="13.15">
      <c r="A605" s="18"/>
      <c r="B605" s="19"/>
    </row>
    <row r="606" spans="1:2" ht="13.15">
      <c r="A606" s="18"/>
      <c r="B606" s="19"/>
    </row>
    <row r="607" spans="1:2" ht="13.15">
      <c r="A607" s="18"/>
      <c r="B607" s="19"/>
    </row>
    <row r="608" spans="1:2" ht="13.15">
      <c r="A608" s="18"/>
      <c r="B608" s="19"/>
    </row>
    <row r="609" spans="1:2" ht="13.15">
      <c r="A609" s="18"/>
      <c r="B609" s="19"/>
    </row>
    <row r="610" spans="1:2" ht="13.15">
      <c r="A610" s="18"/>
      <c r="B610" s="19"/>
    </row>
    <row r="611" spans="1:2" ht="13.15">
      <c r="A611" s="18"/>
      <c r="B611" s="19"/>
    </row>
    <row r="612" spans="1:2" ht="13.15">
      <c r="A612" s="18"/>
      <c r="B612" s="19"/>
    </row>
    <row r="613" spans="1:2" ht="13.15">
      <c r="A613" s="18"/>
      <c r="B613" s="19"/>
    </row>
    <row r="614" spans="1:2" ht="13.15">
      <c r="A614" s="18"/>
      <c r="B614" s="19"/>
    </row>
    <row r="615" spans="1:2" ht="13.15">
      <c r="A615" s="18"/>
      <c r="B615" s="19"/>
    </row>
    <row r="616" spans="1:2" ht="13.15">
      <c r="A616" s="18"/>
      <c r="B616" s="19"/>
    </row>
    <row r="617" spans="1:2" ht="13.15">
      <c r="A617" s="18"/>
      <c r="B617" s="19"/>
    </row>
    <row r="618" spans="1:2" ht="13.15">
      <c r="A618" s="18"/>
      <c r="B618" s="19"/>
    </row>
    <row r="619" spans="1:2" ht="13.15">
      <c r="A619" s="18"/>
      <c r="B619" s="19"/>
    </row>
    <row r="620" spans="1:2" ht="13.15">
      <c r="A620" s="18"/>
      <c r="B620" s="19"/>
    </row>
    <row r="621" spans="1:2" ht="13.15">
      <c r="A621" s="18"/>
      <c r="B621" s="19"/>
    </row>
    <row r="622" spans="1:2" ht="13.15">
      <c r="A622" s="18"/>
      <c r="B622" s="19"/>
    </row>
    <row r="623" spans="1:2" ht="13.15">
      <c r="A623" s="18"/>
      <c r="B623" s="19"/>
    </row>
    <row r="624" spans="1:2" ht="13.15">
      <c r="A624" s="18"/>
      <c r="B624" s="19"/>
    </row>
    <row r="625" spans="1:2" ht="13.15">
      <c r="A625" s="18"/>
      <c r="B625" s="19"/>
    </row>
    <row r="626" spans="1:2" ht="13.15">
      <c r="A626" s="18"/>
      <c r="B626" s="19"/>
    </row>
    <row r="627" spans="1:2" ht="13.15">
      <c r="A627" s="18"/>
      <c r="B627" s="19"/>
    </row>
    <row r="628" spans="1:2" ht="13.15">
      <c r="A628" s="18"/>
      <c r="B628" s="19"/>
    </row>
    <row r="629" spans="1:2" ht="13.15">
      <c r="A629" s="18"/>
      <c r="B629" s="19"/>
    </row>
    <row r="630" spans="1:2" ht="13.15">
      <c r="A630" s="18"/>
      <c r="B630" s="19"/>
    </row>
    <row r="631" spans="1:2" ht="13.15">
      <c r="A631" s="18"/>
      <c r="B631" s="19"/>
    </row>
    <row r="632" spans="1:2" ht="13.15">
      <c r="A632" s="18"/>
      <c r="B632" s="19"/>
    </row>
    <row r="633" spans="1:2" ht="13.15">
      <c r="A633" s="18"/>
      <c r="B633" s="19"/>
    </row>
    <row r="634" spans="1:2" ht="13.15">
      <c r="A634" s="18"/>
      <c r="B634" s="19"/>
    </row>
    <row r="635" spans="1:2" ht="13.15">
      <c r="A635" s="18"/>
      <c r="B635" s="19"/>
    </row>
    <row r="636" spans="1:2" ht="13.15">
      <c r="A636" s="18"/>
      <c r="B636" s="19"/>
    </row>
    <row r="637" spans="1:2" ht="13.15">
      <c r="A637" s="18"/>
      <c r="B637" s="19"/>
    </row>
    <row r="638" spans="1:2" ht="13.15">
      <c r="A638" s="18"/>
      <c r="B638" s="19"/>
    </row>
    <row r="639" spans="1:2" ht="13.15">
      <c r="A639" s="18"/>
      <c r="B639" s="19"/>
    </row>
    <row r="640" spans="1:2" ht="13.15">
      <c r="A640" s="18"/>
      <c r="B640" s="19"/>
    </row>
    <row r="641" spans="1:2" ht="13.15">
      <c r="A641" s="18"/>
      <c r="B641" s="19"/>
    </row>
    <row r="642" spans="1:2" ht="13.15">
      <c r="A642" s="18"/>
      <c r="B642" s="19"/>
    </row>
    <row r="643" spans="1:2" ht="13.15">
      <c r="A643" s="18"/>
      <c r="B643" s="19"/>
    </row>
    <row r="644" spans="1:2" ht="13.15">
      <c r="A644" s="18"/>
      <c r="B644" s="19"/>
    </row>
    <row r="645" spans="1:2" ht="13.15">
      <c r="A645" s="18"/>
      <c r="B645" s="19"/>
    </row>
    <row r="646" spans="1:2" ht="13.15">
      <c r="A646" s="18"/>
      <c r="B646" s="19"/>
    </row>
    <row r="647" spans="1:2" ht="13.15">
      <c r="A647" s="18"/>
      <c r="B647" s="19"/>
    </row>
    <row r="648" spans="1:2" ht="13.15">
      <c r="A648" s="18"/>
      <c r="B648" s="19"/>
    </row>
    <row r="649" spans="1:2" ht="13.15">
      <c r="A649" s="18"/>
      <c r="B649" s="19"/>
    </row>
    <row r="650" spans="1:2" ht="13.15">
      <c r="A650" s="18"/>
      <c r="B650" s="19"/>
    </row>
    <row r="651" spans="1:2" ht="13.15">
      <c r="A651" s="18"/>
      <c r="B651" s="19"/>
    </row>
    <row r="652" spans="1:2" ht="13.15">
      <c r="A652" s="18"/>
      <c r="B652" s="19"/>
    </row>
    <row r="653" spans="1:2" ht="13.15">
      <c r="A653" s="18"/>
      <c r="B653" s="19"/>
    </row>
    <row r="654" spans="1:2" ht="13.15">
      <c r="A654" s="18"/>
      <c r="B654" s="19"/>
    </row>
    <row r="655" spans="1:2" ht="13.15">
      <c r="A655" s="18"/>
      <c r="B655" s="19"/>
    </row>
    <row r="656" spans="1:2" ht="13.15">
      <c r="A656" s="18"/>
      <c r="B656" s="19"/>
    </row>
    <row r="657" spans="1:2" ht="13.15">
      <c r="A657" s="18"/>
      <c r="B657" s="19"/>
    </row>
    <row r="658" spans="1:2" ht="13.15">
      <c r="A658" s="18"/>
      <c r="B658" s="19"/>
    </row>
    <row r="659" spans="1:2" ht="13.15">
      <c r="A659" s="18"/>
      <c r="B659" s="19"/>
    </row>
    <row r="660" spans="1:2" ht="13.15">
      <c r="A660" s="18"/>
      <c r="B660" s="19"/>
    </row>
    <row r="661" spans="1:2" ht="13.15">
      <c r="A661" s="18"/>
      <c r="B661" s="19"/>
    </row>
    <row r="662" spans="1:2" ht="13.15">
      <c r="A662" s="18"/>
      <c r="B662" s="19"/>
    </row>
    <row r="663" spans="1:2" ht="13.15">
      <c r="A663" s="18"/>
      <c r="B663" s="19"/>
    </row>
    <row r="664" spans="1:2" ht="13.15">
      <c r="A664" s="18"/>
      <c r="B664" s="19"/>
    </row>
    <row r="665" spans="1:2" ht="13.15">
      <c r="A665" s="18"/>
      <c r="B665" s="19"/>
    </row>
    <row r="666" spans="1:2" ht="13.15">
      <c r="A666" s="18"/>
      <c r="B666" s="19"/>
    </row>
    <row r="667" spans="1:2" ht="13.15">
      <c r="A667" s="18"/>
      <c r="B667" s="19"/>
    </row>
    <row r="668" spans="1:2" ht="13.15">
      <c r="A668" s="18"/>
      <c r="B668" s="19"/>
    </row>
    <row r="669" spans="1:2" ht="13.15">
      <c r="A669" s="18"/>
      <c r="B669" s="19"/>
    </row>
    <row r="670" spans="1:2" ht="13.15">
      <c r="A670" s="18"/>
      <c r="B670" s="19"/>
    </row>
    <row r="671" spans="1:2" ht="13.15">
      <c r="A671" s="18"/>
      <c r="B671" s="19"/>
    </row>
    <row r="672" spans="1:2" ht="13.15">
      <c r="A672" s="18"/>
      <c r="B672" s="19"/>
    </row>
    <row r="673" spans="1:2" ht="13.15">
      <c r="A673" s="18"/>
      <c r="B673" s="19"/>
    </row>
    <row r="674" spans="1:2" ht="13.15">
      <c r="A674" s="18"/>
      <c r="B674" s="19"/>
    </row>
    <row r="675" spans="1:2" ht="13.15">
      <c r="A675" s="18"/>
      <c r="B675" s="19"/>
    </row>
    <row r="676" spans="1:2" ht="13.15">
      <c r="A676" s="18"/>
      <c r="B676" s="19"/>
    </row>
    <row r="677" spans="1:2" ht="13.15">
      <c r="A677" s="18"/>
      <c r="B677" s="19"/>
    </row>
    <row r="678" spans="1:2" ht="13.15">
      <c r="A678" s="18"/>
      <c r="B678" s="19"/>
    </row>
    <row r="679" spans="1:2" ht="13.15">
      <c r="A679" s="18"/>
      <c r="B679" s="19"/>
    </row>
    <row r="680" spans="1:2" ht="13.15">
      <c r="A680" s="18"/>
      <c r="B680" s="19"/>
    </row>
    <row r="681" spans="1:2" ht="13.15">
      <c r="A681" s="18"/>
      <c r="B681" s="19"/>
    </row>
    <row r="682" spans="1:2" ht="13.15">
      <c r="A682" s="18"/>
      <c r="B682" s="19"/>
    </row>
    <row r="683" spans="1:2" ht="13.15">
      <c r="A683" s="18"/>
      <c r="B683" s="19"/>
    </row>
    <row r="684" spans="1:2" ht="13.15">
      <c r="A684" s="18"/>
      <c r="B684" s="19"/>
    </row>
    <row r="685" spans="1:2" ht="13.15">
      <c r="A685" s="18"/>
      <c r="B685" s="19"/>
    </row>
    <row r="686" spans="1:2" ht="13.15">
      <c r="A686" s="18"/>
      <c r="B686" s="19"/>
    </row>
    <row r="687" spans="1:2" ht="13.15">
      <c r="A687" s="18"/>
      <c r="B687" s="19"/>
    </row>
    <row r="688" spans="1:2" ht="13.15">
      <c r="A688" s="18"/>
      <c r="B688" s="19"/>
    </row>
    <row r="689" spans="1:2" ht="13.15">
      <c r="A689" s="18"/>
      <c r="B689" s="19"/>
    </row>
    <row r="690" spans="1:2" ht="13.15">
      <c r="A690" s="18"/>
      <c r="B690" s="19"/>
    </row>
    <row r="691" spans="1:2" ht="13.15">
      <c r="A691" s="18"/>
      <c r="B691" s="19"/>
    </row>
    <row r="692" spans="1:2" ht="13.15">
      <c r="A692" s="18"/>
      <c r="B692" s="19"/>
    </row>
    <row r="693" spans="1:2" ht="13.15">
      <c r="A693" s="18"/>
      <c r="B693" s="19"/>
    </row>
    <row r="694" spans="1:2" ht="13.15">
      <c r="A694" s="18"/>
      <c r="B694" s="19"/>
    </row>
    <row r="695" spans="1:2" ht="13.15">
      <c r="A695" s="18"/>
      <c r="B695" s="19"/>
    </row>
    <row r="696" spans="1:2" ht="13.15">
      <c r="A696" s="18"/>
      <c r="B696" s="19"/>
    </row>
    <row r="697" spans="1:2" ht="13.15">
      <c r="A697" s="18"/>
      <c r="B697" s="19"/>
    </row>
    <row r="698" spans="1:2" ht="13.15">
      <c r="A698" s="18"/>
      <c r="B698" s="19"/>
    </row>
    <row r="699" spans="1:2" ht="13.15">
      <c r="A699" s="18"/>
      <c r="B699" s="19"/>
    </row>
    <row r="700" spans="1:2" ht="13.15">
      <c r="A700" s="18"/>
      <c r="B700" s="19"/>
    </row>
    <row r="701" spans="1:2" ht="13.15">
      <c r="A701" s="18"/>
      <c r="B701" s="19"/>
    </row>
    <row r="702" spans="1:2" ht="13.15">
      <c r="A702" s="18"/>
      <c r="B702" s="19"/>
    </row>
    <row r="703" spans="1:2" ht="13.15">
      <c r="A703" s="18"/>
      <c r="B703" s="19"/>
    </row>
    <row r="704" spans="1:2" ht="13.15">
      <c r="A704" s="18"/>
      <c r="B704" s="19"/>
    </row>
    <row r="705" spans="1:2" ht="13.15">
      <c r="A705" s="18"/>
      <c r="B705" s="19"/>
    </row>
    <row r="706" spans="1:2" ht="13.15">
      <c r="A706" s="18"/>
      <c r="B706" s="19"/>
    </row>
    <row r="707" spans="1:2" ht="13.15">
      <c r="A707" s="18"/>
      <c r="B707" s="19"/>
    </row>
    <row r="708" spans="1:2" ht="13.15">
      <c r="A708" s="18"/>
      <c r="B708" s="19"/>
    </row>
    <row r="709" spans="1:2" ht="13.15">
      <c r="A709" s="18"/>
      <c r="B709" s="19"/>
    </row>
    <row r="710" spans="1:2" ht="13.15">
      <c r="A710" s="18"/>
      <c r="B710" s="19"/>
    </row>
    <row r="711" spans="1:2" ht="13.15">
      <c r="A711" s="18"/>
      <c r="B711" s="19"/>
    </row>
    <row r="712" spans="1:2" ht="13.15">
      <c r="A712" s="18"/>
      <c r="B712" s="19"/>
    </row>
    <row r="713" spans="1:2" ht="13.15">
      <c r="A713" s="18"/>
      <c r="B713" s="19"/>
    </row>
    <row r="714" spans="1:2" ht="13.15">
      <c r="A714" s="18"/>
      <c r="B714" s="19"/>
    </row>
    <row r="715" spans="1:2" ht="13.15">
      <c r="A715" s="18"/>
      <c r="B715" s="19"/>
    </row>
    <row r="716" spans="1:2" ht="13.15">
      <c r="A716" s="18"/>
      <c r="B716" s="19"/>
    </row>
    <row r="717" spans="1:2" ht="13.15">
      <c r="A717" s="18"/>
      <c r="B717" s="19"/>
    </row>
    <row r="718" spans="1:2" ht="13.15">
      <c r="A718" s="18"/>
      <c r="B718" s="19"/>
    </row>
    <row r="719" spans="1:2" ht="13.15">
      <c r="A719" s="18"/>
      <c r="B719" s="19"/>
    </row>
    <row r="720" spans="1:2" ht="13.15">
      <c r="A720" s="18"/>
      <c r="B720" s="19"/>
    </row>
    <row r="721" spans="1:2" ht="13.15">
      <c r="A721" s="18"/>
      <c r="B721" s="19"/>
    </row>
    <row r="722" spans="1:2" ht="13.15">
      <c r="A722" s="18"/>
      <c r="B722" s="19"/>
    </row>
    <row r="723" spans="1:2" ht="13.15">
      <c r="A723" s="18"/>
      <c r="B723" s="19"/>
    </row>
    <row r="724" spans="1:2" ht="13.15">
      <c r="A724" s="18"/>
      <c r="B724" s="19"/>
    </row>
    <row r="725" spans="1:2" ht="13.15">
      <c r="A725" s="18"/>
      <c r="B725" s="19"/>
    </row>
    <row r="726" spans="1:2" ht="13.15">
      <c r="A726" s="18"/>
      <c r="B726" s="19"/>
    </row>
    <row r="727" spans="1:2" ht="13.15">
      <c r="A727" s="18"/>
      <c r="B727" s="19"/>
    </row>
    <row r="728" spans="1:2" ht="13.15">
      <c r="A728" s="18"/>
      <c r="B728" s="19"/>
    </row>
    <row r="729" spans="1:2" ht="13.15">
      <c r="A729" s="18"/>
      <c r="B729" s="19"/>
    </row>
    <row r="730" spans="1:2" ht="13.15">
      <c r="A730" s="18"/>
      <c r="B730" s="19"/>
    </row>
    <row r="731" spans="1:2" ht="13.15">
      <c r="A731" s="18"/>
      <c r="B731" s="19"/>
    </row>
    <row r="732" spans="1:2" ht="13.15">
      <c r="A732" s="18"/>
      <c r="B732" s="19"/>
    </row>
    <row r="733" spans="1:2" ht="13.15">
      <c r="A733" s="18"/>
      <c r="B733" s="19"/>
    </row>
    <row r="734" spans="1:2" ht="13.15">
      <c r="A734" s="18"/>
      <c r="B734" s="19"/>
    </row>
    <row r="735" spans="1:2" ht="13.15">
      <c r="A735" s="18"/>
      <c r="B735" s="19"/>
    </row>
    <row r="736" spans="1:2" ht="13.15">
      <c r="A736" s="18"/>
      <c r="B736" s="19"/>
    </row>
    <row r="737" spans="1:2" ht="13.15">
      <c r="A737" s="18"/>
      <c r="B737" s="19"/>
    </row>
    <row r="738" spans="1:2" ht="13.15">
      <c r="A738" s="18"/>
      <c r="B738" s="19"/>
    </row>
    <row r="739" spans="1:2" ht="13.15">
      <c r="A739" s="18"/>
      <c r="B739" s="19"/>
    </row>
    <row r="740" spans="1:2" ht="13.15">
      <c r="A740" s="18"/>
      <c r="B740" s="19"/>
    </row>
    <row r="741" spans="1:2" ht="13.15">
      <c r="A741" s="18"/>
      <c r="B741" s="19"/>
    </row>
    <row r="742" spans="1:2" ht="13.15">
      <c r="A742" s="18"/>
      <c r="B742" s="19"/>
    </row>
    <row r="743" spans="1:2" ht="13.15">
      <c r="A743" s="18"/>
      <c r="B743" s="19"/>
    </row>
    <row r="744" spans="1:2" ht="13.15">
      <c r="A744" s="18"/>
      <c r="B744" s="19"/>
    </row>
    <row r="745" spans="1:2" ht="13.15">
      <c r="A745" s="18"/>
      <c r="B745" s="19"/>
    </row>
    <row r="746" spans="1:2" ht="13.15">
      <c r="A746" s="18"/>
      <c r="B746" s="19"/>
    </row>
    <row r="747" spans="1:2" ht="13.15">
      <c r="A747" s="18"/>
      <c r="B747" s="19"/>
    </row>
    <row r="748" spans="1:2" ht="13.15">
      <c r="A748" s="18"/>
      <c r="B748" s="19"/>
    </row>
    <row r="749" spans="1:2" ht="13.15">
      <c r="A749" s="18"/>
      <c r="B749" s="19"/>
    </row>
    <row r="750" spans="1:2" ht="13.15">
      <c r="A750" s="18"/>
      <c r="B750" s="19"/>
    </row>
    <row r="751" spans="1:2" ht="13.15">
      <c r="A751" s="18"/>
      <c r="B751" s="19"/>
    </row>
    <row r="752" spans="1:2" ht="13.15">
      <c r="A752" s="18"/>
      <c r="B752" s="19"/>
    </row>
    <row r="753" spans="1:2" ht="13.15">
      <c r="A753" s="18"/>
      <c r="B753" s="19"/>
    </row>
    <row r="754" spans="1:2" ht="13.15">
      <c r="A754" s="18"/>
      <c r="B754" s="19"/>
    </row>
    <row r="755" spans="1:2" ht="13.15">
      <c r="A755" s="18"/>
      <c r="B755" s="19"/>
    </row>
    <row r="756" spans="1:2" ht="13.15">
      <c r="A756" s="18"/>
      <c r="B756" s="19"/>
    </row>
    <row r="757" spans="1:2" ht="13.15">
      <c r="A757" s="18"/>
      <c r="B757" s="19"/>
    </row>
    <row r="758" spans="1:2" ht="13.15">
      <c r="A758" s="18"/>
      <c r="B758" s="19"/>
    </row>
    <row r="759" spans="1:2" ht="13.15">
      <c r="A759" s="18"/>
      <c r="B759" s="19"/>
    </row>
    <row r="760" spans="1:2" ht="13.15">
      <c r="A760" s="18"/>
      <c r="B760" s="19"/>
    </row>
    <row r="761" spans="1:2" ht="13.15">
      <c r="A761" s="18"/>
      <c r="B761" s="19"/>
    </row>
    <row r="762" spans="1:2" ht="13.15">
      <c r="A762" s="18"/>
      <c r="B762" s="19"/>
    </row>
    <row r="763" spans="1:2" ht="13.15">
      <c r="A763" s="18"/>
      <c r="B763" s="19"/>
    </row>
    <row r="764" spans="1:2" ht="13.15">
      <c r="A764" s="18"/>
      <c r="B764" s="19"/>
    </row>
    <row r="765" spans="1:2" ht="13.15">
      <c r="A765" s="18"/>
      <c r="B765" s="19"/>
    </row>
    <row r="766" spans="1:2" ht="13.15">
      <c r="A766" s="18"/>
      <c r="B766" s="19"/>
    </row>
    <row r="767" spans="1:2" ht="13.15">
      <c r="A767" s="18"/>
      <c r="B767" s="19"/>
    </row>
    <row r="768" spans="1:2" ht="13.15">
      <c r="A768" s="18"/>
      <c r="B768" s="19"/>
    </row>
    <row r="769" spans="1:2" ht="13.15">
      <c r="A769" s="18"/>
      <c r="B769" s="19"/>
    </row>
    <row r="770" spans="1:2" ht="13.15">
      <c r="A770" s="18"/>
      <c r="B770" s="19"/>
    </row>
    <row r="771" spans="1:2" ht="13.15">
      <c r="A771" s="18"/>
      <c r="B771" s="19"/>
    </row>
    <row r="772" spans="1:2" ht="13.15">
      <c r="A772" s="18"/>
      <c r="B772" s="19"/>
    </row>
    <row r="773" spans="1:2" ht="13.15">
      <c r="A773" s="18"/>
      <c r="B773" s="19"/>
    </row>
    <row r="774" spans="1:2" ht="13.15">
      <c r="A774" s="18"/>
      <c r="B774" s="19"/>
    </row>
    <row r="775" spans="1:2" ht="13.15">
      <c r="A775" s="18"/>
      <c r="B775" s="19"/>
    </row>
    <row r="776" spans="1:2" ht="13.15">
      <c r="A776" s="18"/>
      <c r="B776" s="19"/>
    </row>
    <row r="777" spans="1:2" ht="13.15">
      <c r="A777" s="18"/>
      <c r="B777" s="19"/>
    </row>
    <row r="778" spans="1:2" ht="13.15">
      <c r="A778" s="18"/>
      <c r="B778" s="19"/>
    </row>
    <row r="779" spans="1:2" ht="13.15">
      <c r="A779" s="18"/>
      <c r="B779" s="19"/>
    </row>
    <row r="780" spans="1:2" ht="13.15">
      <c r="A780" s="18"/>
      <c r="B780" s="19"/>
    </row>
    <row r="781" spans="1:2" ht="13.15">
      <c r="A781" s="18"/>
      <c r="B781" s="19"/>
    </row>
    <row r="782" spans="1:2" ht="13.15">
      <c r="A782" s="18"/>
      <c r="B782" s="19"/>
    </row>
    <row r="783" spans="1:2" ht="13.15">
      <c r="A783" s="18"/>
      <c r="B783" s="19"/>
    </row>
    <row r="784" spans="1:2" ht="13.15">
      <c r="A784" s="18"/>
      <c r="B784" s="19"/>
    </row>
    <row r="785" spans="1:2" ht="13.15">
      <c r="A785" s="18"/>
      <c r="B785" s="19"/>
    </row>
    <row r="786" spans="1:2" ht="13.15">
      <c r="A786" s="18"/>
      <c r="B786" s="19"/>
    </row>
    <row r="787" spans="1:2" ht="13.15">
      <c r="A787" s="18"/>
      <c r="B787" s="19"/>
    </row>
    <row r="788" spans="1:2" ht="13.15">
      <c r="A788" s="18"/>
      <c r="B788" s="19"/>
    </row>
    <row r="789" spans="1:2" ht="13.15">
      <c r="A789" s="18"/>
      <c r="B789" s="19"/>
    </row>
    <row r="790" spans="1:2" ht="13.15">
      <c r="A790" s="18"/>
      <c r="B790" s="19"/>
    </row>
    <row r="791" spans="1:2" ht="13.15">
      <c r="A791" s="18"/>
      <c r="B791" s="19"/>
    </row>
    <row r="792" spans="1:2" ht="13.15">
      <c r="A792" s="18"/>
      <c r="B792" s="19"/>
    </row>
    <row r="793" spans="1:2" ht="13.15">
      <c r="A793" s="18"/>
      <c r="B793" s="19"/>
    </row>
    <row r="794" spans="1:2" ht="13.15">
      <c r="A794" s="18"/>
      <c r="B794" s="19"/>
    </row>
    <row r="795" spans="1:2" ht="13.15">
      <c r="A795" s="18"/>
      <c r="B795" s="19"/>
    </row>
    <row r="796" spans="1:2" ht="13.15">
      <c r="A796" s="18"/>
      <c r="B796" s="19"/>
    </row>
    <row r="797" spans="1:2" ht="13.15">
      <c r="A797" s="18"/>
      <c r="B797" s="19"/>
    </row>
    <row r="798" spans="1:2" ht="13.15">
      <c r="A798" s="18"/>
      <c r="B798" s="19"/>
    </row>
    <row r="799" spans="1:2" ht="13.15">
      <c r="A799" s="18"/>
      <c r="B799" s="19"/>
    </row>
    <row r="800" spans="1:2" ht="13.15">
      <c r="A800" s="18"/>
      <c r="B800" s="19"/>
    </row>
    <row r="801" spans="1:2" ht="13.15">
      <c r="A801" s="18"/>
      <c r="B801" s="19"/>
    </row>
    <row r="802" spans="1:2" ht="13.15">
      <c r="A802" s="18"/>
      <c r="B802" s="19"/>
    </row>
    <row r="803" spans="1:2" ht="13.15">
      <c r="A803" s="18"/>
      <c r="B803" s="19"/>
    </row>
    <row r="804" spans="1:2" ht="13.15">
      <c r="A804" s="18"/>
      <c r="B804" s="19"/>
    </row>
    <row r="805" spans="1:2" ht="13.15">
      <c r="A805" s="18"/>
      <c r="B805" s="19"/>
    </row>
    <row r="806" spans="1:2" ht="13.15">
      <c r="A806" s="18"/>
      <c r="B806" s="19"/>
    </row>
    <row r="807" spans="1:2" ht="13.15">
      <c r="A807" s="18"/>
      <c r="B807" s="19"/>
    </row>
    <row r="808" spans="1:2" ht="13.15">
      <c r="A808" s="18"/>
      <c r="B808" s="19"/>
    </row>
    <row r="809" spans="1:2" ht="13.15">
      <c r="A809" s="18"/>
      <c r="B809" s="19"/>
    </row>
    <row r="810" spans="1:2" ht="13.15">
      <c r="A810" s="18"/>
      <c r="B810" s="19"/>
    </row>
    <row r="811" spans="1:2" ht="13.15">
      <c r="A811" s="18"/>
      <c r="B811" s="19"/>
    </row>
    <row r="812" spans="1:2" ht="13.15">
      <c r="A812" s="18"/>
      <c r="B812" s="19"/>
    </row>
    <row r="813" spans="1:2" ht="13.15">
      <c r="A813" s="18"/>
      <c r="B813" s="19"/>
    </row>
    <row r="814" spans="1:2" ht="13.15">
      <c r="A814" s="18"/>
      <c r="B814" s="19"/>
    </row>
    <row r="815" spans="1:2" ht="13.15">
      <c r="A815" s="18"/>
      <c r="B815" s="19"/>
    </row>
    <row r="816" spans="1:2" ht="13.15">
      <c r="A816" s="18"/>
      <c r="B816" s="19"/>
    </row>
    <row r="817" spans="1:2" ht="13.15">
      <c r="A817" s="18"/>
      <c r="B817" s="19"/>
    </row>
    <row r="818" spans="1:2" ht="13.15">
      <c r="A818" s="18"/>
      <c r="B818" s="19"/>
    </row>
    <row r="819" spans="1:2" ht="13.15">
      <c r="A819" s="18"/>
      <c r="B819" s="19"/>
    </row>
    <row r="820" spans="1:2" ht="13.15">
      <c r="A820" s="18"/>
      <c r="B820" s="19"/>
    </row>
    <row r="821" spans="1:2" ht="13.15">
      <c r="A821" s="18"/>
      <c r="B821" s="19"/>
    </row>
    <row r="822" spans="1:2" ht="13.15">
      <c r="A822" s="18"/>
      <c r="B822" s="19"/>
    </row>
    <row r="823" spans="1:2" ht="13.15">
      <c r="A823" s="18"/>
      <c r="B823" s="19"/>
    </row>
    <row r="824" spans="1:2" ht="13.15">
      <c r="A824" s="18"/>
      <c r="B824" s="19"/>
    </row>
    <row r="825" spans="1:2" ht="13.15">
      <c r="A825" s="18"/>
      <c r="B825" s="19"/>
    </row>
    <row r="826" spans="1:2" ht="13.15">
      <c r="A826" s="18"/>
      <c r="B826" s="19"/>
    </row>
    <row r="827" spans="1:2" ht="13.15">
      <c r="A827" s="18"/>
      <c r="B827" s="19"/>
    </row>
    <row r="828" spans="1:2" ht="13.15">
      <c r="A828" s="18"/>
      <c r="B828" s="19"/>
    </row>
    <row r="829" spans="1:2" ht="13.15">
      <c r="A829" s="18"/>
      <c r="B829" s="19"/>
    </row>
    <row r="830" spans="1:2" ht="13.15">
      <c r="A830" s="18"/>
      <c r="B830" s="19"/>
    </row>
    <row r="831" spans="1:2" ht="13.15">
      <c r="A831" s="18"/>
      <c r="B831" s="19"/>
    </row>
    <row r="832" spans="1:2" ht="13.15">
      <c r="A832" s="18"/>
      <c r="B832" s="19"/>
    </row>
    <row r="833" spans="1:2" ht="13.15">
      <c r="A833" s="18"/>
      <c r="B833" s="19"/>
    </row>
    <row r="834" spans="1:2" ht="13.15">
      <c r="A834" s="18"/>
      <c r="B834" s="19"/>
    </row>
    <row r="835" spans="1:2" ht="13.15">
      <c r="A835" s="18"/>
      <c r="B835" s="19"/>
    </row>
    <row r="836" spans="1:2" ht="13.15">
      <c r="A836" s="18"/>
      <c r="B836" s="19"/>
    </row>
    <row r="837" spans="1:2" ht="13.15">
      <c r="A837" s="18"/>
      <c r="B837" s="19"/>
    </row>
    <row r="838" spans="1:2" ht="13.15">
      <c r="A838" s="18"/>
      <c r="B838" s="19"/>
    </row>
    <row r="839" spans="1:2" ht="13.15">
      <c r="A839" s="18"/>
      <c r="B839" s="19"/>
    </row>
    <row r="840" spans="1:2" ht="13.15">
      <c r="A840" s="18"/>
      <c r="B840" s="19"/>
    </row>
    <row r="841" spans="1:2" ht="13.15">
      <c r="A841" s="18"/>
      <c r="B841" s="19"/>
    </row>
    <row r="842" spans="1:2" ht="13.15">
      <c r="A842" s="18"/>
      <c r="B842" s="19"/>
    </row>
    <row r="843" spans="1:2" ht="13.15">
      <c r="A843" s="18"/>
      <c r="B843" s="19"/>
    </row>
    <row r="844" spans="1:2" ht="13.15">
      <c r="A844" s="18"/>
      <c r="B844" s="19"/>
    </row>
    <row r="845" spans="1:2" ht="13.15">
      <c r="A845" s="18"/>
      <c r="B845" s="19"/>
    </row>
    <row r="846" spans="1:2" ht="13.15">
      <c r="A846" s="18"/>
      <c r="B846" s="19"/>
    </row>
    <row r="847" spans="1:2" ht="13.15">
      <c r="A847" s="18"/>
      <c r="B847" s="19"/>
    </row>
    <row r="848" spans="1:2" ht="13.15">
      <c r="A848" s="18"/>
      <c r="B848" s="19"/>
    </row>
    <row r="849" spans="1:2" ht="13.15">
      <c r="A849" s="18"/>
      <c r="B849" s="19"/>
    </row>
    <row r="850" spans="1:2" ht="13.15">
      <c r="A850" s="18"/>
      <c r="B850" s="19"/>
    </row>
    <row r="851" spans="1:2" ht="13.15">
      <c r="A851" s="18"/>
      <c r="B851" s="19"/>
    </row>
    <row r="852" spans="1:2" ht="13.15">
      <c r="A852" s="18"/>
      <c r="B852" s="19"/>
    </row>
    <row r="853" spans="1:2" ht="13.15">
      <c r="A853" s="18"/>
      <c r="B853" s="19"/>
    </row>
    <row r="854" spans="1:2" ht="13.15">
      <c r="A854" s="18"/>
      <c r="B854" s="19"/>
    </row>
    <row r="855" spans="1:2" ht="13.15">
      <c r="A855" s="18"/>
      <c r="B855" s="19"/>
    </row>
    <row r="856" spans="1:2" ht="13.15">
      <c r="A856" s="18"/>
      <c r="B856" s="19"/>
    </row>
    <row r="857" spans="1:2" ht="13.15">
      <c r="A857" s="18"/>
      <c r="B857" s="19"/>
    </row>
    <row r="858" spans="1:2" ht="13.15">
      <c r="A858" s="18"/>
      <c r="B858" s="19"/>
    </row>
    <row r="859" spans="1:2" ht="13.15">
      <c r="A859" s="18"/>
      <c r="B859" s="19"/>
    </row>
    <row r="860" spans="1:2" ht="13.15">
      <c r="A860" s="18"/>
      <c r="B860" s="19"/>
    </row>
    <row r="861" spans="1:2" ht="13.15">
      <c r="A861" s="18"/>
      <c r="B861" s="19"/>
    </row>
    <row r="862" spans="1:2" ht="13.15">
      <c r="A862" s="18"/>
      <c r="B862" s="19"/>
    </row>
    <row r="863" spans="1:2" ht="13.15">
      <c r="A863" s="18"/>
      <c r="B863" s="19"/>
    </row>
    <row r="864" spans="1:2" ht="13.15">
      <c r="A864" s="18"/>
      <c r="B864" s="19"/>
    </row>
    <row r="865" spans="1:2" ht="13.15">
      <c r="A865" s="18"/>
      <c r="B865" s="19"/>
    </row>
    <row r="866" spans="1:2" ht="13.15">
      <c r="A866" s="18"/>
      <c r="B866" s="19"/>
    </row>
    <row r="867" spans="1:2" ht="13.15">
      <c r="A867" s="18"/>
      <c r="B867" s="19"/>
    </row>
    <row r="868" spans="1:2" ht="13.15">
      <c r="A868" s="18"/>
      <c r="B868" s="19"/>
    </row>
    <row r="869" spans="1:2" ht="13.15">
      <c r="A869" s="18"/>
      <c r="B869" s="19"/>
    </row>
    <row r="870" spans="1:2" ht="13.15">
      <c r="A870" s="18"/>
      <c r="B870" s="19"/>
    </row>
    <row r="871" spans="1:2" ht="13.15">
      <c r="A871" s="18"/>
      <c r="B871" s="19"/>
    </row>
    <row r="872" spans="1:2" ht="13.15">
      <c r="A872" s="18"/>
      <c r="B872" s="19"/>
    </row>
    <row r="873" spans="1:2" ht="13.15">
      <c r="A873" s="18"/>
      <c r="B873" s="19"/>
    </row>
    <row r="874" spans="1:2" ht="13.15">
      <c r="A874" s="18"/>
      <c r="B874" s="19"/>
    </row>
    <row r="875" spans="1:2" ht="13.15">
      <c r="A875" s="18"/>
      <c r="B875" s="19"/>
    </row>
    <row r="876" spans="1:2" ht="13.15">
      <c r="A876" s="18"/>
      <c r="B876" s="19"/>
    </row>
    <row r="877" spans="1:2" ht="13.15">
      <c r="A877" s="18"/>
      <c r="B877" s="19"/>
    </row>
    <row r="878" spans="1:2" ht="13.15">
      <c r="A878" s="18"/>
      <c r="B878" s="19"/>
    </row>
    <row r="879" spans="1:2" ht="13.15">
      <c r="A879" s="18"/>
      <c r="B879" s="19"/>
    </row>
    <row r="880" spans="1:2" ht="13.15">
      <c r="A880" s="18"/>
      <c r="B880" s="19"/>
    </row>
    <row r="881" spans="1:2" ht="13.15">
      <c r="A881" s="18"/>
      <c r="B881" s="19"/>
    </row>
    <row r="882" spans="1:2" ht="13.15">
      <c r="A882" s="18"/>
      <c r="B882" s="19"/>
    </row>
    <row r="883" spans="1:2" ht="13.15">
      <c r="A883" s="18"/>
      <c r="B883" s="19"/>
    </row>
    <row r="884" spans="1:2" ht="13.15">
      <c r="A884" s="18"/>
      <c r="B884" s="19"/>
    </row>
    <row r="885" spans="1:2" ht="13.15">
      <c r="A885" s="18"/>
      <c r="B885" s="19"/>
    </row>
    <row r="886" spans="1:2" ht="13.15">
      <c r="A886" s="18"/>
      <c r="B886" s="19"/>
    </row>
    <row r="887" spans="1:2" ht="13.15">
      <c r="A887" s="18"/>
      <c r="B887" s="19"/>
    </row>
    <row r="888" spans="1:2" ht="13.15">
      <c r="A888" s="18"/>
      <c r="B888" s="19"/>
    </row>
    <row r="889" spans="1:2" ht="13.15">
      <c r="A889" s="18"/>
      <c r="B889" s="19"/>
    </row>
    <row r="890" spans="1:2" ht="13.15">
      <c r="A890" s="18"/>
      <c r="B890" s="19"/>
    </row>
    <row r="891" spans="1:2" ht="13.15">
      <c r="A891" s="18"/>
      <c r="B891" s="19"/>
    </row>
    <row r="892" spans="1:2" ht="13.15">
      <c r="A892" s="18"/>
      <c r="B892" s="19"/>
    </row>
    <row r="893" spans="1:2" ht="13.15">
      <c r="A893" s="18"/>
      <c r="B893" s="19"/>
    </row>
    <row r="894" spans="1:2" ht="13.15">
      <c r="A894" s="18"/>
      <c r="B894" s="19"/>
    </row>
    <row r="895" spans="1:2" ht="13.15">
      <c r="A895" s="18"/>
      <c r="B895" s="19"/>
    </row>
    <row r="896" spans="1:2" ht="13.15">
      <c r="A896" s="18"/>
      <c r="B896" s="19"/>
    </row>
    <row r="897" spans="1:2" ht="13.15">
      <c r="A897" s="18"/>
      <c r="B897" s="19"/>
    </row>
    <row r="898" spans="1:2" ht="13.15">
      <c r="A898" s="18"/>
      <c r="B898" s="19"/>
    </row>
    <row r="899" spans="1:2" ht="13.15">
      <c r="A899" s="18"/>
      <c r="B899" s="19"/>
    </row>
    <row r="900" spans="1:2" ht="13.15">
      <c r="A900" s="18"/>
      <c r="B900" s="19"/>
    </row>
    <row r="901" spans="1:2" ht="13.15">
      <c r="A901" s="18"/>
      <c r="B901" s="19"/>
    </row>
    <row r="902" spans="1:2" ht="13.15">
      <c r="A902" s="18"/>
      <c r="B902" s="19"/>
    </row>
    <row r="903" spans="1:2" ht="13.15">
      <c r="A903" s="18"/>
      <c r="B903" s="19"/>
    </row>
    <row r="904" spans="1:2" ht="13.15">
      <c r="A904" s="18"/>
      <c r="B904" s="19"/>
    </row>
    <row r="905" spans="1:2" ht="13.15">
      <c r="A905" s="18"/>
      <c r="B905" s="19"/>
    </row>
    <row r="906" spans="1:2" ht="13.15">
      <c r="A906" s="18"/>
      <c r="B906" s="19"/>
    </row>
    <row r="907" spans="1:2" ht="13.15">
      <c r="A907" s="18"/>
      <c r="B907" s="19"/>
    </row>
    <row r="908" spans="1:2" ht="13.15">
      <c r="A908" s="18"/>
      <c r="B908" s="19"/>
    </row>
    <row r="909" spans="1:2" ht="13.15">
      <c r="A909" s="18"/>
      <c r="B909" s="19"/>
    </row>
    <row r="910" spans="1:2" ht="13.15">
      <c r="A910" s="18"/>
      <c r="B910" s="19"/>
    </row>
    <row r="911" spans="1:2" ht="13.15">
      <c r="A911" s="18"/>
      <c r="B911" s="19"/>
    </row>
    <row r="912" spans="1:2" ht="13.15">
      <c r="A912" s="18"/>
      <c r="B912" s="19"/>
    </row>
    <row r="913" spans="1:2" ht="13.15">
      <c r="A913" s="18"/>
      <c r="B913" s="19"/>
    </row>
    <row r="914" spans="1:2" ht="13.15">
      <c r="A914" s="18"/>
      <c r="B914" s="19"/>
    </row>
    <row r="915" spans="1:2" ht="13.15">
      <c r="A915" s="18"/>
      <c r="B915" s="19"/>
    </row>
    <row r="916" spans="1:2" ht="13.15">
      <c r="A916" s="18"/>
      <c r="B916" s="19"/>
    </row>
    <row r="917" spans="1:2" ht="13.15">
      <c r="A917" s="18"/>
      <c r="B917" s="19"/>
    </row>
    <row r="918" spans="1:2" ht="13.15">
      <c r="A918" s="18"/>
      <c r="B918" s="19"/>
    </row>
    <row r="919" spans="1:2" ht="13.15">
      <c r="A919" s="18"/>
      <c r="B919" s="19"/>
    </row>
    <row r="920" spans="1:2" ht="13.15">
      <c r="A920" s="18"/>
      <c r="B920" s="19"/>
    </row>
    <row r="921" spans="1:2" ht="13.15">
      <c r="A921" s="18"/>
      <c r="B921" s="19"/>
    </row>
    <row r="922" spans="1:2" ht="13.15">
      <c r="A922" s="18"/>
      <c r="B922" s="19"/>
    </row>
    <row r="923" spans="1:2" ht="13.15">
      <c r="A923" s="18"/>
      <c r="B923" s="19"/>
    </row>
    <row r="924" spans="1:2" ht="13.15">
      <c r="A924" s="18"/>
      <c r="B924" s="19"/>
    </row>
    <row r="925" spans="1:2" ht="13.15">
      <c r="A925" s="18"/>
      <c r="B925" s="19"/>
    </row>
    <row r="926" spans="1:2" ht="13.15">
      <c r="A926" s="18"/>
      <c r="B926" s="19"/>
    </row>
    <row r="927" spans="1:2" ht="13.15">
      <c r="A927" s="18"/>
      <c r="B927" s="19"/>
    </row>
    <row r="928" spans="1:2" ht="13.15">
      <c r="A928" s="18"/>
      <c r="B928" s="19"/>
    </row>
    <row r="929" spans="1:2" ht="13.15">
      <c r="A929" s="18"/>
      <c r="B929" s="19"/>
    </row>
    <row r="930" spans="1:2" ht="13.15">
      <c r="A930" s="18"/>
      <c r="B930" s="19"/>
    </row>
    <row r="931" spans="1:2" ht="13.15">
      <c r="A931" s="18"/>
      <c r="B931" s="19"/>
    </row>
    <row r="932" spans="1:2" ht="13.15">
      <c r="A932" s="18"/>
      <c r="B932" s="19"/>
    </row>
    <row r="933" spans="1:2" ht="13.15">
      <c r="A933" s="18"/>
      <c r="B933" s="19"/>
    </row>
    <row r="934" spans="1:2" ht="13.15">
      <c r="A934" s="18"/>
      <c r="B934" s="19"/>
    </row>
    <row r="935" spans="1:2" ht="13.15">
      <c r="A935" s="18"/>
      <c r="B935" s="19"/>
    </row>
    <row r="936" spans="1:2" ht="13.15">
      <c r="A936" s="18"/>
      <c r="B936" s="19"/>
    </row>
    <row r="937" spans="1:2" ht="13.15">
      <c r="A937" s="18"/>
      <c r="B937" s="19"/>
    </row>
    <row r="938" spans="1:2" ht="13.15">
      <c r="A938" s="18"/>
      <c r="B938" s="19"/>
    </row>
    <row r="939" spans="1:2" ht="13.15">
      <c r="A939" s="18"/>
      <c r="B939" s="19"/>
    </row>
    <row r="940" spans="1:2" ht="13.15">
      <c r="A940" s="18"/>
      <c r="B940" s="19"/>
    </row>
    <row r="941" spans="1:2" ht="13.15">
      <c r="A941" s="18"/>
      <c r="B941" s="19"/>
    </row>
    <row r="942" spans="1:2" ht="13.15">
      <c r="A942" s="18"/>
      <c r="B942" s="19"/>
    </row>
    <row r="943" spans="1:2" ht="13.15">
      <c r="A943" s="18"/>
      <c r="B943" s="19"/>
    </row>
    <row r="944" spans="1:2" ht="13.15">
      <c r="A944" s="18"/>
      <c r="B944" s="19"/>
    </row>
    <row r="945" spans="1:2" ht="13.15">
      <c r="A945" s="18"/>
      <c r="B945" s="19"/>
    </row>
    <row r="946" spans="1:2" ht="13.15">
      <c r="A946" s="18"/>
      <c r="B946" s="19"/>
    </row>
    <row r="947" spans="1:2" ht="13.15">
      <c r="A947" s="18"/>
      <c r="B947" s="19"/>
    </row>
    <row r="948" spans="1:2" ht="13.15">
      <c r="A948" s="18"/>
      <c r="B948" s="19"/>
    </row>
    <row r="949" spans="1:2" ht="13.15">
      <c r="A949" s="18"/>
      <c r="B949" s="19"/>
    </row>
    <row r="950" spans="1:2" ht="13.15">
      <c r="A950" s="18"/>
      <c r="B950" s="19"/>
    </row>
    <row r="951" spans="1:2" ht="13.15">
      <c r="A951" s="18"/>
      <c r="B951" s="19"/>
    </row>
    <row r="952" spans="1:2" ht="13.15">
      <c r="A952" s="18"/>
      <c r="B952" s="19"/>
    </row>
    <row r="953" spans="1:2" ht="13.15">
      <c r="A953" s="18"/>
      <c r="B953" s="19"/>
    </row>
    <row r="954" spans="1:2" ht="13.15">
      <c r="A954" s="18"/>
      <c r="B954" s="19"/>
    </row>
    <row r="955" spans="1:2" ht="13.15">
      <c r="A955" s="18"/>
      <c r="B955" s="19"/>
    </row>
    <row r="956" spans="1:2" ht="13.15">
      <c r="A956" s="18"/>
      <c r="B956" s="19"/>
    </row>
    <row r="957" spans="1:2" ht="13.15">
      <c r="A957" s="18"/>
      <c r="B957" s="19"/>
    </row>
    <row r="958" spans="1:2" ht="13.15">
      <c r="A958" s="18"/>
      <c r="B958" s="19"/>
    </row>
    <row r="959" spans="1:2" ht="13.15">
      <c r="A959" s="18"/>
      <c r="B959" s="19"/>
    </row>
    <row r="960" spans="1:2" ht="13.15">
      <c r="A960" s="18"/>
      <c r="B960" s="19"/>
    </row>
    <row r="961" spans="1:2" ht="13.15">
      <c r="A961" s="18"/>
      <c r="B961" s="19"/>
    </row>
    <row r="962" spans="1:2" ht="13.15">
      <c r="A962" s="18"/>
      <c r="B962" s="19"/>
    </row>
    <row r="963" spans="1:2" ht="13.15">
      <c r="A963" s="18"/>
      <c r="B963" s="19"/>
    </row>
    <row r="964" spans="1:2" ht="13.15">
      <c r="A964" s="18"/>
      <c r="B964" s="19"/>
    </row>
    <row r="965" spans="1:2" ht="13.15">
      <c r="A965" s="18"/>
      <c r="B965" s="19"/>
    </row>
    <row r="966" spans="1:2" ht="13.15">
      <c r="A966" s="18"/>
      <c r="B966" s="19"/>
    </row>
    <row r="967" spans="1:2" ht="13.15">
      <c r="A967" s="18"/>
      <c r="B967" s="19"/>
    </row>
    <row r="968" spans="1:2" ht="13.15">
      <c r="A968" s="18"/>
      <c r="B968" s="19"/>
    </row>
    <row r="969" spans="1:2" ht="13.15">
      <c r="A969" s="18"/>
      <c r="B969" s="19"/>
    </row>
    <row r="970" spans="1:2" ht="13.15">
      <c r="A970" s="18"/>
      <c r="B970" s="19"/>
    </row>
    <row r="971" spans="1:2" ht="13.15">
      <c r="A971" s="18"/>
      <c r="B971" s="19"/>
    </row>
    <row r="972" spans="1:2" ht="13.15">
      <c r="A972" s="18"/>
      <c r="B972" s="19"/>
    </row>
    <row r="973" spans="1:2" ht="13.15">
      <c r="A973" s="18"/>
      <c r="B973" s="19"/>
    </row>
    <row r="974" spans="1:2" ht="13.15">
      <c r="A974" s="18"/>
      <c r="B974" s="19"/>
    </row>
    <row r="975" spans="1:2" ht="13.15">
      <c r="A975" s="18"/>
      <c r="B975" s="19"/>
    </row>
    <row r="976" spans="1:2" ht="13.15">
      <c r="A976" s="18"/>
      <c r="B976" s="19"/>
    </row>
    <row r="977" spans="1:2" ht="13.15">
      <c r="A977" s="18"/>
      <c r="B977" s="19"/>
    </row>
    <row r="978" spans="1:2" ht="13.15">
      <c r="A978" s="18"/>
      <c r="B978" s="19"/>
    </row>
    <row r="979" spans="1:2" ht="13.15">
      <c r="A979" s="18"/>
      <c r="B979" s="19"/>
    </row>
    <row r="980" spans="1:2" ht="13.15">
      <c r="A980" s="18"/>
      <c r="B980" s="19"/>
    </row>
    <row r="981" spans="1:2" ht="13.15">
      <c r="A981" s="18"/>
      <c r="B981" s="19"/>
    </row>
    <row r="982" spans="1:2" ht="13.15">
      <c r="A982" s="18"/>
      <c r="B982" s="19"/>
    </row>
    <row r="983" spans="1:2" ht="13.15">
      <c r="A983" s="18"/>
      <c r="B983" s="19"/>
    </row>
    <row r="984" spans="1:2" ht="13.15">
      <c r="A984" s="18"/>
      <c r="B984" s="19"/>
    </row>
    <row r="985" spans="1:2" ht="13.15">
      <c r="A985" s="18"/>
      <c r="B985" s="19"/>
    </row>
    <row r="986" spans="1:2" ht="13.15">
      <c r="A986" s="18"/>
      <c r="B986" s="19"/>
    </row>
    <row r="987" spans="1:2" ht="13.15">
      <c r="A987" s="18"/>
      <c r="B987" s="19"/>
    </row>
    <row r="988" spans="1:2" ht="13.15">
      <c r="A988" s="18"/>
      <c r="B988" s="19"/>
    </row>
    <row r="989" spans="1:2" ht="13.15">
      <c r="A989" s="18"/>
      <c r="B989" s="19"/>
    </row>
    <row r="990" spans="1:2" ht="13.15">
      <c r="A990" s="18"/>
      <c r="B990" s="19"/>
    </row>
    <row r="991" spans="1:2" ht="13.15">
      <c r="A991" s="18"/>
      <c r="B991" s="19"/>
    </row>
    <row r="992" spans="1:2" ht="13.15">
      <c r="A992" s="18"/>
      <c r="B992" s="19"/>
    </row>
    <row r="993" spans="1:2" ht="13.15">
      <c r="A993" s="18"/>
      <c r="B993" s="19"/>
    </row>
    <row r="994" spans="1:2" ht="13.15">
      <c r="A994" s="18"/>
      <c r="B994" s="19"/>
    </row>
    <row r="995" spans="1:2" ht="13.15">
      <c r="A995" s="18"/>
      <c r="B995" s="19"/>
    </row>
    <row r="996" spans="1:2" ht="13.15">
      <c r="A996" s="18"/>
      <c r="B996" s="19"/>
    </row>
    <row r="997" spans="1:2" ht="13.15">
      <c r="A997" s="18"/>
      <c r="B997" s="19"/>
    </row>
    <row r="998" spans="1:2" ht="13.15">
      <c r="A998" s="18"/>
      <c r="B998" s="19"/>
    </row>
    <row r="999" spans="1:2" ht="13.15">
      <c r="A999" s="18"/>
      <c r="B999" s="19"/>
    </row>
    <row r="1000" spans="1:2" ht="13.15">
      <c r="A1000" s="18"/>
      <c r="B1000" s="19"/>
    </row>
    <row r="1001" spans="1:2" ht="13.15">
      <c r="A1001" s="18"/>
      <c r="B1001" s="19"/>
    </row>
    <row r="1002" spans="1:2" ht="13.15">
      <c r="A1002" s="18"/>
      <c r="B1002" s="19"/>
    </row>
    <row r="1003" spans="1:2" ht="13.15">
      <c r="A1003" s="18"/>
      <c r="B1003" s="19"/>
    </row>
    <row r="1004" spans="1:2" ht="13.15">
      <c r="A1004" s="18"/>
      <c r="B1004" s="19"/>
    </row>
    <row r="1005" spans="1:2" ht="13.15">
      <c r="A1005" s="18"/>
      <c r="B1005" s="19"/>
    </row>
    <row r="1006" spans="1:2" ht="13.15">
      <c r="A1006" s="18"/>
      <c r="B1006" s="19"/>
    </row>
    <row r="1007" spans="1:2" ht="13.15">
      <c r="A1007" s="18"/>
      <c r="B1007" s="19"/>
    </row>
    <row r="1008" spans="1:2" ht="13.15">
      <c r="A1008" s="18"/>
      <c r="B1008" s="19"/>
    </row>
    <row r="1009" spans="1:2" ht="13.15">
      <c r="A1009" s="18"/>
      <c r="B1009" s="19"/>
    </row>
    <row r="1010" spans="1:2" ht="13.15">
      <c r="A1010" s="18"/>
      <c r="B1010" s="19"/>
    </row>
    <row r="1011" spans="1:2" ht="13.15">
      <c r="A1011" s="18"/>
      <c r="B1011" s="19"/>
    </row>
    <row r="1012" spans="1:2" ht="13.15">
      <c r="A1012" s="18"/>
      <c r="B1012" s="19"/>
    </row>
    <row r="1013" spans="1:2" ht="13.15">
      <c r="A1013" s="18"/>
      <c r="B1013" s="19"/>
    </row>
    <row r="1014" spans="1:2" ht="13.15">
      <c r="A1014" s="18"/>
      <c r="B1014" s="19"/>
    </row>
  </sheetData>
  <mergeCells count="9">
    <mergeCell ref="C8:D8"/>
    <mergeCell ref="C20:D20"/>
    <mergeCell ref="C7:D7"/>
    <mergeCell ref="A5:A6"/>
    <mergeCell ref="A15:A19"/>
    <mergeCell ref="B15:B19"/>
    <mergeCell ref="B5:B6"/>
    <mergeCell ref="A9:A14"/>
    <mergeCell ref="B9:B14"/>
  </mergeCells>
  <hyperlinks>
    <hyperlink ref="B9" r:id="rId1" xr:uid="{00000000-0004-0000-0000-000000000000}"/>
    <hyperlink ref="B15"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
  <sheetViews>
    <sheetView workbookViewId="0"/>
  </sheetViews>
  <sheetFormatPr defaultColWidth="12.7109375" defaultRowHeight="15.75" customHeight="1"/>
  <cols>
    <col min="1" max="1" width="17.28515625" customWidth="1"/>
    <col min="2" max="2" width="37.28515625" customWidth="1"/>
    <col min="3" max="3" width="141.7109375" customWidth="1"/>
    <col min="4" max="4" width="80.7109375" customWidth="1"/>
  </cols>
  <sheetData>
    <row r="1" spans="1:3" ht="13.15">
      <c r="A1" s="1"/>
      <c r="B1" s="20" t="s">
        <v>0</v>
      </c>
      <c r="C1" s="21"/>
    </row>
    <row r="2" spans="1:3" ht="224.45">
      <c r="A2" s="3" t="s">
        <v>37</v>
      </c>
      <c r="B2" s="279" t="s">
        <v>38</v>
      </c>
      <c r="C2" s="79" t="s">
        <v>39</v>
      </c>
    </row>
    <row r="3" spans="1:3" ht="237.6">
      <c r="A3" s="3" t="s">
        <v>40</v>
      </c>
      <c r="B3" s="298"/>
      <c r="C3" s="79" t="s">
        <v>41</v>
      </c>
    </row>
    <row r="4" spans="1:3" ht="211.15">
      <c r="A4" s="3" t="s">
        <v>42</v>
      </c>
      <c r="B4" s="298"/>
      <c r="C4" s="79" t="s">
        <v>43</v>
      </c>
    </row>
    <row r="5" spans="1:3" ht="224.45">
      <c r="A5" s="3" t="s">
        <v>44</v>
      </c>
      <c r="B5" s="298"/>
      <c r="C5" s="79" t="s">
        <v>45</v>
      </c>
    </row>
    <row r="6" spans="1:3" ht="264">
      <c r="A6" s="22" t="s">
        <v>46</v>
      </c>
      <c r="B6" s="299"/>
      <c r="C6" s="79" t="s">
        <v>47</v>
      </c>
    </row>
    <row r="7" spans="1:3" ht="13.15">
      <c r="A7" s="18"/>
      <c r="B7" s="23"/>
    </row>
  </sheetData>
  <mergeCells count="1">
    <mergeCell ref="B2:B6"/>
  </mergeCells>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54"/>
  <sheetViews>
    <sheetView workbookViewId="0"/>
  </sheetViews>
  <sheetFormatPr defaultColWidth="12.7109375" defaultRowHeight="15.75" customHeight="1"/>
  <cols>
    <col min="1" max="1" width="6.7109375" customWidth="1"/>
    <col min="2" max="2" width="28.28515625" customWidth="1"/>
    <col min="3" max="3" width="61.28515625" customWidth="1"/>
    <col min="4" max="4" width="28.28515625" customWidth="1"/>
    <col min="5" max="5" width="37.85546875" customWidth="1"/>
    <col min="6" max="6" width="90.140625" customWidth="1"/>
    <col min="7" max="7" width="20" customWidth="1"/>
    <col min="8" max="8" width="4.28515625" customWidth="1"/>
  </cols>
  <sheetData>
    <row r="1" spans="1:8" ht="13.15">
      <c r="A1" s="24"/>
      <c r="B1" s="24"/>
      <c r="C1" s="24"/>
      <c r="D1" s="24"/>
      <c r="E1" s="25"/>
    </row>
    <row r="2" spans="1:8" ht="26.45">
      <c r="A2" s="26"/>
      <c r="B2" s="27" t="s">
        <v>48</v>
      </c>
      <c r="C2" s="27" t="s">
        <v>49</v>
      </c>
      <c r="D2" s="27" t="s">
        <v>50</v>
      </c>
      <c r="E2" s="28" t="s">
        <v>51</v>
      </c>
      <c r="F2" s="27" t="s">
        <v>52</v>
      </c>
      <c r="G2" s="29" t="s">
        <v>53</v>
      </c>
      <c r="H2" s="30"/>
    </row>
    <row r="3" spans="1:8" ht="109.9" customHeight="1">
      <c r="A3" s="31" t="s">
        <v>54</v>
      </c>
      <c r="B3" s="136" t="s">
        <v>55</v>
      </c>
      <c r="C3" s="32" t="s">
        <v>56</v>
      </c>
      <c r="D3" s="32" t="s">
        <v>57</v>
      </c>
      <c r="E3" s="33" t="s">
        <v>58</v>
      </c>
      <c r="F3" s="34" t="s">
        <v>59</v>
      </c>
      <c r="G3" s="137" t="s">
        <v>60</v>
      </c>
      <c r="H3" s="35"/>
    </row>
    <row r="4" spans="1:8" s="77" customFormat="1" ht="26.45">
      <c r="A4" s="163" t="s">
        <v>61</v>
      </c>
      <c r="B4" s="164" t="s">
        <v>62</v>
      </c>
      <c r="C4" s="165" t="s">
        <v>63</v>
      </c>
      <c r="D4" s="165" t="s">
        <v>64</v>
      </c>
      <c r="E4" s="166" t="s">
        <v>65</v>
      </c>
      <c r="F4" s="165" t="s">
        <v>66</v>
      </c>
      <c r="G4" s="165" t="s">
        <v>67</v>
      </c>
    </row>
    <row r="5" spans="1:8" s="77" customFormat="1" ht="26.45">
      <c r="A5" s="163" t="s">
        <v>61</v>
      </c>
      <c r="B5" s="164" t="s">
        <v>68</v>
      </c>
      <c r="C5" s="165" t="s">
        <v>69</v>
      </c>
      <c r="D5" s="165" t="s">
        <v>64</v>
      </c>
      <c r="E5" s="166" t="s">
        <v>65</v>
      </c>
      <c r="F5" s="165" t="s">
        <v>66</v>
      </c>
      <c r="G5" s="165" t="s">
        <v>67</v>
      </c>
    </row>
    <row r="6" spans="1:8" s="77" customFormat="1" ht="26.45">
      <c r="A6" s="163" t="s">
        <v>61</v>
      </c>
      <c r="B6" s="164" t="s">
        <v>70</v>
      </c>
      <c r="C6" s="165" t="s">
        <v>71</v>
      </c>
      <c r="D6" s="165" t="s">
        <v>64</v>
      </c>
      <c r="E6" s="166" t="s">
        <v>72</v>
      </c>
      <c r="F6" s="165" t="s">
        <v>73</v>
      </c>
      <c r="G6" s="165" t="s">
        <v>67</v>
      </c>
    </row>
    <row r="7" spans="1:8" s="77" customFormat="1" ht="26.45">
      <c r="A7" s="163" t="s">
        <v>61</v>
      </c>
      <c r="B7" s="164" t="s">
        <v>74</v>
      </c>
      <c r="C7" s="165" t="s">
        <v>75</v>
      </c>
      <c r="D7" s="165" t="s">
        <v>64</v>
      </c>
      <c r="E7" s="165" t="s">
        <v>65</v>
      </c>
      <c r="F7" s="165" t="s">
        <v>76</v>
      </c>
      <c r="G7" s="165" t="s">
        <v>67</v>
      </c>
    </row>
    <row r="8" spans="1:8" s="77" customFormat="1" ht="26.45">
      <c r="A8" s="163" t="s">
        <v>61</v>
      </c>
      <c r="B8" s="164" t="s">
        <v>77</v>
      </c>
      <c r="C8" s="165" t="s">
        <v>78</v>
      </c>
      <c r="D8" s="165" t="s">
        <v>64</v>
      </c>
      <c r="E8" s="166" t="s">
        <v>65</v>
      </c>
      <c r="F8" s="165" t="s">
        <v>66</v>
      </c>
      <c r="G8" s="165" t="s">
        <v>67</v>
      </c>
    </row>
    <row r="9" spans="1:8" s="77" customFormat="1" ht="26.45">
      <c r="A9" s="163" t="s">
        <v>61</v>
      </c>
      <c r="B9" s="164" t="s">
        <v>79</v>
      </c>
      <c r="C9" s="165" t="s">
        <v>80</v>
      </c>
      <c r="D9" s="165" t="s">
        <v>64</v>
      </c>
      <c r="E9" s="166" t="s">
        <v>65</v>
      </c>
      <c r="F9" s="165" t="s">
        <v>66</v>
      </c>
      <c r="G9" s="165" t="s">
        <v>67</v>
      </c>
    </row>
    <row r="10" spans="1:8" s="77" customFormat="1" ht="26.45">
      <c r="A10" s="163" t="s">
        <v>61</v>
      </c>
      <c r="B10" s="164" t="s">
        <v>81</v>
      </c>
      <c r="C10" s="165" t="s">
        <v>82</v>
      </c>
      <c r="D10" s="165" t="s">
        <v>64</v>
      </c>
      <c r="E10" s="165" t="s">
        <v>65</v>
      </c>
      <c r="F10" s="165" t="s">
        <v>83</v>
      </c>
      <c r="G10" s="165" t="s">
        <v>67</v>
      </c>
    </row>
    <row r="11" spans="1:8" s="77" customFormat="1" ht="26.45">
      <c r="A11" s="163" t="s">
        <v>61</v>
      </c>
      <c r="B11" s="164" t="s">
        <v>84</v>
      </c>
      <c r="C11" s="165" t="s">
        <v>85</v>
      </c>
      <c r="D11" s="165" t="s">
        <v>86</v>
      </c>
      <c r="E11" s="166" t="s">
        <v>87</v>
      </c>
      <c r="F11" s="165" t="s">
        <v>88</v>
      </c>
      <c r="G11" s="165" t="s">
        <v>67</v>
      </c>
    </row>
    <row r="12" spans="1:8" s="77" customFormat="1" ht="13.9">
      <c r="A12" s="163" t="s">
        <v>61</v>
      </c>
      <c r="B12" s="164" t="s">
        <v>89</v>
      </c>
      <c r="C12" s="165" t="s">
        <v>90</v>
      </c>
      <c r="D12" s="165" t="s">
        <v>64</v>
      </c>
      <c r="E12" s="166" t="s">
        <v>91</v>
      </c>
      <c r="F12" s="165" t="s">
        <v>66</v>
      </c>
      <c r="G12" s="165" t="s">
        <v>67</v>
      </c>
    </row>
    <row r="13" spans="1:8" s="77" customFormat="1" ht="13.9">
      <c r="A13" s="163" t="s">
        <v>61</v>
      </c>
      <c r="B13" s="164" t="s">
        <v>92</v>
      </c>
      <c r="C13" s="165" t="s">
        <v>93</v>
      </c>
      <c r="D13" s="165" t="s">
        <v>64</v>
      </c>
      <c r="E13" s="166" t="s">
        <v>94</v>
      </c>
      <c r="F13" s="165" t="s">
        <v>95</v>
      </c>
      <c r="G13" s="165" t="s">
        <v>67</v>
      </c>
    </row>
    <row r="14" spans="1:8" s="77" customFormat="1" ht="26.45">
      <c r="A14" s="163" t="s">
        <v>61</v>
      </c>
      <c r="B14" s="164" t="s">
        <v>96</v>
      </c>
      <c r="C14" s="165" t="s">
        <v>97</v>
      </c>
      <c r="D14" s="165" t="s">
        <v>64</v>
      </c>
      <c r="E14" s="166" t="s">
        <v>65</v>
      </c>
      <c r="F14" s="165" t="s">
        <v>66</v>
      </c>
      <c r="G14" s="165" t="s">
        <v>67</v>
      </c>
    </row>
    <row r="15" spans="1:8" s="77" customFormat="1" ht="26.45">
      <c r="A15" s="163" t="s">
        <v>61</v>
      </c>
      <c r="B15" s="164" t="s">
        <v>98</v>
      </c>
      <c r="C15" s="165" t="s">
        <v>99</v>
      </c>
      <c r="D15" s="165" t="s">
        <v>64</v>
      </c>
      <c r="E15" s="166" t="s">
        <v>100</v>
      </c>
      <c r="F15" s="165" t="s">
        <v>101</v>
      </c>
      <c r="G15" s="165" t="s">
        <v>67</v>
      </c>
    </row>
    <row r="16" spans="1:8" s="77" customFormat="1" ht="26.45">
      <c r="A16" s="163" t="s">
        <v>61</v>
      </c>
      <c r="B16" s="164" t="s">
        <v>102</v>
      </c>
      <c r="C16" s="165" t="s">
        <v>103</v>
      </c>
      <c r="D16" s="165" t="s">
        <v>104</v>
      </c>
      <c r="E16" s="166" t="s">
        <v>65</v>
      </c>
      <c r="F16" s="165" t="s">
        <v>101</v>
      </c>
      <c r="G16" s="165" t="s">
        <v>67</v>
      </c>
    </row>
    <row r="17" spans="1:7" s="77" customFormat="1" ht="13.9">
      <c r="A17" s="163" t="s">
        <v>61</v>
      </c>
      <c r="B17" s="167" t="s">
        <v>105</v>
      </c>
      <c r="C17" s="165" t="s">
        <v>106</v>
      </c>
      <c r="D17" s="165" t="s">
        <v>64</v>
      </c>
      <c r="E17" s="166" t="s">
        <v>100</v>
      </c>
      <c r="F17" s="165" t="s">
        <v>101</v>
      </c>
      <c r="G17" s="165" t="s">
        <v>67</v>
      </c>
    </row>
    <row r="18" spans="1:7" s="77" customFormat="1" ht="13.9">
      <c r="A18" s="163" t="s">
        <v>61</v>
      </c>
      <c r="B18" s="167" t="s">
        <v>107</v>
      </c>
      <c r="C18" s="165" t="s">
        <v>108</v>
      </c>
      <c r="D18" s="165" t="s">
        <v>104</v>
      </c>
      <c r="E18" s="166" t="s">
        <v>100</v>
      </c>
      <c r="F18" s="165" t="s">
        <v>109</v>
      </c>
      <c r="G18" s="165" t="s">
        <v>67</v>
      </c>
    </row>
    <row r="19" spans="1:7" s="77" customFormat="1" ht="26.45">
      <c r="A19" s="163" t="s">
        <v>61</v>
      </c>
      <c r="B19" s="167" t="s">
        <v>110</v>
      </c>
      <c r="C19" s="165" t="s">
        <v>111</v>
      </c>
      <c r="D19" s="165" t="s">
        <v>104</v>
      </c>
      <c r="E19" s="166" t="s">
        <v>100</v>
      </c>
      <c r="F19" s="165" t="s">
        <v>112</v>
      </c>
      <c r="G19" s="165" t="s">
        <v>67</v>
      </c>
    </row>
    <row r="20" spans="1:7" s="77" customFormat="1" ht="13.9">
      <c r="A20" s="163" t="s">
        <v>61</v>
      </c>
      <c r="B20" s="164" t="s">
        <v>113</v>
      </c>
      <c r="C20" s="165" t="s">
        <v>114</v>
      </c>
      <c r="D20" s="165" t="s">
        <v>64</v>
      </c>
      <c r="E20" s="165" t="s">
        <v>100</v>
      </c>
      <c r="F20" s="165" t="s">
        <v>109</v>
      </c>
      <c r="G20" s="165" t="s">
        <v>67</v>
      </c>
    </row>
    <row r="21" spans="1:7" s="77" customFormat="1" ht="13.9">
      <c r="A21" s="163" t="s">
        <v>61</v>
      </c>
      <c r="B21" s="164" t="s">
        <v>115</v>
      </c>
      <c r="C21" s="165" t="s">
        <v>116</v>
      </c>
      <c r="D21" s="165" t="s">
        <v>64</v>
      </c>
      <c r="E21" s="165" t="s">
        <v>100</v>
      </c>
      <c r="F21" s="165" t="s">
        <v>109</v>
      </c>
      <c r="G21" s="165" t="s">
        <v>67</v>
      </c>
    </row>
    <row r="22" spans="1:7" s="77" customFormat="1" ht="15.75" customHeight="1">
      <c r="A22" s="163" t="s">
        <v>61</v>
      </c>
      <c r="B22" s="164" t="s">
        <v>117</v>
      </c>
      <c r="C22" s="165" t="s">
        <v>118</v>
      </c>
      <c r="D22" s="165" t="s">
        <v>64</v>
      </c>
      <c r="E22" s="165" t="s">
        <v>100</v>
      </c>
      <c r="F22" s="165" t="s">
        <v>109</v>
      </c>
      <c r="G22" s="165" t="s">
        <v>67</v>
      </c>
    </row>
    <row r="23" spans="1:7" s="77" customFormat="1" ht="15.75" customHeight="1">
      <c r="A23" s="163" t="s">
        <v>61</v>
      </c>
      <c r="B23" s="164" t="s">
        <v>119</v>
      </c>
      <c r="C23" s="165" t="s">
        <v>61</v>
      </c>
      <c r="D23" s="165" t="s">
        <v>64</v>
      </c>
      <c r="E23" s="165" t="s">
        <v>100</v>
      </c>
      <c r="F23" s="165" t="s">
        <v>109</v>
      </c>
      <c r="G23" s="165" t="s">
        <v>67</v>
      </c>
    </row>
    <row r="24" spans="1:7" s="77" customFormat="1" ht="15.75" customHeight="1">
      <c r="A24" s="163" t="s">
        <v>61</v>
      </c>
      <c r="B24" s="164" t="s">
        <v>120</v>
      </c>
      <c r="C24" s="165" t="s">
        <v>121</v>
      </c>
      <c r="D24" s="165" t="s">
        <v>104</v>
      </c>
      <c r="E24" s="165" t="s">
        <v>65</v>
      </c>
      <c r="F24" s="165" t="s">
        <v>109</v>
      </c>
      <c r="G24" s="165" t="s">
        <v>67</v>
      </c>
    </row>
    <row r="25" spans="1:7" s="77" customFormat="1" ht="15.75" customHeight="1">
      <c r="A25" s="163" t="s">
        <v>61</v>
      </c>
      <c r="B25" s="164" t="s">
        <v>122</v>
      </c>
      <c r="C25" s="165" t="s">
        <v>123</v>
      </c>
      <c r="D25" s="165" t="s">
        <v>64</v>
      </c>
      <c r="E25" s="165" t="s">
        <v>100</v>
      </c>
      <c r="F25" s="165" t="s">
        <v>109</v>
      </c>
      <c r="G25" s="165" t="s">
        <v>67</v>
      </c>
    </row>
    <row r="26" spans="1:7" s="77" customFormat="1" ht="15.75" customHeight="1">
      <c r="A26" s="163" t="s">
        <v>61</v>
      </c>
      <c r="B26" s="164" t="s">
        <v>124</v>
      </c>
      <c r="C26" s="165" t="s">
        <v>61</v>
      </c>
      <c r="D26" s="165" t="s">
        <v>125</v>
      </c>
      <c r="E26" s="166" t="s">
        <v>126</v>
      </c>
      <c r="F26" s="165" t="s">
        <v>127</v>
      </c>
      <c r="G26" s="165" t="s">
        <v>67</v>
      </c>
    </row>
    <row r="27" spans="1:7" s="77" customFormat="1" ht="15.75" customHeight="1">
      <c r="A27" s="163" t="s">
        <v>61</v>
      </c>
      <c r="B27" s="164" t="s">
        <v>128</v>
      </c>
      <c r="C27" s="165" t="s">
        <v>61</v>
      </c>
      <c r="D27" s="165" t="s">
        <v>125</v>
      </c>
      <c r="E27" s="166" t="s">
        <v>126</v>
      </c>
      <c r="F27" s="165" t="s">
        <v>129</v>
      </c>
      <c r="G27" s="165" t="s">
        <v>67</v>
      </c>
    </row>
    <row r="28" spans="1:7" s="77" customFormat="1" ht="15.75" customHeight="1">
      <c r="A28" s="163" t="s">
        <v>61</v>
      </c>
      <c r="B28" s="164" t="s">
        <v>130</v>
      </c>
      <c r="C28" s="165" t="s">
        <v>61</v>
      </c>
      <c r="D28" s="165" t="s">
        <v>125</v>
      </c>
      <c r="E28" s="166" t="s">
        <v>126</v>
      </c>
      <c r="F28" s="165" t="s">
        <v>131</v>
      </c>
      <c r="G28" s="165" t="s">
        <v>67</v>
      </c>
    </row>
    <row r="29" spans="1:7" s="77" customFormat="1" ht="15.75" customHeight="1">
      <c r="A29" s="163" t="s">
        <v>61</v>
      </c>
      <c r="B29" s="164" t="s">
        <v>132</v>
      </c>
      <c r="C29" s="165" t="s">
        <v>61</v>
      </c>
      <c r="D29" s="165" t="s">
        <v>125</v>
      </c>
      <c r="E29" s="166" t="s">
        <v>133</v>
      </c>
      <c r="F29" s="168" t="s">
        <v>61</v>
      </c>
      <c r="G29" s="165" t="s">
        <v>67</v>
      </c>
    </row>
    <row r="30" spans="1:7" s="77" customFormat="1" ht="15.75" customHeight="1">
      <c r="A30" s="163" t="s">
        <v>61</v>
      </c>
      <c r="B30" s="164" t="s">
        <v>134</v>
      </c>
      <c r="C30" s="165" t="s">
        <v>61</v>
      </c>
      <c r="D30" s="165" t="s">
        <v>135</v>
      </c>
      <c r="E30" s="166" t="s">
        <v>126</v>
      </c>
      <c r="F30" s="168" t="s">
        <v>61</v>
      </c>
      <c r="G30" s="165" t="s">
        <v>61</v>
      </c>
    </row>
    <row r="31" spans="1:7" s="77" customFormat="1" ht="15.75" customHeight="1">
      <c r="A31" s="163" t="s">
        <v>61</v>
      </c>
      <c r="B31" s="164" t="s">
        <v>136</v>
      </c>
      <c r="C31" s="165" t="s">
        <v>61</v>
      </c>
      <c r="D31" s="165" t="s">
        <v>135</v>
      </c>
      <c r="E31" s="166" t="s">
        <v>137</v>
      </c>
      <c r="F31" s="168" t="s">
        <v>61</v>
      </c>
      <c r="G31" s="165" t="s">
        <v>61</v>
      </c>
    </row>
    <row r="32" spans="1:7" s="77" customFormat="1" ht="15.75" customHeight="1">
      <c r="A32" s="163" t="s">
        <v>61</v>
      </c>
      <c r="B32" s="164" t="s">
        <v>138</v>
      </c>
      <c r="C32" s="165" t="s">
        <v>61</v>
      </c>
      <c r="D32" s="165" t="s">
        <v>135</v>
      </c>
      <c r="E32" s="166" t="s">
        <v>137</v>
      </c>
      <c r="F32" s="168" t="s">
        <v>61</v>
      </c>
      <c r="G32" s="165" t="s">
        <v>61</v>
      </c>
    </row>
    <row r="33" spans="1:7" s="77" customFormat="1" ht="15.75" customHeight="1">
      <c r="A33" s="163" t="s">
        <v>61</v>
      </c>
      <c r="B33" s="164" t="s">
        <v>139</v>
      </c>
      <c r="C33" s="165" t="s">
        <v>61</v>
      </c>
      <c r="D33" s="165" t="s">
        <v>140</v>
      </c>
      <c r="E33" s="166" t="s">
        <v>133</v>
      </c>
      <c r="F33" s="168" t="s">
        <v>61</v>
      </c>
      <c r="G33" s="165" t="s">
        <v>61</v>
      </c>
    </row>
    <row r="34" spans="1:7" s="77" customFormat="1" ht="15.75" customHeight="1">
      <c r="A34" s="163" t="s">
        <v>61</v>
      </c>
      <c r="B34" s="164" t="s">
        <v>141</v>
      </c>
      <c r="C34" s="165" t="s">
        <v>61</v>
      </c>
      <c r="D34" s="165" t="s">
        <v>142</v>
      </c>
      <c r="E34" s="166" t="s">
        <v>137</v>
      </c>
      <c r="F34" s="168" t="s">
        <v>61</v>
      </c>
      <c r="G34" s="165" t="s">
        <v>61</v>
      </c>
    </row>
    <row r="35" spans="1:7" s="77" customFormat="1" ht="15.75" customHeight="1">
      <c r="A35" s="163" t="s">
        <v>61</v>
      </c>
      <c r="B35" s="164" t="s">
        <v>143</v>
      </c>
      <c r="C35" s="165" t="s">
        <v>61</v>
      </c>
      <c r="D35" s="165" t="s">
        <v>142</v>
      </c>
      <c r="E35" s="166" t="s">
        <v>137</v>
      </c>
      <c r="F35" s="168" t="s">
        <v>61</v>
      </c>
      <c r="G35" s="165" t="s">
        <v>61</v>
      </c>
    </row>
    <row r="36" spans="1:7" s="77" customFormat="1" ht="15.75" customHeight="1">
      <c r="A36" s="163" t="s">
        <v>61</v>
      </c>
      <c r="B36" s="164" t="s">
        <v>144</v>
      </c>
      <c r="C36" s="165" t="s">
        <v>61</v>
      </c>
      <c r="D36" s="165" t="s">
        <v>145</v>
      </c>
      <c r="E36" s="166" t="s">
        <v>146</v>
      </c>
      <c r="F36" s="168" t="s">
        <v>61</v>
      </c>
      <c r="G36" s="165" t="s">
        <v>61</v>
      </c>
    </row>
    <row r="37" spans="1:7" s="77" customFormat="1" ht="15.75" customHeight="1">
      <c r="A37" s="163" t="s">
        <v>61</v>
      </c>
      <c r="B37" s="164" t="s">
        <v>147</v>
      </c>
      <c r="C37" s="165" t="s">
        <v>61</v>
      </c>
      <c r="D37" s="165" t="s">
        <v>145</v>
      </c>
      <c r="E37" s="166" t="s">
        <v>126</v>
      </c>
      <c r="F37" s="168" t="s">
        <v>61</v>
      </c>
      <c r="G37" s="165" t="s">
        <v>61</v>
      </c>
    </row>
    <row r="38" spans="1:7" s="77" customFormat="1" ht="15.75" customHeight="1">
      <c r="A38" s="163" t="s">
        <v>61</v>
      </c>
      <c r="B38" s="164" t="s">
        <v>148</v>
      </c>
      <c r="C38" s="165" t="s">
        <v>61</v>
      </c>
      <c r="D38" s="165" t="s">
        <v>61</v>
      </c>
      <c r="E38" s="166" t="s">
        <v>137</v>
      </c>
      <c r="F38" s="168" t="s">
        <v>61</v>
      </c>
      <c r="G38" s="165" t="s">
        <v>61</v>
      </c>
    </row>
    <row r="39" spans="1:7" s="77" customFormat="1" ht="15.75" customHeight="1">
      <c r="A39" s="163" t="s">
        <v>61</v>
      </c>
      <c r="B39" s="164" t="s">
        <v>149</v>
      </c>
      <c r="C39" s="165" t="s">
        <v>61</v>
      </c>
      <c r="D39" s="165" t="s">
        <v>145</v>
      </c>
      <c r="E39" s="166" t="s">
        <v>126</v>
      </c>
      <c r="F39" s="168" t="s">
        <v>150</v>
      </c>
      <c r="G39" s="165" t="s">
        <v>61</v>
      </c>
    </row>
    <row r="40" spans="1:7" s="77" customFormat="1" ht="15.75" customHeight="1">
      <c r="A40" s="163" t="s">
        <v>61</v>
      </c>
      <c r="B40" s="164" t="s">
        <v>151</v>
      </c>
      <c r="C40" s="165" t="s">
        <v>61</v>
      </c>
      <c r="D40" s="165" t="s">
        <v>125</v>
      </c>
      <c r="E40" s="166" t="s">
        <v>137</v>
      </c>
      <c r="F40" s="165" t="s">
        <v>61</v>
      </c>
      <c r="G40" s="165" t="s">
        <v>61</v>
      </c>
    </row>
    <row r="41" spans="1:7" s="77" customFormat="1" ht="15.75" customHeight="1">
      <c r="A41" s="163" t="s">
        <v>61</v>
      </c>
      <c r="B41" s="164" t="s">
        <v>152</v>
      </c>
      <c r="C41" s="165" t="s">
        <v>61</v>
      </c>
      <c r="D41" s="165" t="s">
        <v>153</v>
      </c>
      <c r="E41" s="166" t="s">
        <v>126</v>
      </c>
      <c r="F41" s="165" t="s">
        <v>154</v>
      </c>
      <c r="G41" s="165" t="s">
        <v>61</v>
      </c>
    </row>
    <row r="42" spans="1:7" s="77" customFormat="1" ht="15.75" customHeight="1">
      <c r="A42" s="163" t="s">
        <v>61</v>
      </c>
      <c r="B42" s="164" t="s">
        <v>155</v>
      </c>
      <c r="C42" s="165" t="s">
        <v>61</v>
      </c>
      <c r="D42" s="165" t="s">
        <v>156</v>
      </c>
      <c r="E42" s="166" t="s">
        <v>133</v>
      </c>
      <c r="F42" s="165" t="s">
        <v>157</v>
      </c>
      <c r="G42" s="165" t="s">
        <v>61</v>
      </c>
    </row>
    <row r="43" spans="1:7" s="77" customFormat="1" ht="15.75" customHeight="1">
      <c r="A43" s="163" t="s">
        <v>61</v>
      </c>
      <c r="B43" s="164" t="s">
        <v>158</v>
      </c>
      <c r="C43" s="165" t="s">
        <v>61</v>
      </c>
      <c r="D43" s="165" t="s">
        <v>156</v>
      </c>
      <c r="E43" s="166" t="s">
        <v>133</v>
      </c>
      <c r="F43" s="165" t="s">
        <v>157</v>
      </c>
      <c r="G43" s="165" t="s">
        <v>61</v>
      </c>
    </row>
    <row r="44" spans="1:7" s="77" customFormat="1" ht="15.75" customHeight="1">
      <c r="A44" s="163" t="s">
        <v>61</v>
      </c>
      <c r="B44" s="164" t="s">
        <v>159</v>
      </c>
      <c r="C44" s="165" t="s">
        <v>61</v>
      </c>
      <c r="D44" s="165" t="s">
        <v>156</v>
      </c>
      <c r="E44" s="166" t="s">
        <v>133</v>
      </c>
      <c r="F44" s="165" t="s">
        <v>157</v>
      </c>
      <c r="G44" s="165" t="s">
        <v>61</v>
      </c>
    </row>
    <row r="45" spans="1:7" s="77" customFormat="1" ht="15.75" customHeight="1">
      <c r="A45" s="163" t="s">
        <v>61</v>
      </c>
      <c r="B45" s="164" t="s">
        <v>160</v>
      </c>
      <c r="C45" s="165" t="s">
        <v>61</v>
      </c>
      <c r="D45" s="165" t="s">
        <v>156</v>
      </c>
      <c r="E45" s="166" t="s">
        <v>133</v>
      </c>
      <c r="F45" s="165" t="s">
        <v>157</v>
      </c>
      <c r="G45" s="165" t="s">
        <v>61</v>
      </c>
    </row>
    <row r="46" spans="1:7" s="77" customFormat="1" ht="15.75" customHeight="1">
      <c r="A46" s="163" t="s">
        <v>61</v>
      </c>
      <c r="B46" s="164" t="s">
        <v>161</v>
      </c>
      <c r="C46" s="165" t="s">
        <v>61</v>
      </c>
      <c r="D46" s="165" t="s">
        <v>162</v>
      </c>
      <c r="E46" s="166" t="s">
        <v>163</v>
      </c>
      <c r="F46" s="165" t="s">
        <v>164</v>
      </c>
      <c r="G46" s="165" t="s">
        <v>61</v>
      </c>
    </row>
    <row r="47" spans="1:7" s="77" customFormat="1" ht="15.75" customHeight="1">
      <c r="A47" s="163" t="s">
        <v>61</v>
      </c>
      <c r="B47" s="164" t="s">
        <v>165</v>
      </c>
      <c r="C47" s="165" t="s">
        <v>61</v>
      </c>
      <c r="D47" s="165" t="s">
        <v>142</v>
      </c>
      <c r="E47" s="166" t="s">
        <v>166</v>
      </c>
      <c r="F47" s="165" t="s">
        <v>167</v>
      </c>
      <c r="G47" s="165" t="s">
        <v>61</v>
      </c>
    </row>
    <row r="48" spans="1:7" s="77" customFormat="1" ht="15.75" customHeight="1">
      <c r="A48" s="163" t="s">
        <v>61</v>
      </c>
      <c r="B48" s="164" t="s">
        <v>168</v>
      </c>
      <c r="C48" s="165" t="s">
        <v>61</v>
      </c>
      <c r="D48" s="165" t="s">
        <v>169</v>
      </c>
      <c r="E48" s="166" t="s">
        <v>166</v>
      </c>
      <c r="F48" s="165" t="s">
        <v>167</v>
      </c>
      <c r="G48" s="165" t="s">
        <v>61</v>
      </c>
    </row>
    <row r="49" spans="1:7" s="77" customFormat="1" ht="15.75" customHeight="1">
      <c r="A49" s="163" t="s">
        <v>61</v>
      </c>
      <c r="B49" s="164" t="s">
        <v>170</v>
      </c>
      <c r="C49" s="165" t="s">
        <v>61</v>
      </c>
      <c r="D49" s="165" t="s">
        <v>171</v>
      </c>
      <c r="E49" s="166" t="s">
        <v>133</v>
      </c>
      <c r="F49" s="165" t="s">
        <v>172</v>
      </c>
      <c r="G49" s="165" t="s">
        <v>61</v>
      </c>
    </row>
    <row r="50" spans="1:7" s="77" customFormat="1" ht="15.75" customHeight="1">
      <c r="A50" s="163" t="s">
        <v>61</v>
      </c>
      <c r="B50" s="164" t="s">
        <v>173</v>
      </c>
      <c r="C50" s="165" t="s">
        <v>61</v>
      </c>
      <c r="D50" s="165" t="s">
        <v>171</v>
      </c>
      <c r="E50" s="166" t="s">
        <v>174</v>
      </c>
      <c r="F50" s="165" t="s">
        <v>172</v>
      </c>
      <c r="G50" s="165" t="s">
        <v>61</v>
      </c>
    </row>
    <row r="51" spans="1:7" s="77" customFormat="1" ht="15.75" customHeight="1">
      <c r="A51" s="163" t="s">
        <v>61</v>
      </c>
      <c r="B51" s="164" t="s">
        <v>175</v>
      </c>
      <c r="C51" s="165" t="s">
        <v>61</v>
      </c>
      <c r="D51" s="165" t="s">
        <v>176</v>
      </c>
      <c r="E51" s="166" t="s">
        <v>177</v>
      </c>
      <c r="F51" s="165" t="s">
        <v>172</v>
      </c>
      <c r="G51" s="165" t="s">
        <v>61</v>
      </c>
    </row>
    <row r="52" spans="1:7" s="77" customFormat="1" ht="15.75" customHeight="1">
      <c r="A52" s="163" t="s">
        <v>61</v>
      </c>
      <c r="B52" s="164" t="s">
        <v>178</v>
      </c>
      <c r="C52" s="165" t="s">
        <v>61</v>
      </c>
      <c r="D52" s="165" t="s">
        <v>171</v>
      </c>
      <c r="E52" s="166" t="s">
        <v>146</v>
      </c>
      <c r="F52" s="165" t="s">
        <v>179</v>
      </c>
      <c r="G52" s="165" t="s">
        <v>61</v>
      </c>
    </row>
    <row r="53" spans="1:7" s="77" customFormat="1" ht="15.75" customHeight="1">
      <c r="A53" s="163" t="s">
        <v>61</v>
      </c>
      <c r="B53" s="164" t="s">
        <v>180</v>
      </c>
      <c r="C53" s="165" t="s">
        <v>61</v>
      </c>
      <c r="D53" s="165" t="s">
        <v>171</v>
      </c>
      <c r="E53" s="166" t="s">
        <v>146</v>
      </c>
      <c r="F53" s="165" t="s">
        <v>181</v>
      </c>
      <c r="G53" s="165" t="s">
        <v>61</v>
      </c>
    </row>
    <row r="54" spans="1:7" ht="15.75" customHeight="1">
      <c r="A54" s="152" t="s">
        <v>61</v>
      </c>
      <c r="B54" s="153" t="s">
        <v>182</v>
      </c>
      <c r="C54" s="161" t="s">
        <v>61</v>
      </c>
      <c r="D54" s="161" t="s">
        <v>176</v>
      </c>
      <c r="E54" s="162" t="s">
        <v>100</v>
      </c>
      <c r="F54" s="161" t="s">
        <v>183</v>
      </c>
      <c r="G54" s="161" t="s">
        <v>61</v>
      </c>
    </row>
  </sheetData>
  <hyperlinks>
    <hyperlink ref="B3" r:id="rId1" xr:uid="{00000000-0004-0000-0200-000000000000}"/>
    <hyperlink ref="G3"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BAE2-E10F-4AA6-9E3A-E5FE602856FA}">
  <dimension ref="A1:E5"/>
  <sheetViews>
    <sheetView topLeftCell="A2" workbookViewId="0">
      <selection activeCell="C10" sqref="C10"/>
    </sheetView>
  </sheetViews>
  <sheetFormatPr defaultRowHeight="13.15"/>
  <cols>
    <col min="2" max="2" width="77.140625" customWidth="1"/>
    <col min="3" max="3" width="57.85546875" customWidth="1"/>
    <col min="4" max="4" width="32.5703125" customWidth="1"/>
  </cols>
  <sheetData>
    <row r="1" spans="1:5">
      <c r="A1" s="37"/>
      <c r="B1" s="38" t="s">
        <v>184</v>
      </c>
      <c r="C1" s="38" t="s">
        <v>185</v>
      </c>
      <c r="D1" s="39" t="s">
        <v>186</v>
      </c>
      <c r="E1" s="40"/>
    </row>
    <row r="2" spans="1:5" ht="107.25" customHeight="1">
      <c r="A2" s="41" t="s">
        <v>54</v>
      </c>
      <c r="B2" s="34" t="s">
        <v>187</v>
      </c>
      <c r="C2" s="34" t="s">
        <v>188</v>
      </c>
      <c r="D2" s="32" t="s">
        <v>189</v>
      </c>
      <c r="E2" s="42"/>
    </row>
    <row r="3" spans="1:5" ht="65.25" customHeight="1">
      <c r="A3" s="41" t="s">
        <v>190</v>
      </c>
      <c r="B3" s="43" t="s">
        <v>191</v>
      </c>
      <c r="C3" s="34" t="s">
        <v>192</v>
      </c>
      <c r="D3" s="154" t="s">
        <v>193</v>
      </c>
      <c r="E3" s="42"/>
    </row>
    <row r="4" spans="1:5" ht="63" customHeight="1">
      <c r="A4" s="44"/>
      <c r="B4" s="58" t="s">
        <v>194</v>
      </c>
      <c r="C4" s="155" t="s">
        <v>195</v>
      </c>
      <c r="D4" s="155" t="s">
        <v>196</v>
      </c>
    </row>
    <row r="5" spans="1:5" ht="63" customHeight="1">
      <c r="A5" s="44"/>
      <c r="B5" s="156" t="s">
        <v>197</v>
      </c>
      <c r="C5" s="204" t="s">
        <v>198</v>
      </c>
      <c r="D5" s="155" t="s">
        <v>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3"/>
  <sheetViews>
    <sheetView workbookViewId="0"/>
  </sheetViews>
  <sheetFormatPr defaultColWidth="12.7109375" defaultRowHeight="15.75" customHeight="1"/>
  <cols>
    <col min="1" max="1" width="24.28515625" customWidth="1"/>
    <col min="2" max="2" width="50.7109375" customWidth="1"/>
    <col min="3" max="3" width="106.7109375" customWidth="1"/>
  </cols>
  <sheetData>
    <row r="1" spans="1:4" ht="13.15">
      <c r="A1" s="47"/>
      <c r="B1" s="20" t="s">
        <v>0</v>
      </c>
      <c r="C1" s="120"/>
      <c r="D1" s="120"/>
    </row>
    <row r="2" spans="1:4" ht="333.6">
      <c r="A2" s="48" t="s">
        <v>200</v>
      </c>
      <c r="B2" s="138" t="s">
        <v>201</v>
      </c>
      <c r="C2" s="150" t="s">
        <v>202</v>
      </c>
    </row>
    <row r="3" spans="1:4" ht="409.6" customHeight="1">
      <c r="A3" s="48" t="s">
        <v>203</v>
      </c>
      <c r="B3" s="33" t="s">
        <v>204</v>
      </c>
    </row>
  </sheetData>
  <hyperlinks>
    <hyperlink ref="B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outlinePr summaryBelow="0" summaryRight="0"/>
  </sheetPr>
  <dimension ref="A1:X57"/>
  <sheetViews>
    <sheetView tabSelected="1" topLeftCell="G26" workbookViewId="0">
      <selection activeCell="P27" sqref="P27"/>
    </sheetView>
  </sheetViews>
  <sheetFormatPr defaultColWidth="12.7109375" defaultRowHeight="15.75" customHeight="1" outlineLevelCol="1"/>
  <cols>
    <col min="1" max="1" width="17.85546875" customWidth="1"/>
    <col min="3" max="3" width="12.7109375" style="128"/>
    <col min="5" max="5" width="15.5703125" style="114" customWidth="1"/>
    <col min="6" max="6" width="27.85546875" style="114" customWidth="1"/>
    <col min="7" max="7" width="12.7109375" style="128"/>
    <col min="8" max="8" width="18.5703125" style="196" customWidth="1"/>
    <col min="9" max="9" width="59.5703125" style="114" customWidth="1"/>
    <col min="10" max="10" width="52.5703125" customWidth="1" collapsed="1"/>
    <col min="11" max="11" width="69.140625" style="77" hidden="1" customWidth="1" outlineLevel="1"/>
    <col min="12" max="12" width="22.140625" style="114" hidden="1" customWidth="1" outlineLevel="1"/>
    <col min="13" max="13" width="67.28515625" hidden="1" customWidth="1" outlineLevel="1"/>
    <col min="14" max="14" width="24.42578125" hidden="1" customWidth="1" outlineLevel="1"/>
    <col min="15" max="15" width="42.140625" hidden="1" customWidth="1" outlineLevel="1"/>
    <col min="16" max="16" width="30.5703125" customWidth="1"/>
    <col min="17" max="17" width="27.28515625" customWidth="1"/>
    <col min="18" max="18" width="26.85546875" customWidth="1"/>
    <col min="19" max="19" width="25.42578125" customWidth="1"/>
    <col min="20" max="20" width="26.28515625" customWidth="1"/>
    <col min="21" max="21" width="31.42578125" customWidth="1"/>
    <col min="23" max="23" width="25.140625" customWidth="1"/>
  </cols>
  <sheetData>
    <row r="1" spans="1:24" s="77" customFormat="1" ht="40.15" thickBot="1">
      <c r="A1" s="121" t="s">
        <v>205</v>
      </c>
      <c r="B1" s="80" t="s">
        <v>206</v>
      </c>
      <c r="C1" s="80" t="s">
        <v>207</v>
      </c>
      <c r="D1" s="50" t="s">
        <v>208</v>
      </c>
      <c r="E1" s="118" t="s">
        <v>209</v>
      </c>
      <c r="F1" s="111" t="s">
        <v>210</v>
      </c>
      <c r="G1" s="80" t="s">
        <v>211</v>
      </c>
      <c r="H1" s="81" t="s">
        <v>212</v>
      </c>
      <c r="I1" s="81" t="s">
        <v>213</v>
      </c>
      <c r="J1" s="81" t="s">
        <v>214</v>
      </c>
      <c r="K1" s="81" t="s">
        <v>215</v>
      </c>
      <c r="L1" s="111" t="s">
        <v>216</v>
      </c>
      <c r="M1" s="81" t="s">
        <v>217</v>
      </c>
      <c r="N1" s="81" t="s">
        <v>218</v>
      </c>
      <c r="O1" s="81" t="s">
        <v>219</v>
      </c>
      <c r="P1" s="81" t="s">
        <v>220</v>
      </c>
      <c r="Q1" s="81" t="s">
        <v>221</v>
      </c>
      <c r="R1" s="81" t="s">
        <v>222</v>
      </c>
      <c r="S1" s="81" t="s">
        <v>223</v>
      </c>
      <c r="T1" s="81" t="s">
        <v>224</v>
      </c>
      <c r="U1" s="81" t="s">
        <v>225</v>
      </c>
      <c r="V1" s="81" t="s">
        <v>226</v>
      </c>
      <c r="W1" s="82" t="s">
        <v>227</v>
      </c>
      <c r="X1" s="76"/>
    </row>
    <row r="2" spans="1:24" ht="57.6">
      <c r="A2" s="265"/>
      <c r="B2" s="251" t="s">
        <v>228</v>
      </c>
      <c r="C2" s="267">
        <v>2</v>
      </c>
      <c r="D2" s="251"/>
      <c r="E2" s="251" t="s">
        <v>229</v>
      </c>
      <c r="F2" s="131"/>
      <c r="G2" s="253">
        <v>2.1</v>
      </c>
      <c r="H2" s="193"/>
      <c r="I2" s="252" t="s">
        <v>195</v>
      </c>
      <c r="J2" s="103" t="s">
        <v>230</v>
      </c>
      <c r="K2" s="88" t="s">
        <v>231</v>
      </c>
      <c r="L2" s="177" t="s">
        <v>232</v>
      </c>
      <c r="M2" s="88" t="s">
        <v>233</v>
      </c>
      <c r="N2" s="91" t="s">
        <v>234</v>
      </c>
      <c r="O2" s="251" t="s">
        <v>196</v>
      </c>
      <c r="P2" s="212">
        <v>0.8</v>
      </c>
      <c r="Q2" s="212"/>
      <c r="R2" s="212"/>
      <c r="S2" s="212"/>
      <c r="T2" s="212"/>
      <c r="U2" s="212">
        <v>0.9</v>
      </c>
      <c r="V2" s="86"/>
      <c r="W2" s="86"/>
      <c r="X2" s="60"/>
    </row>
    <row r="3" spans="1:24" ht="57.6">
      <c r="A3" s="265"/>
      <c r="B3" s="251"/>
      <c r="C3" s="267"/>
      <c r="D3" s="251"/>
      <c r="E3" s="251"/>
      <c r="F3" s="132"/>
      <c r="G3" s="253"/>
      <c r="H3" s="194"/>
      <c r="I3" s="252"/>
      <c r="J3" s="103" t="s">
        <v>235</v>
      </c>
      <c r="K3" s="91" t="s">
        <v>236</v>
      </c>
      <c r="L3" s="177" t="s">
        <v>232</v>
      </c>
      <c r="M3" s="88" t="s">
        <v>237</v>
      </c>
      <c r="N3" s="91" t="s">
        <v>234</v>
      </c>
      <c r="O3" s="251"/>
      <c r="P3" s="85" t="s">
        <v>238</v>
      </c>
      <c r="Q3" s="85"/>
      <c r="R3" s="85"/>
      <c r="S3" s="85"/>
      <c r="T3" s="85"/>
      <c r="U3" s="85"/>
      <c r="V3" s="86"/>
      <c r="W3" s="86"/>
      <c r="X3" s="60"/>
    </row>
    <row r="4" spans="1:24" ht="150" customHeight="1">
      <c r="A4" s="265"/>
      <c r="B4" s="251" t="s">
        <v>228</v>
      </c>
      <c r="C4" s="267">
        <v>2</v>
      </c>
      <c r="D4" s="251"/>
      <c r="E4" s="251" t="s">
        <v>239</v>
      </c>
      <c r="F4" s="131"/>
      <c r="G4" s="253">
        <v>2.2000000000000002</v>
      </c>
      <c r="H4" s="193"/>
      <c r="I4" s="252" t="s">
        <v>240</v>
      </c>
      <c r="J4" s="88" t="s">
        <v>241</v>
      </c>
      <c r="K4" s="103" t="s">
        <v>242</v>
      </c>
      <c r="L4" s="146" t="s">
        <v>243</v>
      </c>
      <c r="M4" s="91" t="s">
        <v>244</v>
      </c>
      <c r="N4" s="91" t="s">
        <v>245</v>
      </c>
      <c r="O4" s="251" t="s">
        <v>199</v>
      </c>
      <c r="P4" s="84" t="s">
        <v>246</v>
      </c>
      <c r="Q4" s="85"/>
      <c r="R4" s="85"/>
      <c r="S4" s="85"/>
      <c r="T4" s="85"/>
      <c r="U4" s="84" t="s">
        <v>247</v>
      </c>
      <c r="V4" s="86"/>
      <c r="W4" s="86"/>
      <c r="X4" s="60"/>
    </row>
    <row r="5" spans="1:24" s="79" customFormat="1" ht="141.75" customHeight="1">
      <c r="A5" s="265"/>
      <c r="B5" s="251"/>
      <c r="C5" s="267"/>
      <c r="D5" s="251"/>
      <c r="E5" s="251"/>
      <c r="F5" s="126"/>
      <c r="G5" s="253"/>
      <c r="H5" s="195"/>
      <c r="I5" s="252"/>
      <c r="J5" s="88" t="s">
        <v>248</v>
      </c>
      <c r="K5" s="103" t="s">
        <v>249</v>
      </c>
      <c r="L5" s="146" t="s">
        <v>243</v>
      </c>
      <c r="M5" s="91" t="s">
        <v>244</v>
      </c>
      <c r="N5" s="91" t="s">
        <v>245</v>
      </c>
      <c r="O5" s="251"/>
      <c r="P5" s="84" t="s">
        <v>250</v>
      </c>
      <c r="Q5" s="84"/>
      <c r="R5" s="84"/>
      <c r="S5" s="84"/>
      <c r="T5" s="84"/>
      <c r="U5" s="84" t="s">
        <v>251</v>
      </c>
      <c r="V5" s="87"/>
      <c r="W5" s="87"/>
      <c r="X5" s="78"/>
    </row>
    <row r="6" spans="1:24" s="79" customFormat="1" ht="79.5" customHeight="1">
      <c r="A6" s="265"/>
      <c r="B6" s="251"/>
      <c r="C6" s="267"/>
      <c r="D6" s="251"/>
      <c r="E6" s="251"/>
      <c r="F6" s="127"/>
      <c r="G6" s="253"/>
      <c r="H6" s="194"/>
      <c r="I6" s="252"/>
      <c r="J6" s="88" t="s">
        <v>252</v>
      </c>
      <c r="K6" s="83" t="s">
        <v>253</v>
      </c>
      <c r="L6" s="146" t="s">
        <v>254</v>
      </c>
      <c r="M6" s="91" t="s">
        <v>255</v>
      </c>
      <c r="N6" s="91" t="s">
        <v>234</v>
      </c>
      <c r="O6" s="251"/>
      <c r="P6" s="84" t="s">
        <v>238</v>
      </c>
      <c r="Q6" s="84"/>
      <c r="R6" s="84"/>
      <c r="S6" s="84"/>
      <c r="T6" s="84"/>
      <c r="U6" s="84"/>
      <c r="V6" s="87"/>
      <c r="W6" s="87"/>
      <c r="X6" s="78"/>
    </row>
    <row r="7" spans="1:24" ht="153.75" customHeight="1">
      <c r="A7" s="265"/>
      <c r="B7" s="90" t="s">
        <v>256</v>
      </c>
      <c r="C7" s="89" t="s">
        <v>257</v>
      </c>
      <c r="D7" s="90"/>
      <c r="E7" s="83" t="s">
        <v>258</v>
      </c>
      <c r="F7" s="103"/>
      <c r="G7" s="174">
        <v>4.0999999999999996</v>
      </c>
      <c r="H7" s="174"/>
      <c r="I7" s="83" t="s">
        <v>259</v>
      </c>
      <c r="J7" s="83" t="s">
        <v>260</v>
      </c>
      <c r="K7" s="83" t="s">
        <v>261</v>
      </c>
      <c r="L7" s="147" t="s">
        <v>262</v>
      </c>
      <c r="M7" s="83" t="s">
        <v>263</v>
      </c>
      <c r="N7" s="89" t="s">
        <v>264</v>
      </c>
      <c r="O7" s="83" t="s">
        <v>265</v>
      </c>
      <c r="P7" s="84" t="s">
        <v>266</v>
      </c>
      <c r="Q7" s="85"/>
      <c r="R7" s="85"/>
      <c r="S7" s="85"/>
      <c r="T7" s="85"/>
      <c r="U7" s="84" t="s">
        <v>267</v>
      </c>
      <c r="V7" s="86"/>
      <c r="W7" s="86"/>
      <c r="X7" s="60"/>
    </row>
    <row r="8" spans="1:24" ht="135.75" customHeight="1">
      <c r="A8" s="266" t="s">
        <v>268</v>
      </c>
      <c r="B8" s="96" t="s">
        <v>228</v>
      </c>
      <c r="C8" s="101"/>
      <c r="D8" s="96"/>
      <c r="E8" s="96" t="s">
        <v>229</v>
      </c>
      <c r="F8" s="96" t="s">
        <v>269</v>
      </c>
      <c r="G8" s="175" t="s">
        <v>270</v>
      </c>
      <c r="H8" s="176" t="s">
        <v>271</v>
      </c>
      <c r="I8" s="96" t="s">
        <v>272</v>
      </c>
      <c r="J8" s="96" t="s">
        <v>273</v>
      </c>
      <c r="K8" s="98" t="s">
        <v>274</v>
      </c>
      <c r="L8" s="148" t="s">
        <v>275</v>
      </c>
      <c r="M8" s="97" t="s">
        <v>276</v>
      </c>
      <c r="N8" s="98" t="s">
        <v>245</v>
      </c>
      <c r="O8" s="119" t="s">
        <v>277</v>
      </c>
      <c r="P8" s="232" t="s">
        <v>278</v>
      </c>
      <c r="Q8" s="213" t="s">
        <v>279</v>
      </c>
      <c r="R8" s="213" t="s">
        <v>279</v>
      </c>
      <c r="S8" s="213" t="s">
        <v>279</v>
      </c>
      <c r="T8" s="213" t="s">
        <v>279</v>
      </c>
      <c r="U8" s="213" t="s">
        <v>279</v>
      </c>
      <c r="V8" s="100"/>
      <c r="W8" s="100"/>
      <c r="X8" s="60"/>
    </row>
    <row r="9" spans="1:24" ht="136.5" customHeight="1">
      <c r="A9" s="266"/>
      <c r="B9" s="96" t="s">
        <v>228</v>
      </c>
      <c r="C9" s="101"/>
      <c r="D9" s="96"/>
      <c r="E9" s="96" t="s">
        <v>239</v>
      </c>
      <c r="F9" s="96" t="s">
        <v>280</v>
      </c>
      <c r="G9" s="175" t="s">
        <v>281</v>
      </c>
      <c r="H9" s="176" t="s">
        <v>282</v>
      </c>
      <c r="I9" s="135" t="s">
        <v>283</v>
      </c>
      <c r="J9" s="96" t="s">
        <v>284</v>
      </c>
      <c r="K9" s="98"/>
      <c r="L9" s="148" t="s">
        <v>275</v>
      </c>
      <c r="M9" s="97" t="s">
        <v>276</v>
      </c>
      <c r="N9" s="98" t="s">
        <v>245</v>
      </c>
      <c r="O9" s="119" t="s">
        <v>285</v>
      </c>
      <c r="P9" s="232" t="s">
        <v>286</v>
      </c>
      <c r="Q9" s="213" t="s">
        <v>287</v>
      </c>
      <c r="R9" s="213" t="s">
        <v>288</v>
      </c>
      <c r="S9" s="213" t="s">
        <v>289</v>
      </c>
      <c r="T9" s="213" t="s">
        <v>290</v>
      </c>
      <c r="U9" s="213" t="s">
        <v>290</v>
      </c>
      <c r="V9" s="100"/>
      <c r="W9" s="100"/>
      <c r="X9" s="60"/>
    </row>
    <row r="10" spans="1:24" ht="135.75" customHeight="1">
      <c r="A10" s="266"/>
      <c r="B10" s="209" t="s">
        <v>228</v>
      </c>
      <c r="C10" s="210"/>
      <c r="D10" s="209"/>
      <c r="E10" s="209" t="s">
        <v>239</v>
      </c>
      <c r="F10" s="209" t="s">
        <v>291</v>
      </c>
      <c r="G10" s="205" t="s">
        <v>292</v>
      </c>
      <c r="H10" s="96" t="s">
        <v>293</v>
      </c>
      <c r="I10" s="96" t="s">
        <v>294</v>
      </c>
      <c r="J10" s="97" t="s">
        <v>295</v>
      </c>
      <c r="K10" s="96" t="s">
        <v>296</v>
      </c>
      <c r="L10" s="178" t="s">
        <v>297</v>
      </c>
      <c r="M10" s="98" t="s">
        <v>298</v>
      </c>
      <c r="N10" s="108" t="s">
        <v>299</v>
      </c>
      <c r="O10" s="206" t="s">
        <v>300</v>
      </c>
      <c r="P10" s="232" t="s">
        <v>301</v>
      </c>
      <c r="Q10" s="213" t="s">
        <v>302</v>
      </c>
      <c r="R10" s="213" t="s">
        <v>303</v>
      </c>
      <c r="S10" s="213" t="s">
        <v>304</v>
      </c>
      <c r="T10" s="213" t="s">
        <v>305</v>
      </c>
      <c r="U10" s="213" t="s">
        <v>306</v>
      </c>
      <c r="V10" s="100"/>
      <c r="W10" s="100"/>
      <c r="X10" s="60"/>
    </row>
    <row r="11" spans="1:24" ht="141.75" customHeight="1">
      <c r="A11" s="266"/>
      <c r="B11" s="209" t="s">
        <v>228</v>
      </c>
      <c r="C11" s="210"/>
      <c r="D11" s="209"/>
      <c r="E11" s="209" t="s">
        <v>239</v>
      </c>
      <c r="F11" s="209" t="s">
        <v>307</v>
      </c>
      <c r="G11" s="211" t="s">
        <v>308</v>
      </c>
      <c r="H11" s="209" t="s">
        <v>309</v>
      </c>
      <c r="I11" s="209" t="s">
        <v>310</v>
      </c>
      <c r="J11" s="97" t="s">
        <v>311</v>
      </c>
      <c r="K11" s="98" t="s">
        <v>312</v>
      </c>
      <c r="L11" s="178" t="s">
        <v>313</v>
      </c>
      <c r="M11" s="98" t="s">
        <v>314</v>
      </c>
      <c r="N11" s="108" t="s">
        <v>299</v>
      </c>
      <c r="O11" s="206" t="s">
        <v>315</v>
      </c>
      <c r="P11" s="232" t="s">
        <v>316</v>
      </c>
      <c r="Q11" s="213" t="s">
        <v>317</v>
      </c>
      <c r="R11" s="213" t="s">
        <v>318</v>
      </c>
      <c r="S11" s="213" t="s">
        <v>319</v>
      </c>
      <c r="T11" s="213" t="s">
        <v>320</v>
      </c>
      <c r="U11" s="213" t="s">
        <v>321</v>
      </c>
      <c r="V11" s="100"/>
      <c r="W11" s="100"/>
      <c r="X11" s="60"/>
    </row>
    <row r="12" spans="1:24" ht="119.25" customHeight="1">
      <c r="A12" s="266"/>
      <c r="B12" s="97" t="s">
        <v>228</v>
      </c>
      <c r="C12" s="101"/>
      <c r="D12" s="97"/>
      <c r="E12" s="97" t="s">
        <v>322</v>
      </c>
      <c r="F12" s="96" t="s">
        <v>323</v>
      </c>
      <c r="G12" s="175" t="s">
        <v>324</v>
      </c>
      <c r="H12" s="96" t="s">
        <v>325</v>
      </c>
      <c r="I12" s="96" t="s">
        <v>326</v>
      </c>
      <c r="J12" s="97" t="s">
        <v>327</v>
      </c>
      <c r="K12" s="149" t="s">
        <v>328</v>
      </c>
      <c r="L12" s="178" t="s">
        <v>329</v>
      </c>
      <c r="M12" s="97" t="s">
        <v>330</v>
      </c>
      <c r="N12" s="108" t="s">
        <v>299</v>
      </c>
      <c r="O12" s="113" t="s">
        <v>331</v>
      </c>
      <c r="P12" s="232" t="s">
        <v>332</v>
      </c>
      <c r="Q12" s="213" t="s">
        <v>333</v>
      </c>
      <c r="R12" s="213" t="s">
        <v>334</v>
      </c>
      <c r="S12" s="213" t="s">
        <v>335</v>
      </c>
      <c r="T12" s="213" t="s">
        <v>336</v>
      </c>
      <c r="U12" s="213" t="s">
        <v>337</v>
      </c>
      <c r="V12" s="100"/>
      <c r="W12" s="100"/>
      <c r="X12" s="60"/>
    </row>
    <row r="13" spans="1:24" s="79" customFormat="1" ht="149.25" customHeight="1">
      <c r="A13" s="266"/>
      <c r="B13" s="262" t="s">
        <v>256</v>
      </c>
      <c r="C13" s="262"/>
      <c r="D13" s="262"/>
      <c r="E13" s="262" t="s">
        <v>258</v>
      </c>
      <c r="F13" s="260" t="s">
        <v>338</v>
      </c>
      <c r="G13" s="259" t="s">
        <v>339</v>
      </c>
      <c r="H13" s="256" t="s">
        <v>340</v>
      </c>
      <c r="I13" s="256" t="s">
        <v>341</v>
      </c>
      <c r="J13" s="96" t="s">
        <v>342</v>
      </c>
      <c r="K13" s="181" t="s">
        <v>343</v>
      </c>
      <c r="L13" s="106" t="s">
        <v>344</v>
      </c>
      <c r="M13" s="107" t="s">
        <v>345</v>
      </c>
      <c r="N13" s="107" t="s">
        <v>299</v>
      </c>
      <c r="O13" s="257" t="s">
        <v>346</v>
      </c>
      <c r="P13" s="232" t="s">
        <v>347</v>
      </c>
      <c r="Q13" s="213" t="s">
        <v>348</v>
      </c>
      <c r="R13" s="213" t="s">
        <v>349</v>
      </c>
      <c r="S13" s="213" t="s">
        <v>350</v>
      </c>
      <c r="T13" s="213" t="s">
        <v>351</v>
      </c>
      <c r="U13" s="213" t="s">
        <v>352</v>
      </c>
      <c r="V13" s="214"/>
      <c r="W13" s="214"/>
      <c r="X13" s="78"/>
    </row>
    <row r="14" spans="1:24" ht="57.75" customHeight="1">
      <c r="A14" s="266"/>
      <c r="B14" s="262"/>
      <c r="C14" s="262"/>
      <c r="D14" s="262"/>
      <c r="E14" s="262"/>
      <c r="F14" s="260"/>
      <c r="G14" s="259"/>
      <c r="H14" s="256"/>
      <c r="I14" s="256"/>
      <c r="J14" s="113" t="s">
        <v>353</v>
      </c>
      <c r="K14" s="181"/>
      <c r="L14" s="106" t="s">
        <v>344</v>
      </c>
      <c r="M14" s="107" t="s">
        <v>345</v>
      </c>
      <c r="N14" s="108" t="s">
        <v>299</v>
      </c>
      <c r="O14" s="257"/>
      <c r="P14" s="233" t="s">
        <v>354</v>
      </c>
      <c r="Q14" s="113" t="s">
        <v>355</v>
      </c>
      <c r="R14" s="113" t="s">
        <v>356</v>
      </c>
      <c r="S14" s="113" t="s">
        <v>357</v>
      </c>
      <c r="T14" s="113" t="s">
        <v>358</v>
      </c>
      <c r="U14" s="113" t="s">
        <v>359</v>
      </c>
      <c r="V14" s="100"/>
      <c r="W14" s="100"/>
      <c r="X14" s="60"/>
    </row>
    <row r="15" spans="1:24" ht="129.6">
      <c r="A15" s="266"/>
      <c r="B15" s="112" t="s">
        <v>256</v>
      </c>
      <c r="C15" s="95"/>
      <c r="D15" s="112"/>
      <c r="E15" s="112" t="s">
        <v>258</v>
      </c>
      <c r="F15" s="96" t="s">
        <v>360</v>
      </c>
      <c r="G15" s="176" t="s">
        <v>361</v>
      </c>
      <c r="H15" s="96" t="s">
        <v>362</v>
      </c>
      <c r="I15" s="96" t="s">
        <v>363</v>
      </c>
      <c r="J15" s="113" t="s">
        <v>364</v>
      </c>
      <c r="K15" s="113" t="s">
        <v>365</v>
      </c>
      <c r="L15" s="108" t="s">
        <v>366</v>
      </c>
      <c r="M15" s="108" t="s">
        <v>367</v>
      </c>
      <c r="N15" s="108" t="s">
        <v>299</v>
      </c>
      <c r="O15" s="102" t="s">
        <v>368</v>
      </c>
      <c r="P15" s="232" t="s">
        <v>369</v>
      </c>
      <c r="Q15" s="213" t="s">
        <v>370</v>
      </c>
      <c r="R15" s="213" t="s">
        <v>371</v>
      </c>
      <c r="S15" s="213" t="s">
        <v>372</v>
      </c>
      <c r="T15" s="213" t="s">
        <v>373</v>
      </c>
      <c r="U15" s="213" t="s">
        <v>374</v>
      </c>
      <c r="V15" s="100"/>
      <c r="W15" s="100"/>
      <c r="X15" s="60"/>
    </row>
    <row r="16" spans="1:24" ht="43.15" customHeight="1">
      <c r="A16" s="266"/>
      <c r="B16" s="211" t="s">
        <v>256</v>
      </c>
      <c r="C16" s="211"/>
      <c r="D16" s="211"/>
      <c r="E16" s="211" t="s">
        <v>258</v>
      </c>
      <c r="F16" s="209" t="s">
        <v>375</v>
      </c>
      <c r="G16" s="208" t="s">
        <v>376</v>
      </c>
      <c r="H16" s="96" t="s">
        <v>377</v>
      </c>
      <c r="I16" s="96" t="s">
        <v>378</v>
      </c>
      <c r="J16" s="149" t="s">
        <v>379</v>
      </c>
      <c r="K16" s="98"/>
      <c r="L16" s="178" t="s">
        <v>380</v>
      </c>
      <c r="M16" s="98" t="s">
        <v>380</v>
      </c>
      <c r="N16" s="98" t="s">
        <v>299</v>
      </c>
      <c r="O16" s="207" t="s">
        <v>381</v>
      </c>
      <c r="P16" s="234" t="s">
        <v>382</v>
      </c>
      <c r="Q16" s="99">
        <v>4000</v>
      </c>
      <c r="R16" s="99">
        <v>4500</v>
      </c>
      <c r="S16" s="99">
        <v>5000</v>
      </c>
      <c r="T16" s="99">
        <v>5500</v>
      </c>
      <c r="U16" s="99">
        <v>6000</v>
      </c>
      <c r="V16" s="100"/>
      <c r="W16" s="100"/>
      <c r="X16" s="60"/>
    </row>
    <row r="17" spans="1:24" ht="136.5" customHeight="1">
      <c r="A17" s="266"/>
      <c r="B17" s="264" t="s">
        <v>256</v>
      </c>
      <c r="C17" s="264"/>
      <c r="D17" s="264"/>
      <c r="E17" s="264" t="s">
        <v>258</v>
      </c>
      <c r="F17" s="272" t="s">
        <v>383</v>
      </c>
      <c r="G17" s="261" t="s">
        <v>384</v>
      </c>
      <c r="H17" s="256" t="s">
        <v>385</v>
      </c>
      <c r="I17" s="256" t="s">
        <v>386</v>
      </c>
      <c r="J17" s="97" t="s">
        <v>387</v>
      </c>
      <c r="K17" s="182" t="s">
        <v>388</v>
      </c>
      <c r="L17" s="179" t="s">
        <v>389</v>
      </c>
      <c r="M17" s="109" t="s">
        <v>390</v>
      </c>
      <c r="N17" s="105" t="s">
        <v>391</v>
      </c>
      <c r="O17" s="258" t="s">
        <v>392</v>
      </c>
      <c r="P17" s="213" t="s">
        <v>393</v>
      </c>
      <c r="Q17" s="99"/>
      <c r="R17" s="99"/>
      <c r="S17" s="99"/>
      <c r="T17" s="99"/>
      <c r="U17" s="99"/>
      <c r="V17" s="100"/>
      <c r="W17" s="100"/>
      <c r="X17" s="60"/>
    </row>
    <row r="18" spans="1:24" ht="149.25" customHeight="1">
      <c r="A18" s="266"/>
      <c r="B18" s="264"/>
      <c r="C18" s="264"/>
      <c r="D18" s="264"/>
      <c r="E18" s="264"/>
      <c r="F18" s="272"/>
      <c r="G18" s="261"/>
      <c r="H18" s="256"/>
      <c r="I18" s="256"/>
      <c r="J18" s="149" t="s">
        <v>394</v>
      </c>
      <c r="K18" s="183" t="s">
        <v>395</v>
      </c>
      <c r="L18" s="179" t="s">
        <v>396</v>
      </c>
      <c r="M18" s="110" t="s">
        <v>397</v>
      </c>
      <c r="N18" s="104" t="s">
        <v>299</v>
      </c>
      <c r="O18" s="258"/>
      <c r="P18" s="213" t="s">
        <v>393</v>
      </c>
      <c r="Q18" s="99"/>
      <c r="R18" s="99"/>
      <c r="S18" s="99"/>
      <c r="T18" s="99"/>
      <c r="U18" s="99"/>
      <c r="V18" s="100"/>
      <c r="W18" s="100"/>
      <c r="X18" s="60"/>
    </row>
    <row r="19" spans="1:24" ht="115.15">
      <c r="A19" s="266"/>
      <c r="B19" s="112" t="s">
        <v>256</v>
      </c>
      <c r="C19" s="95"/>
      <c r="D19" s="112"/>
      <c r="E19" s="112" t="s">
        <v>258</v>
      </c>
      <c r="F19" s="112" t="s">
        <v>383</v>
      </c>
      <c r="G19" s="175" t="s">
        <v>398</v>
      </c>
      <c r="H19" s="96" t="s">
        <v>399</v>
      </c>
      <c r="I19" s="96" t="s">
        <v>400</v>
      </c>
      <c r="J19" s="96" t="s">
        <v>401</v>
      </c>
      <c r="K19" s="184" t="s">
        <v>402</v>
      </c>
      <c r="L19" s="180" t="s">
        <v>403</v>
      </c>
      <c r="M19" s="115" t="s">
        <v>404</v>
      </c>
      <c r="N19" s="117" t="s">
        <v>299</v>
      </c>
      <c r="O19" s="117" t="s">
        <v>405</v>
      </c>
      <c r="P19" s="235" t="s">
        <v>406</v>
      </c>
      <c r="Q19" s="215" t="s">
        <v>407</v>
      </c>
      <c r="R19" s="215" t="s">
        <v>408</v>
      </c>
      <c r="S19" s="215" t="s">
        <v>409</v>
      </c>
      <c r="T19" s="215" t="s">
        <v>410</v>
      </c>
      <c r="U19" s="216" t="s">
        <v>411</v>
      </c>
      <c r="V19" s="100"/>
      <c r="W19" s="100"/>
      <c r="X19" s="60"/>
    </row>
    <row r="20" spans="1:24" ht="129.6">
      <c r="A20" s="266"/>
      <c r="B20" s="112" t="s">
        <v>256</v>
      </c>
      <c r="C20" s="95"/>
      <c r="D20" s="112"/>
      <c r="E20" s="112" t="s">
        <v>258</v>
      </c>
      <c r="F20" s="96" t="s">
        <v>412</v>
      </c>
      <c r="G20" s="176" t="s">
        <v>413</v>
      </c>
      <c r="H20" s="96" t="s">
        <v>414</v>
      </c>
      <c r="I20" s="96" t="s">
        <v>415</v>
      </c>
      <c r="J20" s="96" t="s">
        <v>416</v>
      </c>
      <c r="K20" s="96" t="s">
        <v>417</v>
      </c>
      <c r="L20" s="180" t="s">
        <v>418</v>
      </c>
      <c r="M20" s="115" t="s">
        <v>419</v>
      </c>
      <c r="N20" s="117" t="s">
        <v>299</v>
      </c>
      <c r="O20" s="105" t="s">
        <v>420</v>
      </c>
      <c r="P20" s="232" t="s">
        <v>421</v>
      </c>
      <c r="Q20" s="99"/>
      <c r="R20" s="99"/>
      <c r="S20" s="99"/>
      <c r="T20" s="99"/>
      <c r="U20" s="99"/>
      <c r="V20" s="100"/>
      <c r="W20" s="100"/>
      <c r="X20" s="60"/>
    </row>
    <row r="21" spans="1:24" ht="91.5">
      <c r="A21" s="263" t="s">
        <v>422</v>
      </c>
      <c r="B21" s="141"/>
      <c r="C21" s="141"/>
      <c r="D21" s="141"/>
      <c r="E21" s="142"/>
      <c r="F21" s="142"/>
      <c r="G21" s="197" t="s">
        <v>423</v>
      </c>
      <c r="H21" s="142"/>
      <c r="I21" s="142" t="s">
        <v>424</v>
      </c>
      <c r="J21" s="142" t="s">
        <v>425</v>
      </c>
      <c r="K21" s="145"/>
      <c r="L21" s="116"/>
      <c r="M21" s="94"/>
      <c r="N21" s="94"/>
      <c r="O21" s="61"/>
      <c r="P21" s="236" t="s">
        <v>426</v>
      </c>
      <c r="Q21" s="142" t="s">
        <v>427</v>
      </c>
      <c r="R21" s="142" t="s">
        <v>428</v>
      </c>
      <c r="S21" s="142" t="s">
        <v>428</v>
      </c>
      <c r="T21" s="142" t="s">
        <v>428</v>
      </c>
      <c r="U21" s="142" t="s">
        <v>429</v>
      </c>
      <c r="V21" s="61"/>
      <c r="W21" s="62"/>
      <c r="X21" s="60"/>
    </row>
    <row r="22" spans="1:24" ht="147" customHeight="1">
      <c r="A22" s="263"/>
      <c r="B22" s="141"/>
      <c r="C22" s="141"/>
      <c r="D22" s="141"/>
      <c r="E22" s="142"/>
      <c r="F22" s="171"/>
      <c r="G22" s="198" t="s">
        <v>430</v>
      </c>
      <c r="H22" s="171"/>
      <c r="I22" s="171" t="s">
        <v>431</v>
      </c>
      <c r="J22" s="142" t="s">
        <v>432</v>
      </c>
      <c r="K22" s="145"/>
      <c r="L22" s="116"/>
      <c r="M22" s="94"/>
      <c r="N22" s="94"/>
      <c r="O22" s="61"/>
      <c r="P22" s="236" t="s">
        <v>433</v>
      </c>
      <c r="Q22" s="142" t="s">
        <v>287</v>
      </c>
      <c r="R22" s="142" t="s">
        <v>288</v>
      </c>
      <c r="S22" s="142" t="s">
        <v>289</v>
      </c>
      <c r="T22" s="142" t="s">
        <v>290</v>
      </c>
      <c r="U22" s="142" t="s">
        <v>290</v>
      </c>
      <c r="V22" s="61"/>
      <c r="W22" s="62"/>
      <c r="X22" s="60"/>
    </row>
    <row r="23" spans="1:24" ht="126.75" customHeight="1">
      <c r="A23" s="263"/>
      <c r="B23" s="141"/>
      <c r="C23" s="141"/>
      <c r="D23" s="141"/>
      <c r="E23" s="142"/>
      <c r="F23" s="171"/>
      <c r="G23" s="198" t="s">
        <v>434</v>
      </c>
      <c r="H23" s="171"/>
      <c r="I23" s="185" t="s">
        <v>435</v>
      </c>
      <c r="J23" s="171" t="s">
        <v>436</v>
      </c>
      <c r="K23" s="145"/>
      <c r="L23" s="116"/>
      <c r="M23" s="94"/>
      <c r="N23" s="94"/>
      <c r="O23" s="61"/>
      <c r="P23" s="236" t="s">
        <v>437</v>
      </c>
      <c r="Q23" s="142" t="s">
        <v>438</v>
      </c>
      <c r="R23" s="142" t="s">
        <v>439</v>
      </c>
      <c r="S23" s="142" t="s">
        <v>440</v>
      </c>
      <c r="T23" s="142" t="s">
        <v>440</v>
      </c>
      <c r="U23" s="142" t="s">
        <v>440</v>
      </c>
      <c r="V23" s="61"/>
      <c r="W23" s="62"/>
      <c r="X23" s="60"/>
    </row>
    <row r="24" spans="1:24" s="249" customFormat="1" ht="138" customHeight="1">
      <c r="A24" s="263"/>
      <c r="B24" s="237"/>
      <c r="C24" s="237"/>
      <c r="D24" s="237"/>
      <c r="E24" s="238"/>
      <c r="F24" s="239"/>
      <c r="G24" s="240" t="s">
        <v>441</v>
      </c>
      <c r="H24" s="239"/>
      <c r="I24" s="239" t="s">
        <v>442</v>
      </c>
      <c r="J24" s="241" t="s">
        <v>443</v>
      </c>
      <c r="K24" s="242"/>
      <c r="L24" s="243"/>
      <c r="M24" s="244"/>
      <c r="N24" s="244"/>
      <c r="O24" s="245"/>
      <c r="P24" s="246" t="s">
        <v>444</v>
      </c>
      <c r="Q24" s="246" t="s">
        <v>445</v>
      </c>
      <c r="R24" s="246" t="s">
        <v>445</v>
      </c>
      <c r="S24" s="246" t="s">
        <v>445</v>
      </c>
      <c r="T24" s="246" t="s">
        <v>445</v>
      </c>
      <c r="U24" s="245"/>
      <c r="V24" s="245"/>
      <c r="W24" s="247"/>
      <c r="X24" s="248"/>
    </row>
    <row r="25" spans="1:24" ht="124.5" customHeight="1">
      <c r="A25" s="263"/>
      <c r="B25" s="143"/>
      <c r="C25" s="143"/>
      <c r="D25" s="143"/>
      <c r="E25" s="144"/>
      <c r="F25" s="170"/>
      <c r="G25" s="141" t="s">
        <v>446</v>
      </c>
      <c r="H25" s="170"/>
      <c r="I25" s="170" t="s">
        <v>447</v>
      </c>
      <c r="J25" s="142" t="s">
        <v>448</v>
      </c>
      <c r="K25" s="145"/>
      <c r="L25" s="116"/>
      <c r="M25" s="94"/>
      <c r="N25" s="94"/>
      <c r="O25" s="61"/>
      <c r="P25" s="217" t="s">
        <v>449</v>
      </c>
      <c r="Q25" s="61"/>
      <c r="R25" s="61"/>
      <c r="S25" s="61"/>
      <c r="T25" s="61"/>
      <c r="U25" s="61"/>
      <c r="V25" s="61"/>
      <c r="W25" s="62"/>
      <c r="X25" s="60"/>
    </row>
    <row r="26" spans="1:24" ht="117" customHeight="1">
      <c r="A26" s="263"/>
      <c r="B26" s="143"/>
      <c r="C26" s="143"/>
      <c r="D26" s="143"/>
      <c r="E26" s="144"/>
      <c r="F26" s="169"/>
      <c r="G26" s="141" t="s">
        <v>450</v>
      </c>
      <c r="H26" s="169"/>
      <c r="I26" s="169" t="s">
        <v>451</v>
      </c>
      <c r="J26" s="142" t="s">
        <v>452</v>
      </c>
      <c r="K26" s="145"/>
      <c r="L26" s="116"/>
      <c r="M26" s="94"/>
      <c r="N26" s="94"/>
      <c r="O26" s="61"/>
      <c r="P26" s="250" t="s">
        <v>453</v>
      </c>
      <c r="Q26" s="217" t="s">
        <v>454</v>
      </c>
      <c r="R26" s="217" t="s">
        <v>455</v>
      </c>
      <c r="S26" s="217" t="s">
        <v>456</v>
      </c>
      <c r="T26" s="217" t="s">
        <v>457</v>
      </c>
      <c r="U26" s="61"/>
      <c r="V26" s="61"/>
      <c r="W26" s="62"/>
      <c r="X26" s="60"/>
    </row>
    <row r="27" spans="1:24" ht="91.5" customHeight="1">
      <c r="A27" s="263"/>
      <c r="B27" s="143"/>
      <c r="C27" s="143"/>
      <c r="D27" s="143"/>
      <c r="E27" s="144"/>
      <c r="F27" s="169"/>
      <c r="G27" s="198"/>
      <c r="H27" s="169"/>
      <c r="I27" s="226" t="s">
        <v>458</v>
      </c>
      <c r="J27" s="142" t="s">
        <v>459</v>
      </c>
      <c r="K27" s="145"/>
      <c r="L27" s="116"/>
      <c r="M27" s="94"/>
      <c r="N27" s="94"/>
      <c r="O27" s="61"/>
      <c r="P27" s="250" t="s">
        <v>460</v>
      </c>
      <c r="Q27" s="217" t="s">
        <v>461</v>
      </c>
      <c r="R27" s="217" t="s">
        <v>461</v>
      </c>
      <c r="S27" s="217" t="s">
        <v>461</v>
      </c>
      <c r="T27" s="217" t="s">
        <v>461</v>
      </c>
      <c r="U27" s="217" t="s">
        <v>461</v>
      </c>
      <c r="V27" s="61"/>
      <c r="W27" s="62"/>
      <c r="X27" s="60"/>
    </row>
    <row r="28" spans="1:24" ht="84" customHeight="1">
      <c r="A28" s="263"/>
      <c r="B28" s="143"/>
      <c r="C28" s="143"/>
      <c r="D28" s="143"/>
      <c r="E28" s="144"/>
      <c r="F28" s="169"/>
      <c r="G28" s="199" t="s">
        <v>462</v>
      </c>
      <c r="H28" s="169"/>
      <c r="I28" s="171" t="s">
        <v>463</v>
      </c>
      <c r="J28" s="142" t="s">
        <v>464</v>
      </c>
      <c r="K28" s="145"/>
      <c r="L28" s="116"/>
      <c r="M28" s="94"/>
      <c r="N28" s="94"/>
      <c r="O28" s="61"/>
      <c r="P28" s="229" t="s">
        <v>465</v>
      </c>
      <c r="Q28" s="61"/>
      <c r="R28" s="61"/>
      <c r="S28" s="61"/>
      <c r="T28" s="61"/>
      <c r="U28" s="61"/>
      <c r="V28" s="61"/>
      <c r="W28" s="62"/>
      <c r="X28" s="60"/>
    </row>
    <row r="29" spans="1:24" ht="91.5">
      <c r="A29" s="263"/>
      <c r="B29" s="143"/>
      <c r="C29" s="143"/>
      <c r="D29" s="143"/>
      <c r="E29" s="144"/>
      <c r="F29" s="169"/>
      <c r="G29" s="199" t="s">
        <v>466</v>
      </c>
      <c r="H29" s="169"/>
      <c r="I29" s="169" t="s">
        <v>467</v>
      </c>
      <c r="J29" s="142" t="s">
        <v>468</v>
      </c>
      <c r="K29" s="145"/>
      <c r="L29" s="116"/>
      <c r="M29" s="94"/>
      <c r="N29" s="94"/>
      <c r="O29" s="61"/>
      <c r="P29" s="217" t="s">
        <v>469</v>
      </c>
      <c r="Q29" s="61"/>
      <c r="R29" s="61"/>
      <c r="S29" s="61"/>
      <c r="T29" s="217" t="s">
        <v>470</v>
      </c>
      <c r="U29" s="61"/>
      <c r="V29" s="61"/>
      <c r="W29" s="62"/>
      <c r="X29" s="60"/>
    </row>
    <row r="30" spans="1:24" ht="99.75" customHeight="1">
      <c r="A30" s="263"/>
      <c r="B30" s="143"/>
      <c r="C30" s="143"/>
      <c r="D30" s="143"/>
      <c r="E30" s="144"/>
      <c r="F30" s="254"/>
      <c r="G30" s="255" t="s">
        <v>471</v>
      </c>
      <c r="H30" s="254"/>
      <c r="I30" s="254" t="s">
        <v>472</v>
      </c>
      <c r="J30" s="61" t="s">
        <v>473</v>
      </c>
      <c r="K30" s="145"/>
      <c r="L30" s="116"/>
      <c r="M30" s="94"/>
      <c r="N30" s="94"/>
      <c r="O30" s="61"/>
      <c r="P30" s="217" t="s">
        <v>474</v>
      </c>
      <c r="Q30" s="61"/>
      <c r="R30" s="61"/>
      <c r="S30" s="61"/>
      <c r="T30" s="61"/>
      <c r="U30" s="61"/>
      <c r="V30" s="61"/>
      <c r="W30" s="62"/>
      <c r="X30" s="60"/>
    </row>
    <row r="31" spans="1:24" ht="114.75" customHeight="1">
      <c r="A31" s="263"/>
      <c r="B31" s="143"/>
      <c r="C31" s="143"/>
      <c r="D31" s="143"/>
      <c r="E31" s="144"/>
      <c r="F31" s="254"/>
      <c r="G31" s="255"/>
      <c r="H31" s="254"/>
      <c r="I31" s="254"/>
      <c r="J31" s="142" t="s">
        <v>475</v>
      </c>
      <c r="K31" s="145"/>
      <c r="L31" s="116"/>
      <c r="M31" s="94"/>
      <c r="N31" s="94"/>
      <c r="O31" s="61"/>
      <c r="P31" s="229" t="s">
        <v>476</v>
      </c>
      <c r="Q31" s="61"/>
      <c r="R31" s="61"/>
      <c r="S31" s="61"/>
      <c r="T31" s="61"/>
      <c r="U31" s="229" t="s">
        <v>477</v>
      </c>
      <c r="V31" s="61"/>
      <c r="W31" s="62"/>
      <c r="X31" s="60"/>
    </row>
    <row r="32" spans="1:24" ht="123.75" customHeight="1">
      <c r="A32" s="263"/>
      <c r="B32" s="143"/>
      <c r="C32" s="143"/>
      <c r="D32" s="143"/>
      <c r="E32" s="144"/>
      <c r="F32" s="142"/>
      <c r="G32" s="200" t="s">
        <v>478</v>
      </c>
      <c r="H32" s="142"/>
      <c r="I32" s="142" t="s">
        <v>479</v>
      </c>
      <c r="J32" s="142" t="s">
        <v>480</v>
      </c>
      <c r="K32" s="145"/>
      <c r="L32" s="116"/>
      <c r="M32" s="94"/>
      <c r="N32" s="94"/>
      <c r="O32" s="61"/>
      <c r="P32" s="229" t="s">
        <v>481</v>
      </c>
      <c r="Q32" s="61"/>
      <c r="R32" s="61"/>
      <c r="S32" s="61"/>
      <c r="T32" s="61"/>
      <c r="U32" s="61"/>
      <c r="V32" s="61"/>
      <c r="W32" s="62"/>
      <c r="X32" s="60"/>
    </row>
    <row r="33" spans="1:24" ht="129.6">
      <c r="A33" s="263"/>
      <c r="B33" s="143"/>
      <c r="C33" s="143"/>
      <c r="D33" s="143"/>
      <c r="E33" s="144"/>
      <c r="F33" s="271"/>
      <c r="G33" s="270" t="s">
        <v>482</v>
      </c>
      <c r="H33" s="271"/>
      <c r="I33" s="271" t="s">
        <v>483</v>
      </c>
      <c r="J33" s="145" t="s">
        <v>484</v>
      </c>
      <c r="K33" s="145"/>
      <c r="L33" s="116"/>
      <c r="M33" s="94"/>
      <c r="N33" s="94"/>
      <c r="O33" s="61"/>
      <c r="P33" s="218" t="s">
        <v>485</v>
      </c>
      <c r="Q33" s="218" t="s">
        <v>486</v>
      </c>
      <c r="R33" s="218" t="s">
        <v>487</v>
      </c>
      <c r="S33" s="218" t="s">
        <v>487</v>
      </c>
      <c r="T33" s="218" t="s">
        <v>487</v>
      </c>
      <c r="U33" s="218" t="s">
        <v>487</v>
      </c>
      <c r="V33" s="61"/>
      <c r="W33" s="62"/>
      <c r="X33" s="60"/>
    </row>
    <row r="34" spans="1:24" ht="67.5" customHeight="1">
      <c r="A34" s="263"/>
      <c r="B34" s="143"/>
      <c r="C34" s="143"/>
      <c r="D34" s="143"/>
      <c r="E34" s="144"/>
      <c r="F34" s="271"/>
      <c r="G34" s="270"/>
      <c r="H34" s="271"/>
      <c r="I34" s="271"/>
      <c r="J34" s="145" t="s">
        <v>488</v>
      </c>
      <c r="K34" s="145"/>
      <c r="L34" s="116"/>
      <c r="M34" s="94"/>
      <c r="N34" s="94"/>
      <c r="O34" s="61"/>
      <c r="P34" s="218" t="s">
        <v>489</v>
      </c>
      <c r="Q34" s="218" t="s">
        <v>490</v>
      </c>
      <c r="R34" s="218" t="s">
        <v>491</v>
      </c>
      <c r="S34" s="218" t="s">
        <v>491</v>
      </c>
      <c r="T34" s="218" t="s">
        <v>491</v>
      </c>
      <c r="U34" s="218" t="s">
        <v>491</v>
      </c>
      <c r="V34" s="61"/>
      <c r="W34" s="62"/>
      <c r="X34" s="60"/>
    </row>
    <row r="35" spans="1:24" ht="80.25" customHeight="1">
      <c r="A35" s="263"/>
      <c r="B35" s="143"/>
      <c r="C35" s="143"/>
      <c r="D35" s="143"/>
      <c r="E35" s="144"/>
      <c r="F35" s="170"/>
      <c r="G35" s="200" t="s">
        <v>492</v>
      </c>
      <c r="H35" s="170"/>
      <c r="I35" s="170" t="s">
        <v>493</v>
      </c>
      <c r="J35" s="142" t="s">
        <v>494</v>
      </c>
      <c r="K35" s="145"/>
      <c r="L35" s="116"/>
      <c r="M35" s="94"/>
      <c r="N35" s="94"/>
      <c r="O35" s="61"/>
      <c r="P35" s="142" t="s">
        <v>354</v>
      </c>
      <c r="Q35" s="142" t="s">
        <v>355</v>
      </c>
      <c r="R35" s="142" t="s">
        <v>356</v>
      </c>
      <c r="S35" s="142" t="s">
        <v>357</v>
      </c>
      <c r="T35" s="142" t="s">
        <v>358</v>
      </c>
      <c r="U35" s="142" t="s">
        <v>359</v>
      </c>
      <c r="V35" s="61"/>
      <c r="W35" s="62"/>
      <c r="X35" s="60"/>
    </row>
    <row r="36" spans="1:24" ht="151.5" customHeight="1">
      <c r="A36" s="263"/>
      <c r="B36" s="143"/>
      <c r="C36" s="143"/>
      <c r="D36" s="143"/>
      <c r="E36" s="144"/>
      <c r="F36" s="170"/>
      <c r="G36" s="200" t="s">
        <v>495</v>
      </c>
      <c r="H36" s="170"/>
      <c r="I36" s="170" t="s">
        <v>496</v>
      </c>
      <c r="J36" s="142" t="s">
        <v>497</v>
      </c>
      <c r="K36" s="145"/>
      <c r="L36" s="116"/>
      <c r="M36" s="94"/>
      <c r="N36" s="94"/>
      <c r="O36" s="61"/>
      <c r="P36" s="218" t="s">
        <v>498</v>
      </c>
      <c r="Q36" s="218" t="s">
        <v>499</v>
      </c>
      <c r="R36" s="218" t="s">
        <v>500</v>
      </c>
      <c r="S36" s="218" t="s">
        <v>501</v>
      </c>
      <c r="T36" s="218" t="s">
        <v>502</v>
      </c>
      <c r="U36" s="218" t="s">
        <v>503</v>
      </c>
      <c r="V36" s="61"/>
      <c r="W36" s="62"/>
      <c r="X36" s="60"/>
    </row>
    <row r="37" spans="1:24" ht="57.6">
      <c r="A37" s="263"/>
      <c r="B37" s="143"/>
      <c r="C37" s="143"/>
      <c r="D37" s="143"/>
      <c r="E37" s="144"/>
      <c r="F37" s="271"/>
      <c r="G37" s="255" t="s">
        <v>504</v>
      </c>
      <c r="H37" s="271"/>
      <c r="I37" s="271" t="s">
        <v>505</v>
      </c>
      <c r="J37" s="185" t="s">
        <v>506</v>
      </c>
      <c r="K37" s="145"/>
      <c r="L37" s="219"/>
      <c r="M37" s="220"/>
      <c r="N37" s="220"/>
      <c r="O37" s="221"/>
      <c r="P37" s="218" t="s">
        <v>507</v>
      </c>
      <c r="Q37" s="218" t="s">
        <v>508</v>
      </c>
      <c r="R37" s="218" t="s">
        <v>509</v>
      </c>
      <c r="S37" s="218" t="s">
        <v>510</v>
      </c>
      <c r="T37" s="218" t="s">
        <v>511</v>
      </c>
      <c r="U37" s="218" t="s">
        <v>512</v>
      </c>
      <c r="V37" s="61"/>
      <c r="W37" s="62"/>
      <c r="X37" s="60"/>
    </row>
    <row r="38" spans="1:24" ht="28.9">
      <c r="A38" s="263"/>
      <c r="B38" s="143"/>
      <c r="C38" s="143"/>
      <c r="D38" s="143"/>
      <c r="E38" s="144"/>
      <c r="F38" s="271"/>
      <c r="G38" s="255"/>
      <c r="H38" s="271"/>
      <c r="I38" s="271"/>
      <c r="J38" s="142" t="s">
        <v>513</v>
      </c>
      <c r="K38" s="145"/>
      <c r="L38" s="222"/>
      <c r="M38" s="145"/>
      <c r="N38" s="145"/>
      <c r="O38" s="223"/>
      <c r="P38" s="224" t="s">
        <v>514</v>
      </c>
      <c r="Q38" s="224">
        <v>0.82</v>
      </c>
      <c r="R38" s="224">
        <v>0.85</v>
      </c>
      <c r="S38" s="224">
        <v>0.9</v>
      </c>
      <c r="T38" s="224">
        <v>0.95</v>
      </c>
      <c r="U38" s="224">
        <v>1</v>
      </c>
      <c r="V38" s="61"/>
      <c r="W38" s="62"/>
      <c r="X38" s="60"/>
    </row>
    <row r="39" spans="1:24" ht="64.5" customHeight="1">
      <c r="A39" s="263"/>
      <c r="B39" s="143"/>
      <c r="C39" s="143"/>
      <c r="D39" s="143"/>
      <c r="E39" s="144"/>
      <c r="F39" s="170"/>
      <c r="G39" s="200" t="s">
        <v>515</v>
      </c>
      <c r="H39" s="170"/>
      <c r="I39" s="170" t="s">
        <v>516</v>
      </c>
      <c r="J39" s="145" t="s">
        <v>517</v>
      </c>
      <c r="K39" s="145"/>
      <c r="L39" s="116"/>
      <c r="M39" s="94"/>
      <c r="N39" s="94"/>
      <c r="O39" s="61"/>
      <c r="P39" s="225" t="s">
        <v>238</v>
      </c>
      <c r="Q39" s="225" t="s">
        <v>238</v>
      </c>
      <c r="R39" s="225" t="s">
        <v>238</v>
      </c>
      <c r="S39" s="225" t="s">
        <v>238</v>
      </c>
      <c r="T39" s="225" t="s">
        <v>238</v>
      </c>
      <c r="U39" s="225" t="s">
        <v>238</v>
      </c>
      <c r="V39" s="61"/>
      <c r="W39" s="62"/>
      <c r="X39" s="60"/>
    </row>
    <row r="40" spans="1:24" ht="51.75" customHeight="1">
      <c r="A40" s="263"/>
      <c r="B40" s="143"/>
      <c r="C40" s="143"/>
      <c r="D40" s="143"/>
      <c r="E40" s="144"/>
      <c r="F40" s="170"/>
      <c r="G40" s="141" t="s">
        <v>518</v>
      </c>
      <c r="H40" s="170"/>
      <c r="I40" s="170" t="s">
        <v>519</v>
      </c>
      <c r="J40" s="145" t="s">
        <v>520</v>
      </c>
      <c r="K40" s="145"/>
      <c r="L40" s="116"/>
      <c r="M40" s="94"/>
      <c r="N40" s="94"/>
      <c r="O40" s="61"/>
      <c r="P40" s="225" t="s">
        <v>382</v>
      </c>
      <c r="Q40" s="225">
        <v>4000</v>
      </c>
      <c r="R40" s="225">
        <v>4500</v>
      </c>
      <c r="S40" s="225">
        <v>5000</v>
      </c>
      <c r="T40" s="225">
        <v>5500</v>
      </c>
      <c r="U40" s="225">
        <v>5500</v>
      </c>
      <c r="V40" s="61"/>
      <c r="W40" s="62"/>
      <c r="X40" s="60"/>
    </row>
    <row r="41" spans="1:24" ht="152.25" customHeight="1">
      <c r="A41" s="263"/>
      <c r="B41" s="143"/>
      <c r="C41" s="143"/>
      <c r="D41" s="143"/>
      <c r="E41" s="144"/>
      <c r="F41" s="169"/>
      <c r="G41" s="199" t="s">
        <v>521</v>
      </c>
      <c r="H41" s="169"/>
      <c r="I41" s="169" t="s">
        <v>522</v>
      </c>
      <c r="J41" s="145" t="s">
        <v>523</v>
      </c>
      <c r="K41" s="145"/>
      <c r="L41" s="116"/>
      <c r="M41" s="94"/>
      <c r="N41" s="94"/>
      <c r="O41" s="61"/>
      <c r="P41" s="218" t="s">
        <v>524</v>
      </c>
      <c r="Q41" s="218" t="s">
        <v>524</v>
      </c>
      <c r="R41" s="218" t="s">
        <v>525</v>
      </c>
      <c r="S41" s="218" t="s">
        <v>526</v>
      </c>
      <c r="T41" s="218" t="s">
        <v>527</v>
      </c>
      <c r="U41" s="218" t="s">
        <v>528</v>
      </c>
      <c r="V41" s="61"/>
      <c r="W41" s="62"/>
      <c r="X41" s="60"/>
    </row>
    <row r="42" spans="1:24" ht="102.75" customHeight="1">
      <c r="A42" s="263"/>
      <c r="B42" s="143"/>
      <c r="C42" s="143"/>
      <c r="D42" s="143"/>
      <c r="E42" s="144"/>
      <c r="F42" s="169"/>
      <c r="G42" s="200" t="s">
        <v>529</v>
      </c>
      <c r="H42" s="169"/>
      <c r="I42" s="169" t="s">
        <v>530</v>
      </c>
      <c r="J42" s="171" t="s">
        <v>531</v>
      </c>
      <c r="K42" s="145"/>
      <c r="L42" s="116"/>
      <c r="M42" s="94"/>
      <c r="N42" s="94"/>
      <c r="O42" s="61"/>
      <c r="P42" s="218" t="s">
        <v>532</v>
      </c>
      <c r="Q42" s="218" t="s">
        <v>533</v>
      </c>
      <c r="R42" s="218" t="s">
        <v>534</v>
      </c>
      <c r="S42" s="218" t="s">
        <v>534</v>
      </c>
      <c r="T42" s="218" t="s">
        <v>534</v>
      </c>
      <c r="U42" s="218" t="s">
        <v>535</v>
      </c>
      <c r="V42" s="61"/>
      <c r="W42" s="62"/>
      <c r="X42" s="60"/>
    </row>
    <row r="43" spans="1:24" ht="96" customHeight="1">
      <c r="A43" s="263"/>
      <c r="B43" s="143"/>
      <c r="C43" s="143"/>
      <c r="D43" s="143"/>
      <c r="E43" s="144"/>
      <c r="F43" s="169"/>
      <c r="G43" s="200" t="s">
        <v>536</v>
      </c>
      <c r="H43" s="169"/>
      <c r="I43" s="169" t="s">
        <v>537</v>
      </c>
      <c r="J43" s="171" t="s">
        <v>538</v>
      </c>
      <c r="K43" s="145"/>
      <c r="L43" s="116"/>
      <c r="M43" s="94"/>
      <c r="N43" s="94"/>
      <c r="O43" s="61"/>
      <c r="P43" s="218" t="s">
        <v>539</v>
      </c>
      <c r="Q43" s="218" t="s">
        <v>540</v>
      </c>
      <c r="R43" s="218" t="s">
        <v>541</v>
      </c>
      <c r="S43" s="218" t="s">
        <v>534</v>
      </c>
      <c r="T43" s="218" t="s">
        <v>534</v>
      </c>
      <c r="U43" s="218" t="s">
        <v>534</v>
      </c>
      <c r="V43" s="61"/>
      <c r="W43" s="62"/>
      <c r="X43" s="60"/>
    </row>
    <row r="44" spans="1:24" ht="151.5" customHeight="1">
      <c r="A44" s="263"/>
      <c r="B44" s="143"/>
      <c r="C44" s="143"/>
      <c r="D44" s="143"/>
      <c r="E44" s="144"/>
      <c r="F44" s="269"/>
      <c r="G44" s="268" t="s">
        <v>542</v>
      </c>
      <c r="H44" s="269"/>
      <c r="I44" s="269" t="s">
        <v>543</v>
      </c>
      <c r="J44" s="185" t="s">
        <v>544</v>
      </c>
      <c r="K44" s="145"/>
      <c r="L44" s="116"/>
      <c r="M44" s="94"/>
      <c r="N44" s="94"/>
      <c r="O44" s="61"/>
      <c r="P44" s="218" t="s">
        <v>545</v>
      </c>
      <c r="Q44" s="218"/>
      <c r="R44" s="218" t="s">
        <v>546</v>
      </c>
      <c r="S44" s="218"/>
      <c r="T44" s="218"/>
      <c r="U44" s="218" t="s">
        <v>546</v>
      </c>
      <c r="V44" s="61"/>
      <c r="W44" s="62"/>
      <c r="X44" s="60"/>
    </row>
    <row r="45" spans="1:24" ht="92.25" customHeight="1">
      <c r="A45" s="263"/>
      <c r="B45" s="143"/>
      <c r="C45" s="143"/>
      <c r="D45" s="143"/>
      <c r="E45" s="144"/>
      <c r="F45" s="269"/>
      <c r="G45" s="268"/>
      <c r="H45" s="269"/>
      <c r="I45" s="269"/>
      <c r="J45" s="185" t="s">
        <v>547</v>
      </c>
      <c r="K45" s="145"/>
      <c r="L45" s="116"/>
      <c r="M45" s="94"/>
      <c r="N45" s="94"/>
      <c r="O45" s="61"/>
      <c r="P45" s="228" t="s">
        <v>548</v>
      </c>
      <c r="Q45" s="61"/>
      <c r="R45" s="61"/>
      <c r="S45" s="61"/>
      <c r="T45" s="61"/>
      <c r="U45" s="61"/>
      <c r="V45" s="61"/>
      <c r="W45" s="62"/>
      <c r="X45" s="60"/>
    </row>
    <row r="46" spans="1:24" ht="139.5" customHeight="1">
      <c r="A46" s="263"/>
      <c r="B46" s="143"/>
      <c r="C46" s="143"/>
      <c r="D46" s="143"/>
      <c r="E46" s="144"/>
      <c r="F46" s="170"/>
      <c r="G46" s="200" t="s">
        <v>549</v>
      </c>
      <c r="H46" s="170"/>
      <c r="I46" s="170" t="s">
        <v>550</v>
      </c>
      <c r="J46" s="185" t="s">
        <v>551</v>
      </c>
      <c r="K46" s="145"/>
      <c r="L46" s="116"/>
      <c r="M46" s="94"/>
      <c r="N46" s="94"/>
      <c r="O46" s="61"/>
      <c r="P46" s="218" t="s">
        <v>552</v>
      </c>
      <c r="Q46" s="218" t="s">
        <v>553</v>
      </c>
      <c r="R46" s="218" t="s">
        <v>554</v>
      </c>
      <c r="S46" s="218" t="s">
        <v>555</v>
      </c>
      <c r="T46" s="218" t="s">
        <v>556</v>
      </c>
      <c r="U46" s="218" t="s">
        <v>557</v>
      </c>
      <c r="V46" s="61"/>
      <c r="W46" s="62"/>
      <c r="X46" s="60"/>
    </row>
    <row r="47" spans="1:24" ht="57" customHeight="1">
      <c r="A47" s="263"/>
      <c r="B47" s="143"/>
      <c r="C47" s="143"/>
      <c r="D47" s="143"/>
      <c r="E47" s="144"/>
      <c r="F47" s="169"/>
      <c r="G47" s="199" t="s">
        <v>558</v>
      </c>
      <c r="H47" s="169"/>
      <c r="I47" s="171" t="s">
        <v>559</v>
      </c>
      <c r="J47" s="142" t="s">
        <v>560</v>
      </c>
      <c r="K47" s="145"/>
      <c r="L47" s="116"/>
      <c r="M47" s="94"/>
      <c r="N47" s="94"/>
      <c r="O47" s="61"/>
      <c r="P47" s="218" t="s">
        <v>561</v>
      </c>
      <c r="Q47" s="218" t="s">
        <v>562</v>
      </c>
      <c r="R47" s="218" t="s">
        <v>563</v>
      </c>
      <c r="S47" s="218" t="s">
        <v>562</v>
      </c>
      <c r="T47" s="218" t="s">
        <v>563</v>
      </c>
      <c r="U47" s="218" t="s">
        <v>564</v>
      </c>
      <c r="V47" s="61"/>
      <c r="W47" s="62"/>
      <c r="X47" s="60"/>
    </row>
    <row r="48" spans="1:24" ht="43.5" customHeight="1">
      <c r="A48" s="263"/>
      <c r="B48" s="143"/>
      <c r="C48" s="143"/>
      <c r="D48" s="143"/>
      <c r="E48" s="144"/>
      <c r="F48" s="169"/>
      <c r="G48" s="199" t="s">
        <v>565</v>
      </c>
      <c r="H48" s="169"/>
      <c r="I48" s="169" t="s">
        <v>566</v>
      </c>
      <c r="J48" s="142" t="s">
        <v>567</v>
      </c>
      <c r="K48" s="145"/>
      <c r="L48" s="116"/>
      <c r="M48" s="94"/>
      <c r="N48" s="94"/>
      <c r="O48" s="61"/>
      <c r="P48" s="231" t="s">
        <v>568</v>
      </c>
      <c r="Q48" s="61"/>
      <c r="R48" s="61"/>
      <c r="S48" s="61"/>
      <c r="T48" s="61"/>
      <c r="U48" s="61" t="s">
        <v>568</v>
      </c>
      <c r="V48" s="61"/>
      <c r="W48" s="62"/>
      <c r="X48" s="60"/>
    </row>
    <row r="49" spans="1:24" ht="144" customHeight="1">
      <c r="A49" s="263"/>
      <c r="B49" s="143"/>
      <c r="C49" s="143"/>
      <c r="D49" s="143"/>
      <c r="E49" s="144"/>
      <c r="F49" s="171"/>
      <c r="G49" s="198" t="s">
        <v>569</v>
      </c>
      <c r="H49" s="171"/>
      <c r="I49" s="171" t="s">
        <v>570</v>
      </c>
      <c r="J49" s="171" t="s">
        <v>571</v>
      </c>
      <c r="K49" s="145"/>
      <c r="L49" s="116"/>
      <c r="M49" s="94"/>
      <c r="N49" s="94"/>
      <c r="O49" s="61"/>
      <c r="P49" s="218" t="s">
        <v>572</v>
      </c>
      <c r="Q49" s="218" t="s">
        <v>572</v>
      </c>
      <c r="R49" s="218" t="s">
        <v>572</v>
      </c>
      <c r="S49" s="218" t="s">
        <v>572</v>
      </c>
      <c r="T49" s="218" t="s">
        <v>572</v>
      </c>
      <c r="U49" s="218" t="s">
        <v>572</v>
      </c>
      <c r="V49" s="61"/>
      <c r="W49" s="62"/>
      <c r="X49" s="60"/>
    </row>
    <row r="50" spans="1:24" ht="89.25" customHeight="1">
      <c r="A50" s="263"/>
      <c r="B50" s="143"/>
      <c r="C50" s="143"/>
      <c r="D50" s="143"/>
      <c r="E50" s="144"/>
      <c r="F50" s="171"/>
      <c r="G50" s="198" t="s">
        <v>573</v>
      </c>
      <c r="H50" s="171"/>
      <c r="I50" s="171" t="s">
        <v>574</v>
      </c>
      <c r="J50" s="171" t="s">
        <v>575</v>
      </c>
      <c r="K50" s="145"/>
      <c r="L50" s="116"/>
      <c r="M50" s="94"/>
      <c r="N50" s="94"/>
      <c r="O50" s="61"/>
      <c r="P50" s="218" t="s">
        <v>576</v>
      </c>
      <c r="Q50" s="61"/>
      <c r="R50" s="61"/>
      <c r="S50" s="61"/>
      <c r="T50" s="61"/>
      <c r="U50" s="61"/>
      <c r="V50" s="61"/>
      <c r="W50" s="62"/>
      <c r="X50" s="60"/>
    </row>
    <row r="51" spans="1:24" ht="57.75" customHeight="1">
      <c r="A51" s="263"/>
      <c r="B51" s="143"/>
      <c r="C51" s="143"/>
      <c r="D51" s="143"/>
      <c r="E51" s="144"/>
      <c r="F51" s="170"/>
      <c r="G51" s="200" t="s">
        <v>577</v>
      </c>
      <c r="H51" s="170"/>
      <c r="I51" s="170" t="s">
        <v>578</v>
      </c>
      <c r="J51" s="171" t="s">
        <v>579</v>
      </c>
      <c r="K51" s="145"/>
      <c r="L51" s="116"/>
      <c r="M51" s="94"/>
      <c r="N51" s="94"/>
      <c r="O51" s="61"/>
      <c r="P51" s="230" t="s">
        <v>580</v>
      </c>
      <c r="Q51" s="227">
        <v>0.25</v>
      </c>
      <c r="R51" s="227">
        <v>0.3</v>
      </c>
      <c r="S51" s="227">
        <v>0.35</v>
      </c>
      <c r="T51" s="227">
        <v>0.4</v>
      </c>
      <c r="U51" s="227">
        <v>0.5</v>
      </c>
      <c r="V51" s="61"/>
      <c r="W51" s="62"/>
      <c r="X51" s="60"/>
    </row>
    <row r="52" spans="1:24" ht="43.15">
      <c r="A52" s="263"/>
      <c r="B52" s="143"/>
      <c r="C52" s="143"/>
      <c r="D52" s="143"/>
      <c r="E52" s="144"/>
      <c r="F52" s="169"/>
      <c r="G52" s="198" t="s">
        <v>581</v>
      </c>
      <c r="H52" s="169"/>
      <c r="I52" s="169" t="s">
        <v>582</v>
      </c>
      <c r="J52" s="169" t="s">
        <v>583</v>
      </c>
      <c r="K52" s="145"/>
      <c r="L52" s="116"/>
      <c r="M52" s="94"/>
      <c r="N52" s="94"/>
      <c r="O52" s="61"/>
      <c r="P52" s="61">
        <v>0</v>
      </c>
      <c r="Q52" s="61">
        <v>1</v>
      </c>
      <c r="R52" s="61">
        <v>1</v>
      </c>
      <c r="S52" s="61">
        <v>1</v>
      </c>
      <c r="T52" s="61"/>
      <c r="U52" s="61">
        <v>3</v>
      </c>
      <c r="V52" s="61"/>
      <c r="W52" s="62"/>
      <c r="X52" s="60"/>
    </row>
    <row r="53" spans="1:24" ht="43.15">
      <c r="A53" s="263"/>
      <c r="B53" s="143"/>
      <c r="C53" s="143"/>
      <c r="D53" s="143"/>
      <c r="E53" s="144"/>
      <c r="F53" s="169"/>
      <c r="G53" s="198" t="s">
        <v>584</v>
      </c>
      <c r="H53" s="169"/>
      <c r="I53" s="169" t="s">
        <v>585</v>
      </c>
      <c r="J53" s="61" t="s">
        <v>586</v>
      </c>
      <c r="K53" s="145"/>
      <c r="L53" s="116"/>
      <c r="M53" s="94"/>
      <c r="N53" s="94"/>
      <c r="O53" s="61"/>
      <c r="P53" s="231" t="s">
        <v>358</v>
      </c>
      <c r="Q53" s="61" t="s">
        <v>587</v>
      </c>
      <c r="R53" s="61" t="s">
        <v>587</v>
      </c>
      <c r="S53" s="61" t="s">
        <v>587</v>
      </c>
      <c r="T53" s="61" t="s">
        <v>587</v>
      </c>
      <c r="U53" s="61" t="s">
        <v>587</v>
      </c>
      <c r="V53" s="61"/>
      <c r="W53" s="62"/>
      <c r="X53" s="60"/>
    </row>
    <row r="54" spans="1:24" ht="43.15">
      <c r="A54" s="263"/>
      <c r="B54" s="143"/>
      <c r="C54" s="143"/>
      <c r="D54" s="143"/>
      <c r="E54" s="144"/>
      <c r="F54" s="169"/>
      <c r="G54" s="198" t="s">
        <v>588</v>
      </c>
      <c r="H54" s="169"/>
      <c r="I54" s="169" t="s">
        <v>589</v>
      </c>
      <c r="J54" s="169" t="s">
        <v>590</v>
      </c>
      <c r="K54" s="145"/>
      <c r="L54" s="116"/>
      <c r="M54" s="94"/>
      <c r="N54" s="94"/>
      <c r="O54" s="61"/>
      <c r="P54" s="231" t="s">
        <v>591</v>
      </c>
      <c r="Q54" s="61"/>
      <c r="R54" s="61">
        <v>1</v>
      </c>
      <c r="S54" s="61"/>
      <c r="T54" s="61"/>
      <c r="U54" s="61">
        <v>1</v>
      </c>
      <c r="V54" s="61"/>
      <c r="W54" s="62"/>
      <c r="X54" s="60"/>
    </row>
    <row r="55" spans="1:24" ht="57.6">
      <c r="A55" s="263"/>
      <c r="B55" s="143"/>
      <c r="C55" s="143"/>
      <c r="D55" s="143"/>
      <c r="E55" s="144"/>
      <c r="F55" s="172"/>
      <c r="G55" s="201" t="s">
        <v>592</v>
      </c>
      <c r="H55" s="172"/>
      <c r="I55" s="172" t="s">
        <v>593</v>
      </c>
      <c r="J55" s="171" t="s">
        <v>594</v>
      </c>
      <c r="K55" s="145"/>
      <c r="L55" s="116"/>
      <c r="M55" s="94"/>
      <c r="N55" s="94"/>
      <c r="O55" s="61"/>
      <c r="P55" s="230" t="s">
        <v>595</v>
      </c>
      <c r="Q55" s="227">
        <v>0.1</v>
      </c>
      <c r="R55" s="227">
        <v>0.3</v>
      </c>
      <c r="S55" s="227">
        <v>0.5</v>
      </c>
      <c r="T55" s="227">
        <v>0.7</v>
      </c>
      <c r="U55" s="227">
        <v>1</v>
      </c>
      <c r="V55" s="61"/>
      <c r="W55" s="62"/>
      <c r="X55" s="60"/>
    </row>
    <row r="56" spans="1:24" ht="57.6">
      <c r="A56" s="263"/>
      <c r="B56" s="143"/>
      <c r="C56" s="143"/>
      <c r="D56" s="143"/>
      <c r="E56" s="144"/>
      <c r="F56" s="173"/>
      <c r="G56" s="201" t="s">
        <v>596</v>
      </c>
      <c r="H56" s="173"/>
      <c r="I56" s="173" t="s">
        <v>597</v>
      </c>
      <c r="J56" s="171" t="s">
        <v>598</v>
      </c>
      <c r="K56" s="145"/>
      <c r="L56" s="116"/>
      <c r="M56" s="94"/>
      <c r="N56" s="94"/>
      <c r="O56" s="61"/>
      <c r="P56" s="61" t="s">
        <v>238</v>
      </c>
      <c r="Q56" s="61" t="s">
        <v>238</v>
      </c>
      <c r="R56" s="61" t="s">
        <v>238</v>
      </c>
      <c r="S56" s="61" t="s">
        <v>238</v>
      </c>
      <c r="T56" s="61" t="s">
        <v>238</v>
      </c>
      <c r="U56" s="61" t="s">
        <v>238</v>
      </c>
      <c r="V56" s="61"/>
      <c r="W56" s="62"/>
      <c r="X56" s="60"/>
    </row>
    <row r="57" spans="1:24" ht="43.15">
      <c r="A57" s="263"/>
      <c r="B57" s="143"/>
      <c r="C57" s="143"/>
      <c r="D57" s="143"/>
      <c r="E57" s="144"/>
      <c r="F57" s="172"/>
      <c r="G57" s="201" t="s">
        <v>599</v>
      </c>
      <c r="H57" s="172"/>
      <c r="I57" s="172" t="s">
        <v>600</v>
      </c>
      <c r="J57" s="171" t="s">
        <v>601</v>
      </c>
      <c r="K57" s="145"/>
      <c r="L57" s="116"/>
      <c r="M57" s="94"/>
      <c r="N57" s="94"/>
      <c r="O57" s="61"/>
      <c r="P57" s="61">
        <v>0</v>
      </c>
      <c r="Q57" s="61">
        <v>0</v>
      </c>
      <c r="R57" s="61">
        <v>20</v>
      </c>
      <c r="S57" s="61">
        <v>20</v>
      </c>
      <c r="T57" s="61">
        <v>10</v>
      </c>
      <c r="U57" s="61">
        <v>50</v>
      </c>
      <c r="V57" s="61"/>
      <c r="W57" s="62"/>
      <c r="X57" s="60"/>
    </row>
  </sheetData>
  <mergeCells count="51">
    <mergeCell ref="F33:F34"/>
    <mergeCell ref="F44:F45"/>
    <mergeCell ref="B17:B18"/>
    <mergeCell ref="C17:C18"/>
    <mergeCell ref="D17:D18"/>
    <mergeCell ref="F37:F38"/>
    <mergeCell ref="F30:F31"/>
    <mergeCell ref="F17:F18"/>
    <mergeCell ref="G44:G45"/>
    <mergeCell ref="I44:I45"/>
    <mergeCell ref="G33:G34"/>
    <mergeCell ref="I33:I34"/>
    <mergeCell ref="G37:G38"/>
    <mergeCell ref="I37:I38"/>
    <mergeCell ref="H33:H34"/>
    <mergeCell ref="H37:H38"/>
    <mergeCell ref="H44:H45"/>
    <mergeCell ref="B13:B14"/>
    <mergeCell ref="A21:A57"/>
    <mergeCell ref="E17:E18"/>
    <mergeCell ref="A2:A7"/>
    <mergeCell ref="A8:A20"/>
    <mergeCell ref="B4:B6"/>
    <mergeCell ref="C4:C6"/>
    <mergeCell ref="D4:D6"/>
    <mergeCell ref="B2:B3"/>
    <mergeCell ref="C2:C3"/>
    <mergeCell ref="D2:D3"/>
    <mergeCell ref="C13:C14"/>
    <mergeCell ref="D13:D14"/>
    <mergeCell ref="E2:E3"/>
    <mergeCell ref="E4:E6"/>
    <mergeCell ref="E13:E14"/>
    <mergeCell ref="F13:F14"/>
    <mergeCell ref="I17:I18"/>
    <mergeCell ref="I13:I14"/>
    <mergeCell ref="G17:G18"/>
    <mergeCell ref="H17:H18"/>
    <mergeCell ref="I30:I31"/>
    <mergeCell ref="G30:G31"/>
    <mergeCell ref="H30:H31"/>
    <mergeCell ref="H13:H14"/>
    <mergeCell ref="O13:O14"/>
    <mergeCell ref="O17:O18"/>
    <mergeCell ref="G13:G14"/>
    <mergeCell ref="O2:O3"/>
    <mergeCell ref="O4:O6"/>
    <mergeCell ref="I2:I3"/>
    <mergeCell ref="G2:G3"/>
    <mergeCell ref="I4:I6"/>
    <mergeCell ref="G4:G6"/>
  </mergeCells>
  <phoneticPr fontId="32" type="noConversion"/>
  <pageMargins left="0.7" right="0.7" top="0.75" bottom="0.75" header="0.3" footer="0.3"/>
  <pageSetup paperSize="9" orientation="portrait" horizontalDpi="300"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97"/>
  <sheetViews>
    <sheetView workbookViewId="0"/>
  </sheetViews>
  <sheetFormatPr defaultColWidth="12.7109375" defaultRowHeight="15.75" customHeight="1"/>
  <cols>
    <col min="1" max="1" width="8.28515625" customWidth="1"/>
    <col min="2" max="7" width="25" customWidth="1"/>
    <col min="8" max="8" width="39.7109375" customWidth="1"/>
    <col min="9" max="12" width="25" hidden="1" customWidth="1"/>
    <col min="13" max="13" width="25" customWidth="1"/>
    <col min="14" max="14" width="31.28515625" customWidth="1"/>
    <col min="15" max="15" width="5.42578125" customWidth="1"/>
  </cols>
  <sheetData>
    <row r="1" spans="1:15" ht="39.6">
      <c r="A1" s="49"/>
      <c r="B1" s="39" t="s">
        <v>602</v>
      </c>
      <c r="C1" s="39" t="s">
        <v>210</v>
      </c>
      <c r="D1" s="39" t="s">
        <v>211</v>
      </c>
      <c r="E1" s="39" t="s">
        <v>603</v>
      </c>
      <c r="F1" s="50" t="s">
        <v>208</v>
      </c>
      <c r="G1" s="51" t="s">
        <v>604</v>
      </c>
      <c r="H1" s="39" t="s">
        <v>605</v>
      </c>
      <c r="I1" s="39" t="s">
        <v>606</v>
      </c>
      <c r="J1" s="39" t="s">
        <v>607</v>
      </c>
      <c r="K1" s="39" t="s">
        <v>608</v>
      </c>
      <c r="L1" s="39" t="s">
        <v>609</v>
      </c>
      <c r="M1" s="50" t="s">
        <v>610</v>
      </c>
      <c r="N1" s="52" t="s">
        <v>611</v>
      </c>
      <c r="O1" s="53"/>
    </row>
    <row r="2" spans="1:15" ht="369.6">
      <c r="A2" s="54" t="s">
        <v>54</v>
      </c>
      <c r="B2" s="34" t="s">
        <v>612</v>
      </c>
      <c r="C2" s="136" t="s">
        <v>613</v>
      </c>
      <c r="D2" s="136"/>
      <c r="E2" s="34" t="s">
        <v>614</v>
      </c>
      <c r="F2" s="55" t="s">
        <v>615</v>
      </c>
      <c r="G2" s="56" t="s">
        <v>616</v>
      </c>
      <c r="H2" s="284" t="s">
        <v>617</v>
      </c>
      <c r="I2" s="300"/>
      <c r="J2" s="300"/>
      <c r="K2" s="300"/>
      <c r="L2" s="301"/>
      <c r="M2" s="139" t="s">
        <v>618</v>
      </c>
      <c r="N2" s="140" t="s">
        <v>619</v>
      </c>
      <c r="O2" s="42"/>
    </row>
    <row r="3" spans="1:15" ht="52.9">
      <c r="A3" s="285" t="s">
        <v>190</v>
      </c>
      <c r="B3" s="286" t="s">
        <v>620</v>
      </c>
      <c r="C3" s="286" t="s">
        <v>621</v>
      </c>
      <c r="D3" s="93"/>
      <c r="E3" s="286" t="s">
        <v>622</v>
      </c>
      <c r="F3" s="57" t="s">
        <v>623</v>
      </c>
      <c r="G3" s="57" t="s">
        <v>624</v>
      </c>
      <c r="H3" s="57" t="s">
        <v>625</v>
      </c>
      <c r="I3" s="57" t="s">
        <v>626</v>
      </c>
      <c r="J3" s="57" t="s">
        <v>627</v>
      </c>
      <c r="K3" s="57" t="s">
        <v>628</v>
      </c>
      <c r="L3" s="57"/>
      <c r="M3" s="282" t="s">
        <v>629</v>
      </c>
      <c r="N3" s="283" t="s">
        <v>630</v>
      </c>
      <c r="O3" s="42"/>
    </row>
    <row r="4" spans="1:15" ht="76.5" customHeight="1">
      <c r="A4" s="289"/>
      <c r="B4" s="287"/>
      <c r="C4" s="302"/>
      <c r="D4" s="92"/>
      <c r="E4" s="302"/>
      <c r="F4" s="57" t="s">
        <v>623</v>
      </c>
      <c r="G4" s="57" t="s">
        <v>624</v>
      </c>
      <c r="H4" s="57" t="s">
        <v>631</v>
      </c>
      <c r="I4" s="57"/>
      <c r="J4" s="57"/>
      <c r="K4" s="57" t="s">
        <v>632</v>
      </c>
      <c r="L4" s="57" t="s">
        <v>633</v>
      </c>
      <c r="M4" s="289"/>
      <c r="N4" s="303"/>
      <c r="O4" s="24"/>
    </row>
    <row r="5" spans="1:15" ht="13.15">
      <c r="A5" s="58"/>
      <c r="B5" s="36"/>
      <c r="C5" s="36"/>
      <c r="D5" s="36"/>
      <c r="E5" s="36"/>
      <c r="F5" s="36"/>
      <c r="G5" s="36"/>
      <c r="H5" s="36"/>
      <c r="I5" s="36"/>
      <c r="J5" s="36"/>
      <c r="K5" s="36"/>
      <c r="L5" s="36"/>
      <c r="M5" s="36"/>
    </row>
    <row r="6" spans="1:15" ht="13.15">
      <c r="A6" s="58"/>
      <c r="B6" s="36"/>
      <c r="C6" s="36"/>
      <c r="D6" s="36"/>
      <c r="E6" s="36"/>
      <c r="F6" s="36"/>
      <c r="G6" s="36"/>
      <c r="H6" s="36"/>
      <c r="I6" s="36"/>
      <c r="J6" s="36"/>
      <c r="K6" s="36"/>
      <c r="L6" s="36"/>
      <c r="M6" s="36"/>
    </row>
    <row r="7" spans="1:15" ht="13.15">
      <c r="A7" s="58"/>
      <c r="B7" s="36"/>
      <c r="C7" s="36"/>
      <c r="D7" s="36"/>
      <c r="E7" s="36"/>
      <c r="F7" s="36"/>
      <c r="G7" s="36"/>
      <c r="H7" s="36"/>
      <c r="I7" s="36"/>
      <c r="J7" s="36"/>
      <c r="K7" s="36"/>
      <c r="L7" s="36"/>
      <c r="M7" s="36"/>
    </row>
    <row r="8" spans="1:15" ht="13.15">
      <c r="A8" s="58"/>
      <c r="B8" s="36"/>
      <c r="C8" s="36"/>
      <c r="D8" s="36"/>
      <c r="E8" s="36"/>
      <c r="F8" s="36"/>
      <c r="G8" s="36"/>
      <c r="H8" s="36"/>
      <c r="I8" s="36"/>
      <c r="J8" s="36"/>
      <c r="K8" s="36"/>
      <c r="L8" s="36"/>
      <c r="M8" s="36"/>
    </row>
    <row r="9" spans="1:15" ht="13.15">
      <c r="A9" s="58"/>
      <c r="B9" s="36"/>
      <c r="C9" s="36"/>
      <c r="D9" s="36"/>
      <c r="E9" s="36"/>
      <c r="F9" s="36"/>
      <c r="G9" s="36"/>
      <c r="H9" s="36"/>
      <c r="I9" s="36"/>
      <c r="J9" s="36"/>
      <c r="K9" s="36"/>
      <c r="L9" s="36"/>
      <c r="M9" s="36"/>
    </row>
    <row r="10" spans="1:15" ht="13.15">
      <c r="A10" s="58"/>
      <c r="B10" s="36"/>
      <c r="C10" s="36"/>
      <c r="D10" s="36"/>
      <c r="E10" s="36"/>
      <c r="F10" s="36"/>
      <c r="G10" s="36"/>
      <c r="H10" s="36"/>
      <c r="I10" s="36"/>
      <c r="J10" s="36"/>
      <c r="K10" s="36"/>
      <c r="L10" s="36"/>
      <c r="M10" s="36"/>
    </row>
    <row r="11" spans="1:15" ht="13.15">
      <c r="A11" s="58"/>
      <c r="B11" s="36"/>
      <c r="C11" s="36"/>
      <c r="D11" s="36"/>
      <c r="E11" s="36"/>
      <c r="F11" s="36"/>
      <c r="G11" s="36"/>
      <c r="H11" s="36"/>
      <c r="I11" s="36"/>
      <c r="J11" s="36"/>
      <c r="K11" s="36"/>
      <c r="L11" s="36"/>
      <c r="M11" s="36"/>
    </row>
    <row r="12" spans="1:15" ht="13.15">
      <c r="A12" s="58"/>
      <c r="B12" s="36"/>
      <c r="C12" s="36"/>
      <c r="D12" s="36"/>
      <c r="E12" s="36"/>
      <c r="F12" s="36"/>
      <c r="G12" s="36"/>
      <c r="H12" s="36"/>
      <c r="I12" s="36"/>
      <c r="J12" s="36"/>
      <c r="K12" s="36"/>
      <c r="L12" s="36"/>
      <c r="M12" s="36"/>
    </row>
    <row r="13" spans="1:15" ht="13.15">
      <c r="A13" s="58"/>
      <c r="B13" s="36"/>
      <c r="C13" s="36"/>
      <c r="D13" s="36"/>
      <c r="E13" s="36"/>
      <c r="F13" s="36"/>
      <c r="G13" s="36"/>
      <c r="H13" s="36"/>
      <c r="I13" s="36"/>
      <c r="J13" s="36"/>
      <c r="K13" s="36"/>
      <c r="L13" s="36"/>
      <c r="M13" s="36"/>
    </row>
    <row r="14" spans="1:15" ht="13.15">
      <c r="A14" s="58"/>
      <c r="B14" s="36"/>
      <c r="C14" s="36"/>
      <c r="D14" s="36"/>
      <c r="E14" s="36"/>
      <c r="F14" s="36"/>
      <c r="G14" s="36"/>
      <c r="H14" s="36"/>
      <c r="I14" s="36"/>
      <c r="J14" s="36"/>
      <c r="K14" s="36"/>
      <c r="L14" s="36"/>
      <c r="M14" s="36"/>
    </row>
    <row r="15" spans="1:15" ht="13.15">
      <c r="A15" s="58"/>
      <c r="B15" s="36"/>
      <c r="C15" s="36"/>
      <c r="D15" s="36"/>
      <c r="E15" s="36"/>
      <c r="F15" s="36"/>
      <c r="G15" s="36"/>
      <c r="H15" s="36"/>
      <c r="I15" s="36"/>
      <c r="J15" s="36"/>
      <c r="K15" s="36"/>
      <c r="L15" s="36"/>
      <c r="M15" s="36"/>
    </row>
    <row r="16" spans="1:15" ht="13.15">
      <c r="A16" s="58"/>
      <c r="B16" s="36"/>
      <c r="C16" s="36"/>
      <c r="D16" s="36"/>
      <c r="E16" s="36"/>
      <c r="F16" s="36"/>
      <c r="G16" s="36"/>
      <c r="H16" s="36"/>
      <c r="I16" s="36"/>
      <c r="J16" s="36"/>
      <c r="K16" s="36"/>
      <c r="L16" s="36"/>
      <c r="M16" s="36"/>
    </row>
    <row r="17" spans="1:13" ht="13.15">
      <c r="A17" s="58"/>
      <c r="B17" s="36"/>
      <c r="C17" s="36"/>
      <c r="D17" s="36"/>
      <c r="E17" s="36"/>
      <c r="F17" s="36"/>
      <c r="G17" s="36"/>
      <c r="H17" s="36"/>
      <c r="I17" s="36"/>
      <c r="J17" s="36"/>
      <c r="K17" s="36"/>
      <c r="L17" s="36"/>
      <c r="M17" s="36"/>
    </row>
    <row r="18" spans="1:13" ht="13.15">
      <c r="A18" s="58"/>
      <c r="B18" s="36"/>
      <c r="C18" s="36"/>
      <c r="D18" s="36"/>
      <c r="E18" s="36"/>
      <c r="F18" s="36"/>
      <c r="G18" s="36"/>
      <c r="H18" s="36"/>
      <c r="I18" s="36"/>
      <c r="J18" s="36"/>
      <c r="K18" s="36"/>
      <c r="L18" s="36"/>
      <c r="M18" s="36"/>
    </row>
    <row r="19" spans="1:13" ht="13.15">
      <c r="A19" s="58"/>
      <c r="B19" s="36"/>
      <c r="C19" s="36"/>
      <c r="D19" s="36"/>
      <c r="E19" s="36"/>
      <c r="F19" s="36"/>
      <c r="G19" s="36"/>
      <c r="H19" s="36"/>
      <c r="I19" s="36"/>
      <c r="J19" s="36"/>
      <c r="K19" s="36"/>
      <c r="L19" s="36"/>
      <c r="M19" s="36"/>
    </row>
    <row r="20" spans="1:13" ht="13.15">
      <c r="A20" s="58"/>
      <c r="B20" s="36"/>
      <c r="C20" s="36"/>
      <c r="D20" s="36"/>
      <c r="E20" s="36"/>
      <c r="F20" s="36"/>
      <c r="G20" s="36"/>
      <c r="H20" s="36"/>
      <c r="I20" s="36"/>
      <c r="J20" s="36"/>
      <c r="K20" s="36"/>
      <c r="L20" s="36"/>
      <c r="M20" s="36"/>
    </row>
    <row r="21" spans="1:13" ht="13.15">
      <c r="A21" s="58"/>
      <c r="B21" s="36"/>
      <c r="C21" s="36"/>
      <c r="D21" s="36"/>
      <c r="E21" s="36"/>
      <c r="F21" s="36"/>
      <c r="G21" s="36"/>
      <c r="H21" s="36"/>
      <c r="I21" s="36"/>
      <c r="J21" s="36"/>
      <c r="K21" s="36"/>
      <c r="L21" s="36"/>
      <c r="M21" s="36"/>
    </row>
    <row r="22" spans="1:13" ht="13.15">
      <c r="A22" s="59"/>
    </row>
    <row r="23" spans="1:13" ht="13.15">
      <c r="A23" s="59"/>
    </row>
    <row r="24" spans="1:13" ht="13.15">
      <c r="A24" s="59"/>
    </row>
    <row r="25" spans="1:13" ht="13.15">
      <c r="A25" s="59"/>
    </row>
    <row r="26" spans="1:13" ht="13.15">
      <c r="A26" s="59"/>
    </row>
    <row r="27" spans="1:13" ht="13.15">
      <c r="A27" s="59"/>
    </row>
    <row r="28" spans="1:13" ht="13.15">
      <c r="A28" s="59"/>
    </row>
    <row r="29" spans="1:13" ht="13.15">
      <c r="A29" s="59"/>
    </row>
    <row r="30" spans="1:13" ht="13.15">
      <c r="A30" s="59"/>
    </row>
    <row r="31" spans="1:13" ht="13.15">
      <c r="A31" s="59"/>
    </row>
    <row r="32" spans="1:13" ht="13.15">
      <c r="A32" s="59"/>
    </row>
    <row r="33" spans="1:1" ht="13.15">
      <c r="A33" s="59"/>
    </row>
    <row r="34" spans="1:1" ht="13.15">
      <c r="A34" s="59"/>
    </row>
    <row r="35" spans="1:1" ht="13.15">
      <c r="A35" s="59"/>
    </row>
    <row r="36" spans="1:1" ht="13.15">
      <c r="A36" s="59"/>
    </row>
    <row r="37" spans="1:1" ht="13.15">
      <c r="A37" s="59"/>
    </row>
    <row r="38" spans="1:1" ht="13.15">
      <c r="A38" s="59"/>
    </row>
    <row r="39" spans="1:1" ht="13.15">
      <c r="A39" s="59"/>
    </row>
    <row r="40" spans="1:1" ht="13.15">
      <c r="A40" s="59"/>
    </row>
    <row r="41" spans="1:1" ht="13.15">
      <c r="A41" s="59"/>
    </row>
    <row r="42" spans="1:1" ht="13.15">
      <c r="A42" s="59"/>
    </row>
    <row r="43" spans="1:1" ht="13.15">
      <c r="A43" s="59"/>
    </row>
    <row r="44" spans="1:1" ht="13.15">
      <c r="A44" s="59"/>
    </row>
    <row r="45" spans="1:1" ht="13.15">
      <c r="A45" s="59"/>
    </row>
    <row r="46" spans="1:1" ht="13.15">
      <c r="A46" s="59"/>
    </row>
    <row r="47" spans="1:1" ht="13.15">
      <c r="A47" s="59"/>
    </row>
    <row r="48" spans="1:1" ht="13.15">
      <c r="A48" s="59"/>
    </row>
    <row r="49" spans="1:1" ht="13.15">
      <c r="A49" s="59"/>
    </row>
    <row r="50" spans="1:1" ht="13.15">
      <c r="A50" s="59"/>
    </row>
    <row r="51" spans="1:1" ht="13.15">
      <c r="A51" s="59"/>
    </row>
    <row r="52" spans="1:1" ht="13.15">
      <c r="A52" s="59"/>
    </row>
    <row r="53" spans="1:1" ht="13.15">
      <c r="A53" s="59"/>
    </row>
    <row r="54" spans="1:1" ht="13.15">
      <c r="A54" s="59"/>
    </row>
    <row r="55" spans="1:1" ht="13.15">
      <c r="A55" s="59"/>
    </row>
    <row r="56" spans="1:1" ht="13.15">
      <c r="A56" s="59"/>
    </row>
    <row r="57" spans="1:1" ht="13.15">
      <c r="A57" s="59"/>
    </row>
    <row r="58" spans="1:1" ht="13.15">
      <c r="A58" s="59"/>
    </row>
    <row r="59" spans="1:1" ht="13.15">
      <c r="A59" s="59"/>
    </row>
    <row r="60" spans="1:1" ht="13.15">
      <c r="A60" s="59"/>
    </row>
    <row r="61" spans="1:1" ht="13.15">
      <c r="A61" s="59"/>
    </row>
    <row r="62" spans="1:1" ht="13.15">
      <c r="A62" s="59"/>
    </row>
    <row r="63" spans="1:1" ht="13.15">
      <c r="A63" s="59"/>
    </row>
    <row r="64" spans="1:1" ht="13.15">
      <c r="A64" s="59"/>
    </row>
    <row r="65" spans="1:1" ht="13.15">
      <c r="A65" s="59"/>
    </row>
    <row r="66" spans="1:1" ht="13.15">
      <c r="A66" s="59"/>
    </row>
    <row r="67" spans="1:1" ht="13.15">
      <c r="A67" s="59"/>
    </row>
    <row r="68" spans="1:1" ht="13.15">
      <c r="A68" s="59"/>
    </row>
    <row r="69" spans="1:1" ht="13.15">
      <c r="A69" s="59"/>
    </row>
    <row r="70" spans="1:1" ht="13.15">
      <c r="A70" s="59"/>
    </row>
    <row r="71" spans="1:1" ht="13.15">
      <c r="A71" s="59"/>
    </row>
    <row r="72" spans="1:1" ht="13.15">
      <c r="A72" s="59"/>
    </row>
    <row r="73" spans="1:1" ht="13.15">
      <c r="A73" s="59"/>
    </row>
    <row r="74" spans="1:1" ht="13.15">
      <c r="A74" s="59"/>
    </row>
    <row r="75" spans="1:1" ht="13.15">
      <c r="A75" s="59"/>
    </row>
    <row r="76" spans="1:1" ht="13.15">
      <c r="A76" s="59"/>
    </row>
    <row r="77" spans="1:1" ht="13.15">
      <c r="A77" s="59"/>
    </row>
    <row r="78" spans="1:1" ht="13.15">
      <c r="A78" s="59"/>
    </row>
    <row r="79" spans="1:1" ht="13.15">
      <c r="A79" s="59"/>
    </row>
    <row r="80" spans="1:1" ht="13.15">
      <c r="A80" s="59"/>
    </row>
    <row r="81" spans="1:1" ht="13.15">
      <c r="A81" s="59"/>
    </row>
    <row r="82" spans="1:1" ht="13.15">
      <c r="A82" s="59"/>
    </row>
    <row r="83" spans="1:1" ht="13.15">
      <c r="A83" s="59"/>
    </row>
    <row r="84" spans="1:1" ht="13.15">
      <c r="A84" s="59"/>
    </row>
    <row r="85" spans="1:1" ht="13.15">
      <c r="A85" s="59"/>
    </row>
    <row r="86" spans="1:1" ht="13.15">
      <c r="A86" s="59"/>
    </row>
    <row r="87" spans="1:1" ht="13.15">
      <c r="A87" s="59"/>
    </row>
    <row r="88" spans="1:1" ht="13.15">
      <c r="A88" s="59"/>
    </row>
    <row r="89" spans="1:1" ht="13.15">
      <c r="A89" s="59"/>
    </row>
    <row r="90" spans="1:1" ht="13.15">
      <c r="A90" s="59"/>
    </row>
    <row r="91" spans="1:1" ht="13.15">
      <c r="A91" s="59"/>
    </row>
    <row r="92" spans="1:1" ht="13.15">
      <c r="A92" s="59"/>
    </row>
    <row r="93" spans="1:1" ht="13.15">
      <c r="A93" s="59"/>
    </row>
    <row r="94" spans="1:1" ht="13.15">
      <c r="A94" s="59"/>
    </row>
    <row r="95" spans="1:1" ht="13.15">
      <c r="A95" s="59"/>
    </row>
    <row r="96" spans="1:1" ht="13.15">
      <c r="A96" s="59"/>
    </row>
    <row r="97" spans="1:1" ht="13.15">
      <c r="A97" s="59"/>
    </row>
    <row r="98" spans="1:1" ht="13.15">
      <c r="A98" s="59"/>
    </row>
    <row r="99" spans="1:1" ht="13.15">
      <c r="A99" s="59"/>
    </row>
    <row r="100" spans="1:1" ht="13.15">
      <c r="A100" s="59"/>
    </row>
    <row r="101" spans="1:1" ht="13.15">
      <c r="A101" s="59"/>
    </row>
    <row r="102" spans="1:1" ht="13.15">
      <c r="A102" s="59"/>
    </row>
    <row r="103" spans="1:1" ht="13.15">
      <c r="A103" s="59"/>
    </row>
    <row r="104" spans="1:1" ht="13.15">
      <c r="A104" s="59"/>
    </row>
    <row r="105" spans="1:1" ht="13.15">
      <c r="A105" s="59"/>
    </row>
    <row r="106" spans="1:1" ht="13.15">
      <c r="A106" s="59"/>
    </row>
    <row r="107" spans="1:1" ht="13.15">
      <c r="A107" s="59"/>
    </row>
    <row r="108" spans="1:1" ht="13.15">
      <c r="A108" s="59"/>
    </row>
    <row r="109" spans="1:1" ht="13.15">
      <c r="A109" s="59"/>
    </row>
    <row r="110" spans="1:1" ht="13.15">
      <c r="A110" s="59"/>
    </row>
    <row r="111" spans="1:1" ht="13.15">
      <c r="A111" s="59"/>
    </row>
    <row r="112" spans="1:1" ht="13.15">
      <c r="A112" s="59"/>
    </row>
    <row r="113" spans="1:1" ht="13.15">
      <c r="A113" s="59"/>
    </row>
    <row r="114" spans="1:1" ht="13.15">
      <c r="A114" s="59"/>
    </row>
    <row r="115" spans="1:1" ht="13.15">
      <c r="A115" s="59"/>
    </row>
    <row r="116" spans="1:1" ht="13.15">
      <c r="A116" s="59"/>
    </row>
    <row r="117" spans="1:1" ht="13.15">
      <c r="A117" s="59"/>
    </row>
    <row r="118" spans="1:1" ht="13.15">
      <c r="A118" s="59"/>
    </row>
    <row r="119" spans="1:1" ht="13.15">
      <c r="A119" s="59"/>
    </row>
    <row r="120" spans="1:1" ht="13.15">
      <c r="A120" s="59"/>
    </row>
    <row r="121" spans="1:1" ht="13.15">
      <c r="A121" s="59"/>
    </row>
    <row r="122" spans="1:1" ht="13.15">
      <c r="A122" s="59"/>
    </row>
    <row r="123" spans="1:1" ht="13.15">
      <c r="A123" s="59"/>
    </row>
    <row r="124" spans="1:1" ht="13.15">
      <c r="A124" s="59"/>
    </row>
    <row r="125" spans="1:1" ht="13.15">
      <c r="A125" s="59"/>
    </row>
    <row r="126" spans="1:1" ht="13.15">
      <c r="A126" s="59"/>
    </row>
    <row r="127" spans="1:1" ht="13.15">
      <c r="A127" s="59"/>
    </row>
    <row r="128" spans="1:1" ht="13.15">
      <c r="A128" s="59"/>
    </row>
    <row r="129" spans="1:1" ht="13.15">
      <c r="A129" s="59"/>
    </row>
    <row r="130" spans="1:1" ht="13.15">
      <c r="A130" s="59"/>
    </row>
    <row r="131" spans="1:1" ht="13.15">
      <c r="A131" s="59"/>
    </row>
    <row r="132" spans="1:1" ht="13.15">
      <c r="A132" s="59"/>
    </row>
    <row r="133" spans="1:1" ht="13.15">
      <c r="A133" s="59"/>
    </row>
    <row r="134" spans="1:1" ht="13.15">
      <c r="A134" s="59"/>
    </row>
    <row r="135" spans="1:1" ht="13.15">
      <c r="A135" s="59"/>
    </row>
    <row r="136" spans="1:1" ht="13.15">
      <c r="A136" s="59"/>
    </row>
    <row r="137" spans="1:1" ht="13.15">
      <c r="A137" s="59"/>
    </row>
    <row r="138" spans="1:1" ht="13.15">
      <c r="A138" s="59"/>
    </row>
    <row r="139" spans="1:1" ht="13.15">
      <c r="A139" s="59"/>
    </row>
    <row r="140" spans="1:1" ht="13.15">
      <c r="A140" s="59"/>
    </row>
    <row r="141" spans="1:1" ht="13.15">
      <c r="A141" s="59"/>
    </row>
    <row r="142" spans="1:1" ht="13.15">
      <c r="A142" s="59"/>
    </row>
    <row r="143" spans="1:1" ht="13.15">
      <c r="A143" s="59"/>
    </row>
    <row r="144" spans="1:1" ht="13.15">
      <c r="A144" s="59"/>
    </row>
    <row r="145" spans="1:1" ht="13.15">
      <c r="A145" s="59"/>
    </row>
    <row r="146" spans="1:1" ht="13.15">
      <c r="A146" s="59"/>
    </row>
    <row r="147" spans="1:1" ht="13.15">
      <c r="A147" s="59"/>
    </row>
    <row r="148" spans="1:1" ht="13.15">
      <c r="A148" s="59"/>
    </row>
    <row r="149" spans="1:1" ht="13.15">
      <c r="A149" s="59"/>
    </row>
    <row r="150" spans="1:1" ht="13.15">
      <c r="A150" s="59"/>
    </row>
    <row r="151" spans="1:1" ht="13.15">
      <c r="A151" s="59"/>
    </row>
    <row r="152" spans="1:1" ht="13.15">
      <c r="A152" s="59"/>
    </row>
    <row r="153" spans="1:1" ht="13.15">
      <c r="A153" s="59"/>
    </row>
    <row r="154" spans="1:1" ht="13.15">
      <c r="A154" s="59"/>
    </row>
    <row r="155" spans="1:1" ht="13.15">
      <c r="A155" s="59"/>
    </row>
    <row r="156" spans="1:1" ht="13.15">
      <c r="A156" s="59"/>
    </row>
    <row r="157" spans="1:1" ht="13.15">
      <c r="A157" s="59"/>
    </row>
    <row r="158" spans="1:1" ht="13.15">
      <c r="A158" s="59"/>
    </row>
    <row r="159" spans="1:1" ht="13.15">
      <c r="A159" s="59"/>
    </row>
    <row r="160" spans="1:1" ht="13.15">
      <c r="A160" s="59"/>
    </row>
    <row r="161" spans="1:1" ht="13.15">
      <c r="A161" s="59"/>
    </row>
    <row r="162" spans="1:1" ht="13.15">
      <c r="A162" s="59"/>
    </row>
    <row r="163" spans="1:1" ht="13.15">
      <c r="A163" s="59"/>
    </row>
    <row r="164" spans="1:1" ht="13.15">
      <c r="A164" s="59"/>
    </row>
    <row r="165" spans="1:1" ht="13.15">
      <c r="A165" s="59"/>
    </row>
    <row r="166" spans="1:1" ht="13.15">
      <c r="A166" s="59"/>
    </row>
    <row r="167" spans="1:1" ht="13.15">
      <c r="A167" s="59"/>
    </row>
    <row r="168" spans="1:1" ht="13.15">
      <c r="A168" s="59"/>
    </row>
    <row r="169" spans="1:1" ht="13.15">
      <c r="A169" s="59"/>
    </row>
    <row r="170" spans="1:1" ht="13.15">
      <c r="A170" s="59"/>
    </row>
    <row r="171" spans="1:1" ht="13.15">
      <c r="A171" s="59"/>
    </row>
    <row r="172" spans="1:1" ht="13.15">
      <c r="A172" s="59"/>
    </row>
    <row r="173" spans="1:1" ht="13.15">
      <c r="A173" s="59"/>
    </row>
    <row r="174" spans="1:1" ht="13.15">
      <c r="A174" s="59"/>
    </row>
    <row r="175" spans="1:1" ht="13.15">
      <c r="A175" s="59"/>
    </row>
    <row r="176" spans="1:1" ht="13.15">
      <c r="A176" s="59"/>
    </row>
    <row r="177" spans="1:1" ht="13.15">
      <c r="A177" s="59"/>
    </row>
    <row r="178" spans="1:1" ht="13.15">
      <c r="A178" s="59"/>
    </row>
    <row r="179" spans="1:1" ht="13.15">
      <c r="A179" s="59"/>
    </row>
    <row r="180" spans="1:1" ht="13.15">
      <c r="A180" s="59"/>
    </row>
    <row r="181" spans="1:1" ht="13.15">
      <c r="A181" s="59"/>
    </row>
    <row r="182" spans="1:1" ht="13.15">
      <c r="A182" s="59"/>
    </row>
    <row r="183" spans="1:1" ht="13.15">
      <c r="A183" s="59"/>
    </row>
    <row r="184" spans="1:1" ht="13.15">
      <c r="A184" s="59"/>
    </row>
    <row r="185" spans="1:1" ht="13.15">
      <c r="A185" s="59"/>
    </row>
    <row r="186" spans="1:1" ht="13.15">
      <c r="A186" s="59"/>
    </row>
    <row r="187" spans="1:1" ht="13.15">
      <c r="A187" s="59"/>
    </row>
    <row r="188" spans="1:1" ht="13.15">
      <c r="A188" s="59"/>
    </row>
    <row r="189" spans="1:1" ht="13.15">
      <c r="A189" s="59"/>
    </row>
    <row r="190" spans="1:1" ht="13.15">
      <c r="A190" s="59"/>
    </row>
    <row r="191" spans="1:1" ht="13.15">
      <c r="A191" s="59"/>
    </row>
    <row r="192" spans="1:1" ht="13.15">
      <c r="A192" s="59"/>
    </row>
    <row r="193" spans="1:1" ht="13.15">
      <c r="A193" s="59"/>
    </row>
    <row r="194" spans="1:1" ht="13.15">
      <c r="A194" s="59"/>
    </row>
    <row r="195" spans="1:1" ht="13.15">
      <c r="A195" s="59"/>
    </row>
    <row r="196" spans="1:1" ht="13.15">
      <c r="A196" s="59"/>
    </row>
    <row r="197" spans="1:1" ht="13.15">
      <c r="A197" s="59"/>
    </row>
    <row r="198" spans="1:1" ht="13.15">
      <c r="A198" s="59"/>
    </row>
    <row r="199" spans="1:1" ht="13.15">
      <c r="A199" s="59"/>
    </row>
    <row r="200" spans="1:1" ht="13.15">
      <c r="A200" s="59"/>
    </row>
    <row r="201" spans="1:1" ht="13.15">
      <c r="A201" s="59"/>
    </row>
    <row r="202" spans="1:1" ht="13.15">
      <c r="A202" s="59"/>
    </row>
    <row r="203" spans="1:1" ht="13.15">
      <c r="A203" s="59"/>
    </row>
    <row r="204" spans="1:1" ht="13.15">
      <c r="A204" s="59"/>
    </row>
    <row r="205" spans="1:1" ht="13.15">
      <c r="A205" s="59"/>
    </row>
    <row r="206" spans="1:1" ht="13.15">
      <c r="A206" s="59"/>
    </row>
    <row r="207" spans="1:1" ht="13.15">
      <c r="A207" s="59"/>
    </row>
    <row r="208" spans="1:1" ht="13.15">
      <c r="A208" s="59"/>
    </row>
    <row r="209" spans="1:1" ht="13.15">
      <c r="A209" s="59"/>
    </row>
    <row r="210" spans="1:1" ht="13.15">
      <c r="A210" s="59"/>
    </row>
    <row r="211" spans="1:1" ht="13.15">
      <c r="A211" s="59"/>
    </row>
    <row r="212" spans="1:1" ht="13.15">
      <c r="A212" s="59"/>
    </row>
    <row r="213" spans="1:1" ht="13.15">
      <c r="A213" s="59"/>
    </row>
    <row r="214" spans="1:1" ht="13.15">
      <c r="A214" s="59"/>
    </row>
    <row r="215" spans="1:1" ht="13.15">
      <c r="A215" s="59"/>
    </row>
    <row r="216" spans="1:1" ht="13.15">
      <c r="A216" s="59"/>
    </row>
    <row r="217" spans="1:1" ht="13.15">
      <c r="A217" s="59"/>
    </row>
    <row r="218" spans="1:1" ht="13.15">
      <c r="A218" s="59"/>
    </row>
    <row r="219" spans="1:1" ht="13.15">
      <c r="A219" s="59"/>
    </row>
    <row r="220" spans="1:1" ht="13.15">
      <c r="A220" s="59"/>
    </row>
    <row r="221" spans="1:1" ht="13.15">
      <c r="A221" s="59"/>
    </row>
    <row r="222" spans="1:1" ht="13.15">
      <c r="A222" s="59"/>
    </row>
    <row r="223" spans="1:1" ht="13.15">
      <c r="A223" s="59"/>
    </row>
    <row r="224" spans="1:1" ht="13.15">
      <c r="A224" s="59"/>
    </row>
    <row r="225" spans="1:1" ht="13.15">
      <c r="A225" s="59"/>
    </row>
    <row r="226" spans="1:1" ht="13.15">
      <c r="A226" s="59"/>
    </row>
    <row r="227" spans="1:1" ht="13.15">
      <c r="A227" s="59"/>
    </row>
    <row r="228" spans="1:1" ht="13.15">
      <c r="A228" s="59"/>
    </row>
    <row r="229" spans="1:1" ht="13.15">
      <c r="A229" s="59"/>
    </row>
    <row r="230" spans="1:1" ht="13.15">
      <c r="A230" s="59"/>
    </row>
    <row r="231" spans="1:1" ht="13.15">
      <c r="A231" s="59"/>
    </row>
    <row r="232" spans="1:1" ht="13.15">
      <c r="A232" s="59"/>
    </row>
    <row r="233" spans="1:1" ht="13.15">
      <c r="A233" s="59"/>
    </row>
    <row r="234" spans="1:1" ht="13.15">
      <c r="A234" s="59"/>
    </row>
    <row r="235" spans="1:1" ht="13.15">
      <c r="A235" s="59"/>
    </row>
    <row r="236" spans="1:1" ht="13.15">
      <c r="A236" s="59"/>
    </row>
    <row r="237" spans="1:1" ht="13.15">
      <c r="A237" s="59"/>
    </row>
    <row r="238" spans="1:1" ht="13.15">
      <c r="A238" s="59"/>
    </row>
    <row r="239" spans="1:1" ht="13.15">
      <c r="A239" s="59"/>
    </row>
    <row r="240" spans="1:1" ht="13.15">
      <c r="A240" s="59"/>
    </row>
    <row r="241" spans="1:1" ht="13.15">
      <c r="A241" s="59"/>
    </row>
    <row r="242" spans="1:1" ht="13.15">
      <c r="A242" s="59"/>
    </row>
    <row r="243" spans="1:1" ht="13.15">
      <c r="A243" s="59"/>
    </row>
    <row r="244" spans="1:1" ht="13.15">
      <c r="A244" s="59"/>
    </row>
    <row r="245" spans="1:1" ht="13.15">
      <c r="A245" s="59"/>
    </row>
    <row r="246" spans="1:1" ht="13.15">
      <c r="A246" s="59"/>
    </row>
    <row r="247" spans="1:1" ht="13.15">
      <c r="A247" s="59"/>
    </row>
    <row r="248" spans="1:1" ht="13.15">
      <c r="A248" s="59"/>
    </row>
    <row r="249" spans="1:1" ht="13.15">
      <c r="A249" s="59"/>
    </row>
    <row r="250" spans="1:1" ht="13.15">
      <c r="A250" s="59"/>
    </row>
    <row r="251" spans="1:1" ht="13.15">
      <c r="A251" s="59"/>
    </row>
    <row r="252" spans="1:1" ht="13.15">
      <c r="A252" s="59"/>
    </row>
    <row r="253" spans="1:1" ht="13.15">
      <c r="A253" s="59"/>
    </row>
    <row r="254" spans="1:1" ht="13.15">
      <c r="A254" s="59"/>
    </row>
    <row r="255" spans="1:1" ht="13.15">
      <c r="A255" s="59"/>
    </row>
    <row r="256" spans="1:1" ht="13.15">
      <c r="A256" s="59"/>
    </row>
    <row r="257" spans="1:1" ht="13.15">
      <c r="A257" s="59"/>
    </row>
    <row r="258" spans="1:1" ht="13.15">
      <c r="A258" s="59"/>
    </row>
    <row r="259" spans="1:1" ht="13.15">
      <c r="A259" s="59"/>
    </row>
    <row r="260" spans="1:1" ht="13.15">
      <c r="A260" s="59"/>
    </row>
    <row r="261" spans="1:1" ht="13.15">
      <c r="A261" s="59"/>
    </row>
    <row r="262" spans="1:1" ht="13.15">
      <c r="A262" s="59"/>
    </row>
    <row r="263" spans="1:1" ht="13.15">
      <c r="A263" s="59"/>
    </row>
    <row r="264" spans="1:1" ht="13.15">
      <c r="A264" s="59"/>
    </row>
    <row r="265" spans="1:1" ht="13.15">
      <c r="A265" s="59"/>
    </row>
    <row r="266" spans="1:1" ht="13.15">
      <c r="A266" s="59"/>
    </row>
    <row r="267" spans="1:1" ht="13.15">
      <c r="A267" s="59"/>
    </row>
    <row r="268" spans="1:1" ht="13.15">
      <c r="A268" s="59"/>
    </row>
    <row r="269" spans="1:1" ht="13.15">
      <c r="A269" s="59"/>
    </row>
    <row r="270" spans="1:1" ht="13.15">
      <c r="A270" s="59"/>
    </row>
    <row r="271" spans="1:1" ht="13.15">
      <c r="A271" s="59"/>
    </row>
    <row r="272" spans="1:1" ht="13.15">
      <c r="A272" s="59"/>
    </row>
    <row r="273" spans="1:1" ht="13.15">
      <c r="A273" s="59"/>
    </row>
    <row r="274" spans="1:1" ht="13.15">
      <c r="A274" s="59"/>
    </row>
    <row r="275" spans="1:1" ht="13.15">
      <c r="A275" s="59"/>
    </row>
    <row r="276" spans="1:1" ht="13.15">
      <c r="A276" s="59"/>
    </row>
    <row r="277" spans="1:1" ht="13.15">
      <c r="A277" s="59"/>
    </row>
    <row r="278" spans="1:1" ht="13.15">
      <c r="A278" s="59"/>
    </row>
    <row r="279" spans="1:1" ht="13.15">
      <c r="A279" s="59"/>
    </row>
    <row r="280" spans="1:1" ht="13.15">
      <c r="A280" s="59"/>
    </row>
    <row r="281" spans="1:1" ht="13.15">
      <c r="A281" s="59"/>
    </row>
    <row r="282" spans="1:1" ht="13.15">
      <c r="A282" s="59"/>
    </row>
    <row r="283" spans="1:1" ht="13.15">
      <c r="A283" s="59"/>
    </row>
    <row r="284" spans="1:1" ht="13.15">
      <c r="A284" s="59"/>
    </row>
    <row r="285" spans="1:1" ht="13.15">
      <c r="A285" s="59"/>
    </row>
    <row r="286" spans="1:1" ht="13.15">
      <c r="A286" s="59"/>
    </row>
    <row r="287" spans="1:1" ht="13.15">
      <c r="A287" s="59"/>
    </row>
    <row r="288" spans="1:1" ht="13.15">
      <c r="A288" s="59"/>
    </row>
    <row r="289" spans="1:1" ht="13.15">
      <c r="A289" s="59"/>
    </row>
    <row r="290" spans="1:1" ht="13.15">
      <c r="A290" s="59"/>
    </row>
    <row r="291" spans="1:1" ht="13.15">
      <c r="A291" s="59"/>
    </row>
    <row r="292" spans="1:1" ht="13.15">
      <c r="A292" s="59"/>
    </row>
    <row r="293" spans="1:1" ht="13.15">
      <c r="A293" s="59"/>
    </row>
    <row r="294" spans="1:1" ht="13.15">
      <c r="A294" s="59"/>
    </row>
    <row r="295" spans="1:1" ht="13.15">
      <c r="A295" s="59"/>
    </row>
    <row r="296" spans="1:1" ht="13.15">
      <c r="A296" s="59"/>
    </row>
    <row r="297" spans="1:1" ht="13.15">
      <c r="A297" s="59"/>
    </row>
    <row r="298" spans="1:1" ht="13.15">
      <c r="A298" s="59"/>
    </row>
    <row r="299" spans="1:1" ht="13.15">
      <c r="A299" s="59"/>
    </row>
    <row r="300" spans="1:1" ht="13.15">
      <c r="A300" s="59"/>
    </row>
    <row r="301" spans="1:1" ht="13.15">
      <c r="A301" s="59"/>
    </row>
    <row r="302" spans="1:1" ht="13.15">
      <c r="A302" s="59"/>
    </row>
    <row r="303" spans="1:1" ht="13.15">
      <c r="A303" s="59"/>
    </row>
    <row r="304" spans="1:1" ht="13.15">
      <c r="A304" s="59"/>
    </row>
    <row r="305" spans="1:1" ht="13.15">
      <c r="A305" s="59"/>
    </row>
    <row r="306" spans="1:1" ht="13.15">
      <c r="A306" s="59"/>
    </row>
    <row r="307" spans="1:1" ht="13.15">
      <c r="A307" s="59"/>
    </row>
    <row r="308" spans="1:1" ht="13.15">
      <c r="A308" s="59"/>
    </row>
    <row r="309" spans="1:1" ht="13.15">
      <c r="A309" s="59"/>
    </row>
    <row r="310" spans="1:1" ht="13.15">
      <c r="A310" s="59"/>
    </row>
    <row r="311" spans="1:1" ht="13.15">
      <c r="A311" s="59"/>
    </row>
    <row r="312" spans="1:1" ht="13.15">
      <c r="A312" s="59"/>
    </row>
    <row r="313" spans="1:1" ht="13.15">
      <c r="A313" s="59"/>
    </row>
    <row r="314" spans="1:1" ht="13.15">
      <c r="A314" s="59"/>
    </row>
    <row r="315" spans="1:1" ht="13.15">
      <c r="A315" s="59"/>
    </row>
    <row r="316" spans="1:1" ht="13.15">
      <c r="A316" s="59"/>
    </row>
    <row r="317" spans="1:1" ht="13.15">
      <c r="A317" s="59"/>
    </row>
    <row r="318" spans="1:1" ht="13.15">
      <c r="A318" s="59"/>
    </row>
    <row r="319" spans="1:1" ht="13.15">
      <c r="A319" s="59"/>
    </row>
    <row r="320" spans="1:1" ht="13.15">
      <c r="A320" s="59"/>
    </row>
    <row r="321" spans="1:1" ht="13.15">
      <c r="A321" s="59"/>
    </row>
    <row r="322" spans="1:1" ht="13.15">
      <c r="A322" s="59"/>
    </row>
    <row r="323" spans="1:1" ht="13.15">
      <c r="A323" s="59"/>
    </row>
    <row r="324" spans="1:1" ht="13.15">
      <c r="A324" s="59"/>
    </row>
    <row r="325" spans="1:1" ht="13.15">
      <c r="A325" s="59"/>
    </row>
    <row r="326" spans="1:1" ht="13.15">
      <c r="A326" s="59"/>
    </row>
    <row r="327" spans="1:1" ht="13.15">
      <c r="A327" s="59"/>
    </row>
    <row r="328" spans="1:1" ht="13.15">
      <c r="A328" s="59"/>
    </row>
    <row r="329" spans="1:1" ht="13.15">
      <c r="A329" s="59"/>
    </row>
    <row r="330" spans="1:1" ht="13.15">
      <c r="A330" s="59"/>
    </row>
    <row r="331" spans="1:1" ht="13.15">
      <c r="A331" s="59"/>
    </row>
    <row r="332" spans="1:1" ht="13.15">
      <c r="A332" s="59"/>
    </row>
    <row r="333" spans="1:1" ht="13.15">
      <c r="A333" s="59"/>
    </row>
    <row r="334" spans="1:1" ht="13.15">
      <c r="A334" s="59"/>
    </row>
    <row r="335" spans="1:1" ht="13.15">
      <c r="A335" s="59"/>
    </row>
    <row r="336" spans="1:1" ht="13.15">
      <c r="A336" s="59"/>
    </row>
    <row r="337" spans="1:1" ht="13.15">
      <c r="A337" s="59"/>
    </row>
    <row r="338" spans="1:1" ht="13.15">
      <c r="A338" s="59"/>
    </row>
    <row r="339" spans="1:1" ht="13.15">
      <c r="A339" s="59"/>
    </row>
    <row r="340" spans="1:1" ht="13.15">
      <c r="A340" s="59"/>
    </row>
    <row r="341" spans="1:1" ht="13.15">
      <c r="A341" s="59"/>
    </row>
    <row r="342" spans="1:1" ht="13.15">
      <c r="A342" s="59"/>
    </row>
    <row r="343" spans="1:1" ht="13.15">
      <c r="A343" s="59"/>
    </row>
    <row r="344" spans="1:1" ht="13.15">
      <c r="A344" s="59"/>
    </row>
    <row r="345" spans="1:1" ht="13.15">
      <c r="A345" s="59"/>
    </row>
    <row r="346" spans="1:1" ht="13.15">
      <c r="A346" s="59"/>
    </row>
    <row r="347" spans="1:1" ht="13.15">
      <c r="A347" s="59"/>
    </row>
    <row r="348" spans="1:1" ht="13.15">
      <c r="A348" s="59"/>
    </row>
    <row r="349" spans="1:1" ht="13.15">
      <c r="A349" s="59"/>
    </row>
    <row r="350" spans="1:1" ht="13.15">
      <c r="A350" s="59"/>
    </row>
    <row r="351" spans="1:1" ht="13.15">
      <c r="A351" s="59"/>
    </row>
    <row r="352" spans="1:1" ht="13.15">
      <c r="A352" s="59"/>
    </row>
    <row r="353" spans="1:1" ht="13.15">
      <c r="A353" s="59"/>
    </row>
    <row r="354" spans="1:1" ht="13.15">
      <c r="A354" s="59"/>
    </row>
    <row r="355" spans="1:1" ht="13.15">
      <c r="A355" s="59"/>
    </row>
    <row r="356" spans="1:1" ht="13.15">
      <c r="A356" s="59"/>
    </row>
    <row r="357" spans="1:1" ht="13.15">
      <c r="A357" s="59"/>
    </row>
    <row r="358" spans="1:1" ht="13.15">
      <c r="A358" s="59"/>
    </row>
    <row r="359" spans="1:1" ht="13.15">
      <c r="A359" s="59"/>
    </row>
    <row r="360" spans="1:1" ht="13.15">
      <c r="A360" s="59"/>
    </row>
    <row r="361" spans="1:1" ht="13.15">
      <c r="A361" s="59"/>
    </row>
    <row r="362" spans="1:1" ht="13.15">
      <c r="A362" s="59"/>
    </row>
    <row r="363" spans="1:1" ht="13.15">
      <c r="A363" s="59"/>
    </row>
    <row r="364" spans="1:1" ht="13.15">
      <c r="A364" s="59"/>
    </row>
    <row r="365" spans="1:1" ht="13.15">
      <c r="A365" s="59"/>
    </row>
    <row r="366" spans="1:1" ht="13.15">
      <c r="A366" s="59"/>
    </row>
    <row r="367" spans="1:1" ht="13.15">
      <c r="A367" s="59"/>
    </row>
    <row r="368" spans="1:1" ht="13.15">
      <c r="A368" s="59"/>
    </row>
    <row r="369" spans="1:1" ht="13.15">
      <c r="A369" s="59"/>
    </row>
    <row r="370" spans="1:1" ht="13.15">
      <c r="A370" s="59"/>
    </row>
    <row r="371" spans="1:1" ht="13.15">
      <c r="A371" s="59"/>
    </row>
    <row r="372" spans="1:1" ht="13.15">
      <c r="A372" s="59"/>
    </row>
    <row r="373" spans="1:1" ht="13.15">
      <c r="A373" s="59"/>
    </row>
    <row r="374" spans="1:1" ht="13.15">
      <c r="A374" s="59"/>
    </row>
    <row r="375" spans="1:1" ht="13.15">
      <c r="A375" s="59"/>
    </row>
    <row r="376" spans="1:1" ht="13.15">
      <c r="A376" s="59"/>
    </row>
    <row r="377" spans="1:1" ht="13.15">
      <c r="A377" s="59"/>
    </row>
    <row r="378" spans="1:1" ht="13.15">
      <c r="A378" s="59"/>
    </row>
    <row r="379" spans="1:1" ht="13.15">
      <c r="A379" s="59"/>
    </row>
    <row r="380" spans="1:1" ht="13.15">
      <c r="A380" s="59"/>
    </row>
    <row r="381" spans="1:1" ht="13.15">
      <c r="A381" s="59"/>
    </row>
    <row r="382" spans="1:1" ht="13.15">
      <c r="A382" s="59"/>
    </row>
    <row r="383" spans="1:1" ht="13.15">
      <c r="A383" s="59"/>
    </row>
    <row r="384" spans="1:1" ht="13.15">
      <c r="A384" s="59"/>
    </row>
    <row r="385" spans="1:1" ht="13.15">
      <c r="A385" s="59"/>
    </row>
    <row r="386" spans="1:1" ht="13.15">
      <c r="A386" s="59"/>
    </row>
    <row r="387" spans="1:1" ht="13.15">
      <c r="A387" s="59"/>
    </row>
    <row r="388" spans="1:1" ht="13.15">
      <c r="A388" s="59"/>
    </row>
    <row r="389" spans="1:1" ht="13.15">
      <c r="A389" s="59"/>
    </row>
    <row r="390" spans="1:1" ht="13.15">
      <c r="A390" s="59"/>
    </row>
    <row r="391" spans="1:1" ht="13.15">
      <c r="A391" s="59"/>
    </row>
    <row r="392" spans="1:1" ht="13.15">
      <c r="A392" s="59"/>
    </row>
    <row r="393" spans="1:1" ht="13.15">
      <c r="A393" s="59"/>
    </row>
    <row r="394" spans="1:1" ht="13.15">
      <c r="A394" s="59"/>
    </row>
    <row r="395" spans="1:1" ht="13.15">
      <c r="A395" s="59"/>
    </row>
    <row r="396" spans="1:1" ht="13.15">
      <c r="A396" s="59"/>
    </row>
    <row r="397" spans="1:1" ht="13.15">
      <c r="A397" s="59"/>
    </row>
    <row r="398" spans="1:1" ht="13.15">
      <c r="A398" s="59"/>
    </row>
    <row r="399" spans="1:1" ht="13.15">
      <c r="A399" s="59"/>
    </row>
    <row r="400" spans="1:1" ht="13.15">
      <c r="A400" s="59"/>
    </row>
    <row r="401" spans="1:1" ht="13.15">
      <c r="A401" s="59"/>
    </row>
    <row r="402" spans="1:1" ht="13.15">
      <c r="A402" s="59"/>
    </row>
    <row r="403" spans="1:1" ht="13.15">
      <c r="A403" s="59"/>
    </row>
    <row r="404" spans="1:1" ht="13.15">
      <c r="A404" s="59"/>
    </row>
    <row r="405" spans="1:1" ht="13.15">
      <c r="A405" s="59"/>
    </row>
    <row r="406" spans="1:1" ht="13.15">
      <c r="A406" s="59"/>
    </row>
    <row r="407" spans="1:1" ht="13.15">
      <c r="A407" s="59"/>
    </row>
    <row r="408" spans="1:1" ht="13.15">
      <c r="A408" s="59"/>
    </row>
    <row r="409" spans="1:1" ht="13.15">
      <c r="A409" s="59"/>
    </row>
    <row r="410" spans="1:1" ht="13.15">
      <c r="A410" s="59"/>
    </row>
    <row r="411" spans="1:1" ht="13.15">
      <c r="A411" s="59"/>
    </row>
    <row r="412" spans="1:1" ht="13.15">
      <c r="A412" s="59"/>
    </row>
    <row r="413" spans="1:1" ht="13.15">
      <c r="A413" s="59"/>
    </row>
    <row r="414" spans="1:1" ht="13.15">
      <c r="A414" s="59"/>
    </row>
    <row r="415" spans="1:1" ht="13.15">
      <c r="A415" s="59"/>
    </row>
    <row r="416" spans="1:1" ht="13.15">
      <c r="A416" s="59"/>
    </row>
    <row r="417" spans="1:1" ht="13.15">
      <c r="A417" s="59"/>
    </row>
    <row r="418" spans="1:1" ht="13.15">
      <c r="A418" s="59"/>
    </row>
    <row r="419" spans="1:1" ht="13.15">
      <c r="A419" s="59"/>
    </row>
    <row r="420" spans="1:1" ht="13.15">
      <c r="A420" s="59"/>
    </row>
    <row r="421" spans="1:1" ht="13.15">
      <c r="A421" s="59"/>
    </row>
    <row r="422" spans="1:1" ht="13.15">
      <c r="A422" s="59"/>
    </row>
    <row r="423" spans="1:1" ht="13.15">
      <c r="A423" s="59"/>
    </row>
    <row r="424" spans="1:1" ht="13.15">
      <c r="A424" s="59"/>
    </row>
    <row r="425" spans="1:1" ht="13.15">
      <c r="A425" s="59"/>
    </row>
    <row r="426" spans="1:1" ht="13.15">
      <c r="A426" s="59"/>
    </row>
    <row r="427" spans="1:1" ht="13.15">
      <c r="A427" s="59"/>
    </row>
    <row r="428" spans="1:1" ht="13.15">
      <c r="A428" s="59"/>
    </row>
    <row r="429" spans="1:1" ht="13.15">
      <c r="A429" s="59"/>
    </row>
    <row r="430" spans="1:1" ht="13.15">
      <c r="A430" s="59"/>
    </row>
    <row r="431" spans="1:1" ht="13.15">
      <c r="A431" s="59"/>
    </row>
    <row r="432" spans="1:1" ht="13.15">
      <c r="A432" s="59"/>
    </row>
    <row r="433" spans="1:1" ht="13.15">
      <c r="A433" s="59"/>
    </row>
    <row r="434" spans="1:1" ht="13.15">
      <c r="A434" s="59"/>
    </row>
    <row r="435" spans="1:1" ht="13.15">
      <c r="A435" s="59"/>
    </row>
    <row r="436" spans="1:1" ht="13.15">
      <c r="A436" s="59"/>
    </row>
    <row r="437" spans="1:1" ht="13.15">
      <c r="A437" s="59"/>
    </row>
    <row r="438" spans="1:1" ht="13.15">
      <c r="A438" s="59"/>
    </row>
    <row r="439" spans="1:1" ht="13.15">
      <c r="A439" s="59"/>
    </row>
    <row r="440" spans="1:1" ht="13.15">
      <c r="A440" s="59"/>
    </row>
    <row r="441" spans="1:1" ht="13.15">
      <c r="A441" s="59"/>
    </row>
    <row r="442" spans="1:1" ht="13.15">
      <c r="A442" s="59"/>
    </row>
    <row r="443" spans="1:1" ht="13.15">
      <c r="A443" s="59"/>
    </row>
    <row r="444" spans="1:1" ht="13.15">
      <c r="A444" s="59"/>
    </row>
    <row r="445" spans="1:1" ht="13.15">
      <c r="A445" s="59"/>
    </row>
    <row r="446" spans="1:1" ht="13.15">
      <c r="A446" s="59"/>
    </row>
    <row r="447" spans="1:1" ht="13.15">
      <c r="A447" s="59"/>
    </row>
    <row r="448" spans="1:1" ht="13.15">
      <c r="A448" s="59"/>
    </row>
    <row r="449" spans="1:1" ht="13.15">
      <c r="A449" s="59"/>
    </row>
    <row r="450" spans="1:1" ht="13.15">
      <c r="A450" s="59"/>
    </row>
    <row r="451" spans="1:1" ht="13.15">
      <c r="A451" s="59"/>
    </row>
    <row r="452" spans="1:1" ht="13.15">
      <c r="A452" s="59"/>
    </row>
    <row r="453" spans="1:1" ht="13.15">
      <c r="A453" s="59"/>
    </row>
    <row r="454" spans="1:1" ht="13.15">
      <c r="A454" s="59"/>
    </row>
    <row r="455" spans="1:1" ht="13.15">
      <c r="A455" s="59"/>
    </row>
    <row r="456" spans="1:1" ht="13.15">
      <c r="A456" s="59"/>
    </row>
    <row r="457" spans="1:1" ht="13.15">
      <c r="A457" s="59"/>
    </row>
    <row r="458" spans="1:1" ht="13.15">
      <c r="A458" s="59"/>
    </row>
    <row r="459" spans="1:1" ht="13.15">
      <c r="A459" s="59"/>
    </row>
    <row r="460" spans="1:1" ht="13.15">
      <c r="A460" s="59"/>
    </row>
    <row r="461" spans="1:1" ht="13.15">
      <c r="A461" s="59"/>
    </row>
    <row r="462" spans="1:1" ht="13.15">
      <c r="A462" s="59"/>
    </row>
    <row r="463" spans="1:1" ht="13.15">
      <c r="A463" s="59"/>
    </row>
    <row r="464" spans="1:1" ht="13.15">
      <c r="A464" s="59"/>
    </row>
    <row r="465" spans="1:1" ht="13.15">
      <c r="A465" s="59"/>
    </row>
    <row r="466" spans="1:1" ht="13.15">
      <c r="A466" s="59"/>
    </row>
    <row r="467" spans="1:1" ht="13.15">
      <c r="A467" s="59"/>
    </row>
    <row r="468" spans="1:1" ht="13.15">
      <c r="A468" s="59"/>
    </row>
    <row r="469" spans="1:1" ht="13.15">
      <c r="A469" s="59"/>
    </row>
    <row r="470" spans="1:1" ht="13.15">
      <c r="A470" s="59"/>
    </row>
    <row r="471" spans="1:1" ht="13.15">
      <c r="A471" s="59"/>
    </row>
    <row r="472" spans="1:1" ht="13.15">
      <c r="A472" s="59"/>
    </row>
    <row r="473" spans="1:1" ht="13.15">
      <c r="A473" s="59"/>
    </row>
    <row r="474" spans="1:1" ht="13.15">
      <c r="A474" s="59"/>
    </row>
    <row r="475" spans="1:1" ht="13.15">
      <c r="A475" s="59"/>
    </row>
    <row r="476" spans="1:1" ht="13.15">
      <c r="A476" s="59"/>
    </row>
    <row r="477" spans="1:1" ht="13.15">
      <c r="A477" s="59"/>
    </row>
    <row r="478" spans="1:1" ht="13.15">
      <c r="A478" s="59"/>
    </row>
    <row r="479" spans="1:1" ht="13.15">
      <c r="A479" s="59"/>
    </row>
    <row r="480" spans="1:1" ht="13.15">
      <c r="A480" s="59"/>
    </row>
    <row r="481" spans="1:1" ht="13.15">
      <c r="A481" s="59"/>
    </row>
    <row r="482" spans="1:1" ht="13.15">
      <c r="A482" s="59"/>
    </row>
    <row r="483" spans="1:1" ht="13.15">
      <c r="A483" s="59"/>
    </row>
    <row r="484" spans="1:1" ht="13.15">
      <c r="A484" s="59"/>
    </row>
    <row r="485" spans="1:1" ht="13.15">
      <c r="A485" s="59"/>
    </row>
    <row r="486" spans="1:1" ht="13.15">
      <c r="A486" s="59"/>
    </row>
    <row r="487" spans="1:1" ht="13.15">
      <c r="A487" s="59"/>
    </row>
    <row r="488" spans="1:1" ht="13.15">
      <c r="A488" s="59"/>
    </row>
    <row r="489" spans="1:1" ht="13.15">
      <c r="A489" s="59"/>
    </row>
    <row r="490" spans="1:1" ht="13.15">
      <c r="A490" s="59"/>
    </row>
    <row r="491" spans="1:1" ht="13.15">
      <c r="A491" s="59"/>
    </row>
    <row r="492" spans="1:1" ht="13.15">
      <c r="A492" s="59"/>
    </row>
    <row r="493" spans="1:1" ht="13.15">
      <c r="A493" s="59"/>
    </row>
    <row r="494" spans="1:1" ht="13.15">
      <c r="A494" s="59"/>
    </row>
    <row r="495" spans="1:1" ht="13.15">
      <c r="A495" s="59"/>
    </row>
    <row r="496" spans="1:1" ht="13.15">
      <c r="A496" s="59"/>
    </row>
    <row r="497" spans="1:1" ht="13.15">
      <c r="A497" s="59"/>
    </row>
    <row r="498" spans="1:1" ht="13.15">
      <c r="A498" s="59"/>
    </row>
    <row r="499" spans="1:1" ht="13.15">
      <c r="A499" s="59"/>
    </row>
    <row r="500" spans="1:1" ht="13.15">
      <c r="A500" s="59"/>
    </row>
    <row r="501" spans="1:1" ht="13.15">
      <c r="A501" s="59"/>
    </row>
    <row r="502" spans="1:1" ht="13.15">
      <c r="A502" s="59"/>
    </row>
    <row r="503" spans="1:1" ht="13.15">
      <c r="A503" s="59"/>
    </row>
    <row r="504" spans="1:1" ht="13.15">
      <c r="A504" s="59"/>
    </row>
    <row r="505" spans="1:1" ht="13.15">
      <c r="A505" s="59"/>
    </row>
    <row r="506" spans="1:1" ht="13.15">
      <c r="A506" s="59"/>
    </row>
    <row r="507" spans="1:1" ht="13.15">
      <c r="A507" s="59"/>
    </row>
    <row r="508" spans="1:1" ht="13.15">
      <c r="A508" s="59"/>
    </row>
    <row r="509" spans="1:1" ht="13.15">
      <c r="A509" s="59"/>
    </row>
    <row r="510" spans="1:1" ht="13.15">
      <c r="A510" s="59"/>
    </row>
    <row r="511" spans="1:1" ht="13.15">
      <c r="A511" s="59"/>
    </row>
    <row r="512" spans="1:1" ht="13.15">
      <c r="A512" s="59"/>
    </row>
    <row r="513" spans="1:1" ht="13.15">
      <c r="A513" s="59"/>
    </row>
    <row r="514" spans="1:1" ht="13.15">
      <c r="A514" s="59"/>
    </row>
    <row r="515" spans="1:1" ht="13.15">
      <c r="A515" s="59"/>
    </row>
    <row r="516" spans="1:1" ht="13.15">
      <c r="A516" s="59"/>
    </row>
    <row r="517" spans="1:1" ht="13.15">
      <c r="A517" s="59"/>
    </row>
    <row r="518" spans="1:1" ht="13.15">
      <c r="A518" s="59"/>
    </row>
    <row r="519" spans="1:1" ht="13.15">
      <c r="A519" s="59"/>
    </row>
    <row r="520" spans="1:1" ht="13.15">
      <c r="A520" s="59"/>
    </row>
    <row r="521" spans="1:1" ht="13.15">
      <c r="A521" s="59"/>
    </row>
    <row r="522" spans="1:1" ht="13.15">
      <c r="A522" s="59"/>
    </row>
    <row r="523" spans="1:1" ht="13.15">
      <c r="A523" s="59"/>
    </row>
    <row r="524" spans="1:1" ht="13.15">
      <c r="A524" s="59"/>
    </row>
    <row r="525" spans="1:1" ht="13.15">
      <c r="A525" s="59"/>
    </row>
    <row r="526" spans="1:1" ht="13.15">
      <c r="A526" s="59"/>
    </row>
    <row r="527" spans="1:1" ht="13.15">
      <c r="A527" s="59"/>
    </row>
    <row r="528" spans="1:1" ht="13.15">
      <c r="A528" s="59"/>
    </row>
    <row r="529" spans="1:1" ht="13.15">
      <c r="A529" s="59"/>
    </row>
    <row r="530" spans="1:1" ht="13.15">
      <c r="A530" s="59"/>
    </row>
    <row r="531" spans="1:1" ht="13.15">
      <c r="A531" s="59"/>
    </row>
    <row r="532" spans="1:1" ht="13.15">
      <c r="A532" s="59"/>
    </row>
    <row r="533" spans="1:1" ht="13.15">
      <c r="A533" s="59"/>
    </row>
    <row r="534" spans="1:1" ht="13.15">
      <c r="A534" s="59"/>
    </row>
    <row r="535" spans="1:1" ht="13.15">
      <c r="A535" s="59"/>
    </row>
    <row r="536" spans="1:1" ht="13.15">
      <c r="A536" s="59"/>
    </row>
    <row r="537" spans="1:1" ht="13.15">
      <c r="A537" s="59"/>
    </row>
    <row r="538" spans="1:1" ht="13.15">
      <c r="A538" s="59"/>
    </row>
    <row r="539" spans="1:1" ht="13.15">
      <c r="A539" s="59"/>
    </row>
    <row r="540" spans="1:1" ht="13.15">
      <c r="A540" s="59"/>
    </row>
    <row r="541" spans="1:1" ht="13.15">
      <c r="A541" s="59"/>
    </row>
    <row r="542" spans="1:1" ht="13.15">
      <c r="A542" s="59"/>
    </row>
    <row r="543" spans="1:1" ht="13.15">
      <c r="A543" s="59"/>
    </row>
    <row r="544" spans="1:1" ht="13.15">
      <c r="A544" s="59"/>
    </row>
    <row r="545" spans="1:1" ht="13.15">
      <c r="A545" s="59"/>
    </row>
    <row r="546" spans="1:1" ht="13.15">
      <c r="A546" s="59"/>
    </row>
    <row r="547" spans="1:1" ht="13.15">
      <c r="A547" s="59"/>
    </row>
    <row r="548" spans="1:1" ht="13.15">
      <c r="A548" s="59"/>
    </row>
    <row r="549" spans="1:1" ht="13.15">
      <c r="A549" s="59"/>
    </row>
    <row r="550" spans="1:1" ht="13.15">
      <c r="A550" s="59"/>
    </row>
    <row r="551" spans="1:1" ht="13.15">
      <c r="A551" s="59"/>
    </row>
    <row r="552" spans="1:1" ht="13.15">
      <c r="A552" s="59"/>
    </row>
    <row r="553" spans="1:1" ht="13.15">
      <c r="A553" s="59"/>
    </row>
    <row r="554" spans="1:1" ht="13.15">
      <c r="A554" s="59"/>
    </row>
    <row r="555" spans="1:1" ht="13.15">
      <c r="A555" s="59"/>
    </row>
    <row r="556" spans="1:1" ht="13.15">
      <c r="A556" s="59"/>
    </row>
    <row r="557" spans="1:1" ht="13.15">
      <c r="A557" s="59"/>
    </row>
    <row r="558" spans="1:1" ht="13.15">
      <c r="A558" s="59"/>
    </row>
    <row r="559" spans="1:1" ht="13.15">
      <c r="A559" s="59"/>
    </row>
    <row r="560" spans="1:1" ht="13.15">
      <c r="A560" s="59"/>
    </row>
    <row r="561" spans="1:1" ht="13.15">
      <c r="A561" s="59"/>
    </row>
    <row r="562" spans="1:1" ht="13.15">
      <c r="A562" s="59"/>
    </row>
    <row r="563" spans="1:1" ht="13.15">
      <c r="A563" s="59"/>
    </row>
    <row r="564" spans="1:1" ht="13.15">
      <c r="A564" s="59"/>
    </row>
    <row r="565" spans="1:1" ht="13.15">
      <c r="A565" s="59"/>
    </row>
    <row r="566" spans="1:1" ht="13.15">
      <c r="A566" s="59"/>
    </row>
    <row r="567" spans="1:1" ht="13.15">
      <c r="A567" s="59"/>
    </row>
    <row r="568" spans="1:1" ht="13.15">
      <c r="A568" s="59"/>
    </row>
    <row r="569" spans="1:1" ht="13.15">
      <c r="A569" s="59"/>
    </row>
    <row r="570" spans="1:1" ht="13.15">
      <c r="A570" s="59"/>
    </row>
    <row r="571" spans="1:1" ht="13.15">
      <c r="A571" s="59"/>
    </row>
    <row r="572" spans="1:1" ht="13.15">
      <c r="A572" s="59"/>
    </row>
    <row r="573" spans="1:1" ht="13.15">
      <c r="A573" s="59"/>
    </row>
    <row r="574" spans="1:1" ht="13.15">
      <c r="A574" s="59"/>
    </row>
    <row r="575" spans="1:1" ht="13.15">
      <c r="A575" s="59"/>
    </row>
    <row r="576" spans="1:1" ht="13.15">
      <c r="A576" s="59"/>
    </row>
    <row r="577" spans="1:1" ht="13.15">
      <c r="A577" s="59"/>
    </row>
    <row r="578" spans="1:1" ht="13.15">
      <c r="A578" s="59"/>
    </row>
    <row r="579" spans="1:1" ht="13.15">
      <c r="A579" s="59"/>
    </row>
    <row r="580" spans="1:1" ht="13.15">
      <c r="A580" s="59"/>
    </row>
    <row r="581" spans="1:1" ht="13.15">
      <c r="A581" s="59"/>
    </row>
    <row r="582" spans="1:1" ht="13.15">
      <c r="A582" s="59"/>
    </row>
    <row r="583" spans="1:1" ht="13.15">
      <c r="A583" s="59"/>
    </row>
    <row r="584" spans="1:1" ht="13.15">
      <c r="A584" s="59"/>
    </row>
    <row r="585" spans="1:1" ht="13.15">
      <c r="A585" s="59"/>
    </row>
    <row r="586" spans="1:1" ht="13.15">
      <c r="A586" s="59"/>
    </row>
    <row r="587" spans="1:1" ht="13.15">
      <c r="A587" s="59"/>
    </row>
    <row r="588" spans="1:1" ht="13.15">
      <c r="A588" s="59"/>
    </row>
    <row r="589" spans="1:1" ht="13.15">
      <c r="A589" s="59"/>
    </row>
    <row r="590" spans="1:1" ht="13.15">
      <c r="A590" s="59"/>
    </row>
    <row r="591" spans="1:1" ht="13.15">
      <c r="A591" s="59"/>
    </row>
    <row r="592" spans="1:1" ht="13.15">
      <c r="A592" s="59"/>
    </row>
    <row r="593" spans="1:1" ht="13.15">
      <c r="A593" s="59"/>
    </row>
    <row r="594" spans="1:1" ht="13.15">
      <c r="A594" s="59"/>
    </row>
    <row r="595" spans="1:1" ht="13.15">
      <c r="A595" s="59"/>
    </row>
    <row r="596" spans="1:1" ht="13.15">
      <c r="A596" s="59"/>
    </row>
    <row r="597" spans="1:1" ht="13.15">
      <c r="A597" s="59"/>
    </row>
    <row r="598" spans="1:1" ht="13.15">
      <c r="A598" s="59"/>
    </row>
    <row r="599" spans="1:1" ht="13.15">
      <c r="A599" s="59"/>
    </row>
    <row r="600" spans="1:1" ht="13.15">
      <c r="A600" s="59"/>
    </row>
    <row r="601" spans="1:1" ht="13.15">
      <c r="A601" s="59"/>
    </row>
    <row r="602" spans="1:1" ht="13.15">
      <c r="A602" s="59"/>
    </row>
    <row r="603" spans="1:1" ht="13.15">
      <c r="A603" s="59"/>
    </row>
    <row r="604" spans="1:1" ht="13.15">
      <c r="A604" s="59"/>
    </row>
    <row r="605" spans="1:1" ht="13.15">
      <c r="A605" s="59"/>
    </row>
    <row r="606" spans="1:1" ht="13.15">
      <c r="A606" s="59"/>
    </row>
    <row r="607" spans="1:1" ht="13.15">
      <c r="A607" s="59"/>
    </row>
    <row r="608" spans="1:1" ht="13.15">
      <c r="A608" s="59"/>
    </row>
    <row r="609" spans="1:1" ht="13.15">
      <c r="A609" s="59"/>
    </row>
    <row r="610" spans="1:1" ht="13.15">
      <c r="A610" s="59"/>
    </row>
    <row r="611" spans="1:1" ht="13.15">
      <c r="A611" s="59"/>
    </row>
    <row r="612" spans="1:1" ht="13.15">
      <c r="A612" s="59"/>
    </row>
    <row r="613" spans="1:1" ht="13.15">
      <c r="A613" s="59"/>
    </row>
    <row r="614" spans="1:1" ht="13.15">
      <c r="A614" s="59"/>
    </row>
    <row r="615" spans="1:1" ht="13.15">
      <c r="A615" s="59"/>
    </row>
    <row r="616" spans="1:1" ht="13.15">
      <c r="A616" s="59"/>
    </row>
    <row r="617" spans="1:1" ht="13.15">
      <c r="A617" s="59"/>
    </row>
    <row r="618" spans="1:1" ht="13.15">
      <c r="A618" s="59"/>
    </row>
    <row r="619" spans="1:1" ht="13.15">
      <c r="A619" s="59"/>
    </row>
    <row r="620" spans="1:1" ht="13.15">
      <c r="A620" s="59"/>
    </row>
    <row r="621" spans="1:1" ht="13.15">
      <c r="A621" s="59"/>
    </row>
    <row r="622" spans="1:1" ht="13.15">
      <c r="A622" s="59"/>
    </row>
    <row r="623" spans="1:1" ht="13.15">
      <c r="A623" s="59"/>
    </row>
    <row r="624" spans="1:1" ht="13.15">
      <c r="A624" s="59"/>
    </row>
    <row r="625" spans="1:1" ht="13.15">
      <c r="A625" s="59"/>
    </row>
    <row r="626" spans="1:1" ht="13.15">
      <c r="A626" s="59"/>
    </row>
    <row r="627" spans="1:1" ht="13.15">
      <c r="A627" s="59"/>
    </row>
    <row r="628" spans="1:1" ht="13.15">
      <c r="A628" s="59"/>
    </row>
    <row r="629" spans="1:1" ht="13.15">
      <c r="A629" s="59"/>
    </row>
    <row r="630" spans="1:1" ht="13.15">
      <c r="A630" s="59"/>
    </row>
    <row r="631" spans="1:1" ht="13.15">
      <c r="A631" s="59"/>
    </row>
    <row r="632" spans="1:1" ht="13.15">
      <c r="A632" s="59"/>
    </row>
    <row r="633" spans="1:1" ht="13.15">
      <c r="A633" s="59"/>
    </row>
    <row r="634" spans="1:1" ht="13.15">
      <c r="A634" s="59"/>
    </row>
    <row r="635" spans="1:1" ht="13.15">
      <c r="A635" s="59"/>
    </row>
    <row r="636" spans="1:1" ht="13.15">
      <c r="A636" s="59"/>
    </row>
    <row r="637" spans="1:1" ht="13.15">
      <c r="A637" s="59"/>
    </row>
    <row r="638" spans="1:1" ht="13.15">
      <c r="A638" s="59"/>
    </row>
    <row r="639" spans="1:1" ht="13.15">
      <c r="A639" s="59"/>
    </row>
    <row r="640" spans="1:1" ht="13.15">
      <c r="A640" s="59"/>
    </row>
    <row r="641" spans="1:1" ht="13.15">
      <c r="A641" s="59"/>
    </row>
    <row r="642" spans="1:1" ht="13.15">
      <c r="A642" s="59"/>
    </row>
    <row r="643" spans="1:1" ht="13.15">
      <c r="A643" s="59"/>
    </row>
    <row r="644" spans="1:1" ht="13.15">
      <c r="A644" s="59"/>
    </row>
    <row r="645" spans="1:1" ht="13.15">
      <c r="A645" s="59"/>
    </row>
    <row r="646" spans="1:1" ht="13.15">
      <c r="A646" s="59"/>
    </row>
    <row r="647" spans="1:1" ht="13.15">
      <c r="A647" s="59"/>
    </row>
    <row r="648" spans="1:1" ht="13.15">
      <c r="A648" s="59"/>
    </row>
    <row r="649" spans="1:1" ht="13.15">
      <c r="A649" s="59"/>
    </row>
    <row r="650" spans="1:1" ht="13.15">
      <c r="A650" s="59"/>
    </row>
    <row r="651" spans="1:1" ht="13.15">
      <c r="A651" s="59"/>
    </row>
    <row r="652" spans="1:1" ht="13.15">
      <c r="A652" s="59"/>
    </row>
    <row r="653" spans="1:1" ht="13.15">
      <c r="A653" s="59"/>
    </row>
    <row r="654" spans="1:1" ht="13.15">
      <c r="A654" s="59"/>
    </row>
    <row r="655" spans="1:1" ht="13.15">
      <c r="A655" s="59"/>
    </row>
    <row r="656" spans="1:1" ht="13.15">
      <c r="A656" s="59"/>
    </row>
    <row r="657" spans="1:1" ht="13.15">
      <c r="A657" s="59"/>
    </row>
    <row r="658" spans="1:1" ht="13.15">
      <c r="A658" s="59"/>
    </row>
    <row r="659" spans="1:1" ht="13.15">
      <c r="A659" s="59"/>
    </row>
    <row r="660" spans="1:1" ht="13.15">
      <c r="A660" s="59"/>
    </row>
    <row r="661" spans="1:1" ht="13.15">
      <c r="A661" s="59"/>
    </row>
    <row r="662" spans="1:1" ht="13.15">
      <c r="A662" s="59"/>
    </row>
    <row r="663" spans="1:1" ht="13.15">
      <c r="A663" s="59"/>
    </row>
    <row r="664" spans="1:1" ht="13.15">
      <c r="A664" s="59"/>
    </row>
    <row r="665" spans="1:1" ht="13.15">
      <c r="A665" s="59"/>
    </row>
    <row r="666" spans="1:1" ht="13.15">
      <c r="A666" s="59"/>
    </row>
    <row r="667" spans="1:1" ht="13.15">
      <c r="A667" s="59"/>
    </row>
    <row r="668" spans="1:1" ht="13.15">
      <c r="A668" s="59"/>
    </row>
    <row r="669" spans="1:1" ht="13.15">
      <c r="A669" s="59"/>
    </row>
    <row r="670" spans="1:1" ht="13.15">
      <c r="A670" s="59"/>
    </row>
    <row r="671" spans="1:1" ht="13.15">
      <c r="A671" s="59"/>
    </row>
    <row r="672" spans="1:1" ht="13.15">
      <c r="A672" s="59"/>
    </row>
    <row r="673" spans="1:1" ht="13.15">
      <c r="A673" s="59"/>
    </row>
    <row r="674" spans="1:1" ht="13.15">
      <c r="A674" s="59"/>
    </row>
    <row r="675" spans="1:1" ht="13.15">
      <c r="A675" s="59"/>
    </row>
    <row r="676" spans="1:1" ht="13.15">
      <c r="A676" s="59"/>
    </row>
    <row r="677" spans="1:1" ht="13.15">
      <c r="A677" s="59"/>
    </row>
    <row r="678" spans="1:1" ht="13.15">
      <c r="A678" s="59"/>
    </row>
    <row r="679" spans="1:1" ht="13.15">
      <c r="A679" s="59"/>
    </row>
    <row r="680" spans="1:1" ht="13.15">
      <c r="A680" s="59"/>
    </row>
    <row r="681" spans="1:1" ht="13.15">
      <c r="A681" s="59"/>
    </row>
    <row r="682" spans="1:1" ht="13.15">
      <c r="A682" s="59"/>
    </row>
    <row r="683" spans="1:1" ht="13.15">
      <c r="A683" s="59"/>
    </row>
    <row r="684" spans="1:1" ht="13.15">
      <c r="A684" s="59"/>
    </row>
    <row r="685" spans="1:1" ht="13.15">
      <c r="A685" s="59"/>
    </row>
    <row r="686" spans="1:1" ht="13.15">
      <c r="A686" s="59"/>
    </row>
    <row r="687" spans="1:1" ht="13.15">
      <c r="A687" s="59"/>
    </row>
    <row r="688" spans="1:1" ht="13.15">
      <c r="A688" s="59"/>
    </row>
    <row r="689" spans="1:1" ht="13.15">
      <c r="A689" s="59"/>
    </row>
    <row r="690" spans="1:1" ht="13.15">
      <c r="A690" s="59"/>
    </row>
    <row r="691" spans="1:1" ht="13.15">
      <c r="A691" s="59"/>
    </row>
    <row r="692" spans="1:1" ht="13.15">
      <c r="A692" s="59"/>
    </row>
    <row r="693" spans="1:1" ht="13.15">
      <c r="A693" s="59"/>
    </row>
    <row r="694" spans="1:1" ht="13.15">
      <c r="A694" s="59"/>
    </row>
    <row r="695" spans="1:1" ht="13.15">
      <c r="A695" s="59"/>
    </row>
    <row r="696" spans="1:1" ht="13.15">
      <c r="A696" s="59"/>
    </row>
    <row r="697" spans="1:1" ht="13.15">
      <c r="A697" s="59"/>
    </row>
    <row r="698" spans="1:1" ht="13.15">
      <c r="A698" s="59"/>
    </row>
    <row r="699" spans="1:1" ht="13.15">
      <c r="A699" s="59"/>
    </row>
    <row r="700" spans="1:1" ht="13.15">
      <c r="A700" s="59"/>
    </row>
    <row r="701" spans="1:1" ht="13.15">
      <c r="A701" s="59"/>
    </row>
    <row r="702" spans="1:1" ht="13.15">
      <c r="A702" s="59"/>
    </row>
    <row r="703" spans="1:1" ht="13.15">
      <c r="A703" s="59"/>
    </row>
    <row r="704" spans="1:1" ht="13.15">
      <c r="A704" s="59"/>
    </row>
    <row r="705" spans="1:1" ht="13.15">
      <c r="A705" s="59"/>
    </row>
    <row r="706" spans="1:1" ht="13.15">
      <c r="A706" s="59"/>
    </row>
    <row r="707" spans="1:1" ht="13.15">
      <c r="A707" s="59"/>
    </row>
    <row r="708" spans="1:1" ht="13.15">
      <c r="A708" s="59"/>
    </row>
    <row r="709" spans="1:1" ht="13.15">
      <c r="A709" s="59"/>
    </row>
    <row r="710" spans="1:1" ht="13.15">
      <c r="A710" s="59"/>
    </row>
    <row r="711" spans="1:1" ht="13.15">
      <c r="A711" s="59"/>
    </row>
    <row r="712" spans="1:1" ht="13.15">
      <c r="A712" s="59"/>
    </row>
    <row r="713" spans="1:1" ht="13.15">
      <c r="A713" s="59"/>
    </row>
    <row r="714" spans="1:1" ht="13.15">
      <c r="A714" s="59"/>
    </row>
    <row r="715" spans="1:1" ht="13.15">
      <c r="A715" s="59"/>
    </row>
    <row r="716" spans="1:1" ht="13.15">
      <c r="A716" s="59"/>
    </row>
    <row r="717" spans="1:1" ht="13.15">
      <c r="A717" s="59"/>
    </row>
    <row r="718" spans="1:1" ht="13.15">
      <c r="A718" s="59"/>
    </row>
    <row r="719" spans="1:1" ht="13.15">
      <c r="A719" s="59"/>
    </row>
    <row r="720" spans="1:1" ht="13.15">
      <c r="A720" s="59"/>
    </row>
    <row r="721" spans="1:1" ht="13.15">
      <c r="A721" s="59"/>
    </row>
    <row r="722" spans="1:1" ht="13.15">
      <c r="A722" s="59"/>
    </row>
    <row r="723" spans="1:1" ht="13.15">
      <c r="A723" s="59"/>
    </row>
    <row r="724" spans="1:1" ht="13.15">
      <c r="A724" s="59"/>
    </row>
    <row r="725" spans="1:1" ht="13.15">
      <c r="A725" s="59"/>
    </row>
    <row r="726" spans="1:1" ht="13.15">
      <c r="A726" s="59"/>
    </row>
    <row r="727" spans="1:1" ht="13.15">
      <c r="A727" s="59"/>
    </row>
    <row r="728" spans="1:1" ht="13.15">
      <c r="A728" s="59"/>
    </row>
    <row r="729" spans="1:1" ht="13.15">
      <c r="A729" s="59"/>
    </row>
    <row r="730" spans="1:1" ht="13.15">
      <c r="A730" s="59"/>
    </row>
    <row r="731" spans="1:1" ht="13.15">
      <c r="A731" s="59"/>
    </row>
    <row r="732" spans="1:1" ht="13.15">
      <c r="A732" s="59"/>
    </row>
    <row r="733" spans="1:1" ht="13.15">
      <c r="A733" s="59"/>
    </row>
    <row r="734" spans="1:1" ht="13.15">
      <c r="A734" s="59"/>
    </row>
    <row r="735" spans="1:1" ht="13.15">
      <c r="A735" s="59"/>
    </row>
    <row r="736" spans="1:1" ht="13.15">
      <c r="A736" s="59"/>
    </row>
    <row r="737" spans="1:1" ht="13.15">
      <c r="A737" s="59"/>
    </row>
    <row r="738" spans="1:1" ht="13.15">
      <c r="A738" s="59"/>
    </row>
    <row r="739" spans="1:1" ht="13.15">
      <c r="A739" s="59"/>
    </row>
    <row r="740" spans="1:1" ht="13.15">
      <c r="A740" s="59"/>
    </row>
    <row r="741" spans="1:1" ht="13.15">
      <c r="A741" s="59"/>
    </row>
    <row r="742" spans="1:1" ht="13.15">
      <c r="A742" s="59"/>
    </row>
    <row r="743" spans="1:1" ht="13.15">
      <c r="A743" s="59"/>
    </row>
    <row r="744" spans="1:1" ht="13.15">
      <c r="A744" s="59"/>
    </row>
    <row r="745" spans="1:1" ht="13.15">
      <c r="A745" s="59"/>
    </row>
    <row r="746" spans="1:1" ht="13.15">
      <c r="A746" s="59"/>
    </row>
    <row r="747" spans="1:1" ht="13.15">
      <c r="A747" s="59"/>
    </row>
    <row r="748" spans="1:1" ht="13.15">
      <c r="A748" s="59"/>
    </row>
    <row r="749" spans="1:1" ht="13.15">
      <c r="A749" s="59"/>
    </row>
    <row r="750" spans="1:1" ht="13.15">
      <c r="A750" s="59"/>
    </row>
    <row r="751" spans="1:1" ht="13.15">
      <c r="A751" s="59"/>
    </row>
    <row r="752" spans="1:1" ht="13.15">
      <c r="A752" s="59"/>
    </row>
    <row r="753" spans="1:1" ht="13.15">
      <c r="A753" s="59"/>
    </row>
    <row r="754" spans="1:1" ht="13.15">
      <c r="A754" s="59"/>
    </row>
    <row r="755" spans="1:1" ht="13.15">
      <c r="A755" s="59"/>
    </row>
    <row r="756" spans="1:1" ht="13.15">
      <c r="A756" s="59"/>
    </row>
    <row r="757" spans="1:1" ht="13.15">
      <c r="A757" s="59"/>
    </row>
    <row r="758" spans="1:1" ht="13.15">
      <c r="A758" s="59"/>
    </row>
    <row r="759" spans="1:1" ht="13.15">
      <c r="A759" s="59"/>
    </row>
    <row r="760" spans="1:1" ht="13.15">
      <c r="A760" s="59"/>
    </row>
    <row r="761" spans="1:1" ht="13.15">
      <c r="A761" s="59"/>
    </row>
    <row r="762" spans="1:1" ht="13.15">
      <c r="A762" s="59"/>
    </row>
    <row r="763" spans="1:1" ht="13.15">
      <c r="A763" s="59"/>
    </row>
    <row r="764" spans="1:1" ht="13.15">
      <c r="A764" s="59"/>
    </row>
    <row r="765" spans="1:1" ht="13.15">
      <c r="A765" s="59"/>
    </row>
    <row r="766" spans="1:1" ht="13.15">
      <c r="A766" s="59"/>
    </row>
    <row r="767" spans="1:1" ht="13.15">
      <c r="A767" s="59"/>
    </row>
    <row r="768" spans="1:1" ht="13.15">
      <c r="A768" s="59"/>
    </row>
    <row r="769" spans="1:1" ht="13.15">
      <c r="A769" s="59"/>
    </row>
    <row r="770" spans="1:1" ht="13.15">
      <c r="A770" s="59"/>
    </row>
    <row r="771" spans="1:1" ht="13.15">
      <c r="A771" s="59"/>
    </row>
    <row r="772" spans="1:1" ht="13.15">
      <c r="A772" s="59"/>
    </row>
    <row r="773" spans="1:1" ht="13.15">
      <c r="A773" s="59"/>
    </row>
    <row r="774" spans="1:1" ht="13.15">
      <c r="A774" s="59"/>
    </row>
    <row r="775" spans="1:1" ht="13.15">
      <c r="A775" s="59"/>
    </row>
    <row r="776" spans="1:1" ht="13.15">
      <c r="A776" s="59"/>
    </row>
    <row r="777" spans="1:1" ht="13.15">
      <c r="A777" s="59"/>
    </row>
    <row r="778" spans="1:1" ht="13.15">
      <c r="A778" s="59"/>
    </row>
    <row r="779" spans="1:1" ht="13.15">
      <c r="A779" s="59"/>
    </row>
    <row r="780" spans="1:1" ht="13.15">
      <c r="A780" s="59"/>
    </row>
    <row r="781" spans="1:1" ht="13.15">
      <c r="A781" s="59"/>
    </row>
    <row r="782" spans="1:1" ht="13.15">
      <c r="A782" s="59"/>
    </row>
    <row r="783" spans="1:1" ht="13.15">
      <c r="A783" s="59"/>
    </row>
    <row r="784" spans="1:1" ht="13.15">
      <c r="A784" s="59"/>
    </row>
    <row r="785" spans="1:1" ht="13.15">
      <c r="A785" s="59"/>
    </row>
    <row r="786" spans="1:1" ht="13.15">
      <c r="A786" s="59"/>
    </row>
    <row r="787" spans="1:1" ht="13.15">
      <c r="A787" s="59"/>
    </row>
    <row r="788" spans="1:1" ht="13.15">
      <c r="A788" s="59"/>
    </row>
    <row r="789" spans="1:1" ht="13.15">
      <c r="A789" s="59"/>
    </row>
    <row r="790" spans="1:1" ht="13.15">
      <c r="A790" s="59"/>
    </row>
    <row r="791" spans="1:1" ht="13.15">
      <c r="A791" s="59"/>
    </row>
    <row r="792" spans="1:1" ht="13.15">
      <c r="A792" s="59"/>
    </row>
    <row r="793" spans="1:1" ht="13.15">
      <c r="A793" s="59"/>
    </row>
    <row r="794" spans="1:1" ht="13.15">
      <c r="A794" s="59"/>
    </row>
    <row r="795" spans="1:1" ht="13.15">
      <c r="A795" s="59"/>
    </row>
    <row r="796" spans="1:1" ht="13.15">
      <c r="A796" s="59"/>
    </row>
    <row r="797" spans="1:1" ht="13.15">
      <c r="A797" s="59"/>
    </row>
    <row r="798" spans="1:1" ht="13.15">
      <c r="A798" s="59"/>
    </row>
    <row r="799" spans="1:1" ht="13.15">
      <c r="A799" s="59"/>
    </row>
    <row r="800" spans="1:1" ht="13.15">
      <c r="A800" s="59"/>
    </row>
    <row r="801" spans="1:1" ht="13.15">
      <c r="A801" s="59"/>
    </row>
    <row r="802" spans="1:1" ht="13.15">
      <c r="A802" s="59"/>
    </row>
    <row r="803" spans="1:1" ht="13.15">
      <c r="A803" s="59"/>
    </row>
    <row r="804" spans="1:1" ht="13.15">
      <c r="A804" s="59"/>
    </row>
    <row r="805" spans="1:1" ht="13.15">
      <c r="A805" s="59"/>
    </row>
    <row r="806" spans="1:1" ht="13.15">
      <c r="A806" s="59"/>
    </row>
    <row r="807" spans="1:1" ht="13.15">
      <c r="A807" s="59"/>
    </row>
    <row r="808" spans="1:1" ht="13.15">
      <c r="A808" s="59"/>
    </row>
    <row r="809" spans="1:1" ht="13.15">
      <c r="A809" s="59"/>
    </row>
    <row r="810" spans="1:1" ht="13.15">
      <c r="A810" s="59"/>
    </row>
    <row r="811" spans="1:1" ht="13.15">
      <c r="A811" s="59"/>
    </row>
    <row r="812" spans="1:1" ht="13.15">
      <c r="A812" s="59"/>
    </row>
    <row r="813" spans="1:1" ht="13.15">
      <c r="A813" s="59"/>
    </row>
    <row r="814" spans="1:1" ht="13.15">
      <c r="A814" s="59"/>
    </row>
    <row r="815" spans="1:1" ht="13.15">
      <c r="A815" s="59"/>
    </row>
    <row r="816" spans="1:1" ht="13.15">
      <c r="A816" s="59"/>
    </row>
    <row r="817" spans="1:1" ht="13.15">
      <c r="A817" s="59"/>
    </row>
    <row r="818" spans="1:1" ht="13.15">
      <c r="A818" s="59"/>
    </row>
    <row r="819" spans="1:1" ht="13.15">
      <c r="A819" s="59"/>
    </row>
    <row r="820" spans="1:1" ht="13.15">
      <c r="A820" s="59"/>
    </row>
    <row r="821" spans="1:1" ht="13.15">
      <c r="A821" s="59"/>
    </row>
    <row r="822" spans="1:1" ht="13.15">
      <c r="A822" s="59"/>
    </row>
    <row r="823" spans="1:1" ht="13.15">
      <c r="A823" s="59"/>
    </row>
    <row r="824" spans="1:1" ht="13.15">
      <c r="A824" s="59"/>
    </row>
    <row r="825" spans="1:1" ht="13.15">
      <c r="A825" s="59"/>
    </row>
    <row r="826" spans="1:1" ht="13.15">
      <c r="A826" s="59"/>
    </row>
    <row r="827" spans="1:1" ht="13.15">
      <c r="A827" s="59"/>
    </row>
    <row r="828" spans="1:1" ht="13.15">
      <c r="A828" s="59"/>
    </row>
    <row r="829" spans="1:1" ht="13.15">
      <c r="A829" s="59"/>
    </row>
    <row r="830" spans="1:1" ht="13.15">
      <c r="A830" s="59"/>
    </row>
    <row r="831" spans="1:1" ht="13.15">
      <c r="A831" s="59"/>
    </row>
    <row r="832" spans="1:1" ht="13.15">
      <c r="A832" s="59"/>
    </row>
    <row r="833" spans="1:1" ht="13.15">
      <c r="A833" s="59"/>
    </row>
    <row r="834" spans="1:1" ht="13.15">
      <c r="A834" s="59"/>
    </row>
    <row r="835" spans="1:1" ht="13.15">
      <c r="A835" s="59"/>
    </row>
    <row r="836" spans="1:1" ht="13.15">
      <c r="A836" s="59"/>
    </row>
    <row r="837" spans="1:1" ht="13.15">
      <c r="A837" s="59"/>
    </row>
    <row r="838" spans="1:1" ht="13.15">
      <c r="A838" s="59"/>
    </row>
    <row r="839" spans="1:1" ht="13.15">
      <c r="A839" s="59"/>
    </row>
    <row r="840" spans="1:1" ht="13.15">
      <c r="A840" s="59"/>
    </row>
    <row r="841" spans="1:1" ht="13.15">
      <c r="A841" s="59"/>
    </row>
    <row r="842" spans="1:1" ht="13.15">
      <c r="A842" s="59"/>
    </row>
    <row r="843" spans="1:1" ht="13.15">
      <c r="A843" s="59"/>
    </row>
    <row r="844" spans="1:1" ht="13.15">
      <c r="A844" s="59"/>
    </row>
    <row r="845" spans="1:1" ht="13.15">
      <c r="A845" s="59"/>
    </row>
    <row r="846" spans="1:1" ht="13.15">
      <c r="A846" s="59"/>
    </row>
    <row r="847" spans="1:1" ht="13.15">
      <c r="A847" s="59"/>
    </row>
    <row r="848" spans="1:1" ht="13.15">
      <c r="A848" s="59"/>
    </row>
    <row r="849" spans="1:1" ht="13.15">
      <c r="A849" s="59"/>
    </row>
    <row r="850" spans="1:1" ht="13.15">
      <c r="A850" s="59"/>
    </row>
    <row r="851" spans="1:1" ht="13.15">
      <c r="A851" s="59"/>
    </row>
    <row r="852" spans="1:1" ht="13.15">
      <c r="A852" s="59"/>
    </row>
    <row r="853" spans="1:1" ht="13.15">
      <c r="A853" s="59"/>
    </row>
    <row r="854" spans="1:1" ht="13.15">
      <c r="A854" s="59"/>
    </row>
    <row r="855" spans="1:1" ht="13.15">
      <c r="A855" s="59"/>
    </row>
    <row r="856" spans="1:1" ht="13.15">
      <c r="A856" s="59"/>
    </row>
    <row r="857" spans="1:1" ht="13.15">
      <c r="A857" s="59"/>
    </row>
    <row r="858" spans="1:1" ht="13.15">
      <c r="A858" s="59"/>
    </row>
    <row r="859" spans="1:1" ht="13.15">
      <c r="A859" s="59"/>
    </row>
    <row r="860" spans="1:1" ht="13.15">
      <c r="A860" s="59"/>
    </row>
    <row r="861" spans="1:1" ht="13.15">
      <c r="A861" s="59"/>
    </row>
    <row r="862" spans="1:1" ht="13.15">
      <c r="A862" s="59"/>
    </row>
    <row r="863" spans="1:1" ht="13.15">
      <c r="A863" s="59"/>
    </row>
    <row r="864" spans="1:1" ht="13.15">
      <c r="A864" s="59"/>
    </row>
    <row r="865" spans="1:1" ht="13.15">
      <c r="A865" s="59"/>
    </row>
    <row r="866" spans="1:1" ht="13.15">
      <c r="A866" s="59"/>
    </row>
    <row r="867" spans="1:1" ht="13.15">
      <c r="A867" s="59"/>
    </row>
    <row r="868" spans="1:1" ht="13.15">
      <c r="A868" s="59"/>
    </row>
    <row r="869" spans="1:1" ht="13.15">
      <c r="A869" s="59"/>
    </row>
    <row r="870" spans="1:1" ht="13.15">
      <c r="A870" s="59"/>
    </row>
    <row r="871" spans="1:1" ht="13.15">
      <c r="A871" s="59"/>
    </row>
    <row r="872" spans="1:1" ht="13.15">
      <c r="A872" s="59"/>
    </row>
    <row r="873" spans="1:1" ht="13.15">
      <c r="A873" s="59"/>
    </row>
    <row r="874" spans="1:1" ht="13.15">
      <c r="A874" s="59"/>
    </row>
    <row r="875" spans="1:1" ht="13.15">
      <c r="A875" s="59"/>
    </row>
    <row r="876" spans="1:1" ht="13.15">
      <c r="A876" s="59"/>
    </row>
    <row r="877" spans="1:1" ht="13.15">
      <c r="A877" s="59"/>
    </row>
    <row r="878" spans="1:1" ht="13.15">
      <c r="A878" s="59"/>
    </row>
    <row r="879" spans="1:1" ht="13.15">
      <c r="A879" s="59"/>
    </row>
    <row r="880" spans="1:1" ht="13.15">
      <c r="A880" s="59"/>
    </row>
    <row r="881" spans="1:1" ht="13.15">
      <c r="A881" s="59"/>
    </row>
    <row r="882" spans="1:1" ht="13.15">
      <c r="A882" s="59"/>
    </row>
    <row r="883" spans="1:1" ht="13.15">
      <c r="A883" s="59"/>
    </row>
    <row r="884" spans="1:1" ht="13.15">
      <c r="A884" s="59"/>
    </row>
    <row r="885" spans="1:1" ht="13.15">
      <c r="A885" s="59"/>
    </row>
    <row r="886" spans="1:1" ht="13.15">
      <c r="A886" s="59"/>
    </row>
    <row r="887" spans="1:1" ht="13.15">
      <c r="A887" s="59"/>
    </row>
    <row r="888" spans="1:1" ht="13.15">
      <c r="A888" s="59"/>
    </row>
    <row r="889" spans="1:1" ht="13.15">
      <c r="A889" s="59"/>
    </row>
    <row r="890" spans="1:1" ht="13.15">
      <c r="A890" s="59"/>
    </row>
    <row r="891" spans="1:1" ht="13.15">
      <c r="A891" s="59"/>
    </row>
    <row r="892" spans="1:1" ht="13.15">
      <c r="A892" s="59"/>
    </row>
    <row r="893" spans="1:1" ht="13.15">
      <c r="A893" s="59"/>
    </row>
    <row r="894" spans="1:1" ht="13.15">
      <c r="A894" s="59"/>
    </row>
    <row r="895" spans="1:1" ht="13.15">
      <c r="A895" s="59"/>
    </row>
    <row r="896" spans="1:1" ht="13.15">
      <c r="A896" s="59"/>
    </row>
    <row r="897" spans="1:1" ht="13.15">
      <c r="A897" s="59"/>
    </row>
    <row r="898" spans="1:1" ht="13.15">
      <c r="A898" s="59"/>
    </row>
    <row r="899" spans="1:1" ht="13.15">
      <c r="A899" s="59"/>
    </row>
    <row r="900" spans="1:1" ht="13.15">
      <c r="A900" s="59"/>
    </row>
    <row r="901" spans="1:1" ht="13.15">
      <c r="A901" s="59"/>
    </row>
    <row r="902" spans="1:1" ht="13.15">
      <c r="A902" s="59"/>
    </row>
    <row r="903" spans="1:1" ht="13.15">
      <c r="A903" s="59"/>
    </row>
    <row r="904" spans="1:1" ht="13.15">
      <c r="A904" s="59"/>
    </row>
    <row r="905" spans="1:1" ht="13.15">
      <c r="A905" s="59"/>
    </row>
    <row r="906" spans="1:1" ht="13.15">
      <c r="A906" s="59"/>
    </row>
    <row r="907" spans="1:1" ht="13.15">
      <c r="A907" s="59"/>
    </row>
    <row r="908" spans="1:1" ht="13.15">
      <c r="A908" s="59"/>
    </row>
    <row r="909" spans="1:1" ht="13.15">
      <c r="A909" s="59"/>
    </row>
    <row r="910" spans="1:1" ht="13.15">
      <c r="A910" s="59"/>
    </row>
    <row r="911" spans="1:1" ht="13.15">
      <c r="A911" s="59"/>
    </row>
    <row r="912" spans="1:1" ht="13.15">
      <c r="A912" s="59"/>
    </row>
    <row r="913" spans="1:1" ht="13.15">
      <c r="A913" s="59"/>
    </row>
    <row r="914" spans="1:1" ht="13.15">
      <c r="A914" s="59"/>
    </row>
    <row r="915" spans="1:1" ht="13.15">
      <c r="A915" s="59"/>
    </row>
    <row r="916" spans="1:1" ht="13.15">
      <c r="A916" s="59"/>
    </row>
    <row r="917" spans="1:1" ht="13.15">
      <c r="A917" s="59"/>
    </row>
    <row r="918" spans="1:1" ht="13.15">
      <c r="A918" s="59"/>
    </row>
    <row r="919" spans="1:1" ht="13.15">
      <c r="A919" s="59"/>
    </row>
    <row r="920" spans="1:1" ht="13.15">
      <c r="A920" s="59"/>
    </row>
    <row r="921" spans="1:1" ht="13.15">
      <c r="A921" s="59"/>
    </row>
    <row r="922" spans="1:1" ht="13.15">
      <c r="A922" s="59"/>
    </row>
    <row r="923" spans="1:1" ht="13.15">
      <c r="A923" s="59"/>
    </row>
    <row r="924" spans="1:1" ht="13.15">
      <c r="A924" s="59"/>
    </row>
    <row r="925" spans="1:1" ht="13.15">
      <c r="A925" s="59"/>
    </row>
    <row r="926" spans="1:1" ht="13.15">
      <c r="A926" s="59"/>
    </row>
    <row r="927" spans="1:1" ht="13.15">
      <c r="A927" s="59"/>
    </row>
    <row r="928" spans="1:1" ht="13.15">
      <c r="A928" s="59"/>
    </row>
    <row r="929" spans="1:1" ht="13.15">
      <c r="A929" s="59"/>
    </row>
    <row r="930" spans="1:1" ht="13.15">
      <c r="A930" s="59"/>
    </row>
    <row r="931" spans="1:1" ht="13.15">
      <c r="A931" s="59"/>
    </row>
    <row r="932" spans="1:1" ht="13.15">
      <c r="A932" s="59"/>
    </row>
    <row r="933" spans="1:1" ht="13.15">
      <c r="A933" s="59"/>
    </row>
    <row r="934" spans="1:1" ht="13.15">
      <c r="A934" s="59"/>
    </row>
    <row r="935" spans="1:1" ht="13.15">
      <c r="A935" s="59"/>
    </row>
    <row r="936" spans="1:1" ht="13.15">
      <c r="A936" s="59"/>
    </row>
    <row r="937" spans="1:1" ht="13.15">
      <c r="A937" s="59"/>
    </row>
    <row r="938" spans="1:1" ht="13.15">
      <c r="A938" s="59"/>
    </row>
    <row r="939" spans="1:1" ht="13.15">
      <c r="A939" s="59"/>
    </row>
    <row r="940" spans="1:1" ht="13.15">
      <c r="A940" s="59"/>
    </row>
    <row r="941" spans="1:1" ht="13.15">
      <c r="A941" s="59"/>
    </row>
    <row r="942" spans="1:1" ht="13.15">
      <c r="A942" s="59"/>
    </row>
    <row r="943" spans="1:1" ht="13.15">
      <c r="A943" s="59"/>
    </row>
    <row r="944" spans="1:1" ht="13.15">
      <c r="A944" s="59"/>
    </row>
    <row r="945" spans="1:1" ht="13.15">
      <c r="A945" s="59"/>
    </row>
    <row r="946" spans="1:1" ht="13.15">
      <c r="A946" s="59"/>
    </row>
    <row r="947" spans="1:1" ht="13.15">
      <c r="A947" s="59"/>
    </row>
    <row r="948" spans="1:1" ht="13.15">
      <c r="A948" s="59"/>
    </row>
    <row r="949" spans="1:1" ht="13.15">
      <c r="A949" s="59"/>
    </row>
    <row r="950" spans="1:1" ht="13.15">
      <c r="A950" s="59"/>
    </row>
    <row r="951" spans="1:1" ht="13.15">
      <c r="A951" s="59"/>
    </row>
    <row r="952" spans="1:1" ht="13.15">
      <c r="A952" s="59"/>
    </row>
    <row r="953" spans="1:1" ht="13.15">
      <c r="A953" s="59"/>
    </row>
    <row r="954" spans="1:1" ht="13.15">
      <c r="A954" s="59"/>
    </row>
    <row r="955" spans="1:1" ht="13.15">
      <c r="A955" s="59"/>
    </row>
    <row r="956" spans="1:1" ht="13.15">
      <c r="A956" s="59"/>
    </row>
    <row r="957" spans="1:1" ht="13.15">
      <c r="A957" s="59"/>
    </row>
    <row r="958" spans="1:1" ht="13.15">
      <c r="A958" s="59"/>
    </row>
    <row r="959" spans="1:1" ht="13.15">
      <c r="A959" s="59"/>
    </row>
    <row r="960" spans="1:1" ht="13.15">
      <c r="A960" s="59"/>
    </row>
    <row r="961" spans="1:1" ht="13.15">
      <c r="A961" s="59"/>
    </row>
    <row r="962" spans="1:1" ht="13.15">
      <c r="A962" s="59"/>
    </row>
    <row r="963" spans="1:1" ht="13.15">
      <c r="A963" s="59"/>
    </row>
    <row r="964" spans="1:1" ht="13.15">
      <c r="A964" s="59"/>
    </row>
    <row r="965" spans="1:1" ht="13.15">
      <c r="A965" s="59"/>
    </row>
    <row r="966" spans="1:1" ht="13.15">
      <c r="A966" s="59"/>
    </row>
    <row r="967" spans="1:1" ht="13.15">
      <c r="A967" s="59"/>
    </row>
    <row r="968" spans="1:1" ht="13.15">
      <c r="A968" s="59"/>
    </row>
    <row r="969" spans="1:1" ht="13.15">
      <c r="A969" s="59"/>
    </row>
    <row r="970" spans="1:1" ht="13.15">
      <c r="A970" s="59"/>
    </row>
    <row r="971" spans="1:1" ht="13.15">
      <c r="A971" s="59"/>
    </row>
    <row r="972" spans="1:1" ht="13.15">
      <c r="A972" s="59"/>
    </row>
    <row r="973" spans="1:1" ht="13.15">
      <c r="A973" s="59"/>
    </row>
    <row r="974" spans="1:1" ht="13.15">
      <c r="A974" s="59"/>
    </row>
    <row r="975" spans="1:1" ht="13.15">
      <c r="A975" s="59"/>
    </row>
    <row r="976" spans="1:1" ht="13.15">
      <c r="A976" s="59"/>
    </row>
    <row r="977" spans="1:1" ht="13.15">
      <c r="A977" s="59"/>
    </row>
    <row r="978" spans="1:1" ht="13.15">
      <c r="A978" s="59"/>
    </row>
    <row r="979" spans="1:1" ht="13.15">
      <c r="A979" s="59"/>
    </row>
    <row r="980" spans="1:1" ht="13.15">
      <c r="A980" s="59"/>
    </row>
    <row r="981" spans="1:1" ht="13.15">
      <c r="A981" s="59"/>
    </row>
    <row r="982" spans="1:1" ht="13.15">
      <c r="A982" s="59"/>
    </row>
    <row r="983" spans="1:1" ht="13.15">
      <c r="A983" s="59"/>
    </row>
    <row r="984" spans="1:1" ht="13.15">
      <c r="A984" s="59"/>
    </row>
    <row r="985" spans="1:1" ht="13.15">
      <c r="A985" s="59"/>
    </row>
    <row r="986" spans="1:1" ht="13.15">
      <c r="A986" s="59"/>
    </row>
    <row r="987" spans="1:1" ht="13.15">
      <c r="A987" s="59"/>
    </row>
    <row r="988" spans="1:1" ht="13.15">
      <c r="A988" s="59"/>
    </row>
    <row r="989" spans="1:1" ht="13.15">
      <c r="A989" s="59"/>
    </row>
    <row r="990" spans="1:1" ht="13.15">
      <c r="A990" s="59"/>
    </row>
    <row r="991" spans="1:1" ht="13.15">
      <c r="A991" s="59"/>
    </row>
    <row r="992" spans="1:1" ht="13.15">
      <c r="A992" s="59"/>
    </row>
    <row r="993" spans="1:1" ht="13.15">
      <c r="A993" s="59"/>
    </row>
    <row r="994" spans="1:1" ht="13.15">
      <c r="A994" s="59"/>
    </row>
    <row r="995" spans="1:1" ht="13.15">
      <c r="A995" s="59"/>
    </row>
    <row r="996" spans="1:1" ht="13.15">
      <c r="A996" s="59"/>
    </row>
    <row r="997" spans="1:1" ht="13.15">
      <c r="A997" s="59"/>
    </row>
  </sheetData>
  <autoFilter ref="A1:N4" xr:uid="{00000000-0009-0000-0000-000005000000}"/>
  <mergeCells count="7">
    <mergeCell ref="M3:M4"/>
    <mergeCell ref="N3:N4"/>
    <mergeCell ref="H2:L2"/>
    <mergeCell ref="A3:A4"/>
    <mergeCell ref="B3:B4"/>
    <mergeCell ref="C3:C4"/>
    <mergeCell ref="E3:E4"/>
  </mergeCells>
  <hyperlinks>
    <hyperlink ref="C2" r:id="rId1" location="gid=310830663" xr:uid="{00000000-0004-0000-0500-000000000000}"/>
    <hyperlink ref="H2" r:id="rId2" location="heading=h.6kqv97tp6f4v" xr:uid="{00000000-0004-0000-0500-000001000000}"/>
    <hyperlink ref="M2" r:id="rId3" location="gid=2139057269" xr:uid="{00000000-0004-0000-0500-000002000000}"/>
    <hyperlink ref="N2" r:id="rId4" xr:uid="{00000000-0004-0000-0500-000003000000}"/>
  </hyperlinks>
  <pageMargins left="0.7" right="0.7" top="0.75" bottom="0.75" header="0.3" footer="0.3"/>
  <legacy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002"/>
  <sheetViews>
    <sheetView workbookViewId="0">
      <selection activeCell="A2" sqref="A2"/>
    </sheetView>
  </sheetViews>
  <sheetFormatPr defaultColWidth="12.7109375" defaultRowHeight="15.75" customHeight="1"/>
  <cols>
    <col min="1" max="1" width="14" customWidth="1"/>
    <col min="3" max="3" width="20.7109375" customWidth="1"/>
    <col min="4" max="4" width="17.7109375" customWidth="1"/>
    <col min="5" max="5" width="61.85546875" customWidth="1"/>
    <col min="6" max="6" width="14.5703125" customWidth="1"/>
    <col min="7" max="7" width="13.5703125" customWidth="1"/>
    <col min="8" max="8" width="14.7109375" customWidth="1"/>
    <col min="9" max="9" width="16.28515625" customWidth="1"/>
    <col min="10" max="10" width="16.7109375" customWidth="1"/>
    <col min="11" max="11" width="21.7109375" customWidth="1"/>
    <col min="12" max="12" width="19.7109375" customWidth="1"/>
    <col min="13" max="13" width="27.28515625" customWidth="1"/>
    <col min="14" max="14" width="5.42578125" customWidth="1"/>
  </cols>
  <sheetData>
    <row r="1" spans="1:14" ht="26.45">
      <c r="A1" s="63"/>
      <c r="B1" s="134" t="s">
        <v>634</v>
      </c>
      <c r="C1" s="134" t="s">
        <v>635</v>
      </c>
      <c r="D1" s="134" t="s">
        <v>636</v>
      </c>
      <c r="E1" s="38" t="s">
        <v>637</v>
      </c>
      <c r="F1" s="64" t="s">
        <v>638</v>
      </c>
      <c r="G1" s="64" t="s">
        <v>639</v>
      </c>
      <c r="H1" s="64" t="s">
        <v>640</v>
      </c>
      <c r="I1" s="64" t="s">
        <v>641</v>
      </c>
      <c r="J1" s="64" t="s">
        <v>642</v>
      </c>
      <c r="K1" s="64" t="s">
        <v>643</v>
      </c>
      <c r="L1" s="64" t="s">
        <v>644</v>
      </c>
      <c r="M1" s="64" t="s">
        <v>645</v>
      </c>
      <c r="N1" s="65"/>
    </row>
    <row r="2" spans="1:14" ht="16.149999999999999" customHeight="1">
      <c r="A2" s="66" t="s">
        <v>54</v>
      </c>
      <c r="B2" s="66"/>
      <c r="C2" s="66"/>
      <c r="D2" s="34" t="s">
        <v>646</v>
      </c>
      <c r="E2" s="34" t="s">
        <v>647</v>
      </c>
      <c r="F2" s="34"/>
      <c r="G2" s="34"/>
      <c r="H2" s="34"/>
      <c r="I2" s="34"/>
      <c r="J2" s="34"/>
      <c r="K2" s="34"/>
      <c r="L2" s="34" t="s">
        <v>648</v>
      </c>
      <c r="M2" s="34" t="s">
        <v>649</v>
      </c>
      <c r="N2" s="42"/>
    </row>
    <row r="3" spans="1:14" ht="26.45">
      <c r="A3" s="67"/>
      <c r="B3" s="67" t="str">
        <f>LEFT(D3,5)</f>
        <v>2.1.1</v>
      </c>
      <c r="C3" s="202" t="s">
        <v>271</v>
      </c>
      <c r="D3" s="67" t="s">
        <v>423</v>
      </c>
      <c r="E3" s="57" t="s">
        <v>424</v>
      </c>
      <c r="F3" s="186">
        <v>250000</v>
      </c>
      <c r="G3" s="186">
        <v>250000</v>
      </c>
      <c r="H3" s="186">
        <v>250000</v>
      </c>
      <c r="I3" s="186">
        <v>250000</v>
      </c>
      <c r="J3" s="186">
        <v>250000</v>
      </c>
      <c r="K3" s="158">
        <f>SUM(F3:J3)*1.125</f>
        <v>1406250</v>
      </c>
      <c r="L3" s="57" t="s">
        <v>650</v>
      </c>
      <c r="M3" s="57"/>
      <c r="N3" s="42"/>
    </row>
    <row r="4" spans="1:14" ht="39.6">
      <c r="A4" s="67"/>
      <c r="B4" s="67" t="str">
        <f t="shared" ref="B4:B26" si="0">LEFT(D4,5)</f>
        <v>2.1.1</v>
      </c>
      <c r="C4" s="202" t="s">
        <v>271</v>
      </c>
      <c r="D4" s="67" t="s">
        <v>430</v>
      </c>
      <c r="E4" s="57" t="s">
        <v>431</v>
      </c>
      <c r="F4" s="186">
        <v>250000</v>
      </c>
      <c r="G4" s="157">
        <v>300000</v>
      </c>
      <c r="H4" s="157">
        <v>200000</v>
      </c>
      <c r="I4" s="157">
        <v>200000</v>
      </c>
      <c r="J4" s="157">
        <v>0</v>
      </c>
      <c r="K4" s="158">
        <f t="shared" ref="K4:K26" si="1">SUM(F4:J4)*1.125</f>
        <v>1068750</v>
      </c>
      <c r="L4" s="57" t="s">
        <v>651</v>
      </c>
      <c r="M4" s="57"/>
      <c r="N4" s="24"/>
    </row>
    <row r="5" spans="1:14" ht="39.6">
      <c r="A5" s="67"/>
      <c r="B5" s="67" t="str">
        <f t="shared" si="0"/>
        <v>2.1.1</v>
      </c>
      <c r="C5" s="202" t="s">
        <v>271</v>
      </c>
      <c r="D5" s="67" t="s">
        <v>434</v>
      </c>
      <c r="E5" s="57" t="s">
        <v>652</v>
      </c>
      <c r="F5" s="157">
        <v>20000</v>
      </c>
      <c r="G5" s="157">
        <v>20000</v>
      </c>
      <c r="H5" s="157">
        <v>20000</v>
      </c>
      <c r="I5" s="157">
        <v>20000</v>
      </c>
      <c r="J5" s="157">
        <v>20000</v>
      </c>
      <c r="K5" s="158">
        <f t="shared" si="1"/>
        <v>112500</v>
      </c>
      <c r="L5" s="57" t="s">
        <v>651</v>
      </c>
      <c r="M5" s="57"/>
      <c r="N5" s="24"/>
    </row>
    <row r="6" spans="1:14" ht="34.15" customHeight="1">
      <c r="A6" s="67"/>
      <c r="B6" s="67" t="str">
        <f t="shared" si="0"/>
        <v>2.2.4</v>
      </c>
      <c r="C6" s="202" t="s">
        <v>325</v>
      </c>
      <c r="D6" s="67" t="s">
        <v>441</v>
      </c>
      <c r="E6" s="188" t="s">
        <v>442</v>
      </c>
      <c r="F6" s="189">
        <v>1000000</v>
      </c>
      <c r="G6" s="190">
        <v>1000000</v>
      </c>
      <c r="H6" s="190">
        <v>1000000</v>
      </c>
      <c r="I6" s="190">
        <v>1000000</v>
      </c>
      <c r="J6" s="190">
        <v>1000000</v>
      </c>
      <c r="K6" s="191">
        <f t="shared" si="1"/>
        <v>5625000</v>
      </c>
      <c r="L6" s="192"/>
      <c r="M6" s="67"/>
    </row>
    <row r="7" spans="1:14" ht="39.6">
      <c r="A7" s="67"/>
      <c r="B7" s="67" t="str">
        <f t="shared" si="0"/>
        <v>2.2.1</v>
      </c>
      <c r="C7" s="202" t="s">
        <v>282</v>
      </c>
      <c r="D7" s="67" t="s">
        <v>446</v>
      </c>
      <c r="E7" s="151" t="s">
        <v>447</v>
      </c>
      <c r="F7" s="157">
        <v>200000</v>
      </c>
      <c r="G7" s="157">
        <v>200000</v>
      </c>
      <c r="H7" s="157">
        <v>200000</v>
      </c>
      <c r="I7" s="157">
        <v>200000</v>
      </c>
      <c r="J7" s="157">
        <v>200000</v>
      </c>
      <c r="K7" s="158">
        <f t="shared" si="1"/>
        <v>1125000</v>
      </c>
      <c r="L7" s="67"/>
      <c r="M7" s="67"/>
    </row>
    <row r="8" spans="1:14" ht="39.6">
      <c r="A8" s="67"/>
      <c r="B8" s="67" t="str">
        <f t="shared" si="0"/>
        <v>2.2.1</v>
      </c>
      <c r="C8" s="202" t="s">
        <v>282</v>
      </c>
      <c r="D8" s="67" t="s">
        <v>450</v>
      </c>
      <c r="E8" s="151" t="s">
        <v>451</v>
      </c>
      <c r="F8" s="157">
        <v>40000</v>
      </c>
      <c r="G8" s="157">
        <v>40000</v>
      </c>
      <c r="H8" s="157">
        <v>40000</v>
      </c>
      <c r="I8" s="157">
        <v>40000</v>
      </c>
      <c r="J8" s="157">
        <v>40000</v>
      </c>
      <c r="K8" s="158">
        <f t="shared" si="1"/>
        <v>225000</v>
      </c>
      <c r="L8" s="67"/>
      <c r="M8" s="67"/>
    </row>
    <row r="9" spans="1:14" ht="26.45">
      <c r="A9" s="67"/>
      <c r="B9" s="67" t="str">
        <f t="shared" si="0"/>
        <v>2.2.2</v>
      </c>
      <c r="C9" s="202" t="s">
        <v>293</v>
      </c>
      <c r="D9" s="67" t="s">
        <v>653</v>
      </c>
      <c r="E9" s="93" t="s">
        <v>458</v>
      </c>
      <c r="F9" s="157">
        <v>50000</v>
      </c>
      <c r="G9" s="157">
        <v>50000</v>
      </c>
      <c r="H9" s="157">
        <v>50000</v>
      </c>
      <c r="I9" s="157">
        <v>50000</v>
      </c>
      <c r="J9" s="157">
        <v>50000</v>
      </c>
      <c r="K9" s="158">
        <f t="shared" si="1"/>
        <v>281250</v>
      </c>
      <c r="L9" s="67"/>
      <c r="M9" s="67"/>
    </row>
    <row r="10" spans="1:14" ht="26.45">
      <c r="A10" s="67"/>
      <c r="B10" s="67" t="str">
        <f t="shared" si="0"/>
        <v>2.2.2</v>
      </c>
      <c r="C10" s="202" t="s">
        <v>293</v>
      </c>
      <c r="D10" s="67" t="s">
        <v>462</v>
      </c>
      <c r="E10" s="151" t="s">
        <v>463</v>
      </c>
      <c r="F10" s="157">
        <v>50000</v>
      </c>
      <c r="G10" s="157">
        <v>50000</v>
      </c>
      <c r="H10" s="157">
        <v>50000</v>
      </c>
      <c r="I10" s="157">
        <v>50000</v>
      </c>
      <c r="J10" s="157">
        <v>50000</v>
      </c>
      <c r="K10" s="158">
        <f t="shared" si="1"/>
        <v>281250</v>
      </c>
      <c r="L10" s="67"/>
      <c r="M10" s="67"/>
    </row>
    <row r="11" spans="1:14" ht="46.9" customHeight="1">
      <c r="A11" s="67"/>
      <c r="B11" s="67" t="str">
        <f t="shared" si="0"/>
        <v>2.2.2</v>
      </c>
      <c r="C11" s="202" t="s">
        <v>293</v>
      </c>
      <c r="D11" s="67" t="s">
        <v>466</v>
      </c>
      <c r="E11" s="151" t="s">
        <v>467</v>
      </c>
      <c r="F11" s="157">
        <v>50000</v>
      </c>
      <c r="G11" s="157">
        <v>50000</v>
      </c>
      <c r="H11" s="157">
        <v>50000</v>
      </c>
      <c r="I11" s="157">
        <v>50000</v>
      </c>
      <c r="J11" s="157">
        <v>50000</v>
      </c>
      <c r="K11" s="158">
        <f t="shared" si="1"/>
        <v>281250</v>
      </c>
      <c r="L11" s="67"/>
      <c r="M11" s="67"/>
    </row>
    <row r="12" spans="1:14" ht="39.6">
      <c r="A12" s="67"/>
      <c r="B12" s="67" t="str">
        <f t="shared" si="0"/>
        <v>2.2.3</v>
      </c>
      <c r="C12" s="202" t="s">
        <v>309</v>
      </c>
      <c r="D12" s="67" t="s">
        <v>471</v>
      </c>
      <c r="E12" s="151" t="s">
        <v>472</v>
      </c>
      <c r="F12" s="159">
        <v>300000</v>
      </c>
      <c r="G12" s="159">
        <v>300000</v>
      </c>
      <c r="H12" s="159">
        <v>0</v>
      </c>
      <c r="I12" s="159">
        <v>0</v>
      </c>
      <c r="J12" s="159">
        <v>0</v>
      </c>
      <c r="K12" s="158">
        <f t="shared" si="1"/>
        <v>675000</v>
      </c>
      <c r="L12" s="67"/>
      <c r="M12" s="67"/>
    </row>
    <row r="13" spans="1:14" ht="39.6">
      <c r="A13" s="67"/>
      <c r="B13" s="67" t="str">
        <f t="shared" si="0"/>
        <v>2.2.3</v>
      </c>
      <c r="C13" s="202" t="s">
        <v>309</v>
      </c>
      <c r="D13" s="67" t="s">
        <v>478</v>
      </c>
      <c r="E13" s="151" t="s">
        <v>479</v>
      </c>
      <c r="F13" s="159">
        <v>150000</v>
      </c>
      <c r="G13" s="159">
        <v>150000</v>
      </c>
      <c r="H13" s="159">
        <v>0</v>
      </c>
      <c r="I13" s="159">
        <v>0</v>
      </c>
      <c r="J13" s="159">
        <v>0</v>
      </c>
      <c r="K13" s="158">
        <f t="shared" si="1"/>
        <v>337500</v>
      </c>
      <c r="L13" s="67"/>
      <c r="M13" s="67"/>
    </row>
    <row r="14" spans="1:14" ht="26.45">
      <c r="A14" s="67"/>
      <c r="B14" s="67" t="str">
        <f t="shared" si="0"/>
        <v>4.1.1</v>
      </c>
      <c r="C14" s="202" t="s">
        <v>340</v>
      </c>
      <c r="D14" s="67" t="s">
        <v>482</v>
      </c>
      <c r="E14" s="151" t="s">
        <v>483</v>
      </c>
      <c r="F14" s="159">
        <v>0</v>
      </c>
      <c r="G14" s="159">
        <v>0</v>
      </c>
      <c r="H14" s="159">
        <v>0</v>
      </c>
      <c r="I14" s="159">
        <v>0</v>
      </c>
      <c r="J14" s="159">
        <v>0</v>
      </c>
      <c r="K14" s="158">
        <f t="shared" si="1"/>
        <v>0</v>
      </c>
      <c r="L14" s="67"/>
      <c r="M14" s="67"/>
    </row>
    <row r="15" spans="1:14" ht="52.9">
      <c r="A15" s="67"/>
      <c r="B15" s="67" t="str">
        <f t="shared" si="0"/>
        <v>4.1.1</v>
      </c>
      <c r="C15" s="202" t="s">
        <v>340</v>
      </c>
      <c r="D15" s="67" t="s">
        <v>495</v>
      </c>
      <c r="E15" s="151" t="s">
        <v>496</v>
      </c>
      <c r="F15" s="159">
        <v>50000</v>
      </c>
      <c r="G15" s="159">
        <v>50000</v>
      </c>
      <c r="H15" s="159">
        <v>50000</v>
      </c>
      <c r="I15" s="159">
        <v>50000</v>
      </c>
      <c r="J15" s="159">
        <v>50000</v>
      </c>
      <c r="K15" s="158">
        <f t="shared" si="1"/>
        <v>281250</v>
      </c>
      <c r="L15" s="67"/>
      <c r="M15" s="67"/>
    </row>
    <row r="16" spans="1:14" ht="26.45">
      <c r="A16" s="67"/>
      <c r="B16" s="67" t="str">
        <f t="shared" si="0"/>
        <v>4.1.1</v>
      </c>
      <c r="C16" s="202" t="s">
        <v>340</v>
      </c>
      <c r="D16" s="67" t="s">
        <v>504</v>
      </c>
      <c r="E16" s="151" t="s">
        <v>505</v>
      </c>
      <c r="F16" s="159">
        <v>20000</v>
      </c>
      <c r="G16" s="159">
        <v>20000</v>
      </c>
      <c r="H16" s="159">
        <v>20000</v>
      </c>
      <c r="I16" s="159">
        <v>20000</v>
      </c>
      <c r="J16" s="159">
        <v>20000</v>
      </c>
      <c r="K16" s="158">
        <f t="shared" si="1"/>
        <v>112500</v>
      </c>
      <c r="L16" s="67"/>
      <c r="M16" s="67"/>
    </row>
    <row r="17" spans="1:13" ht="39.6">
      <c r="A17" s="67"/>
      <c r="B17" s="67" t="str">
        <f t="shared" si="0"/>
        <v>4.1.2</v>
      </c>
      <c r="C17" s="202" t="s">
        <v>362</v>
      </c>
      <c r="D17" s="67" t="s">
        <v>515</v>
      </c>
      <c r="E17" s="151" t="s">
        <v>516</v>
      </c>
      <c r="F17" s="159">
        <v>0</v>
      </c>
      <c r="G17" s="159">
        <v>20000</v>
      </c>
      <c r="H17" s="159">
        <v>0</v>
      </c>
      <c r="I17" s="159">
        <v>0</v>
      </c>
      <c r="J17" s="159">
        <v>20000</v>
      </c>
      <c r="K17" s="158">
        <f t="shared" si="1"/>
        <v>45000</v>
      </c>
      <c r="L17" s="67"/>
      <c r="M17" s="67"/>
    </row>
    <row r="18" spans="1:13" ht="26.45">
      <c r="A18" s="67"/>
      <c r="B18" s="67" t="str">
        <f t="shared" si="0"/>
        <v>4.1.3</v>
      </c>
      <c r="C18" s="202" t="s">
        <v>377</v>
      </c>
      <c r="D18" s="67" t="s">
        <v>518</v>
      </c>
      <c r="E18" s="151" t="s">
        <v>519</v>
      </c>
      <c r="F18" s="159">
        <v>30000</v>
      </c>
      <c r="G18" s="159">
        <v>30000</v>
      </c>
      <c r="H18" s="159">
        <v>30000</v>
      </c>
      <c r="I18" s="159">
        <v>30000</v>
      </c>
      <c r="J18" s="159">
        <v>30000</v>
      </c>
      <c r="K18" s="158">
        <f t="shared" si="1"/>
        <v>168750</v>
      </c>
      <c r="L18" s="67"/>
      <c r="M18" s="67"/>
    </row>
    <row r="19" spans="1:13" ht="52.9">
      <c r="A19" s="67"/>
      <c r="B19" s="67" t="str">
        <f t="shared" si="0"/>
        <v>4.1.4</v>
      </c>
      <c r="C19" s="202" t="s">
        <v>385</v>
      </c>
      <c r="D19" s="67" t="s">
        <v>521</v>
      </c>
      <c r="E19" s="151" t="s">
        <v>522</v>
      </c>
      <c r="F19" s="159">
        <v>800000</v>
      </c>
      <c r="G19" s="159">
        <v>800000</v>
      </c>
      <c r="H19" s="159">
        <v>800000</v>
      </c>
      <c r="I19" s="159">
        <v>800000</v>
      </c>
      <c r="J19" s="159">
        <v>800000</v>
      </c>
      <c r="K19" s="158">
        <f t="shared" si="1"/>
        <v>4500000</v>
      </c>
      <c r="L19" s="67"/>
      <c r="M19" s="67"/>
    </row>
    <row r="20" spans="1:13" ht="26.45">
      <c r="A20" s="67"/>
      <c r="B20" s="67" t="str">
        <f t="shared" si="0"/>
        <v>4.1.4</v>
      </c>
      <c r="C20" s="202" t="s">
        <v>385</v>
      </c>
      <c r="D20" s="67" t="s">
        <v>529</v>
      </c>
      <c r="E20" s="151" t="s">
        <v>530</v>
      </c>
      <c r="F20" s="159">
        <v>400000</v>
      </c>
      <c r="G20" s="159">
        <v>400000</v>
      </c>
      <c r="H20" s="159">
        <v>400000</v>
      </c>
      <c r="I20" s="159">
        <v>400000</v>
      </c>
      <c r="J20" s="159">
        <v>400000</v>
      </c>
      <c r="K20" s="158">
        <f t="shared" si="1"/>
        <v>2250000</v>
      </c>
      <c r="L20" s="67"/>
      <c r="M20" s="67"/>
    </row>
    <row r="21" spans="1:13" ht="39.6">
      <c r="A21" s="67"/>
      <c r="B21" s="67" t="str">
        <f t="shared" si="0"/>
        <v>4.1.4</v>
      </c>
      <c r="C21" s="202" t="s">
        <v>385</v>
      </c>
      <c r="D21" s="67" t="s">
        <v>536</v>
      </c>
      <c r="E21" s="151" t="s">
        <v>537</v>
      </c>
      <c r="F21" s="159">
        <v>200000</v>
      </c>
      <c r="G21" s="159">
        <v>200000</v>
      </c>
      <c r="H21" s="159">
        <v>200000</v>
      </c>
      <c r="I21" s="159">
        <v>200000</v>
      </c>
      <c r="J21" s="159">
        <v>200000</v>
      </c>
      <c r="K21" s="158">
        <f t="shared" si="1"/>
        <v>1125000</v>
      </c>
      <c r="L21" s="67"/>
      <c r="M21" s="67"/>
    </row>
    <row r="22" spans="1:13" ht="26.45">
      <c r="A22" s="67"/>
      <c r="B22" s="67" t="str">
        <f t="shared" si="0"/>
        <v>4.1.4</v>
      </c>
      <c r="C22" s="202" t="s">
        <v>385</v>
      </c>
      <c r="D22" s="67" t="s">
        <v>542</v>
      </c>
      <c r="E22" s="151" t="s">
        <v>543</v>
      </c>
      <c r="F22" s="159">
        <v>100000</v>
      </c>
      <c r="G22" s="159">
        <v>100000</v>
      </c>
      <c r="H22" s="159">
        <v>100000</v>
      </c>
      <c r="I22" s="159">
        <v>100000</v>
      </c>
      <c r="J22" s="159">
        <v>100000</v>
      </c>
      <c r="K22" s="158">
        <f t="shared" si="1"/>
        <v>562500</v>
      </c>
      <c r="L22" s="67"/>
      <c r="M22" s="67"/>
    </row>
    <row r="23" spans="1:13" ht="26.45">
      <c r="A23" s="67"/>
      <c r="B23" s="67" t="str">
        <f t="shared" si="0"/>
        <v>4.1.4</v>
      </c>
      <c r="C23" s="202" t="s">
        <v>385</v>
      </c>
      <c r="D23" s="67" t="s">
        <v>549</v>
      </c>
      <c r="E23" s="151" t="s">
        <v>550</v>
      </c>
      <c r="F23" s="159">
        <v>100000</v>
      </c>
      <c r="G23" s="159">
        <v>100000</v>
      </c>
      <c r="H23" s="159">
        <v>100000</v>
      </c>
      <c r="I23" s="159">
        <v>100000</v>
      </c>
      <c r="J23" s="159">
        <v>100000</v>
      </c>
      <c r="K23" s="158">
        <f t="shared" si="1"/>
        <v>562500</v>
      </c>
      <c r="L23" s="67"/>
      <c r="M23" s="67"/>
    </row>
    <row r="24" spans="1:13" ht="39.6">
      <c r="A24" s="67"/>
      <c r="B24" s="67" t="str">
        <f t="shared" si="0"/>
        <v>4.1.5</v>
      </c>
      <c r="C24" s="202" t="s">
        <v>399</v>
      </c>
      <c r="D24" s="67" t="s">
        <v>558</v>
      </c>
      <c r="E24" s="151" t="s">
        <v>559</v>
      </c>
      <c r="F24" s="159">
        <v>40000</v>
      </c>
      <c r="G24" s="159">
        <v>40000</v>
      </c>
      <c r="H24" s="159">
        <v>40000</v>
      </c>
      <c r="I24" s="159">
        <v>40000</v>
      </c>
      <c r="J24" s="159">
        <v>40000</v>
      </c>
      <c r="K24" s="158">
        <f t="shared" si="1"/>
        <v>225000</v>
      </c>
      <c r="L24" s="67"/>
      <c r="M24" s="67"/>
    </row>
    <row r="25" spans="1:13" ht="26.45">
      <c r="A25" s="67"/>
      <c r="B25" s="67" t="str">
        <f t="shared" si="0"/>
        <v>4.1.5</v>
      </c>
      <c r="C25" s="202" t="s">
        <v>399</v>
      </c>
      <c r="D25" s="67" t="s">
        <v>565</v>
      </c>
      <c r="E25" s="151" t="s">
        <v>654</v>
      </c>
      <c r="F25" s="159">
        <v>1434000</v>
      </c>
      <c r="G25" s="159">
        <v>1200000</v>
      </c>
      <c r="H25" s="159">
        <v>1770000</v>
      </c>
      <c r="I25" s="159">
        <v>1770000</v>
      </c>
      <c r="J25" s="159">
        <v>1757000</v>
      </c>
      <c r="K25" s="158">
        <f t="shared" si="1"/>
        <v>8922375</v>
      </c>
      <c r="L25" s="67"/>
      <c r="M25" s="67"/>
    </row>
    <row r="26" spans="1:13" ht="39.6">
      <c r="A26" s="67"/>
      <c r="B26" s="67" t="str">
        <f t="shared" si="0"/>
        <v>4.1.6</v>
      </c>
      <c r="C26" s="202" t="s">
        <v>414</v>
      </c>
      <c r="D26" s="67" t="s">
        <v>577</v>
      </c>
      <c r="E26" s="151" t="s">
        <v>578</v>
      </c>
      <c r="F26" s="159">
        <v>50000</v>
      </c>
      <c r="G26" s="159">
        <v>52000</v>
      </c>
      <c r="H26" s="159">
        <v>51000</v>
      </c>
      <c r="I26" s="159">
        <v>51000</v>
      </c>
      <c r="J26" s="159">
        <v>50000</v>
      </c>
      <c r="K26" s="158">
        <f t="shared" si="1"/>
        <v>285750</v>
      </c>
      <c r="L26" s="67"/>
      <c r="M26" s="67"/>
    </row>
    <row r="27" spans="1:13" s="74" customFormat="1" ht="15.6">
      <c r="A27" s="160" t="s">
        <v>655</v>
      </c>
      <c r="B27" s="160"/>
      <c r="C27" s="160"/>
      <c r="D27" s="75"/>
      <c r="E27" s="151"/>
      <c r="F27" s="203">
        <f>SUM(F3:F26)*1.125</f>
        <v>6282000</v>
      </c>
      <c r="G27" s="203">
        <f>SUM(G3:G26)*1.125</f>
        <v>6099750</v>
      </c>
      <c r="H27" s="203">
        <f>SUM(H3:H26)*1.125</f>
        <v>6098625</v>
      </c>
      <c r="I27" s="203">
        <f>SUM(I3:I26)*1.125</f>
        <v>6098625</v>
      </c>
      <c r="J27" s="203">
        <f>SUM(J3:J26)*1.125</f>
        <v>5880375</v>
      </c>
      <c r="K27" s="158">
        <f>SUM(K3:K26)</f>
        <v>30459375</v>
      </c>
      <c r="L27" s="75"/>
      <c r="M27" s="75"/>
    </row>
    <row r="28" spans="1:13" ht="13.15">
      <c r="E28" s="46"/>
      <c r="F28" s="46"/>
      <c r="G28" s="46"/>
      <c r="H28" s="46"/>
      <c r="I28" s="46"/>
      <c r="J28" s="46"/>
    </row>
    <row r="29" spans="1:13" ht="13.15">
      <c r="E29" s="46"/>
      <c r="F29" s="46"/>
      <c r="G29" s="46"/>
      <c r="H29" s="46"/>
      <c r="I29" s="46"/>
      <c r="J29" s="46"/>
    </row>
    <row r="30" spans="1:13" ht="13.15">
      <c r="E30" s="46"/>
      <c r="F30" s="187"/>
      <c r="G30" s="187"/>
      <c r="H30" s="187"/>
      <c r="I30" s="187"/>
      <c r="J30" s="187"/>
      <c r="K30" s="187"/>
    </row>
    <row r="31" spans="1:13" ht="13.15">
      <c r="E31" s="46"/>
      <c r="F31" s="46"/>
      <c r="G31" s="46"/>
      <c r="H31" s="46"/>
      <c r="I31" s="46"/>
      <c r="J31" s="46"/>
    </row>
    <row r="32" spans="1:13" ht="13.15">
      <c r="E32" s="46"/>
      <c r="F32" s="46"/>
      <c r="G32" s="46"/>
      <c r="H32" s="46"/>
      <c r="I32" s="46"/>
      <c r="J32" s="46"/>
    </row>
    <row r="33" spans="5:10" ht="13.15">
      <c r="E33" s="46"/>
      <c r="F33" s="46"/>
      <c r="G33" s="46"/>
      <c r="H33" s="46"/>
      <c r="I33" s="46"/>
      <c r="J33" s="46"/>
    </row>
    <row r="34" spans="5:10" ht="13.15">
      <c r="E34" s="46"/>
      <c r="F34" s="46"/>
      <c r="G34" s="46"/>
      <c r="H34" s="46"/>
      <c r="I34" s="46"/>
      <c r="J34" s="46"/>
    </row>
    <row r="35" spans="5:10" ht="13.15">
      <c r="E35" s="46"/>
      <c r="F35" s="46"/>
      <c r="G35" s="46"/>
      <c r="H35" s="46"/>
      <c r="I35" s="46"/>
      <c r="J35" s="46"/>
    </row>
    <row r="36" spans="5:10" ht="13.15">
      <c r="E36" s="46"/>
      <c r="F36" s="46"/>
      <c r="G36" s="46"/>
      <c r="H36" s="46"/>
      <c r="I36" s="46"/>
      <c r="J36" s="46"/>
    </row>
    <row r="37" spans="5:10" ht="13.15">
      <c r="E37" s="46"/>
      <c r="F37" s="46"/>
      <c r="G37" s="46"/>
      <c r="H37" s="46"/>
      <c r="I37" s="46"/>
      <c r="J37" s="46"/>
    </row>
    <row r="38" spans="5:10" ht="13.15">
      <c r="E38" s="46"/>
      <c r="F38" s="46"/>
      <c r="G38" s="46"/>
      <c r="H38" s="46"/>
      <c r="I38" s="46"/>
      <c r="J38" s="46"/>
    </row>
    <row r="39" spans="5:10" ht="13.15">
      <c r="E39" s="46"/>
      <c r="F39" s="46"/>
      <c r="G39" s="46"/>
      <c r="H39" s="46"/>
      <c r="I39" s="46"/>
      <c r="J39" s="46"/>
    </row>
    <row r="40" spans="5:10" ht="13.15">
      <c r="E40" s="46"/>
      <c r="F40" s="46"/>
      <c r="G40" s="46"/>
      <c r="H40" s="46"/>
      <c r="I40" s="46"/>
      <c r="J40" s="46"/>
    </row>
    <row r="41" spans="5:10" ht="13.15">
      <c r="E41" s="46"/>
      <c r="F41" s="46"/>
      <c r="G41" s="46"/>
      <c r="H41" s="46"/>
      <c r="I41" s="46"/>
      <c r="J41" s="46"/>
    </row>
    <row r="42" spans="5:10" ht="13.15">
      <c r="E42" s="46"/>
      <c r="F42" s="46"/>
      <c r="G42" s="46"/>
      <c r="H42" s="46"/>
      <c r="I42" s="46"/>
      <c r="J42" s="46"/>
    </row>
    <row r="43" spans="5:10" ht="13.15">
      <c r="E43" s="46"/>
      <c r="F43" s="46"/>
      <c r="G43" s="46"/>
      <c r="H43" s="46"/>
      <c r="I43" s="46"/>
      <c r="J43" s="46"/>
    </row>
    <row r="44" spans="5:10" ht="13.15">
      <c r="E44" s="46"/>
      <c r="F44" s="46"/>
      <c r="G44" s="46"/>
      <c r="H44" s="46"/>
      <c r="I44" s="46"/>
      <c r="J44" s="46"/>
    </row>
    <row r="45" spans="5:10" ht="13.15">
      <c r="E45" s="46"/>
      <c r="F45" s="46"/>
      <c r="G45" s="46"/>
      <c r="H45" s="46"/>
      <c r="I45" s="46"/>
      <c r="J45" s="46"/>
    </row>
    <row r="46" spans="5:10" ht="13.15">
      <c r="E46" s="46"/>
      <c r="F46" s="46"/>
      <c r="G46" s="46"/>
      <c r="H46" s="46"/>
      <c r="I46" s="46"/>
      <c r="J46" s="46"/>
    </row>
    <row r="47" spans="5:10" ht="13.15">
      <c r="E47" s="46"/>
      <c r="F47" s="46"/>
      <c r="G47" s="46"/>
      <c r="H47" s="46"/>
      <c r="I47" s="46"/>
      <c r="J47" s="46"/>
    </row>
    <row r="48" spans="5:10" ht="13.15">
      <c r="E48" s="46"/>
      <c r="F48" s="46"/>
      <c r="G48" s="46"/>
      <c r="H48" s="46"/>
      <c r="I48" s="46"/>
      <c r="J48" s="46"/>
    </row>
    <row r="49" spans="5:10" ht="13.15">
      <c r="E49" s="46"/>
      <c r="F49" s="46"/>
      <c r="G49" s="46"/>
      <c r="H49" s="46"/>
      <c r="I49" s="46"/>
      <c r="J49" s="46"/>
    </row>
    <row r="50" spans="5:10" ht="13.15">
      <c r="E50" s="46"/>
      <c r="F50" s="46"/>
      <c r="G50" s="46"/>
      <c r="H50" s="46"/>
      <c r="I50" s="46"/>
      <c r="J50" s="46"/>
    </row>
    <row r="51" spans="5:10" ht="13.15">
      <c r="E51" s="46"/>
      <c r="F51" s="46"/>
      <c r="G51" s="46"/>
      <c r="H51" s="46"/>
      <c r="I51" s="46"/>
      <c r="J51" s="46"/>
    </row>
    <row r="52" spans="5:10" ht="13.15">
      <c r="E52" s="46"/>
      <c r="F52" s="46"/>
      <c r="G52" s="46"/>
      <c r="H52" s="46"/>
      <c r="I52" s="46"/>
      <c r="J52" s="46"/>
    </row>
    <row r="53" spans="5:10" ht="13.15">
      <c r="E53" s="46"/>
      <c r="F53" s="46"/>
      <c r="G53" s="46"/>
      <c r="H53" s="46"/>
      <c r="I53" s="46"/>
      <c r="J53" s="46"/>
    </row>
    <row r="54" spans="5:10" ht="13.15">
      <c r="E54" s="46"/>
      <c r="F54" s="46"/>
      <c r="G54" s="46"/>
      <c r="H54" s="46"/>
      <c r="I54" s="46"/>
      <c r="J54" s="46"/>
    </row>
    <row r="55" spans="5:10" ht="13.15">
      <c r="E55" s="46"/>
      <c r="F55" s="46"/>
      <c r="G55" s="46"/>
      <c r="H55" s="46"/>
      <c r="I55" s="46"/>
      <c r="J55" s="46"/>
    </row>
    <row r="56" spans="5:10" ht="13.15">
      <c r="E56" s="46"/>
      <c r="F56" s="46"/>
      <c r="G56" s="46"/>
      <c r="H56" s="46"/>
      <c r="I56" s="46"/>
      <c r="J56" s="46"/>
    </row>
    <row r="57" spans="5:10" ht="13.15">
      <c r="E57" s="46"/>
      <c r="F57" s="46"/>
      <c r="G57" s="46"/>
      <c r="H57" s="46"/>
      <c r="I57" s="46"/>
      <c r="J57" s="46"/>
    </row>
    <row r="58" spans="5:10" ht="13.15">
      <c r="E58" s="46"/>
      <c r="F58" s="46"/>
      <c r="G58" s="46"/>
      <c r="H58" s="46"/>
      <c r="I58" s="46"/>
      <c r="J58" s="46"/>
    </row>
    <row r="59" spans="5:10" ht="13.15">
      <c r="E59" s="46"/>
      <c r="F59" s="46"/>
      <c r="G59" s="46"/>
      <c r="H59" s="46"/>
      <c r="I59" s="46"/>
      <c r="J59" s="46"/>
    </row>
    <row r="60" spans="5:10" ht="13.15">
      <c r="E60" s="46"/>
      <c r="F60" s="46"/>
      <c r="G60" s="46"/>
      <c r="H60" s="46"/>
      <c r="I60" s="46"/>
      <c r="J60" s="46"/>
    </row>
    <row r="61" spans="5:10" ht="13.15">
      <c r="E61" s="46"/>
      <c r="F61" s="46"/>
      <c r="G61" s="46"/>
      <c r="H61" s="46"/>
      <c r="I61" s="46"/>
      <c r="J61" s="46"/>
    </row>
    <row r="62" spans="5:10" ht="13.15">
      <c r="E62" s="46"/>
      <c r="F62" s="46"/>
      <c r="G62" s="46"/>
      <c r="H62" s="46"/>
      <c r="I62" s="46"/>
      <c r="J62" s="46"/>
    </row>
    <row r="63" spans="5:10" ht="13.15">
      <c r="E63" s="46"/>
      <c r="F63" s="46"/>
      <c r="G63" s="46"/>
      <c r="H63" s="46"/>
      <c r="I63" s="46"/>
      <c r="J63" s="46"/>
    </row>
    <row r="64" spans="5:10" ht="13.15">
      <c r="E64" s="46"/>
      <c r="F64" s="46"/>
      <c r="G64" s="46"/>
      <c r="H64" s="46"/>
      <c r="I64" s="46"/>
      <c r="J64" s="46"/>
    </row>
    <row r="65" spans="5:10" ht="13.15">
      <c r="E65" s="46"/>
      <c r="F65" s="46"/>
      <c r="G65" s="46"/>
      <c r="H65" s="46"/>
      <c r="I65" s="46"/>
      <c r="J65" s="46"/>
    </row>
    <row r="66" spans="5:10" ht="13.15">
      <c r="E66" s="46"/>
      <c r="F66" s="46"/>
      <c r="G66" s="46"/>
      <c r="H66" s="46"/>
      <c r="I66" s="46"/>
      <c r="J66" s="46"/>
    </row>
    <row r="67" spans="5:10" ht="13.15">
      <c r="E67" s="46"/>
      <c r="F67" s="46"/>
      <c r="G67" s="46"/>
      <c r="H67" s="46"/>
      <c r="I67" s="46"/>
      <c r="J67" s="46"/>
    </row>
    <row r="68" spans="5:10" ht="13.15">
      <c r="E68" s="46"/>
      <c r="F68" s="46"/>
      <c r="G68" s="46"/>
      <c r="H68" s="46"/>
      <c r="I68" s="46"/>
      <c r="J68" s="46"/>
    </row>
    <row r="69" spans="5:10" ht="13.15">
      <c r="E69" s="46"/>
      <c r="F69" s="46"/>
      <c r="G69" s="46"/>
      <c r="H69" s="46"/>
      <c r="I69" s="46"/>
      <c r="J69" s="46"/>
    </row>
    <row r="70" spans="5:10" ht="13.15">
      <c r="E70" s="46"/>
      <c r="F70" s="46"/>
      <c r="G70" s="46"/>
      <c r="H70" s="46"/>
      <c r="I70" s="46"/>
      <c r="J70" s="46"/>
    </row>
    <row r="71" spans="5:10" ht="13.15">
      <c r="E71" s="46"/>
      <c r="F71" s="46"/>
      <c r="G71" s="46"/>
      <c r="H71" s="46"/>
      <c r="I71" s="46"/>
      <c r="J71" s="46"/>
    </row>
    <row r="72" spans="5:10" ht="13.15">
      <c r="E72" s="46"/>
      <c r="F72" s="46"/>
      <c r="G72" s="46"/>
      <c r="H72" s="46"/>
      <c r="I72" s="46"/>
      <c r="J72" s="46"/>
    </row>
    <row r="73" spans="5:10" ht="13.15">
      <c r="E73" s="46"/>
      <c r="F73" s="46"/>
      <c r="G73" s="46"/>
      <c r="H73" s="46"/>
      <c r="I73" s="46"/>
      <c r="J73" s="46"/>
    </row>
    <row r="74" spans="5:10" ht="13.15">
      <c r="E74" s="46"/>
      <c r="F74" s="46"/>
      <c r="G74" s="46"/>
      <c r="H74" s="46"/>
      <c r="I74" s="46"/>
      <c r="J74" s="46"/>
    </row>
    <row r="75" spans="5:10" ht="13.15">
      <c r="E75" s="46"/>
      <c r="F75" s="46"/>
      <c r="G75" s="46"/>
      <c r="H75" s="46"/>
      <c r="I75" s="46"/>
      <c r="J75" s="46"/>
    </row>
    <row r="76" spans="5:10" ht="13.15">
      <c r="E76" s="46"/>
      <c r="F76" s="46"/>
      <c r="G76" s="46"/>
      <c r="H76" s="46"/>
      <c r="I76" s="46"/>
      <c r="J76" s="46"/>
    </row>
    <row r="77" spans="5:10" ht="13.15">
      <c r="E77" s="46"/>
      <c r="F77" s="46"/>
      <c r="G77" s="46"/>
      <c r="H77" s="46"/>
      <c r="I77" s="46"/>
      <c r="J77" s="46"/>
    </row>
    <row r="78" spans="5:10" ht="13.15">
      <c r="E78" s="46"/>
      <c r="F78" s="46"/>
      <c r="G78" s="46"/>
      <c r="H78" s="46"/>
      <c r="I78" s="46"/>
      <c r="J78" s="46"/>
    </row>
    <row r="79" spans="5:10" ht="13.15">
      <c r="E79" s="46"/>
      <c r="F79" s="46"/>
      <c r="G79" s="46"/>
      <c r="H79" s="46"/>
      <c r="I79" s="46"/>
      <c r="J79" s="46"/>
    </row>
    <row r="80" spans="5:10" ht="13.15">
      <c r="E80" s="46"/>
      <c r="F80" s="46"/>
      <c r="G80" s="46"/>
      <c r="H80" s="46"/>
      <c r="I80" s="46"/>
      <c r="J80" s="46"/>
    </row>
    <row r="81" spans="5:10" ht="13.15">
      <c r="E81" s="46"/>
      <c r="F81" s="46"/>
      <c r="G81" s="46"/>
      <c r="H81" s="46"/>
      <c r="I81" s="46"/>
      <c r="J81" s="46"/>
    </row>
    <row r="82" spans="5:10" ht="13.15">
      <c r="E82" s="46"/>
      <c r="F82" s="46"/>
      <c r="G82" s="46"/>
      <c r="H82" s="46"/>
      <c r="I82" s="46"/>
      <c r="J82" s="46"/>
    </row>
    <row r="83" spans="5:10" ht="13.15">
      <c r="E83" s="46"/>
      <c r="F83" s="46"/>
      <c r="G83" s="46"/>
      <c r="H83" s="46"/>
      <c r="I83" s="46"/>
      <c r="J83" s="46"/>
    </row>
    <row r="84" spans="5:10" ht="13.15">
      <c r="E84" s="46"/>
      <c r="F84" s="46"/>
      <c r="G84" s="46"/>
      <c r="H84" s="46"/>
      <c r="I84" s="46"/>
      <c r="J84" s="46"/>
    </row>
    <row r="85" spans="5:10" ht="13.15">
      <c r="E85" s="46"/>
      <c r="F85" s="46"/>
      <c r="G85" s="46"/>
      <c r="H85" s="46"/>
      <c r="I85" s="46"/>
      <c r="J85" s="46"/>
    </row>
    <row r="86" spans="5:10" ht="13.15">
      <c r="E86" s="46"/>
      <c r="F86" s="46"/>
      <c r="G86" s="46"/>
      <c r="H86" s="46"/>
      <c r="I86" s="46"/>
      <c r="J86" s="46"/>
    </row>
    <row r="87" spans="5:10" ht="13.15">
      <c r="E87" s="46"/>
      <c r="F87" s="46"/>
      <c r="G87" s="46"/>
      <c r="H87" s="46"/>
      <c r="I87" s="46"/>
      <c r="J87" s="46"/>
    </row>
    <row r="88" spans="5:10" ht="13.15">
      <c r="E88" s="46"/>
      <c r="F88" s="46"/>
      <c r="G88" s="46"/>
      <c r="H88" s="46"/>
      <c r="I88" s="46"/>
      <c r="J88" s="46"/>
    </row>
    <row r="89" spans="5:10" ht="13.15">
      <c r="E89" s="46"/>
      <c r="F89" s="46"/>
      <c r="G89" s="46"/>
      <c r="H89" s="46"/>
      <c r="I89" s="46"/>
      <c r="J89" s="46"/>
    </row>
    <row r="90" spans="5:10" ht="13.15">
      <c r="E90" s="46"/>
      <c r="F90" s="46"/>
      <c r="G90" s="46"/>
      <c r="H90" s="46"/>
      <c r="I90" s="46"/>
      <c r="J90" s="46"/>
    </row>
    <row r="91" spans="5:10" ht="13.15">
      <c r="E91" s="46"/>
      <c r="F91" s="46"/>
      <c r="G91" s="46"/>
      <c r="H91" s="46"/>
      <c r="I91" s="46"/>
      <c r="J91" s="46"/>
    </row>
    <row r="92" spans="5:10" ht="13.15">
      <c r="E92" s="46"/>
      <c r="F92" s="46"/>
      <c r="G92" s="46"/>
      <c r="H92" s="46"/>
      <c r="I92" s="46"/>
      <c r="J92" s="46"/>
    </row>
    <row r="93" spans="5:10" ht="13.15">
      <c r="E93" s="46"/>
      <c r="F93" s="46"/>
      <c r="G93" s="46"/>
      <c r="H93" s="46"/>
      <c r="I93" s="46"/>
      <c r="J93" s="46"/>
    </row>
    <row r="94" spans="5:10" ht="13.15">
      <c r="E94" s="46"/>
      <c r="F94" s="46"/>
      <c r="G94" s="46"/>
      <c r="H94" s="46"/>
      <c r="I94" s="46"/>
      <c r="J94" s="46"/>
    </row>
    <row r="95" spans="5:10" ht="13.15">
      <c r="E95" s="46"/>
      <c r="F95" s="46"/>
      <c r="G95" s="46"/>
      <c r="H95" s="46"/>
      <c r="I95" s="46"/>
      <c r="J95" s="46"/>
    </row>
    <row r="96" spans="5:10" ht="13.15">
      <c r="E96" s="46"/>
      <c r="F96" s="46"/>
      <c r="G96" s="46"/>
      <c r="H96" s="46"/>
      <c r="I96" s="46"/>
      <c r="J96" s="46"/>
    </row>
    <row r="97" spans="5:10" ht="13.15">
      <c r="E97" s="46"/>
      <c r="F97" s="46"/>
      <c r="G97" s="46"/>
      <c r="H97" s="46"/>
      <c r="I97" s="46"/>
      <c r="J97" s="46"/>
    </row>
    <row r="98" spans="5:10" ht="13.15">
      <c r="E98" s="46"/>
      <c r="F98" s="46"/>
      <c r="G98" s="46"/>
      <c r="H98" s="46"/>
      <c r="I98" s="46"/>
      <c r="J98" s="46"/>
    </row>
    <row r="99" spans="5:10" ht="13.15">
      <c r="E99" s="46"/>
      <c r="F99" s="46"/>
      <c r="G99" s="46"/>
      <c r="H99" s="46"/>
      <c r="I99" s="46"/>
      <c r="J99" s="46"/>
    </row>
    <row r="100" spans="5:10" ht="13.15">
      <c r="E100" s="46"/>
      <c r="F100" s="46"/>
      <c r="G100" s="46"/>
      <c r="H100" s="46"/>
      <c r="I100" s="46"/>
      <c r="J100" s="46"/>
    </row>
    <row r="101" spans="5:10" ht="13.15">
      <c r="E101" s="46"/>
      <c r="F101" s="46"/>
      <c r="G101" s="46"/>
      <c r="H101" s="46"/>
      <c r="I101" s="46"/>
      <c r="J101" s="46"/>
    </row>
    <row r="102" spans="5:10" ht="13.15">
      <c r="E102" s="46"/>
      <c r="F102" s="46"/>
      <c r="G102" s="46"/>
      <c r="H102" s="46"/>
      <c r="I102" s="46"/>
      <c r="J102" s="46"/>
    </row>
    <row r="103" spans="5:10" ht="13.15">
      <c r="E103" s="46"/>
      <c r="F103" s="46"/>
      <c r="G103" s="46"/>
      <c r="H103" s="46"/>
      <c r="I103" s="46"/>
      <c r="J103" s="46"/>
    </row>
    <row r="104" spans="5:10" ht="13.15">
      <c r="E104" s="46"/>
      <c r="F104" s="46"/>
      <c r="G104" s="46"/>
      <c r="H104" s="46"/>
      <c r="I104" s="46"/>
      <c r="J104" s="46"/>
    </row>
    <row r="105" spans="5:10" ht="13.15">
      <c r="E105" s="46"/>
      <c r="F105" s="46"/>
      <c r="G105" s="46"/>
      <c r="H105" s="46"/>
      <c r="I105" s="46"/>
      <c r="J105" s="46"/>
    </row>
    <row r="106" spans="5:10" ht="13.15">
      <c r="E106" s="46"/>
      <c r="F106" s="46"/>
      <c r="G106" s="46"/>
      <c r="H106" s="46"/>
      <c r="I106" s="46"/>
      <c r="J106" s="46"/>
    </row>
    <row r="107" spans="5:10" ht="13.15">
      <c r="E107" s="46"/>
      <c r="F107" s="46"/>
      <c r="G107" s="46"/>
      <c r="H107" s="46"/>
      <c r="I107" s="46"/>
      <c r="J107" s="46"/>
    </row>
    <row r="108" spans="5:10" ht="13.15">
      <c r="E108" s="46"/>
      <c r="F108" s="46"/>
      <c r="G108" s="46"/>
      <c r="H108" s="46"/>
      <c r="I108" s="46"/>
      <c r="J108" s="46"/>
    </row>
    <row r="109" spans="5:10" ht="13.15">
      <c r="E109" s="46"/>
      <c r="F109" s="46"/>
      <c r="G109" s="46"/>
      <c r="H109" s="46"/>
      <c r="I109" s="46"/>
      <c r="J109" s="46"/>
    </row>
    <row r="110" spans="5:10" ht="13.15">
      <c r="E110" s="46"/>
      <c r="F110" s="46"/>
      <c r="G110" s="46"/>
      <c r="H110" s="46"/>
      <c r="I110" s="46"/>
      <c r="J110" s="46"/>
    </row>
    <row r="111" spans="5:10" ht="13.15">
      <c r="E111" s="46"/>
      <c r="F111" s="46"/>
      <c r="G111" s="46"/>
      <c r="H111" s="46"/>
      <c r="I111" s="46"/>
      <c r="J111" s="46"/>
    </row>
    <row r="112" spans="5:10" ht="13.15">
      <c r="E112" s="46"/>
      <c r="F112" s="46"/>
      <c r="G112" s="46"/>
      <c r="H112" s="46"/>
      <c r="I112" s="46"/>
      <c r="J112" s="46"/>
    </row>
    <row r="113" spans="5:10" ht="13.15">
      <c r="E113" s="46"/>
      <c r="F113" s="46"/>
      <c r="G113" s="46"/>
      <c r="H113" s="46"/>
      <c r="I113" s="46"/>
      <c r="J113" s="46"/>
    </row>
    <row r="114" spans="5:10" ht="13.15">
      <c r="E114" s="46"/>
      <c r="F114" s="46"/>
      <c r="G114" s="46"/>
      <c r="H114" s="46"/>
      <c r="I114" s="46"/>
      <c r="J114" s="46"/>
    </row>
    <row r="115" spans="5:10" ht="13.15">
      <c r="E115" s="46"/>
      <c r="F115" s="46"/>
      <c r="G115" s="46"/>
      <c r="H115" s="46"/>
      <c r="I115" s="46"/>
      <c r="J115" s="46"/>
    </row>
    <row r="116" spans="5:10" ht="13.15">
      <c r="E116" s="46"/>
      <c r="F116" s="46"/>
      <c r="G116" s="46"/>
      <c r="H116" s="46"/>
      <c r="I116" s="46"/>
      <c r="J116" s="46"/>
    </row>
    <row r="117" spans="5:10" ht="13.15">
      <c r="E117" s="46"/>
      <c r="F117" s="46"/>
      <c r="G117" s="46"/>
      <c r="H117" s="46"/>
      <c r="I117" s="46"/>
      <c r="J117" s="46"/>
    </row>
    <row r="118" spans="5:10" ht="13.15">
      <c r="E118" s="46"/>
      <c r="F118" s="46"/>
      <c r="G118" s="46"/>
      <c r="H118" s="46"/>
      <c r="I118" s="46"/>
      <c r="J118" s="46"/>
    </row>
    <row r="119" spans="5:10" ht="13.15">
      <c r="E119" s="46"/>
      <c r="F119" s="46"/>
      <c r="G119" s="46"/>
      <c r="H119" s="46"/>
      <c r="I119" s="46"/>
      <c r="J119" s="46"/>
    </row>
    <row r="120" spans="5:10" ht="13.15">
      <c r="E120" s="46"/>
      <c r="F120" s="46"/>
      <c r="G120" s="46"/>
      <c r="H120" s="46"/>
      <c r="I120" s="46"/>
      <c r="J120" s="46"/>
    </row>
    <row r="121" spans="5:10" ht="13.15">
      <c r="E121" s="46"/>
      <c r="F121" s="46"/>
      <c r="G121" s="46"/>
      <c r="H121" s="46"/>
      <c r="I121" s="46"/>
      <c r="J121" s="46"/>
    </row>
    <row r="122" spans="5:10" ht="13.15">
      <c r="E122" s="46"/>
      <c r="F122" s="46"/>
      <c r="G122" s="46"/>
      <c r="H122" s="46"/>
      <c r="I122" s="46"/>
      <c r="J122" s="46"/>
    </row>
    <row r="123" spans="5:10" ht="13.15">
      <c r="E123" s="46"/>
      <c r="F123" s="46"/>
      <c r="G123" s="46"/>
      <c r="H123" s="46"/>
      <c r="I123" s="46"/>
      <c r="J123" s="46"/>
    </row>
    <row r="124" spans="5:10" ht="13.15">
      <c r="E124" s="46"/>
      <c r="F124" s="46"/>
      <c r="G124" s="46"/>
      <c r="H124" s="46"/>
      <c r="I124" s="46"/>
      <c r="J124" s="46"/>
    </row>
    <row r="125" spans="5:10" ht="13.15">
      <c r="E125" s="46"/>
      <c r="F125" s="46"/>
      <c r="G125" s="46"/>
      <c r="H125" s="46"/>
      <c r="I125" s="46"/>
      <c r="J125" s="46"/>
    </row>
    <row r="126" spans="5:10" ht="13.15">
      <c r="E126" s="46"/>
      <c r="F126" s="46"/>
      <c r="G126" s="46"/>
      <c r="H126" s="46"/>
      <c r="I126" s="46"/>
      <c r="J126" s="46"/>
    </row>
    <row r="127" spans="5:10" ht="13.15">
      <c r="E127" s="46"/>
      <c r="F127" s="46"/>
      <c r="G127" s="46"/>
      <c r="H127" s="46"/>
      <c r="I127" s="46"/>
      <c r="J127" s="46"/>
    </row>
    <row r="128" spans="5:10" ht="13.15">
      <c r="E128" s="46"/>
      <c r="F128" s="46"/>
      <c r="G128" s="46"/>
      <c r="H128" s="46"/>
      <c r="I128" s="46"/>
      <c r="J128" s="46"/>
    </row>
    <row r="129" spans="5:10" ht="13.15">
      <c r="E129" s="46"/>
      <c r="F129" s="46"/>
      <c r="G129" s="46"/>
      <c r="H129" s="46"/>
      <c r="I129" s="46"/>
      <c r="J129" s="46"/>
    </row>
    <row r="130" spans="5:10" ht="13.15">
      <c r="E130" s="46"/>
      <c r="F130" s="46"/>
      <c r="G130" s="46"/>
      <c r="H130" s="46"/>
      <c r="I130" s="46"/>
      <c r="J130" s="46"/>
    </row>
    <row r="131" spans="5:10" ht="13.15">
      <c r="E131" s="46"/>
      <c r="F131" s="46"/>
      <c r="G131" s="46"/>
      <c r="H131" s="46"/>
      <c r="I131" s="46"/>
      <c r="J131" s="46"/>
    </row>
    <row r="132" spans="5:10" ht="13.15">
      <c r="E132" s="46"/>
      <c r="F132" s="46"/>
      <c r="G132" s="46"/>
      <c r="H132" s="46"/>
      <c r="I132" s="46"/>
      <c r="J132" s="46"/>
    </row>
    <row r="133" spans="5:10" ht="13.15">
      <c r="E133" s="46"/>
      <c r="F133" s="46"/>
      <c r="G133" s="46"/>
      <c r="H133" s="46"/>
      <c r="I133" s="46"/>
      <c r="J133" s="46"/>
    </row>
    <row r="134" spans="5:10" ht="13.15">
      <c r="E134" s="46"/>
      <c r="F134" s="46"/>
      <c r="G134" s="46"/>
      <c r="H134" s="46"/>
      <c r="I134" s="46"/>
      <c r="J134" s="46"/>
    </row>
    <row r="135" spans="5:10" ht="13.15">
      <c r="E135" s="46"/>
      <c r="F135" s="46"/>
      <c r="G135" s="46"/>
      <c r="H135" s="46"/>
      <c r="I135" s="46"/>
      <c r="J135" s="46"/>
    </row>
    <row r="136" spans="5:10" ht="13.15">
      <c r="E136" s="46"/>
      <c r="F136" s="46"/>
      <c r="G136" s="46"/>
      <c r="H136" s="46"/>
      <c r="I136" s="46"/>
      <c r="J136" s="46"/>
    </row>
    <row r="137" spans="5:10" ht="13.15">
      <c r="E137" s="46"/>
      <c r="F137" s="46"/>
      <c r="G137" s="46"/>
      <c r="H137" s="46"/>
      <c r="I137" s="46"/>
      <c r="J137" s="46"/>
    </row>
    <row r="138" spans="5:10" ht="13.15">
      <c r="E138" s="46"/>
      <c r="F138" s="46"/>
      <c r="G138" s="46"/>
      <c r="H138" s="46"/>
      <c r="I138" s="46"/>
      <c r="J138" s="46"/>
    </row>
    <row r="139" spans="5:10" ht="13.15">
      <c r="E139" s="46"/>
      <c r="F139" s="46"/>
      <c r="G139" s="46"/>
      <c r="H139" s="46"/>
      <c r="I139" s="46"/>
      <c r="J139" s="46"/>
    </row>
    <row r="140" spans="5:10" ht="13.15">
      <c r="E140" s="46"/>
      <c r="F140" s="46"/>
      <c r="G140" s="46"/>
      <c r="H140" s="46"/>
      <c r="I140" s="46"/>
      <c r="J140" s="46"/>
    </row>
    <row r="141" spans="5:10" ht="13.15">
      <c r="E141" s="46"/>
      <c r="F141" s="46"/>
      <c r="G141" s="46"/>
      <c r="H141" s="46"/>
      <c r="I141" s="46"/>
      <c r="J141" s="46"/>
    </row>
    <row r="142" spans="5:10" ht="13.15">
      <c r="E142" s="46"/>
      <c r="F142" s="46"/>
      <c r="G142" s="46"/>
      <c r="H142" s="46"/>
      <c r="I142" s="46"/>
      <c r="J142" s="46"/>
    </row>
    <row r="143" spans="5:10" ht="13.15">
      <c r="E143" s="46"/>
      <c r="F143" s="46"/>
      <c r="G143" s="46"/>
      <c r="H143" s="46"/>
      <c r="I143" s="46"/>
      <c r="J143" s="46"/>
    </row>
    <row r="144" spans="5:10" ht="13.15">
      <c r="E144" s="46"/>
      <c r="F144" s="46"/>
      <c r="G144" s="46"/>
      <c r="H144" s="46"/>
      <c r="I144" s="46"/>
      <c r="J144" s="46"/>
    </row>
    <row r="145" spans="5:10" ht="13.15">
      <c r="E145" s="46"/>
      <c r="F145" s="46"/>
      <c r="G145" s="46"/>
      <c r="H145" s="46"/>
      <c r="I145" s="46"/>
      <c r="J145" s="46"/>
    </row>
    <row r="146" spans="5:10" ht="13.15">
      <c r="E146" s="46"/>
      <c r="F146" s="46"/>
      <c r="G146" s="46"/>
      <c r="H146" s="46"/>
      <c r="I146" s="46"/>
      <c r="J146" s="46"/>
    </row>
    <row r="147" spans="5:10" ht="13.15">
      <c r="E147" s="46"/>
      <c r="F147" s="46"/>
      <c r="G147" s="46"/>
      <c r="H147" s="46"/>
      <c r="I147" s="46"/>
      <c r="J147" s="46"/>
    </row>
    <row r="148" spans="5:10" ht="13.15">
      <c r="E148" s="46"/>
      <c r="F148" s="46"/>
      <c r="G148" s="46"/>
      <c r="H148" s="46"/>
      <c r="I148" s="46"/>
      <c r="J148" s="46"/>
    </row>
    <row r="149" spans="5:10" ht="13.15">
      <c r="E149" s="46"/>
      <c r="F149" s="46"/>
      <c r="G149" s="46"/>
      <c r="H149" s="46"/>
      <c r="I149" s="46"/>
      <c r="J149" s="46"/>
    </row>
    <row r="150" spans="5:10" ht="13.15">
      <c r="E150" s="46"/>
      <c r="F150" s="46"/>
      <c r="G150" s="46"/>
      <c r="H150" s="46"/>
      <c r="I150" s="46"/>
      <c r="J150" s="46"/>
    </row>
    <row r="151" spans="5:10" ht="13.15">
      <c r="E151" s="46"/>
      <c r="F151" s="46"/>
      <c r="G151" s="46"/>
      <c r="H151" s="46"/>
      <c r="I151" s="46"/>
      <c r="J151" s="46"/>
    </row>
    <row r="152" spans="5:10" ht="13.15">
      <c r="E152" s="46"/>
      <c r="F152" s="46"/>
      <c r="G152" s="46"/>
      <c r="H152" s="46"/>
      <c r="I152" s="46"/>
      <c r="J152" s="46"/>
    </row>
    <row r="153" spans="5:10" ht="13.15">
      <c r="E153" s="46"/>
      <c r="F153" s="46"/>
      <c r="G153" s="46"/>
      <c r="H153" s="46"/>
      <c r="I153" s="46"/>
      <c r="J153" s="46"/>
    </row>
    <row r="154" spans="5:10" ht="13.15">
      <c r="E154" s="46"/>
      <c r="F154" s="46"/>
      <c r="G154" s="46"/>
      <c r="H154" s="46"/>
      <c r="I154" s="46"/>
      <c r="J154" s="46"/>
    </row>
    <row r="155" spans="5:10" ht="13.15">
      <c r="E155" s="46"/>
      <c r="F155" s="46"/>
      <c r="G155" s="46"/>
      <c r="H155" s="46"/>
      <c r="I155" s="46"/>
      <c r="J155" s="46"/>
    </row>
    <row r="156" spans="5:10" ht="13.15">
      <c r="E156" s="46"/>
      <c r="F156" s="46"/>
      <c r="G156" s="46"/>
      <c r="H156" s="46"/>
      <c r="I156" s="46"/>
      <c r="J156" s="46"/>
    </row>
    <row r="157" spans="5:10" ht="13.15">
      <c r="E157" s="46"/>
      <c r="F157" s="46"/>
      <c r="G157" s="46"/>
      <c r="H157" s="46"/>
      <c r="I157" s="46"/>
      <c r="J157" s="46"/>
    </row>
    <row r="158" spans="5:10" ht="13.15">
      <c r="E158" s="46"/>
      <c r="F158" s="46"/>
      <c r="G158" s="46"/>
      <c r="H158" s="46"/>
      <c r="I158" s="46"/>
      <c r="J158" s="46"/>
    </row>
    <row r="159" spans="5:10" ht="13.15">
      <c r="E159" s="46"/>
      <c r="F159" s="46"/>
      <c r="G159" s="46"/>
      <c r="H159" s="46"/>
      <c r="I159" s="46"/>
      <c r="J159" s="46"/>
    </row>
    <row r="160" spans="5:10" ht="13.15">
      <c r="E160" s="46"/>
      <c r="F160" s="46"/>
      <c r="G160" s="46"/>
      <c r="H160" s="46"/>
      <c r="I160" s="46"/>
      <c r="J160" s="46"/>
    </row>
    <row r="161" spans="5:10" ht="13.15">
      <c r="E161" s="46"/>
      <c r="F161" s="46"/>
      <c r="G161" s="46"/>
      <c r="H161" s="46"/>
      <c r="I161" s="46"/>
      <c r="J161" s="46"/>
    </row>
    <row r="162" spans="5:10" ht="13.15">
      <c r="E162" s="46"/>
      <c r="F162" s="46"/>
      <c r="G162" s="46"/>
      <c r="H162" s="46"/>
      <c r="I162" s="46"/>
      <c r="J162" s="46"/>
    </row>
    <row r="163" spans="5:10" ht="13.15">
      <c r="E163" s="46"/>
      <c r="F163" s="46"/>
      <c r="G163" s="46"/>
      <c r="H163" s="46"/>
      <c r="I163" s="46"/>
      <c r="J163" s="46"/>
    </row>
    <row r="164" spans="5:10" ht="13.15">
      <c r="E164" s="46"/>
      <c r="F164" s="46"/>
      <c r="G164" s="46"/>
      <c r="H164" s="46"/>
      <c r="I164" s="46"/>
      <c r="J164" s="46"/>
    </row>
    <row r="165" spans="5:10" ht="13.15">
      <c r="E165" s="46"/>
      <c r="F165" s="46"/>
      <c r="G165" s="46"/>
      <c r="H165" s="46"/>
      <c r="I165" s="46"/>
      <c r="J165" s="46"/>
    </row>
    <row r="166" spans="5:10" ht="13.15">
      <c r="E166" s="46"/>
      <c r="F166" s="46"/>
      <c r="G166" s="46"/>
      <c r="H166" s="46"/>
      <c r="I166" s="46"/>
      <c r="J166" s="46"/>
    </row>
    <row r="167" spans="5:10" ht="13.15">
      <c r="E167" s="46"/>
      <c r="F167" s="46"/>
      <c r="G167" s="46"/>
      <c r="H167" s="46"/>
      <c r="I167" s="46"/>
      <c r="J167" s="46"/>
    </row>
    <row r="168" spans="5:10" ht="13.15">
      <c r="E168" s="46"/>
      <c r="F168" s="46"/>
      <c r="G168" s="46"/>
      <c r="H168" s="46"/>
      <c r="I168" s="46"/>
      <c r="J168" s="46"/>
    </row>
    <row r="169" spans="5:10" ht="13.15">
      <c r="E169" s="46"/>
      <c r="F169" s="46"/>
      <c r="G169" s="46"/>
      <c r="H169" s="46"/>
      <c r="I169" s="46"/>
      <c r="J169" s="46"/>
    </row>
    <row r="170" spans="5:10" ht="13.15">
      <c r="E170" s="46"/>
      <c r="F170" s="46"/>
      <c r="G170" s="46"/>
      <c r="H170" s="46"/>
      <c r="I170" s="46"/>
      <c r="J170" s="46"/>
    </row>
    <row r="171" spans="5:10" ht="13.15">
      <c r="E171" s="46"/>
      <c r="F171" s="46"/>
      <c r="G171" s="46"/>
      <c r="H171" s="46"/>
      <c r="I171" s="46"/>
      <c r="J171" s="46"/>
    </row>
    <row r="172" spans="5:10" ht="13.15">
      <c r="E172" s="46"/>
      <c r="F172" s="46"/>
      <c r="G172" s="46"/>
      <c r="H172" s="46"/>
      <c r="I172" s="46"/>
      <c r="J172" s="46"/>
    </row>
    <row r="173" spans="5:10" ht="13.15">
      <c r="E173" s="46"/>
      <c r="F173" s="46"/>
      <c r="G173" s="46"/>
      <c r="H173" s="46"/>
      <c r="I173" s="46"/>
      <c r="J173" s="46"/>
    </row>
    <row r="174" spans="5:10" ht="13.15">
      <c r="E174" s="46"/>
      <c r="F174" s="46"/>
      <c r="G174" s="46"/>
      <c r="H174" s="46"/>
      <c r="I174" s="46"/>
      <c r="J174" s="46"/>
    </row>
    <row r="175" spans="5:10" ht="13.15">
      <c r="E175" s="46"/>
      <c r="F175" s="46"/>
      <c r="G175" s="46"/>
      <c r="H175" s="46"/>
      <c r="I175" s="46"/>
      <c r="J175" s="46"/>
    </row>
    <row r="176" spans="5:10" ht="13.15">
      <c r="E176" s="46"/>
      <c r="F176" s="46"/>
      <c r="G176" s="46"/>
      <c r="H176" s="46"/>
      <c r="I176" s="46"/>
      <c r="J176" s="46"/>
    </row>
    <row r="177" spans="5:10" ht="13.15">
      <c r="E177" s="46"/>
      <c r="F177" s="46"/>
      <c r="G177" s="46"/>
      <c r="H177" s="46"/>
      <c r="I177" s="46"/>
      <c r="J177" s="46"/>
    </row>
    <row r="178" spans="5:10" ht="13.15">
      <c r="E178" s="46"/>
      <c r="F178" s="46"/>
      <c r="G178" s="46"/>
      <c r="H178" s="46"/>
      <c r="I178" s="46"/>
      <c r="J178" s="46"/>
    </row>
    <row r="179" spans="5:10" ht="13.15">
      <c r="E179" s="46"/>
      <c r="F179" s="46"/>
      <c r="G179" s="46"/>
      <c r="H179" s="46"/>
      <c r="I179" s="46"/>
      <c r="J179" s="46"/>
    </row>
    <row r="180" spans="5:10" ht="13.15">
      <c r="E180" s="46"/>
      <c r="F180" s="46"/>
      <c r="G180" s="46"/>
      <c r="H180" s="46"/>
      <c r="I180" s="46"/>
      <c r="J180" s="46"/>
    </row>
    <row r="181" spans="5:10" ht="13.15">
      <c r="E181" s="46"/>
      <c r="F181" s="46"/>
      <c r="G181" s="46"/>
      <c r="H181" s="46"/>
      <c r="I181" s="46"/>
      <c r="J181" s="46"/>
    </row>
    <row r="182" spans="5:10" ht="13.15">
      <c r="E182" s="46"/>
      <c r="F182" s="46"/>
      <c r="G182" s="46"/>
      <c r="H182" s="46"/>
      <c r="I182" s="46"/>
      <c r="J182" s="46"/>
    </row>
    <row r="183" spans="5:10" ht="13.15">
      <c r="E183" s="46"/>
      <c r="F183" s="46"/>
      <c r="G183" s="46"/>
      <c r="H183" s="46"/>
      <c r="I183" s="46"/>
      <c r="J183" s="46"/>
    </row>
    <row r="184" spans="5:10" ht="13.15">
      <c r="E184" s="46"/>
      <c r="F184" s="46"/>
      <c r="G184" s="46"/>
      <c r="H184" s="46"/>
      <c r="I184" s="46"/>
      <c r="J184" s="46"/>
    </row>
    <row r="185" spans="5:10" ht="13.15">
      <c r="E185" s="46"/>
      <c r="F185" s="46"/>
      <c r="G185" s="46"/>
      <c r="H185" s="46"/>
      <c r="I185" s="46"/>
      <c r="J185" s="46"/>
    </row>
    <row r="186" spans="5:10" ht="13.15">
      <c r="E186" s="46"/>
      <c r="F186" s="46"/>
      <c r="G186" s="46"/>
      <c r="H186" s="46"/>
      <c r="I186" s="46"/>
      <c r="J186" s="46"/>
    </row>
    <row r="187" spans="5:10" ht="13.15">
      <c r="E187" s="46"/>
      <c r="F187" s="46"/>
      <c r="G187" s="46"/>
      <c r="H187" s="46"/>
      <c r="I187" s="46"/>
      <c r="J187" s="46"/>
    </row>
    <row r="188" spans="5:10" ht="13.15">
      <c r="E188" s="46"/>
      <c r="F188" s="46"/>
      <c r="G188" s="46"/>
      <c r="H188" s="46"/>
      <c r="I188" s="46"/>
      <c r="J188" s="46"/>
    </row>
    <row r="189" spans="5:10" ht="13.15">
      <c r="E189" s="46"/>
      <c r="F189" s="46"/>
      <c r="G189" s="46"/>
      <c r="H189" s="46"/>
      <c r="I189" s="46"/>
      <c r="J189" s="46"/>
    </row>
    <row r="190" spans="5:10" ht="13.15">
      <c r="E190" s="46"/>
      <c r="F190" s="46"/>
      <c r="G190" s="46"/>
      <c r="H190" s="46"/>
      <c r="I190" s="46"/>
      <c r="J190" s="46"/>
    </row>
    <row r="191" spans="5:10" ht="13.15">
      <c r="E191" s="46"/>
      <c r="F191" s="46"/>
      <c r="G191" s="46"/>
      <c r="H191" s="46"/>
      <c r="I191" s="46"/>
      <c r="J191" s="46"/>
    </row>
    <row r="192" spans="5:10" ht="13.15">
      <c r="E192" s="46"/>
      <c r="F192" s="46"/>
      <c r="G192" s="46"/>
      <c r="H192" s="46"/>
      <c r="I192" s="46"/>
      <c r="J192" s="46"/>
    </row>
    <row r="193" spans="5:10" ht="13.15">
      <c r="E193" s="46"/>
      <c r="F193" s="46"/>
      <c r="G193" s="46"/>
      <c r="H193" s="46"/>
      <c r="I193" s="46"/>
      <c r="J193" s="46"/>
    </row>
    <row r="194" spans="5:10" ht="13.15">
      <c r="E194" s="46"/>
      <c r="F194" s="46"/>
      <c r="G194" s="46"/>
      <c r="H194" s="46"/>
      <c r="I194" s="46"/>
      <c r="J194" s="46"/>
    </row>
    <row r="195" spans="5:10" ht="13.15">
      <c r="E195" s="46"/>
      <c r="F195" s="46"/>
      <c r="G195" s="46"/>
      <c r="H195" s="46"/>
      <c r="I195" s="46"/>
      <c r="J195" s="46"/>
    </row>
    <row r="196" spans="5:10" ht="13.15">
      <c r="E196" s="46"/>
      <c r="F196" s="46"/>
      <c r="G196" s="46"/>
      <c r="H196" s="46"/>
      <c r="I196" s="46"/>
      <c r="J196" s="46"/>
    </row>
    <row r="197" spans="5:10" ht="13.15">
      <c r="E197" s="46"/>
      <c r="F197" s="46"/>
      <c r="G197" s="46"/>
      <c r="H197" s="46"/>
      <c r="I197" s="46"/>
      <c r="J197" s="46"/>
    </row>
    <row r="198" spans="5:10" ht="13.15">
      <c r="E198" s="46"/>
      <c r="F198" s="46"/>
      <c r="G198" s="46"/>
      <c r="H198" s="46"/>
      <c r="I198" s="46"/>
      <c r="J198" s="46"/>
    </row>
    <row r="199" spans="5:10" ht="13.15">
      <c r="E199" s="46"/>
      <c r="F199" s="46"/>
      <c r="G199" s="46"/>
      <c r="H199" s="46"/>
      <c r="I199" s="46"/>
      <c r="J199" s="46"/>
    </row>
    <row r="200" spans="5:10" ht="13.15">
      <c r="E200" s="46"/>
      <c r="F200" s="46"/>
      <c r="G200" s="46"/>
      <c r="H200" s="46"/>
      <c r="I200" s="46"/>
      <c r="J200" s="46"/>
    </row>
    <row r="201" spans="5:10" ht="13.15">
      <c r="E201" s="46"/>
      <c r="F201" s="46"/>
      <c r="G201" s="46"/>
      <c r="H201" s="46"/>
      <c r="I201" s="46"/>
      <c r="J201" s="46"/>
    </row>
    <row r="202" spans="5:10" ht="13.15">
      <c r="E202" s="46"/>
      <c r="F202" s="46"/>
      <c r="G202" s="46"/>
      <c r="H202" s="46"/>
      <c r="I202" s="46"/>
      <c r="J202" s="46"/>
    </row>
    <row r="203" spans="5:10" ht="13.15">
      <c r="E203" s="46"/>
      <c r="F203" s="46"/>
      <c r="G203" s="46"/>
      <c r="H203" s="46"/>
      <c r="I203" s="46"/>
      <c r="J203" s="46"/>
    </row>
    <row r="204" spans="5:10" ht="13.15">
      <c r="E204" s="46"/>
      <c r="F204" s="46"/>
      <c r="G204" s="46"/>
      <c r="H204" s="46"/>
      <c r="I204" s="46"/>
      <c r="J204" s="46"/>
    </row>
    <row r="205" spans="5:10" ht="13.15">
      <c r="E205" s="46"/>
      <c r="F205" s="46"/>
      <c r="G205" s="46"/>
      <c r="H205" s="46"/>
      <c r="I205" s="46"/>
      <c r="J205" s="46"/>
    </row>
    <row r="206" spans="5:10" ht="13.15">
      <c r="E206" s="46"/>
      <c r="F206" s="46"/>
      <c r="G206" s="46"/>
      <c r="H206" s="46"/>
      <c r="I206" s="46"/>
      <c r="J206" s="46"/>
    </row>
    <row r="207" spans="5:10" ht="13.15">
      <c r="E207" s="46"/>
      <c r="F207" s="46"/>
      <c r="G207" s="46"/>
      <c r="H207" s="46"/>
      <c r="I207" s="46"/>
      <c r="J207" s="46"/>
    </row>
    <row r="208" spans="5:10" ht="13.15">
      <c r="E208" s="46"/>
      <c r="F208" s="46"/>
      <c r="G208" s="46"/>
      <c r="H208" s="46"/>
      <c r="I208" s="46"/>
      <c r="J208" s="46"/>
    </row>
    <row r="209" spans="5:10" ht="13.15">
      <c r="E209" s="46"/>
      <c r="F209" s="46"/>
      <c r="G209" s="46"/>
      <c r="H209" s="46"/>
      <c r="I209" s="46"/>
      <c r="J209" s="46"/>
    </row>
    <row r="210" spans="5:10" ht="13.15">
      <c r="E210" s="46"/>
      <c r="F210" s="46"/>
      <c r="G210" s="46"/>
      <c r="H210" s="46"/>
      <c r="I210" s="46"/>
      <c r="J210" s="46"/>
    </row>
    <row r="211" spans="5:10" ht="13.15">
      <c r="E211" s="46"/>
      <c r="F211" s="46"/>
      <c r="G211" s="46"/>
      <c r="H211" s="46"/>
      <c r="I211" s="46"/>
      <c r="J211" s="46"/>
    </row>
    <row r="212" spans="5:10" ht="13.15">
      <c r="E212" s="46"/>
      <c r="F212" s="46"/>
      <c r="G212" s="46"/>
      <c r="H212" s="46"/>
      <c r="I212" s="46"/>
      <c r="J212" s="46"/>
    </row>
    <row r="213" spans="5:10" ht="13.15">
      <c r="E213" s="46"/>
      <c r="F213" s="46"/>
      <c r="G213" s="46"/>
      <c r="H213" s="46"/>
      <c r="I213" s="46"/>
      <c r="J213" s="46"/>
    </row>
    <row r="214" spans="5:10" ht="13.15">
      <c r="E214" s="46"/>
      <c r="F214" s="46"/>
      <c r="G214" s="46"/>
      <c r="H214" s="46"/>
      <c r="I214" s="46"/>
      <c r="J214" s="46"/>
    </row>
    <row r="215" spans="5:10" ht="13.15">
      <c r="E215" s="46"/>
      <c r="F215" s="46"/>
      <c r="G215" s="46"/>
      <c r="H215" s="46"/>
      <c r="I215" s="46"/>
      <c r="J215" s="46"/>
    </row>
    <row r="216" spans="5:10" ht="13.15">
      <c r="E216" s="46"/>
      <c r="F216" s="46"/>
      <c r="G216" s="46"/>
      <c r="H216" s="46"/>
      <c r="I216" s="46"/>
      <c r="J216" s="46"/>
    </row>
    <row r="217" spans="5:10" ht="13.15">
      <c r="E217" s="46"/>
      <c r="F217" s="46"/>
      <c r="G217" s="46"/>
      <c r="H217" s="46"/>
      <c r="I217" s="46"/>
      <c r="J217" s="46"/>
    </row>
    <row r="218" spans="5:10" ht="13.15">
      <c r="E218" s="46"/>
      <c r="F218" s="46"/>
      <c r="G218" s="46"/>
      <c r="H218" s="46"/>
      <c r="I218" s="46"/>
      <c r="J218" s="46"/>
    </row>
    <row r="219" spans="5:10" ht="13.15">
      <c r="E219" s="46"/>
      <c r="F219" s="46"/>
      <c r="G219" s="46"/>
      <c r="H219" s="46"/>
      <c r="I219" s="46"/>
      <c r="J219" s="46"/>
    </row>
    <row r="220" spans="5:10" ht="13.15">
      <c r="E220" s="46"/>
      <c r="F220" s="46"/>
      <c r="G220" s="46"/>
      <c r="H220" s="46"/>
      <c r="I220" s="46"/>
      <c r="J220" s="46"/>
    </row>
    <row r="221" spans="5:10" ht="13.15">
      <c r="E221" s="46"/>
      <c r="F221" s="46"/>
      <c r="G221" s="46"/>
      <c r="H221" s="46"/>
      <c r="I221" s="46"/>
      <c r="J221" s="46"/>
    </row>
    <row r="222" spans="5:10" ht="13.15">
      <c r="E222" s="46"/>
      <c r="F222" s="46"/>
      <c r="G222" s="46"/>
      <c r="H222" s="46"/>
      <c r="I222" s="46"/>
      <c r="J222" s="46"/>
    </row>
    <row r="223" spans="5:10" ht="13.15">
      <c r="E223" s="46"/>
      <c r="F223" s="46"/>
      <c r="G223" s="46"/>
      <c r="H223" s="46"/>
      <c r="I223" s="46"/>
      <c r="J223" s="46"/>
    </row>
    <row r="224" spans="5:10" ht="13.15">
      <c r="E224" s="46"/>
      <c r="F224" s="46"/>
      <c r="G224" s="46"/>
      <c r="H224" s="46"/>
      <c r="I224" s="46"/>
      <c r="J224" s="46"/>
    </row>
    <row r="225" spans="5:10" ht="13.15">
      <c r="E225" s="46"/>
      <c r="F225" s="46"/>
      <c r="G225" s="46"/>
      <c r="H225" s="46"/>
      <c r="I225" s="46"/>
      <c r="J225" s="46"/>
    </row>
    <row r="226" spans="5:10" ht="13.15">
      <c r="E226" s="46"/>
      <c r="F226" s="46"/>
      <c r="G226" s="46"/>
      <c r="H226" s="46"/>
      <c r="I226" s="46"/>
      <c r="J226" s="46"/>
    </row>
    <row r="227" spans="5:10" ht="13.15">
      <c r="E227" s="46"/>
      <c r="F227" s="46"/>
      <c r="G227" s="46"/>
      <c r="H227" s="46"/>
      <c r="I227" s="46"/>
      <c r="J227" s="46"/>
    </row>
    <row r="228" spans="5:10" ht="13.15">
      <c r="E228" s="46"/>
      <c r="F228" s="46"/>
      <c r="G228" s="46"/>
      <c r="H228" s="46"/>
      <c r="I228" s="46"/>
      <c r="J228" s="46"/>
    </row>
    <row r="229" spans="5:10" ht="13.15">
      <c r="E229" s="46"/>
      <c r="F229" s="46"/>
      <c r="G229" s="46"/>
      <c r="H229" s="46"/>
      <c r="I229" s="46"/>
      <c r="J229" s="46"/>
    </row>
    <row r="230" spans="5:10" ht="13.15">
      <c r="E230" s="46"/>
      <c r="F230" s="46"/>
      <c r="G230" s="46"/>
      <c r="H230" s="46"/>
      <c r="I230" s="46"/>
      <c r="J230" s="46"/>
    </row>
    <row r="231" spans="5:10" ht="13.15">
      <c r="E231" s="46"/>
      <c r="F231" s="46"/>
      <c r="G231" s="46"/>
      <c r="H231" s="46"/>
      <c r="I231" s="46"/>
      <c r="J231" s="46"/>
    </row>
    <row r="232" spans="5:10" ht="13.15">
      <c r="E232" s="46"/>
      <c r="F232" s="46"/>
      <c r="G232" s="46"/>
      <c r="H232" s="46"/>
      <c r="I232" s="46"/>
      <c r="J232" s="46"/>
    </row>
    <row r="233" spans="5:10" ht="13.15">
      <c r="E233" s="46"/>
      <c r="F233" s="46"/>
      <c r="G233" s="46"/>
      <c r="H233" s="46"/>
      <c r="I233" s="46"/>
      <c r="J233" s="46"/>
    </row>
    <row r="234" spans="5:10" ht="13.15">
      <c r="E234" s="46"/>
      <c r="F234" s="46"/>
      <c r="G234" s="46"/>
      <c r="H234" s="46"/>
      <c r="I234" s="46"/>
      <c r="J234" s="46"/>
    </row>
    <row r="235" spans="5:10" ht="13.15">
      <c r="E235" s="46"/>
      <c r="F235" s="46"/>
      <c r="G235" s="46"/>
      <c r="H235" s="46"/>
      <c r="I235" s="46"/>
      <c r="J235" s="46"/>
    </row>
    <row r="236" spans="5:10" ht="13.15">
      <c r="E236" s="46"/>
      <c r="F236" s="46"/>
      <c r="G236" s="46"/>
      <c r="H236" s="46"/>
      <c r="I236" s="46"/>
      <c r="J236" s="46"/>
    </row>
    <row r="237" spans="5:10" ht="13.15">
      <c r="E237" s="46"/>
      <c r="F237" s="46"/>
      <c r="G237" s="46"/>
      <c r="H237" s="46"/>
      <c r="I237" s="46"/>
      <c r="J237" s="46"/>
    </row>
    <row r="238" spans="5:10" ht="13.15">
      <c r="E238" s="46"/>
      <c r="F238" s="46"/>
      <c r="G238" s="46"/>
      <c r="H238" s="46"/>
      <c r="I238" s="46"/>
      <c r="J238" s="46"/>
    </row>
    <row r="239" spans="5:10" ht="13.15">
      <c r="E239" s="46"/>
      <c r="F239" s="46"/>
      <c r="G239" s="46"/>
      <c r="H239" s="46"/>
      <c r="I239" s="46"/>
      <c r="J239" s="46"/>
    </row>
    <row r="240" spans="5:10" ht="13.15">
      <c r="E240" s="46"/>
      <c r="F240" s="46"/>
      <c r="G240" s="46"/>
      <c r="H240" s="46"/>
      <c r="I240" s="46"/>
      <c r="J240" s="46"/>
    </row>
    <row r="241" spans="5:10" ht="13.15">
      <c r="E241" s="46"/>
      <c r="F241" s="46"/>
      <c r="G241" s="46"/>
      <c r="H241" s="46"/>
      <c r="I241" s="46"/>
      <c r="J241" s="46"/>
    </row>
    <row r="242" spans="5:10" ht="13.15">
      <c r="E242" s="46"/>
      <c r="F242" s="46"/>
      <c r="G242" s="46"/>
      <c r="H242" s="46"/>
      <c r="I242" s="46"/>
      <c r="J242" s="46"/>
    </row>
    <row r="243" spans="5:10" ht="13.15">
      <c r="E243" s="46"/>
      <c r="F243" s="46"/>
      <c r="G243" s="46"/>
      <c r="H243" s="46"/>
      <c r="I243" s="46"/>
      <c r="J243" s="46"/>
    </row>
    <row r="244" spans="5:10" ht="13.15">
      <c r="E244" s="46"/>
      <c r="F244" s="46"/>
      <c r="G244" s="46"/>
      <c r="H244" s="46"/>
      <c r="I244" s="46"/>
      <c r="J244" s="46"/>
    </row>
    <row r="245" spans="5:10" ht="13.15">
      <c r="E245" s="46"/>
      <c r="F245" s="46"/>
      <c r="G245" s="46"/>
      <c r="H245" s="46"/>
      <c r="I245" s="46"/>
      <c r="J245" s="46"/>
    </row>
    <row r="246" spans="5:10" ht="13.15">
      <c r="E246" s="46"/>
      <c r="F246" s="46"/>
      <c r="G246" s="46"/>
      <c r="H246" s="46"/>
      <c r="I246" s="46"/>
      <c r="J246" s="46"/>
    </row>
    <row r="247" spans="5:10" ht="13.15">
      <c r="E247" s="46"/>
      <c r="F247" s="46"/>
      <c r="G247" s="46"/>
      <c r="H247" s="46"/>
      <c r="I247" s="46"/>
      <c r="J247" s="46"/>
    </row>
    <row r="248" spans="5:10" ht="13.15">
      <c r="E248" s="46"/>
      <c r="F248" s="46"/>
      <c r="G248" s="46"/>
      <c r="H248" s="46"/>
      <c r="I248" s="46"/>
      <c r="J248" s="46"/>
    </row>
    <row r="249" spans="5:10" ht="13.15">
      <c r="E249" s="46"/>
      <c r="F249" s="46"/>
      <c r="G249" s="46"/>
      <c r="H249" s="46"/>
      <c r="I249" s="46"/>
      <c r="J249" s="46"/>
    </row>
    <row r="250" spans="5:10" ht="13.15">
      <c r="E250" s="46"/>
      <c r="F250" s="46"/>
      <c r="G250" s="46"/>
      <c r="H250" s="46"/>
      <c r="I250" s="46"/>
      <c r="J250" s="46"/>
    </row>
    <row r="251" spans="5:10" ht="13.15">
      <c r="E251" s="46"/>
      <c r="F251" s="46"/>
      <c r="G251" s="46"/>
      <c r="H251" s="46"/>
      <c r="I251" s="46"/>
      <c r="J251" s="46"/>
    </row>
    <row r="252" spans="5:10" ht="13.15">
      <c r="E252" s="46"/>
      <c r="F252" s="46"/>
      <c r="G252" s="46"/>
      <c r="H252" s="46"/>
      <c r="I252" s="46"/>
      <c r="J252" s="46"/>
    </row>
    <row r="253" spans="5:10" ht="13.15">
      <c r="E253" s="46"/>
      <c r="F253" s="46"/>
      <c r="G253" s="46"/>
      <c r="H253" s="46"/>
      <c r="I253" s="46"/>
      <c r="J253" s="46"/>
    </row>
    <row r="254" spans="5:10" ht="13.15">
      <c r="E254" s="46"/>
      <c r="F254" s="46"/>
      <c r="G254" s="46"/>
      <c r="H254" s="46"/>
      <c r="I254" s="46"/>
      <c r="J254" s="46"/>
    </row>
    <row r="255" spans="5:10" ht="13.15">
      <c r="E255" s="46"/>
      <c r="F255" s="46"/>
      <c r="G255" s="46"/>
      <c r="H255" s="46"/>
      <c r="I255" s="46"/>
      <c r="J255" s="46"/>
    </row>
    <row r="256" spans="5:10" ht="13.15">
      <c r="E256" s="46"/>
      <c r="F256" s="46"/>
      <c r="G256" s="46"/>
      <c r="H256" s="46"/>
      <c r="I256" s="46"/>
      <c r="J256" s="46"/>
    </row>
    <row r="257" spans="5:10" ht="13.15">
      <c r="E257" s="46"/>
      <c r="F257" s="46"/>
      <c r="G257" s="46"/>
      <c r="H257" s="46"/>
      <c r="I257" s="46"/>
      <c r="J257" s="46"/>
    </row>
    <row r="258" spans="5:10" ht="13.15">
      <c r="E258" s="46"/>
      <c r="F258" s="46"/>
      <c r="G258" s="46"/>
      <c r="H258" s="46"/>
      <c r="I258" s="46"/>
      <c r="J258" s="46"/>
    </row>
    <row r="259" spans="5:10" ht="13.15">
      <c r="E259" s="46"/>
      <c r="F259" s="46"/>
      <c r="G259" s="46"/>
      <c r="H259" s="46"/>
      <c r="I259" s="46"/>
      <c r="J259" s="46"/>
    </row>
    <row r="260" spans="5:10" ht="13.15">
      <c r="E260" s="46"/>
      <c r="F260" s="46"/>
      <c r="G260" s="46"/>
      <c r="H260" s="46"/>
      <c r="I260" s="46"/>
      <c r="J260" s="46"/>
    </row>
    <row r="261" spans="5:10" ht="13.15">
      <c r="E261" s="46"/>
      <c r="F261" s="46"/>
      <c r="G261" s="46"/>
      <c r="H261" s="46"/>
      <c r="I261" s="46"/>
      <c r="J261" s="46"/>
    </row>
    <row r="262" spans="5:10" ht="13.15">
      <c r="E262" s="46"/>
      <c r="F262" s="46"/>
      <c r="G262" s="46"/>
      <c r="H262" s="46"/>
      <c r="I262" s="46"/>
      <c r="J262" s="46"/>
    </row>
    <row r="263" spans="5:10" ht="13.15">
      <c r="E263" s="46"/>
      <c r="F263" s="46"/>
      <c r="G263" s="46"/>
      <c r="H263" s="46"/>
      <c r="I263" s="46"/>
      <c r="J263" s="46"/>
    </row>
    <row r="264" spans="5:10" ht="13.15">
      <c r="E264" s="46"/>
      <c r="F264" s="46"/>
      <c r="G264" s="46"/>
      <c r="H264" s="46"/>
      <c r="I264" s="46"/>
      <c r="J264" s="46"/>
    </row>
    <row r="265" spans="5:10" ht="13.15">
      <c r="E265" s="46"/>
      <c r="F265" s="46"/>
      <c r="G265" s="46"/>
      <c r="H265" s="46"/>
      <c r="I265" s="46"/>
      <c r="J265" s="46"/>
    </row>
    <row r="266" spans="5:10" ht="13.15">
      <c r="E266" s="46"/>
      <c r="F266" s="46"/>
      <c r="G266" s="46"/>
      <c r="H266" s="46"/>
      <c r="I266" s="46"/>
      <c r="J266" s="46"/>
    </row>
    <row r="267" spans="5:10" ht="13.15">
      <c r="E267" s="46"/>
      <c r="F267" s="46"/>
      <c r="G267" s="46"/>
      <c r="H267" s="46"/>
      <c r="I267" s="46"/>
      <c r="J267" s="46"/>
    </row>
    <row r="268" spans="5:10" ht="13.15">
      <c r="E268" s="46"/>
      <c r="F268" s="46"/>
      <c r="G268" s="46"/>
      <c r="H268" s="46"/>
      <c r="I268" s="46"/>
      <c r="J268" s="46"/>
    </row>
    <row r="269" spans="5:10" ht="13.15">
      <c r="E269" s="46"/>
      <c r="F269" s="46"/>
      <c r="G269" s="46"/>
      <c r="H269" s="46"/>
      <c r="I269" s="46"/>
      <c r="J269" s="46"/>
    </row>
    <row r="270" spans="5:10" ht="13.15">
      <c r="E270" s="46"/>
      <c r="F270" s="46"/>
      <c r="G270" s="46"/>
      <c r="H270" s="46"/>
      <c r="I270" s="46"/>
      <c r="J270" s="46"/>
    </row>
    <row r="271" spans="5:10" ht="13.15">
      <c r="E271" s="46"/>
      <c r="F271" s="46"/>
      <c r="G271" s="46"/>
      <c r="H271" s="46"/>
      <c r="I271" s="46"/>
      <c r="J271" s="46"/>
    </row>
    <row r="272" spans="5:10" ht="13.15">
      <c r="E272" s="46"/>
      <c r="F272" s="46"/>
      <c r="G272" s="46"/>
      <c r="H272" s="46"/>
      <c r="I272" s="46"/>
      <c r="J272" s="46"/>
    </row>
    <row r="273" spans="5:10" ht="13.15">
      <c r="E273" s="46"/>
      <c r="F273" s="46"/>
      <c r="G273" s="46"/>
      <c r="H273" s="46"/>
      <c r="I273" s="46"/>
      <c r="J273" s="46"/>
    </row>
    <row r="274" spans="5:10" ht="13.15">
      <c r="E274" s="46"/>
      <c r="F274" s="46"/>
      <c r="G274" s="46"/>
      <c r="H274" s="46"/>
      <c r="I274" s="46"/>
      <c r="J274" s="46"/>
    </row>
    <row r="275" spans="5:10" ht="13.15">
      <c r="E275" s="46"/>
      <c r="F275" s="46"/>
      <c r="G275" s="46"/>
      <c r="H275" s="46"/>
      <c r="I275" s="46"/>
      <c r="J275" s="46"/>
    </row>
    <row r="276" spans="5:10" ht="13.15">
      <c r="E276" s="46"/>
      <c r="F276" s="46"/>
      <c r="G276" s="46"/>
      <c r="H276" s="46"/>
      <c r="I276" s="46"/>
      <c r="J276" s="46"/>
    </row>
    <row r="277" spans="5:10" ht="13.15">
      <c r="E277" s="46"/>
      <c r="F277" s="46"/>
      <c r="G277" s="46"/>
      <c r="H277" s="46"/>
      <c r="I277" s="46"/>
      <c r="J277" s="46"/>
    </row>
    <row r="278" spans="5:10" ht="13.15">
      <c r="E278" s="46"/>
      <c r="F278" s="46"/>
      <c r="G278" s="46"/>
      <c r="H278" s="46"/>
      <c r="I278" s="46"/>
      <c r="J278" s="46"/>
    </row>
    <row r="279" spans="5:10" ht="13.15">
      <c r="E279" s="46"/>
      <c r="F279" s="46"/>
      <c r="G279" s="46"/>
      <c r="H279" s="46"/>
      <c r="I279" s="46"/>
      <c r="J279" s="46"/>
    </row>
    <row r="280" spans="5:10" ht="13.15">
      <c r="E280" s="46"/>
      <c r="F280" s="46"/>
      <c r="G280" s="46"/>
      <c r="H280" s="46"/>
      <c r="I280" s="46"/>
      <c r="J280" s="46"/>
    </row>
    <row r="281" spans="5:10" ht="13.15">
      <c r="E281" s="46"/>
      <c r="F281" s="46"/>
      <c r="G281" s="46"/>
      <c r="H281" s="46"/>
      <c r="I281" s="46"/>
      <c r="J281" s="46"/>
    </row>
    <row r="282" spans="5:10" ht="13.15">
      <c r="E282" s="46"/>
      <c r="F282" s="46"/>
      <c r="G282" s="46"/>
      <c r="H282" s="46"/>
      <c r="I282" s="46"/>
      <c r="J282" s="46"/>
    </row>
    <row r="283" spans="5:10" ht="13.15">
      <c r="E283" s="46"/>
      <c r="F283" s="46"/>
      <c r="G283" s="46"/>
      <c r="H283" s="46"/>
      <c r="I283" s="46"/>
      <c r="J283" s="46"/>
    </row>
    <row r="284" spans="5:10" ht="13.15">
      <c r="E284" s="46"/>
      <c r="F284" s="46"/>
      <c r="G284" s="46"/>
      <c r="H284" s="46"/>
      <c r="I284" s="46"/>
      <c r="J284" s="46"/>
    </row>
    <row r="285" spans="5:10" ht="13.15">
      <c r="E285" s="46"/>
      <c r="F285" s="46"/>
      <c r="G285" s="46"/>
      <c r="H285" s="46"/>
      <c r="I285" s="46"/>
      <c r="J285" s="46"/>
    </row>
    <row r="286" spans="5:10" ht="13.15">
      <c r="E286" s="46"/>
      <c r="F286" s="46"/>
      <c r="G286" s="46"/>
      <c r="H286" s="46"/>
      <c r="I286" s="46"/>
      <c r="J286" s="46"/>
    </row>
    <row r="287" spans="5:10" ht="13.15">
      <c r="E287" s="46"/>
      <c r="F287" s="46"/>
      <c r="G287" s="46"/>
      <c r="H287" s="46"/>
      <c r="I287" s="46"/>
      <c r="J287" s="46"/>
    </row>
    <row r="288" spans="5:10" ht="13.15">
      <c r="E288" s="46"/>
      <c r="F288" s="46"/>
      <c r="G288" s="46"/>
      <c r="H288" s="46"/>
      <c r="I288" s="46"/>
      <c r="J288" s="46"/>
    </row>
    <row r="289" spans="5:10" ht="13.15">
      <c r="E289" s="46"/>
      <c r="F289" s="46"/>
      <c r="G289" s="46"/>
      <c r="H289" s="46"/>
      <c r="I289" s="46"/>
      <c r="J289" s="46"/>
    </row>
    <row r="290" spans="5:10" ht="13.15">
      <c r="E290" s="46"/>
      <c r="F290" s="46"/>
      <c r="G290" s="46"/>
      <c r="H290" s="46"/>
      <c r="I290" s="46"/>
      <c r="J290" s="46"/>
    </row>
    <row r="291" spans="5:10" ht="13.15">
      <c r="E291" s="46"/>
      <c r="F291" s="46"/>
      <c r="G291" s="46"/>
      <c r="H291" s="46"/>
      <c r="I291" s="46"/>
      <c r="J291" s="46"/>
    </row>
    <row r="292" spans="5:10" ht="13.15">
      <c r="E292" s="46"/>
      <c r="F292" s="46"/>
      <c r="G292" s="46"/>
      <c r="H292" s="46"/>
      <c r="I292" s="46"/>
      <c r="J292" s="46"/>
    </row>
    <row r="293" spans="5:10" ht="13.15">
      <c r="E293" s="46"/>
      <c r="F293" s="46"/>
      <c r="G293" s="46"/>
      <c r="H293" s="46"/>
      <c r="I293" s="46"/>
      <c r="J293" s="46"/>
    </row>
    <row r="294" spans="5:10" ht="13.15">
      <c r="E294" s="46"/>
      <c r="F294" s="46"/>
      <c r="G294" s="46"/>
      <c r="H294" s="46"/>
      <c r="I294" s="46"/>
      <c r="J294" s="46"/>
    </row>
    <row r="295" spans="5:10" ht="13.15">
      <c r="E295" s="46"/>
      <c r="F295" s="46"/>
      <c r="G295" s="46"/>
      <c r="H295" s="46"/>
      <c r="I295" s="46"/>
      <c r="J295" s="46"/>
    </row>
    <row r="296" spans="5:10" ht="13.15">
      <c r="E296" s="46"/>
      <c r="F296" s="46"/>
      <c r="G296" s="46"/>
      <c r="H296" s="46"/>
      <c r="I296" s="46"/>
      <c r="J296" s="46"/>
    </row>
    <row r="297" spans="5:10" ht="13.15">
      <c r="E297" s="46"/>
      <c r="F297" s="46"/>
      <c r="G297" s="46"/>
      <c r="H297" s="46"/>
      <c r="I297" s="46"/>
      <c r="J297" s="46"/>
    </row>
    <row r="298" spans="5:10" ht="13.15">
      <c r="E298" s="46"/>
      <c r="F298" s="46"/>
      <c r="G298" s="46"/>
      <c r="H298" s="46"/>
      <c r="I298" s="46"/>
      <c r="J298" s="46"/>
    </row>
    <row r="299" spans="5:10" ht="13.15">
      <c r="E299" s="46"/>
      <c r="F299" s="46"/>
      <c r="G299" s="46"/>
      <c r="H299" s="46"/>
      <c r="I299" s="46"/>
      <c r="J299" s="46"/>
    </row>
    <row r="300" spans="5:10" ht="13.15">
      <c r="E300" s="46"/>
      <c r="F300" s="46"/>
      <c r="G300" s="46"/>
      <c r="H300" s="46"/>
      <c r="I300" s="46"/>
      <c r="J300" s="46"/>
    </row>
    <row r="301" spans="5:10" ht="13.15">
      <c r="E301" s="46"/>
      <c r="F301" s="46"/>
      <c r="G301" s="46"/>
      <c r="H301" s="46"/>
      <c r="I301" s="46"/>
      <c r="J301" s="46"/>
    </row>
    <row r="302" spans="5:10" ht="13.15">
      <c r="E302" s="46"/>
      <c r="F302" s="46"/>
      <c r="G302" s="46"/>
      <c r="H302" s="46"/>
      <c r="I302" s="46"/>
      <c r="J302" s="46"/>
    </row>
    <row r="303" spans="5:10" ht="13.15">
      <c r="E303" s="46"/>
      <c r="F303" s="46"/>
      <c r="G303" s="46"/>
      <c r="H303" s="46"/>
      <c r="I303" s="46"/>
      <c r="J303" s="46"/>
    </row>
    <row r="304" spans="5:10" ht="13.15">
      <c r="E304" s="46"/>
      <c r="F304" s="46"/>
      <c r="G304" s="46"/>
      <c r="H304" s="46"/>
      <c r="I304" s="46"/>
      <c r="J304" s="46"/>
    </row>
    <row r="305" spans="5:10" ht="13.15">
      <c r="E305" s="46"/>
      <c r="F305" s="46"/>
      <c r="G305" s="46"/>
      <c r="H305" s="46"/>
      <c r="I305" s="46"/>
      <c r="J305" s="46"/>
    </row>
    <row r="306" spans="5:10" ht="13.15">
      <c r="E306" s="46"/>
      <c r="F306" s="46"/>
      <c r="G306" s="46"/>
      <c r="H306" s="46"/>
      <c r="I306" s="46"/>
      <c r="J306" s="46"/>
    </row>
    <row r="307" spans="5:10" ht="13.15">
      <c r="E307" s="46"/>
      <c r="F307" s="46"/>
      <c r="G307" s="46"/>
      <c r="H307" s="46"/>
      <c r="I307" s="46"/>
      <c r="J307" s="46"/>
    </row>
    <row r="308" spans="5:10" ht="13.15">
      <c r="E308" s="46"/>
      <c r="F308" s="46"/>
      <c r="G308" s="46"/>
      <c r="H308" s="46"/>
      <c r="I308" s="46"/>
      <c r="J308" s="46"/>
    </row>
    <row r="309" spans="5:10" ht="13.15">
      <c r="E309" s="46"/>
      <c r="F309" s="46"/>
      <c r="G309" s="46"/>
      <c r="H309" s="46"/>
      <c r="I309" s="46"/>
      <c r="J309" s="46"/>
    </row>
    <row r="310" spans="5:10" ht="13.15">
      <c r="E310" s="46"/>
      <c r="F310" s="46"/>
      <c r="G310" s="46"/>
      <c r="H310" s="46"/>
      <c r="I310" s="46"/>
      <c r="J310" s="46"/>
    </row>
    <row r="311" spans="5:10" ht="13.15">
      <c r="E311" s="46"/>
      <c r="F311" s="46"/>
      <c r="G311" s="46"/>
      <c r="H311" s="46"/>
      <c r="I311" s="46"/>
      <c r="J311" s="46"/>
    </row>
    <row r="312" spans="5:10" ht="13.15">
      <c r="E312" s="46"/>
      <c r="F312" s="46"/>
      <c r="G312" s="46"/>
      <c r="H312" s="46"/>
      <c r="I312" s="46"/>
      <c r="J312" s="46"/>
    </row>
    <row r="313" spans="5:10" ht="13.15">
      <c r="E313" s="46"/>
      <c r="F313" s="46"/>
      <c r="G313" s="46"/>
      <c r="H313" s="46"/>
      <c r="I313" s="46"/>
      <c r="J313" s="46"/>
    </row>
    <row r="314" spans="5:10" ht="13.15">
      <c r="E314" s="46"/>
      <c r="F314" s="46"/>
      <c r="G314" s="46"/>
      <c r="H314" s="46"/>
      <c r="I314" s="46"/>
      <c r="J314" s="46"/>
    </row>
    <row r="315" spans="5:10" ht="13.15">
      <c r="E315" s="46"/>
      <c r="F315" s="46"/>
      <c r="G315" s="46"/>
      <c r="H315" s="46"/>
      <c r="I315" s="46"/>
      <c r="J315" s="46"/>
    </row>
    <row r="316" spans="5:10" ht="13.15">
      <c r="E316" s="46"/>
      <c r="F316" s="46"/>
      <c r="G316" s="46"/>
      <c r="H316" s="46"/>
      <c r="I316" s="46"/>
      <c r="J316" s="46"/>
    </row>
    <row r="317" spans="5:10" ht="13.15">
      <c r="E317" s="46"/>
      <c r="F317" s="46"/>
      <c r="G317" s="46"/>
      <c r="H317" s="46"/>
      <c r="I317" s="46"/>
      <c r="J317" s="46"/>
    </row>
    <row r="318" spans="5:10" ht="13.15">
      <c r="E318" s="46"/>
      <c r="F318" s="46"/>
      <c r="G318" s="46"/>
      <c r="H318" s="46"/>
      <c r="I318" s="46"/>
      <c r="J318" s="46"/>
    </row>
    <row r="319" spans="5:10" ht="13.15">
      <c r="E319" s="46"/>
      <c r="F319" s="46"/>
      <c r="G319" s="46"/>
      <c r="H319" s="46"/>
      <c r="I319" s="46"/>
      <c r="J319" s="46"/>
    </row>
    <row r="320" spans="5:10" ht="13.15">
      <c r="E320" s="46"/>
      <c r="F320" s="46"/>
      <c r="G320" s="46"/>
      <c r="H320" s="46"/>
      <c r="I320" s="46"/>
      <c r="J320" s="46"/>
    </row>
    <row r="321" spans="5:10" ht="13.15">
      <c r="E321" s="46"/>
      <c r="F321" s="46"/>
      <c r="G321" s="46"/>
      <c r="H321" s="46"/>
      <c r="I321" s="46"/>
      <c r="J321" s="46"/>
    </row>
    <row r="322" spans="5:10" ht="13.15">
      <c r="E322" s="46"/>
      <c r="F322" s="46"/>
      <c r="G322" s="46"/>
      <c r="H322" s="46"/>
      <c r="I322" s="46"/>
      <c r="J322" s="46"/>
    </row>
    <row r="323" spans="5:10" ht="13.15">
      <c r="E323" s="46"/>
      <c r="F323" s="46"/>
      <c r="G323" s="46"/>
      <c r="H323" s="46"/>
      <c r="I323" s="46"/>
      <c r="J323" s="46"/>
    </row>
    <row r="324" spans="5:10" ht="13.15">
      <c r="E324" s="46"/>
      <c r="F324" s="46"/>
      <c r="G324" s="46"/>
      <c r="H324" s="46"/>
      <c r="I324" s="46"/>
      <c r="J324" s="46"/>
    </row>
    <row r="325" spans="5:10" ht="13.15">
      <c r="E325" s="46"/>
      <c r="F325" s="46"/>
      <c r="G325" s="46"/>
      <c r="H325" s="46"/>
      <c r="I325" s="46"/>
      <c r="J325" s="46"/>
    </row>
    <row r="326" spans="5:10" ht="13.15">
      <c r="E326" s="46"/>
      <c r="F326" s="46"/>
      <c r="G326" s="46"/>
      <c r="H326" s="46"/>
      <c r="I326" s="46"/>
      <c r="J326" s="46"/>
    </row>
    <row r="327" spans="5:10" ht="13.15">
      <c r="E327" s="46"/>
      <c r="F327" s="46"/>
      <c r="G327" s="46"/>
      <c r="H327" s="46"/>
      <c r="I327" s="46"/>
      <c r="J327" s="46"/>
    </row>
    <row r="328" spans="5:10" ht="13.15">
      <c r="E328" s="46"/>
      <c r="F328" s="46"/>
      <c r="G328" s="46"/>
      <c r="H328" s="46"/>
      <c r="I328" s="46"/>
      <c r="J328" s="46"/>
    </row>
    <row r="329" spans="5:10" ht="13.15">
      <c r="E329" s="46"/>
      <c r="F329" s="46"/>
      <c r="G329" s="46"/>
      <c r="H329" s="46"/>
      <c r="I329" s="46"/>
      <c r="J329" s="46"/>
    </row>
    <row r="330" spans="5:10" ht="13.15">
      <c r="E330" s="46"/>
      <c r="F330" s="46"/>
      <c r="G330" s="46"/>
      <c r="H330" s="46"/>
      <c r="I330" s="46"/>
      <c r="J330" s="46"/>
    </row>
    <row r="331" spans="5:10" ht="13.15">
      <c r="E331" s="46"/>
      <c r="F331" s="46"/>
      <c r="G331" s="46"/>
      <c r="H331" s="46"/>
      <c r="I331" s="46"/>
      <c r="J331" s="46"/>
    </row>
    <row r="332" spans="5:10" ht="13.15">
      <c r="E332" s="46"/>
      <c r="F332" s="46"/>
      <c r="G332" s="46"/>
      <c r="H332" s="46"/>
      <c r="I332" s="46"/>
      <c r="J332" s="46"/>
    </row>
    <row r="333" spans="5:10" ht="13.15">
      <c r="E333" s="46"/>
      <c r="F333" s="46"/>
      <c r="G333" s="46"/>
      <c r="H333" s="46"/>
      <c r="I333" s="46"/>
      <c r="J333" s="46"/>
    </row>
    <row r="334" spans="5:10" ht="13.15">
      <c r="E334" s="46"/>
      <c r="F334" s="46"/>
      <c r="G334" s="46"/>
      <c r="H334" s="46"/>
      <c r="I334" s="46"/>
      <c r="J334" s="46"/>
    </row>
    <row r="335" spans="5:10" ht="13.15">
      <c r="E335" s="46"/>
      <c r="F335" s="46"/>
      <c r="G335" s="46"/>
      <c r="H335" s="46"/>
      <c r="I335" s="46"/>
      <c r="J335" s="46"/>
    </row>
    <row r="336" spans="5:10" ht="13.15">
      <c r="E336" s="46"/>
      <c r="F336" s="46"/>
      <c r="G336" s="46"/>
      <c r="H336" s="46"/>
      <c r="I336" s="46"/>
      <c r="J336" s="46"/>
    </row>
    <row r="337" spans="5:10" ht="13.15">
      <c r="E337" s="46"/>
      <c r="F337" s="46"/>
      <c r="G337" s="46"/>
      <c r="H337" s="46"/>
      <c r="I337" s="46"/>
      <c r="J337" s="46"/>
    </row>
    <row r="338" spans="5:10" ht="13.15">
      <c r="E338" s="46"/>
      <c r="F338" s="46"/>
      <c r="G338" s="46"/>
      <c r="H338" s="46"/>
      <c r="I338" s="46"/>
      <c r="J338" s="46"/>
    </row>
    <row r="339" spans="5:10" ht="13.15">
      <c r="E339" s="46"/>
      <c r="F339" s="46"/>
      <c r="G339" s="46"/>
      <c r="H339" s="46"/>
      <c r="I339" s="46"/>
      <c r="J339" s="46"/>
    </row>
    <row r="340" spans="5:10" ht="13.15">
      <c r="E340" s="46"/>
      <c r="F340" s="46"/>
      <c r="G340" s="46"/>
      <c r="H340" s="46"/>
      <c r="I340" s="46"/>
      <c r="J340" s="46"/>
    </row>
    <row r="341" spans="5:10" ht="13.15">
      <c r="E341" s="46"/>
      <c r="F341" s="46"/>
      <c r="G341" s="46"/>
      <c r="H341" s="46"/>
      <c r="I341" s="46"/>
      <c r="J341" s="46"/>
    </row>
    <row r="342" spans="5:10" ht="13.15">
      <c r="E342" s="46"/>
      <c r="F342" s="46"/>
      <c r="G342" s="46"/>
      <c r="H342" s="46"/>
      <c r="I342" s="46"/>
      <c r="J342" s="46"/>
    </row>
    <row r="343" spans="5:10" ht="13.15">
      <c r="E343" s="46"/>
      <c r="F343" s="46"/>
      <c r="G343" s="46"/>
      <c r="H343" s="46"/>
      <c r="I343" s="46"/>
      <c r="J343" s="46"/>
    </row>
    <row r="344" spans="5:10" ht="13.15">
      <c r="E344" s="46"/>
      <c r="F344" s="46"/>
      <c r="G344" s="46"/>
      <c r="H344" s="46"/>
      <c r="I344" s="46"/>
      <c r="J344" s="46"/>
    </row>
    <row r="345" spans="5:10" ht="13.15">
      <c r="E345" s="46"/>
      <c r="F345" s="46"/>
      <c r="G345" s="46"/>
      <c r="H345" s="46"/>
      <c r="I345" s="46"/>
      <c r="J345" s="46"/>
    </row>
    <row r="346" spans="5:10" ht="13.15">
      <c r="E346" s="46"/>
      <c r="F346" s="46"/>
      <c r="G346" s="46"/>
      <c r="H346" s="46"/>
      <c r="I346" s="46"/>
      <c r="J346" s="46"/>
    </row>
    <row r="347" spans="5:10" ht="13.15">
      <c r="E347" s="46"/>
      <c r="F347" s="46"/>
      <c r="G347" s="46"/>
      <c r="H347" s="46"/>
      <c r="I347" s="46"/>
      <c r="J347" s="46"/>
    </row>
    <row r="348" spans="5:10" ht="13.15">
      <c r="E348" s="46"/>
      <c r="F348" s="46"/>
      <c r="G348" s="46"/>
      <c r="H348" s="46"/>
      <c r="I348" s="46"/>
      <c r="J348" s="46"/>
    </row>
    <row r="349" spans="5:10" ht="13.15">
      <c r="E349" s="46"/>
      <c r="F349" s="46"/>
      <c r="G349" s="46"/>
      <c r="H349" s="46"/>
      <c r="I349" s="46"/>
      <c r="J349" s="46"/>
    </row>
    <row r="350" spans="5:10" ht="13.15">
      <c r="E350" s="46"/>
      <c r="F350" s="46"/>
      <c r="G350" s="46"/>
      <c r="H350" s="46"/>
      <c r="I350" s="46"/>
      <c r="J350" s="46"/>
    </row>
    <row r="351" spans="5:10" ht="13.15">
      <c r="E351" s="46"/>
      <c r="F351" s="46"/>
      <c r="G351" s="46"/>
      <c r="H351" s="46"/>
      <c r="I351" s="46"/>
      <c r="J351" s="46"/>
    </row>
    <row r="352" spans="5:10" ht="13.15">
      <c r="E352" s="46"/>
      <c r="F352" s="46"/>
      <c r="G352" s="46"/>
      <c r="H352" s="46"/>
      <c r="I352" s="46"/>
      <c r="J352" s="46"/>
    </row>
    <row r="353" spans="5:10" ht="13.15">
      <c r="E353" s="46"/>
      <c r="F353" s="46"/>
      <c r="G353" s="46"/>
      <c r="H353" s="46"/>
      <c r="I353" s="46"/>
      <c r="J353" s="46"/>
    </row>
    <row r="354" spans="5:10" ht="13.15">
      <c r="E354" s="46"/>
      <c r="F354" s="46"/>
      <c r="G354" s="46"/>
      <c r="H354" s="46"/>
      <c r="I354" s="46"/>
      <c r="J354" s="46"/>
    </row>
    <row r="355" spans="5:10" ht="13.15">
      <c r="E355" s="46"/>
      <c r="F355" s="46"/>
      <c r="G355" s="46"/>
      <c r="H355" s="46"/>
      <c r="I355" s="46"/>
      <c r="J355" s="46"/>
    </row>
    <row r="356" spans="5:10" ht="13.15">
      <c r="E356" s="46"/>
      <c r="F356" s="46"/>
      <c r="G356" s="46"/>
      <c r="H356" s="46"/>
      <c r="I356" s="46"/>
      <c r="J356" s="46"/>
    </row>
    <row r="357" spans="5:10" ht="13.15">
      <c r="E357" s="46"/>
      <c r="F357" s="46"/>
      <c r="G357" s="46"/>
      <c r="H357" s="46"/>
      <c r="I357" s="46"/>
      <c r="J357" s="46"/>
    </row>
    <row r="358" spans="5:10" ht="13.15">
      <c r="E358" s="46"/>
      <c r="F358" s="46"/>
      <c r="G358" s="46"/>
      <c r="H358" s="46"/>
      <c r="I358" s="46"/>
      <c r="J358" s="46"/>
    </row>
    <row r="359" spans="5:10" ht="13.15">
      <c r="E359" s="46"/>
      <c r="F359" s="46"/>
      <c r="G359" s="46"/>
      <c r="H359" s="46"/>
      <c r="I359" s="46"/>
      <c r="J359" s="46"/>
    </row>
    <row r="360" spans="5:10" ht="13.15">
      <c r="E360" s="46"/>
      <c r="F360" s="46"/>
      <c r="G360" s="46"/>
      <c r="H360" s="46"/>
      <c r="I360" s="46"/>
      <c r="J360" s="46"/>
    </row>
    <row r="361" spans="5:10" ht="13.15">
      <c r="E361" s="46"/>
      <c r="F361" s="46"/>
      <c r="G361" s="46"/>
      <c r="H361" s="46"/>
      <c r="I361" s="46"/>
      <c r="J361" s="46"/>
    </row>
    <row r="362" spans="5:10" ht="13.15">
      <c r="E362" s="46"/>
      <c r="F362" s="46"/>
      <c r="G362" s="46"/>
      <c r="H362" s="46"/>
      <c r="I362" s="46"/>
      <c r="J362" s="46"/>
    </row>
    <row r="363" spans="5:10" ht="13.15">
      <c r="E363" s="46"/>
      <c r="F363" s="46"/>
      <c r="G363" s="46"/>
      <c r="H363" s="46"/>
      <c r="I363" s="46"/>
      <c r="J363" s="46"/>
    </row>
    <row r="364" spans="5:10" ht="13.15">
      <c r="E364" s="46"/>
      <c r="F364" s="46"/>
      <c r="G364" s="46"/>
      <c r="H364" s="46"/>
      <c r="I364" s="46"/>
      <c r="J364" s="46"/>
    </row>
    <row r="365" spans="5:10" ht="13.15">
      <c r="E365" s="46"/>
      <c r="F365" s="46"/>
      <c r="G365" s="46"/>
      <c r="H365" s="46"/>
      <c r="I365" s="46"/>
      <c r="J365" s="46"/>
    </row>
    <row r="366" spans="5:10" ht="13.15">
      <c r="E366" s="46"/>
      <c r="F366" s="46"/>
      <c r="G366" s="46"/>
      <c r="H366" s="46"/>
      <c r="I366" s="46"/>
      <c r="J366" s="46"/>
    </row>
    <row r="367" spans="5:10" ht="13.15">
      <c r="E367" s="46"/>
      <c r="F367" s="46"/>
      <c r="G367" s="46"/>
      <c r="H367" s="46"/>
      <c r="I367" s="46"/>
      <c r="J367" s="46"/>
    </row>
    <row r="368" spans="5:10" ht="13.15">
      <c r="E368" s="46"/>
      <c r="F368" s="46"/>
      <c r="G368" s="46"/>
      <c r="H368" s="46"/>
      <c r="I368" s="46"/>
      <c r="J368" s="46"/>
    </row>
    <row r="369" spans="5:10" ht="13.15">
      <c r="E369" s="46"/>
      <c r="F369" s="46"/>
      <c r="G369" s="46"/>
      <c r="H369" s="46"/>
      <c r="I369" s="46"/>
      <c r="J369" s="46"/>
    </row>
    <row r="370" spans="5:10" ht="13.15">
      <c r="E370" s="46"/>
      <c r="F370" s="46"/>
      <c r="G370" s="46"/>
      <c r="H370" s="46"/>
      <c r="I370" s="46"/>
      <c r="J370" s="46"/>
    </row>
    <row r="371" spans="5:10" ht="13.15">
      <c r="E371" s="46"/>
      <c r="F371" s="46"/>
      <c r="G371" s="46"/>
      <c r="H371" s="46"/>
      <c r="I371" s="46"/>
      <c r="J371" s="46"/>
    </row>
    <row r="372" spans="5:10" ht="13.15">
      <c r="E372" s="46"/>
      <c r="F372" s="46"/>
      <c r="G372" s="46"/>
      <c r="H372" s="46"/>
      <c r="I372" s="46"/>
      <c r="J372" s="46"/>
    </row>
    <row r="373" spans="5:10" ht="13.15">
      <c r="E373" s="46"/>
      <c r="F373" s="46"/>
      <c r="G373" s="46"/>
      <c r="H373" s="46"/>
      <c r="I373" s="46"/>
      <c r="J373" s="46"/>
    </row>
    <row r="374" spans="5:10" ht="13.15">
      <c r="E374" s="46"/>
      <c r="F374" s="46"/>
      <c r="G374" s="46"/>
      <c r="H374" s="46"/>
      <c r="I374" s="46"/>
      <c r="J374" s="46"/>
    </row>
    <row r="375" spans="5:10" ht="13.15">
      <c r="E375" s="46"/>
      <c r="F375" s="46"/>
      <c r="G375" s="46"/>
      <c r="H375" s="46"/>
      <c r="I375" s="46"/>
      <c r="J375" s="46"/>
    </row>
    <row r="376" spans="5:10" ht="13.15">
      <c r="E376" s="46"/>
      <c r="F376" s="46"/>
      <c r="G376" s="46"/>
      <c r="H376" s="46"/>
      <c r="I376" s="46"/>
      <c r="J376" s="46"/>
    </row>
    <row r="377" spans="5:10" ht="13.15">
      <c r="E377" s="46"/>
      <c r="F377" s="46"/>
      <c r="G377" s="46"/>
      <c r="H377" s="46"/>
      <c r="I377" s="46"/>
      <c r="J377" s="46"/>
    </row>
    <row r="378" spans="5:10" ht="13.15">
      <c r="E378" s="46"/>
      <c r="F378" s="46"/>
      <c r="G378" s="46"/>
      <c r="H378" s="46"/>
      <c r="I378" s="46"/>
      <c r="J378" s="46"/>
    </row>
    <row r="379" spans="5:10" ht="13.15">
      <c r="E379" s="46"/>
      <c r="F379" s="46"/>
      <c r="G379" s="46"/>
      <c r="H379" s="46"/>
      <c r="I379" s="46"/>
      <c r="J379" s="46"/>
    </row>
    <row r="380" spans="5:10" ht="13.15">
      <c r="E380" s="46"/>
      <c r="F380" s="46"/>
      <c r="G380" s="46"/>
      <c r="H380" s="46"/>
      <c r="I380" s="46"/>
      <c r="J380" s="46"/>
    </row>
    <row r="381" spans="5:10" ht="13.15">
      <c r="E381" s="46"/>
      <c r="F381" s="46"/>
      <c r="G381" s="46"/>
      <c r="H381" s="46"/>
      <c r="I381" s="46"/>
      <c r="J381" s="46"/>
    </row>
    <row r="382" spans="5:10" ht="13.15">
      <c r="E382" s="46"/>
      <c r="F382" s="46"/>
      <c r="G382" s="46"/>
      <c r="H382" s="46"/>
      <c r="I382" s="46"/>
      <c r="J382" s="46"/>
    </row>
    <row r="383" spans="5:10" ht="13.15">
      <c r="E383" s="46"/>
      <c r="F383" s="46"/>
      <c r="G383" s="46"/>
      <c r="H383" s="46"/>
      <c r="I383" s="46"/>
      <c r="J383" s="46"/>
    </row>
    <row r="384" spans="5:10" ht="13.15">
      <c r="E384" s="46"/>
      <c r="F384" s="46"/>
      <c r="G384" s="46"/>
      <c r="H384" s="46"/>
      <c r="I384" s="46"/>
      <c r="J384" s="46"/>
    </row>
    <row r="385" spans="5:10" ht="13.15">
      <c r="E385" s="46"/>
      <c r="F385" s="46"/>
      <c r="G385" s="46"/>
      <c r="H385" s="46"/>
      <c r="I385" s="46"/>
      <c r="J385" s="46"/>
    </row>
    <row r="386" spans="5:10" ht="13.15">
      <c r="E386" s="46"/>
      <c r="F386" s="46"/>
      <c r="G386" s="46"/>
      <c r="H386" s="46"/>
      <c r="I386" s="46"/>
      <c r="J386" s="46"/>
    </row>
    <row r="387" spans="5:10" ht="13.15">
      <c r="E387" s="46"/>
      <c r="F387" s="46"/>
      <c r="G387" s="46"/>
      <c r="H387" s="46"/>
      <c r="I387" s="46"/>
      <c r="J387" s="46"/>
    </row>
    <row r="388" spans="5:10" ht="13.15">
      <c r="E388" s="46"/>
      <c r="F388" s="46"/>
      <c r="G388" s="46"/>
      <c r="H388" s="46"/>
      <c r="I388" s="46"/>
      <c r="J388" s="46"/>
    </row>
    <row r="389" spans="5:10" ht="13.15">
      <c r="E389" s="46"/>
      <c r="F389" s="46"/>
      <c r="G389" s="46"/>
      <c r="H389" s="46"/>
      <c r="I389" s="46"/>
      <c r="J389" s="46"/>
    </row>
    <row r="390" spans="5:10" ht="13.15">
      <c r="E390" s="46"/>
      <c r="F390" s="46"/>
      <c r="G390" s="46"/>
      <c r="H390" s="46"/>
      <c r="I390" s="46"/>
      <c r="J390" s="46"/>
    </row>
    <row r="391" spans="5:10" ht="13.15">
      <c r="E391" s="46"/>
      <c r="F391" s="46"/>
      <c r="G391" s="46"/>
      <c r="H391" s="46"/>
      <c r="I391" s="46"/>
      <c r="J391" s="46"/>
    </row>
    <row r="392" spans="5:10" ht="13.15">
      <c r="E392" s="46"/>
      <c r="F392" s="46"/>
      <c r="G392" s="46"/>
      <c r="H392" s="46"/>
      <c r="I392" s="46"/>
      <c r="J392" s="46"/>
    </row>
    <row r="393" spans="5:10" ht="13.15">
      <c r="E393" s="46"/>
      <c r="F393" s="46"/>
      <c r="G393" s="46"/>
      <c r="H393" s="46"/>
      <c r="I393" s="46"/>
      <c r="J393" s="46"/>
    </row>
    <row r="394" spans="5:10" ht="13.15">
      <c r="E394" s="46"/>
      <c r="F394" s="46"/>
      <c r="G394" s="46"/>
      <c r="H394" s="46"/>
      <c r="I394" s="46"/>
      <c r="J394" s="46"/>
    </row>
    <row r="395" spans="5:10" ht="13.15">
      <c r="E395" s="46"/>
      <c r="F395" s="46"/>
      <c r="G395" s="46"/>
      <c r="H395" s="46"/>
      <c r="I395" s="46"/>
      <c r="J395" s="46"/>
    </row>
    <row r="396" spans="5:10" ht="13.15">
      <c r="E396" s="46"/>
      <c r="F396" s="46"/>
      <c r="G396" s="46"/>
      <c r="H396" s="46"/>
      <c r="I396" s="46"/>
      <c r="J396" s="46"/>
    </row>
    <row r="397" spans="5:10" ht="13.15">
      <c r="E397" s="46"/>
      <c r="F397" s="46"/>
      <c r="G397" s="46"/>
      <c r="H397" s="46"/>
      <c r="I397" s="46"/>
      <c r="J397" s="46"/>
    </row>
    <row r="398" spans="5:10" ht="13.15">
      <c r="E398" s="46"/>
      <c r="F398" s="46"/>
      <c r="G398" s="46"/>
      <c r="H398" s="46"/>
      <c r="I398" s="46"/>
      <c r="J398" s="46"/>
    </row>
    <row r="399" spans="5:10" ht="13.15">
      <c r="E399" s="46"/>
      <c r="F399" s="46"/>
      <c r="G399" s="46"/>
      <c r="H399" s="46"/>
      <c r="I399" s="46"/>
      <c r="J399" s="46"/>
    </row>
    <row r="400" spans="5:10" ht="13.15">
      <c r="E400" s="46"/>
      <c r="F400" s="46"/>
      <c r="G400" s="46"/>
      <c r="H400" s="46"/>
      <c r="I400" s="46"/>
      <c r="J400" s="46"/>
    </row>
    <row r="401" spans="5:10" ht="13.15">
      <c r="E401" s="46"/>
      <c r="F401" s="46"/>
      <c r="G401" s="46"/>
      <c r="H401" s="46"/>
      <c r="I401" s="46"/>
      <c r="J401" s="46"/>
    </row>
    <row r="402" spans="5:10" ht="13.15">
      <c r="E402" s="46"/>
      <c r="F402" s="46"/>
      <c r="G402" s="46"/>
      <c r="H402" s="46"/>
      <c r="I402" s="46"/>
      <c r="J402" s="46"/>
    </row>
    <row r="403" spans="5:10" ht="13.15">
      <c r="E403" s="46"/>
      <c r="F403" s="46"/>
      <c r="G403" s="46"/>
      <c r="H403" s="46"/>
      <c r="I403" s="46"/>
      <c r="J403" s="46"/>
    </row>
    <row r="404" spans="5:10" ht="13.15">
      <c r="E404" s="46"/>
      <c r="F404" s="46"/>
      <c r="G404" s="46"/>
      <c r="H404" s="46"/>
      <c r="I404" s="46"/>
      <c r="J404" s="46"/>
    </row>
    <row r="405" spans="5:10" ht="13.15">
      <c r="E405" s="46"/>
      <c r="F405" s="46"/>
      <c r="G405" s="46"/>
      <c r="H405" s="46"/>
      <c r="I405" s="46"/>
      <c r="J405" s="46"/>
    </row>
    <row r="406" spans="5:10" ht="13.15">
      <c r="E406" s="46"/>
      <c r="F406" s="46"/>
      <c r="G406" s="46"/>
      <c r="H406" s="46"/>
      <c r="I406" s="46"/>
      <c r="J406" s="46"/>
    </row>
    <row r="407" spans="5:10" ht="13.15">
      <c r="E407" s="46"/>
      <c r="F407" s="46"/>
      <c r="G407" s="46"/>
      <c r="H407" s="46"/>
      <c r="I407" s="46"/>
      <c r="J407" s="46"/>
    </row>
    <row r="408" spans="5:10" ht="13.15">
      <c r="E408" s="46"/>
      <c r="F408" s="46"/>
      <c r="G408" s="46"/>
      <c r="H408" s="46"/>
      <c r="I408" s="46"/>
      <c r="J408" s="46"/>
    </row>
    <row r="409" spans="5:10" ht="13.15">
      <c r="E409" s="46"/>
      <c r="F409" s="46"/>
      <c r="G409" s="46"/>
      <c r="H409" s="46"/>
      <c r="I409" s="46"/>
      <c r="J409" s="46"/>
    </row>
    <row r="410" spans="5:10" ht="13.15">
      <c r="E410" s="46"/>
      <c r="F410" s="46"/>
      <c r="G410" s="46"/>
      <c r="H410" s="46"/>
      <c r="I410" s="46"/>
      <c r="J410" s="46"/>
    </row>
    <row r="411" spans="5:10" ht="13.15">
      <c r="E411" s="46"/>
      <c r="F411" s="46"/>
      <c r="G411" s="46"/>
      <c r="H411" s="46"/>
      <c r="I411" s="46"/>
      <c r="J411" s="46"/>
    </row>
    <row r="412" spans="5:10" ht="13.15">
      <c r="E412" s="46"/>
      <c r="F412" s="46"/>
      <c r="G412" s="46"/>
      <c r="H412" s="46"/>
      <c r="I412" s="46"/>
      <c r="J412" s="46"/>
    </row>
    <row r="413" spans="5:10" ht="13.15">
      <c r="E413" s="46"/>
      <c r="F413" s="46"/>
      <c r="G413" s="46"/>
      <c r="H413" s="46"/>
      <c r="I413" s="46"/>
      <c r="J413" s="46"/>
    </row>
    <row r="414" spans="5:10" ht="13.15">
      <c r="E414" s="46"/>
      <c r="F414" s="46"/>
      <c r="G414" s="46"/>
      <c r="H414" s="46"/>
      <c r="I414" s="46"/>
      <c r="J414" s="46"/>
    </row>
    <row r="415" spans="5:10" ht="13.15">
      <c r="E415" s="46"/>
      <c r="F415" s="46"/>
      <c r="G415" s="46"/>
      <c r="H415" s="46"/>
      <c r="I415" s="46"/>
      <c r="J415" s="46"/>
    </row>
    <row r="416" spans="5:10" ht="13.15">
      <c r="E416" s="46"/>
      <c r="F416" s="46"/>
      <c r="G416" s="46"/>
      <c r="H416" s="46"/>
      <c r="I416" s="46"/>
      <c r="J416" s="46"/>
    </row>
    <row r="417" spans="5:10" ht="13.15">
      <c r="E417" s="46"/>
      <c r="F417" s="46"/>
      <c r="G417" s="46"/>
      <c r="H417" s="46"/>
      <c r="I417" s="46"/>
      <c r="J417" s="46"/>
    </row>
    <row r="418" spans="5:10" ht="13.15">
      <c r="E418" s="46"/>
      <c r="F418" s="46"/>
      <c r="G418" s="46"/>
      <c r="H418" s="46"/>
      <c r="I418" s="46"/>
      <c r="J418" s="46"/>
    </row>
    <row r="419" spans="5:10" ht="13.15">
      <c r="E419" s="46"/>
      <c r="F419" s="46"/>
      <c r="G419" s="46"/>
      <c r="H419" s="46"/>
      <c r="I419" s="46"/>
      <c r="J419" s="46"/>
    </row>
    <row r="420" spans="5:10" ht="13.15">
      <c r="E420" s="46"/>
      <c r="F420" s="46"/>
      <c r="G420" s="46"/>
      <c r="H420" s="46"/>
      <c r="I420" s="46"/>
      <c r="J420" s="46"/>
    </row>
    <row r="421" spans="5:10" ht="13.15">
      <c r="E421" s="46"/>
      <c r="F421" s="46"/>
      <c r="G421" s="46"/>
      <c r="H421" s="46"/>
      <c r="I421" s="46"/>
      <c r="J421" s="46"/>
    </row>
    <row r="422" spans="5:10" ht="13.15">
      <c r="E422" s="46"/>
      <c r="F422" s="46"/>
      <c r="G422" s="46"/>
      <c r="H422" s="46"/>
      <c r="I422" s="46"/>
      <c r="J422" s="46"/>
    </row>
    <row r="423" spans="5:10" ht="13.15">
      <c r="E423" s="46"/>
      <c r="F423" s="46"/>
      <c r="G423" s="46"/>
      <c r="H423" s="46"/>
      <c r="I423" s="46"/>
      <c r="J423" s="46"/>
    </row>
    <row r="424" spans="5:10" ht="13.15">
      <c r="E424" s="46"/>
      <c r="F424" s="46"/>
      <c r="G424" s="46"/>
      <c r="H424" s="46"/>
      <c r="I424" s="46"/>
      <c r="J424" s="46"/>
    </row>
    <row r="425" spans="5:10" ht="13.15">
      <c r="E425" s="46"/>
      <c r="F425" s="46"/>
      <c r="G425" s="46"/>
      <c r="H425" s="46"/>
      <c r="I425" s="46"/>
      <c r="J425" s="46"/>
    </row>
    <row r="426" spans="5:10" ht="13.15">
      <c r="E426" s="46"/>
      <c r="F426" s="46"/>
      <c r="G426" s="46"/>
      <c r="H426" s="46"/>
      <c r="I426" s="46"/>
      <c r="J426" s="46"/>
    </row>
    <row r="427" spans="5:10" ht="13.15">
      <c r="E427" s="46"/>
      <c r="F427" s="46"/>
      <c r="G427" s="46"/>
      <c r="H427" s="46"/>
      <c r="I427" s="46"/>
      <c r="J427" s="46"/>
    </row>
    <row r="428" spans="5:10" ht="13.15">
      <c r="E428" s="46"/>
      <c r="F428" s="46"/>
      <c r="G428" s="46"/>
      <c r="H428" s="46"/>
      <c r="I428" s="46"/>
      <c r="J428" s="46"/>
    </row>
    <row r="429" spans="5:10" ht="13.15">
      <c r="E429" s="46"/>
      <c r="F429" s="46"/>
      <c r="G429" s="46"/>
      <c r="H429" s="46"/>
      <c r="I429" s="46"/>
      <c r="J429" s="46"/>
    </row>
    <row r="430" spans="5:10" ht="13.15">
      <c r="E430" s="46"/>
      <c r="F430" s="46"/>
      <c r="G430" s="46"/>
      <c r="H430" s="46"/>
      <c r="I430" s="46"/>
      <c r="J430" s="46"/>
    </row>
    <row r="431" spans="5:10" ht="13.15">
      <c r="E431" s="46"/>
      <c r="F431" s="46"/>
      <c r="G431" s="46"/>
      <c r="H431" s="46"/>
      <c r="I431" s="46"/>
      <c r="J431" s="46"/>
    </row>
    <row r="432" spans="5:10" ht="13.15">
      <c r="E432" s="46"/>
      <c r="F432" s="46"/>
      <c r="G432" s="46"/>
      <c r="H432" s="46"/>
      <c r="I432" s="46"/>
      <c r="J432" s="46"/>
    </row>
    <row r="433" spans="5:10" ht="13.15">
      <c r="E433" s="46"/>
      <c r="F433" s="46"/>
      <c r="G433" s="46"/>
      <c r="H433" s="46"/>
      <c r="I433" s="46"/>
      <c r="J433" s="46"/>
    </row>
    <row r="434" spans="5:10" ht="13.15">
      <c r="E434" s="46"/>
      <c r="F434" s="46"/>
      <c r="G434" s="46"/>
      <c r="H434" s="46"/>
      <c r="I434" s="46"/>
      <c r="J434" s="46"/>
    </row>
    <row r="435" spans="5:10" ht="13.15">
      <c r="E435" s="46"/>
      <c r="F435" s="46"/>
      <c r="G435" s="46"/>
      <c r="H435" s="46"/>
      <c r="I435" s="46"/>
      <c r="J435" s="46"/>
    </row>
    <row r="436" spans="5:10" ht="13.15">
      <c r="E436" s="46"/>
      <c r="F436" s="46"/>
      <c r="G436" s="46"/>
      <c r="H436" s="46"/>
      <c r="I436" s="46"/>
      <c r="J436" s="46"/>
    </row>
    <row r="437" spans="5:10" ht="13.15">
      <c r="E437" s="46"/>
      <c r="F437" s="46"/>
      <c r="G437" s="46"/>
      <c r="H437" s="46"/>
      <c r="I437" s="46"/>
      <c r="J437" s="46"/>
    </row>
    <row r="438" spans="5:10" ht="13.15">
      <c r="E438" s="46"/>
      <c r="F438" s="46"/>
      <c r="G438" s="46"/>
      <c r="H438" s="46"/>
      <c r="I438" s="46"/>
      <c r="J438" s="46"/>
    </row>
    <row r="439" spans="5:10" ht="13.15">
      <c r="E439" s="46"/>
      <c r="F439" s="46"/>
      <c r="G439" s="46"/>
      <c r="H439" s="46"/>
      <c r="I439" s="46"/>
      <c r="J439" s="46"/>
    </row>
    <row r="440" spans="5:10" ht="13.15">
      <c r="E440" s="46"/>
      <c r="F440" s="46"/>
      <c r="G440" s="46"/>
      <c r="H440" s="46"/>
      <c r="I440" s="46"/>
      <c r="J440" s="46"/>
    </row>
    <row r="441" spans="5:10" ht="13.15">
      <c r="E441" s="46"/>
      <c r="F441" s="46"/>
      <c r="G441" s="46"/>
      <c r="H441" s="46"/>
      <c r="I441" s="46"/>
      <c r="J441" s="46"/>
    </row>
    <row r="442" spans="5:10" ht="13.15">
      <c r="E442" s="46"/>
      <c r="F442" s="46"/>
      <c r="G442" s="46"/>
      <c r="H442" s="46"/>
      <c r="I442" s="46"/>
      <c r="J442" s="46"/>
    </row>
    <row r="443" spans="5:10" ht="13.15">
      <c r="E443" s="46"/>
      <c r="F443" s="46"/>
      <c r="G443" s="46"/>
      <c r="H443" s="46"/>
      <c r="I443" s="46"/>
      <c r="J443" s="46"/>
    </row>
    <row r="444" spans="5:10" ht="13.15">
      <c r="E444" s="46"/>
      <c r="F444" s="46"/>
      <c r="G444" s="46"/>
      <c r="H444" s="46"/>
      <c r="I444" s="46"/>
      <c r="J444" s="46"/>
    </row>
    <row r="445" spans="5:10" ht="13.15">
      <c r="E445" s="46"/>
      <c r="F445" s="46"/>
      <c r="G445" s="46"/>
      <c r="H445" s="46"/>
      <c r="I445" s="46"/>
      <c r="J445" s="46"/>
    </row>
    <row r="446" spans="5:10" ht="13.15">
      <c r="E446" s="46"/>
      <c r="F446" s="46"/>
      <c r="G446" s="46"/>
      <c r="H446" s="46"/>
      <c r="I446" s="46"/>
      <c r="J446" s="46"/>
    </row>
    <row r="447" spans="5:10" ht="13.15">
      <c r="E447" s="46"/>
      <c r="F447" s="46"/>
      <c r="G447" s="46"/>
      <c r="H447" s="46"/>
      <c r="I447" s="46"/>
      <c r="J447" s="46"/>
    </row>
    <row r="448" spans="5:10" ht="13.15">
      <c r="E448" s="46"/>
      <c r="F448" s="46"/>
      <c r="G448" s="46"/>
      <c r="H448" s="46"/>
      <c r="I448" s="46"/>
      <c r="J448" s="46"/>
    </row>
    <row r="449" spans="5:10" ht="13.15">
      <c r="E449" s="46"/>
      <c r="F449" s="46"/>
      <c r="G449" s="46"/>
      <c r="H449" s="46"/>
      <c r="I449" s="46"/>
      <c r="J449" s="46"/>
    </row>
    <row r="450" spans="5:10" ht="13.15">
      <c r="E450" s="46"/>
      <c r="F450" s="46"/>
      <c r="G450" s="46"/>
      <c r="H450" s="46"/>
      <c r="I450" s="46"/>
      <c r="J450" s="46"/>
    </row>
    <row r="451" spans="5:10" ht="13.15">
      <c r="E451" s="46"/>
      <c r="F451" s="46"/>
      <c r="G451" s="46"/>
      <c r="H451" s="46"/>
      <c r="I451" s="46"/>
      <c r="J451" s="46"/>
    </row>
    <row r="452" spans="5:10" ht="13.15">
      <c r="E452" s="46"/>
      <c r="F452" s="46"/>
      <c r="G452" s="46"/>
      <c r="H452" s="46"/>
      <c r="I452" s="46"/>
      <c r="J452" s="46"/>
    </row>
    <row r="453" spans="5:10" ht="13.15">
      <c r="E453" s="46"/>
      <c r="F453" s="46"/>
      <c r="G453" s="46"/>
      <c r="H453" s="46"/>
      <c r="I453" s="46"/>
      <c r="J453" s="46"/>
    </row>
    <row r="454" spans="5:10" ht="13.15">
      <c r="E454" s="46"/>
      <c r="F454" s="46"/>
      <c r="G454" s="46"/>
      <c r="H454" s="46"/>
      <c r="I454" s="46"/>
      <c r="J454" s="46"/>
    </row>
    <row r="455" spans="5:10" ht="13.15">
      <c r="E455" s="46"/>
      <c r="F455" s="46"/>
      <c r="G455" s="46"/>
      <c r="H455" s="46"/>
      <c r="I455" s="46"/>
      <c r="J455" s="46"/>
    </row>
    <row r="456" spans="5:10" ht="13.15">
      <c r="E456" s="46"/>
      <c r="F456" s="46"/>
      <c r="G456" s="46"/>
      <c r="H456" s="46"/>
      <c r="I456" s="46"/>
      <c r="J456" s="46"/>
    </row>
    <row r="457" spans="5:10" ht="13.15">
      <c r="E457" s="46"/>
      <c r="F457" s="46"/>
      <c r="G457" s="46"/>
      <c r="H457" s="46"/>
      <c r="I457" s="46"/>
      <c r="J457" s="46"/>
    </row>
    <row r="458" spans="5:10" ht="13.15">
      <c r="E458" s="46"/>
      <c r="F458" s="46"/>
      <c r="G458" s="46"/>
      <c r="H458" s="46"/>
      <c r="I458" s="46"/>
      <c r="J458" s="46"/>
    </row>
    <row r="459" spans="5:10" ht="13.15">
      <c r="E459" s="46"/>
      <c r="F459" s="46"/>
      <c r="G459" s="46"/>
      <c r="H459" s="46"/>
      <c r="I459" s="46"/>
      <c r="J459" s="46"/>
    </row>
    <row r="460" spans="5:10" ht="13.15">
      <c r="E460" s="46"/>
      <c r="F460" s="46"/>
      <c r="G460" s="46"/>
      <c r="H460" s="46"/>
      <c r="I460" s="46"/>
      <c r="J460" s="46"/>
    </row>
    <row r="461" spans="5:10" ht="13.15">
      <c r="E461" s="46"/>
      <c r="F461" s="46"/>
      <c r="G461" s="46"/>
      <c r="H461" s="46"/>
      <c r="I461" s="46"/>
      <c r="J461" s="46"/>
    </row>
    <row r="462" spans="5:10" ht="13.15">
      <c r="E462" s="46"/>
      <c r="F462" s="46"/>
      <c r="G462" s="46"/>
      <c r="H462" s="46"/>
      <c r="I462" s="46"/>
      <c r="J462" s="46"/>
    </row>
    <row r="463" spans="5:10" ht="13.15">
      <c r="E463" s="46"/>
      <c r="F463" s="46"/>
      <c r="G463" s="46"/>
      <c r="H463" s="46"/>
      <c r="I463" s="46"/>
      <c r="J463" s="46"/>
    </row>
    <row r="464" spans="5:10" ht="13.15">
      <c r="E464" s="46"/>
      <c r="F464" s="46"/>
      <c r="G464" s="46"/>
      <c r="H464" s="46"/>
      <c r="I464" s="46"/>
      <c r="J464" s="46"/>
    </row>
    <row r="465" spans="5:10" ht="13.15">
      <c r="E465" s="46"/>
      <c r="F465" s="46"/>
      <c r="G465" s="46"/>
      <c r="H465" s="46"/>
      <c r="I465" s="46"/>
      <c r="J465" s="46"/>
    </row>
    <row r="466" spans="5:10" ht="13.15">
      <c r="E466" s="46"/>
      <c r="F466" s="46"/>
      <c r="G466" s="46"/>
      <c r="H466" s="46"/>
      <c r="I466" s="46"/>
      <c r="J466" s="46"/>
    </row>
    <row r="467" spans="5:10" ht="13.15">
      <c r="E467" s="46"/>
      <c r="F467" s="46"/>
      <c r="G467" s="46"/>
      <c r="H467" s="46"/>
      <c r="I467" s="46"/>
      <c r="J467" s="46"/>
    </row>
    <row r="468" spans="5:10" ht="13.15">
      <c r="E468" s="46"/>
      <c r="F468" s="46"/>
      <c r="G468" s="46"/>
      <c r="H468" s="46"/>
      <c r="I468" s="46"/>
      <c r="J468" s="46"/>
    </row>
    <row r="469" spans="5:10" ht="13.15">
      <c r="E469" s="46"/>
      <c r="F469" s="46"/>
      <c r="G469" s="46"/>
      <c r="H469" s="46"/>
      <c r="I469" s="46"/>
      <c r="J469" s="46"/>
    </row>
    <row r="470" spans="5:10" ht="13.15">
      <c r="E470" s="46"/>
      <c r="F470" s="46"/>
      <c r="G470" s="46"/>
      <c r="H470" s="46"/>
      <c r="I470" s="46"/>
      <c r="J470" s="46"/>
    </row>
    <row r="471" spans="5:10" ht="13.15">
      <c r="E471" s="46"/>
      <c r="F471" s="46"/>
      <c r="G471" s="46"/>
      <c r="H471" s="46"/>
      <c r="I471" s="46"/>
      <c r="J471" s="46"/>
    </row>
    <row r="472" spans="5:10" ht="13.15">
      <c r="E472" s="46"/>
      <c r="F472" s="46"/>
      <c r="G472" s="46"/>
      <c r="H472" s="46"/>
      <c r="I472" s="46"/>
      <c r="J472" s="46"/>
    </row>
    <row r="473" spans="5:10" ht="13.15">
      <c r="E473" s="46"/>
      <c r="F473" s="46"/>
      <c r="G473" s="46"/>
      <c r="H473" s="46"/>
      <c r="I473" s="46"/>
      <c r="J473" s="46"/>
    </row>
    <row r="474" spans="5:10" ht="13.15">
      <c r="E474" s="46"/>
      <c r="F474" s="46"/>
      <c r="G474" s="46"/>
      <c r="H474" s="46"/>
      <c r="I474" s="46"/>
      <c r="J474" s="46"/>
    </row>
    <row r="475" spans="5:10" ht="13.15">
      <c r="E475" s="46"/>
      <c r="F475" s="46"/>
      <c r="G475" s="46"/>
      <c r="H475" s="46"/>
      <c r="I475" s="46"/>
      <c r="J475" s="46"/>
    </row>
    <row r="476" spans="5:10" ht="13.15">
      <c r="E476" s="46"/>
      <c r="F476" s="46"/>
      <c r="G476" s="46"/>
      <c r="H476" s="46"/>
      <c r="I476" s="46"/>
      <c r="J476" s="46"/>
    </row>
    <row r="477" spans="5:10" ht="13.15">
      <c r="E477" s="46"/>
      <c r="F477" s="46"/>
      <c r="G477" s="46"/>
      <c r="H477" s="46"/>
      <c r="I477" s="46"/>
      <c r="J477" s="46"/>
    </row>
    <row r="478" spans="5:10" ht="13.15">
      <c r="E478" s="46"/>
      <c r="F478" s="46"/>
      <c r="G478" s="46"/>
      <c r="H478" s="46"/>
      <c r="I478" s="46"/>
      <c r="J478" s="46"/>
    </row>
    <row r="479" spans="5:10" ht="13.15">
      <c r="E479" s="46"/>
      <c r="F479" s="46"/>
      <c r="G479" s="46"/>
      <c r="H479" s="46"/>
      <c r="I479" s="46"/>
      <c r="J479" s="46"/>
    </row>
    <row r="480" spans="5:10" ht="13.15">
      <c r="E480" s="46"/>
      <c r="F480" s="46"/>
      <c r="G480" s="46"/>
      <c r="H480" s="46"/>
      <c r="I480" s="46"/>
      <c r="J480" s="46"/>
    </row>
    <row r="481" spans="5:10" ht="13.15">
      <c r="E481" s="46"/>
      <c r="F481" s="46"/>
      <c r="G481" s="46"/>
      <c r="H481" s="46"/>
      <c r="I481" s="46"/>
      <c r="J481" s="46"/>
    </row>
    <row r="482" spans="5:10" ht="13.15">
      <c r="E482" s="46"/>
      <c r="F482" s="46"/>
      <c r="G482" s="46"/>
      <c r="H482" s="46"/>
      <c r="I482" s="46"/>
      <c r="J482" s="46"/>
    </row>
    <row r="483" spans="5:10" ht="13.15">
      <c r="E483" s="46"/>
      <c r="F483" s="46"/>
      <c r="G483" s="46"/>
      <c r="H483" s="46"/>
      <c r="I483" s="46"/>
      <c r="J483" s="46"/>
    </row>
    <row r="484" spans="5:10" ht="13.15">
      <c r="E484" s="46"/>
      <c r="F484" s="46"/>
      <c r="G484" s="46"/>
      <c r="H484" s="46"/>
      <c r="I484" s="46"/>
      <c r="J484" s="46"/>
    </row>
    <row r="485" spans="5:10" ht="13.15">
      <c r="E485" s="46"/>
      <c r="F485" s="46"/>
      <c r="G485" s="46"/>
      <c r="H485" s="46"/>
      <c r="I485" s="46"/>
      <c r="J485" s="46"/>
    </row>
    <row r="486" spans="5:10" ht="13.15">
      <c r="E486" s="46"/>
      <c r="F486" s="46"/>
      <c r="G486" s="46"/>
      <c r="H486" s="46"/>
      <c r="I486" s="46"/>
      <c r="J486" s="46"/>
    </row>
    <row r="487" spans="5:10" ht="13.15">
      <c r="E487" s="46"/>
      <c r="F487" s="46"/>
      <c r="G487" s="46"/>
      <c r="H487" s="46"/>
      <c r="I487" s="46"/>
      <c r="J487" s="46"/>
    </row>
    <row r="488" spans="5:10" ht="13.15">
      <c r="E488" s="46"/>
      <c r="F488" s="46"/>
      <c r="G488" s="46"/>
      <c r="H488" s="46"/>
      <c r="I488" s="46"/>
      <c r="J488" s="46"/>
    </row>
    <row r="489" spans="5:10" ht="13.15">
      <c r="E489" s="46"/>
      <c r="F489" s="46"/>
      <c r="G489" s="46"/>
      <c r="H489" s="46"/>
      <c r="I489" s="46"/>
      <c r="J489" s="46"/>
    </row>
    <row r="490" spans="5:10" ht="13.15">
      <c r="E490" s="46"/>
      <c r="F490" s="46"/>
      <c r="G490" s="46"/>
      <c r="H490" s="46"/>
      <c r="I490" s="46"/>
      <c r="J490" s="46"/>
    </row>
    <row r="491" spans="5:10" ht="13.15">
      <c r="E491" s="46"/>
      <c r="F491" s="46"/>
      <c r="G491" s="46"/>
      <c r="H491" s="46"/>
      <c r="I491" s="46"/>
      <c r="J491" s="46"/>
    </row>
    <row r="492" spans="5:10" ht="13.15">
      <c r="E492" s="46"/>
      <c r="F492" s="46"/>
      <c r="G492" s="46"/>
      <c r="H492" s="46"/>
      <c r="I492" s="46"/>
      <c r="J492" s="46"/>
    </row>
    <row r="493" spans="5:10" ht="13.15">
      <c r="E493" s="46"/>
      <c r="F493" s="46"/>
      <c r="G493" s="46"/>
      <c r="H493" s="46"/>
      <c r="I493" s="46"/>
      <c r="J493" s="46"/>
    </row>
    <row r="494" spans="5:10" ht="13.15">
      <c r="E494" s="46"/>
      <c r="F494" s="46"/>
      <c r="G494" s="46"/>
      <c r="H494" s="46"/>
      <c r="I494" s="46"/>
      <c r="J494" s="46"/>
    </row>
    <row r="495" spans="5:10" ht="13.15">
      <c r="E495" s="46"/>
      <c r="F495" s="46"/>
      <c r="G495" s="46"/>
      <c r="H495" s="46"/>
      <c r="I495" s="46"/>
      <c r="J495" s="46"/>
    </row>
    <row r="496" spans="5:10" ht="13.15">
      <c r="E496" s="46"/>
      <c r="F496" s="46"/>
      <c r="G496" s="46"/>
      <c r="H496" s="46"/>
      <c r="I496" s="46"/>
      <c r="J496" s="46"/>
    </row>
    <row r="497" spans="5:10" ht="13.15">
      <c r="E497" s="46"/>
      <c r="F497" s="46"/>
      <c r="G497" s="46"/>
      <c r="H497" s="46"/>
      <c r="I497" s="46"/>
      <c r="J497" s="46"/>
    </row>
    <row r="498" spans="5:10" ht="13.15">
      <c r="E498" s="46"/>
      <c r="F498" s="46"/>
      <c r="G498" s="46"/>
      <c r="H498" s="46"/>
      <c r="I498" s="46"/>
      <c r="J498" s="46"/>
    </row>
    <row r="499" spans="5:10" ht="13.15">
      <c r="E499" s="46"/>
      <c r="F499" s="46"/>
      <c r="G499" s="46"/>
      <c r="H499" s="46"/>
      <c r="I499" s="46"/>
      <c r="J499" s="46"/>
    </row>
    <row r="500" spans="5:10" ht="13.15">
      <c r="E500" s="46"/>
      <c r="F500" s="46"/>
      <c r="G500" s="46"/>
      <c r="H500" s="46"/>
      <c r="I500" s="46"/>
      <c r="J500" s="46"/>
    </row>
    <row r="501" spans="5:10" ht="13.15">
      <c r="E501" s="46"/>
      <c r="F501" s="46"/>
      <c r="G501" s="46"/>
      <c r="H501" s="46"/>
      <c r="I501" s="46"/>
      <c r="J501" s="46"/>
    </row>
    <row r="502" spans="5:10" ht="13.15">
      <c r="E502" s="46"/>
      <c r="F502" s="46"/>
      <c r="G502" s="46"/>
      <c r="H502" s="46"/>
      <c r="I502" s="46"/>
      <c r="J502" s="46"/>
    </row>
    <row r="503" spans="5:10" ht="13.15">
      <c r="E503" s="46"/>
      <c r="F503" s="46"/>
      <c r="G503" s="46"/>
      <c r="H503" s="46"/>
      <c r="I503" s="46"/>
      <c r="J503" s="46"/>
    </row>
    <row r="504" spans="5:10" ht="13.15">
      <c r="E504" s="46"/>
      <c r="F504" s="46"/>
      <c r="G504" s="46"/>
      <c r="H504" s="46"/>
      <c r="I504" s="46"/>
      <c r="J504" s="46"/>
    </row>
    <row r="505" spans="5:10" ht="13.15">
      <c r="E505" s="46"/>
      <c r="F505" s="46"/>
      <c r="G505" s="46"/>
      <c r="H505" s="46"/>
      <c r="I505" s="46"/>
      <c r="J505" s="46"/>
    </row>
    <row r="506" spans="5:10" ht="13.15">
      <c r="E506" s="46"/>
      <c r="F506" s="46"/>
      <c r="G506" s="46"/>
      <c r="H506" s="46"/>
      <c r="I506" s="46"/>
      <c r="J506" s="46"/>
    </row>
    <row r="507" spans="5:10" ht="13.15">
      <c r="E507" s="46"/>
      <c r="F507" s="46"/>
      <c r="G507" s="46"/>
      <c r="H507" s="46"/>
      <c r="I507" s="46"/>
      <c r="J507" s="46"/>
    </row>
    <row r="508" spans="5:10" ht="13.15">
      <c r="E508" s="46"/>
      <c r="F508" s="46"/>
      <c r="G508" s="46"/>
      <c r="H508" s="46"/>
      <c r="I508" s="46"/>
      <c r="J508" s="46"/>
    </row>
    <row r="509" spans="5:10" ht="13.15">
      <c r="E509" s="46"/>
      <c r="F509" s="46"/>
      <c r="G509" s="46"/>
      <c r="H509" s="46"/>
      <c r="I509" s="46"/>
      <c r="J509" s="46"/>
    </row>
    <row r="510" spans="5:10" ht="13.15">
      <c r="E510" s="46"/>
      <c r="F510" s="46"/>
      <c r="G510" s="46"/>
      <c r="H510" s="46"/>
      <c r="I510" s="46"/>
      <c r="J510" s="46"/>
    </row>
    <row r="511" spans="5:10" ht="13.15">
      <c r="E511" s="46"/>
      <c r="F511" s="46"/>
      <c r="G511" s="46"/>
      <c r="H511" s="46"/>
      <c r="I511" s="46"/>
      <c r="J511" s="46"/>
    </row>
    <row r="512" spans="5:10" ht="13.15">
      <c r="E512" s="46"/>
      <c r="F512" s="46"/>
      <c r="G512" s="46"/>
      <c r="H512" s="46"/>
      <c r="I512" s="46"/>
      <c r="J512" s="46"/>
    </row>
    <row r="513" spans="5:10" ht="13.15">
      <c r="E513" s="46"/>
      <c r="F513" s="46"/>
      <c r="G513" s="46"/>
      <c r="H513" s="46"/>
      <c r="I513" s="46"/>
      <c r="J513" s="46"/>
    </row>
    <row r="514" spans="5:10" ht="13.15">
      <c r="E514" s="46"/>
      <c r="F514" s="46"/>
      <c r="G514" s="46"/>
      <c r="H514" s="46"/>
      <c r="I514" s="46"/>
      <c r="J514" s="46"/>
    </row>
    <row r="515" spans="5:10" ht="13.15">
      <c r="E515" s="46"/>
      <c r="F515" s="46"/>
      <c r="G515" s="46"/>
      <c r="H515" s="46"/>
      <c r="I515" s="46"/>
      <c r="J515" s="46"/>
    </row>
    <row r="516" spans="5:10" ht="13.15">
      <c r="E516" s="46"/>
      <c r="F516" s="46"/>
      <c r="G516" s="46"/>
      <c r="H516" s="46"/>
      <c r="I516" s="46"/>
      <c r="J516" s="46"/>
    </row>
    <row r="517" spans="5:10" ht="13.15">
      <c r="E517" s="46"/>
      <c r="F517" s="46"/>
      <c r="G517" s="46"/>
      <c r="H517" s="46"/>
      <c r="I517" s="46"/>
      <c r="J517" s="46"/>
    </row>
    <row r="518" spans="5:10" ht="13.15">
      <c r="E518" s="46"/>
      <c r="F518" s="46"/>
      <c r="G518" s="46"/>
      <c r="H518" s="46"/>
      <c r="I518" s="46"/>
      <c r="J518" s="46"/>
    </row>
    <row r="519" spans="5:10" ht="13.15">
      <c r="E519" s="46"/>
      <c r="F519" s="46"/>
      <c r="G519" s="46"/>
      <c r="H519" s="46"/>
      <c r="I519" s="46"/>
      <c r="J519" s="46"/>
    </row>
    <row r="520" spans="5:10" ht="13.15">
      <c r="E520" s="46"/>
      <c r="F520" s="46"/>
      <c r="G520" s="46"/>
      <c r="H520" s="46"/>
      <c r="I520" s="46"/>
      <c r="J520" s="46"/>
    </row>
    <row r="521" spans="5:10" ht="13.15">
      <c r="E521" s="46"/>
      <c r="F521" s="46"/>
      <c r="G521" s="46"/>
      <c r="H521" s="46"/>
      <c r="I521" s="46"/>
      <c r="J521" s="46"/>
    </row>
    <row r="522" spans="5:10" ht="13.15">
      <c r="E522" s="46"/>
      <c r="F522" s="46"/>
      <c r="G522" s="46"/>
      <c r="H522" s="46"/>
      <c r="I522" s="46"/>
      <c r="J522" s="46"/>
    </row>
    <row r="523" spans="5:10" ht="13.15">
      <c r="E523" s="46"/>
      <c r="F523" s="46"/>
      <c r="G523" s="46"/>
      <c r="H523" s="46"/>
      <c r="I523" s="46"/>
      <c r="J523" s="46"/>
    </row>
    <row r="524" spans="5:10" ht="13.15">
      <c r="E524" s="46"/>
      <c r="F524" s="46"/>
      <c r="G524" s="46"/>
      <c r="H524" s="46"/>
      <c r="I524" s="46"/>
      <c r="J524" s="46"/>
    </row>
    <row r="525" spans="5:10" ht="13.15">
      <c r="E525" s="46"/>
      <c r="F525" s="46"/>
      <c r="G525" s="46"/>
      <c r="H525" s="46"/>
      <c r="I525" s="46"/>
      <c r="J525" s="46"/>
    </row>
    <row r="526" spans="5:10" ht="13.15">
      <c r="E526" s="46"/>
      <c r="F526" s="46"/>
      <c r="G526" s="46"/>
      <c r="H526" s="46"/>
      <c r="I526" s="46"/>
      <c r="J526" s="46"/>
    </row>
    <row r="527" spans="5:10" ht="13.15">
      <c r="E527" s="46"/>
      <c r="F527" s="46"/>
      <c r="G527" s="46"/>
      <c r="H527" s="46"/>
      <c r="I527" s="46"/>
      <c r="J527" s="46"/>
    </row>
    <row r="528" spans="5:10" ht="13.15">
      <c r="E528" s="46"/>
      <c r="F528" s="46"/>
      <c r="G528" s="46"/>
      <c r="H528" s="46"/>
      <c r="I528" s="46"/>
      <c r="J528" s="46"/>
    </row>
    <row r="529" spans="5:10" ht="13.15">
      <c r="E529" s="46"/>
      <c r="F529" s="46"/>
      <c r="G529" s="46"/>
      <c r="H529" s="46"/>
      <c r="I529" s="46"/>
      <c r="J529" s="46"/>
    </row>
    <row r="530" spans="5:10" ht="13.15">
      <c r="E530" s="46"/>
      <c r="F530" s="46"/>
      <c r="G530" s="46"/>
      <c r="H530" s="46"/>
      <c r="I530" s="46"/>
      <c r="J530" s="46"/>
    </row>
    <row r="531" spans="5:10" ht="13.15">
      <c r="E531" s="46"/>
      <c r="F531" s="46"/>
      <c r="G531" s="46"/>
      <c r="H531" s="46"/>
      <c r="I531" s="46"/>
      <c r="J531" s="46"/>
    </row>
    <row r="532" spans="5:10" ht="13.15">
      <c r="E532" s="46"/>
      <c r="F532" s="46"/>
      <c r="G532" s="46"/>
      <c r="H532" s="46"/>
      <c r="I532" s="46"/>
      <c r="J532" s="46"/>
    </row>
    <row r="533" spans="5:10" ht="13.15">
      <c r="E533" s="46"/>
      <c r="F533" s="46"/>
      <c r="G533" s="46"/>
      <c r="H533" s="46"/>
      <c r="I533" s="46"/>
      <c r="J533" s="46"/>
    </row>
    <row r="534" spans="5:10" ht="13.15">
      <c r="E534" s="46"/>
      <c r="F534" s="46"/>
      <c r="G534" s="46"/>
      <c r="H534" s="46"/>
      <c r="I534" s="46"/>
      <c r="J534" s="46"/>
    </row>
    <row r="535" spans="5:10" ht="13.15">
      <c r="E535" s="46"/>
      <c r="F535" s="46"/>
      <c r="G535" s="46"/>
      <c r="H535" s="46"/>
      <c r="I535" s="46"/>
      <c r="J535" s="46"/>
    </row>
    <row r="536" spans="5:10" ht="13.15">
      <c r="E536" s="46"/>
      <c r="F536" s="46"/>
      <c r="G536" s="46"/>
      <c r="H536" s="46"/>
      <c r="I536" s="46"/>
      <c r="J536" s="46"/>
    </row>
    <row r="537" spans="5:10" ht="13.15">
      <c r="E537" s="46"/>
      <c r="F537" s="46"/>
      <c r="G537" s="46"/>
      <c r="H537" s="46"/>
      <c r="I537" s="46"/>
      <c r="J537" s="46"/>
    </row>
    <row r="538" spans="5:10" ht="13.15">
      <c r="E538" s="46"/>
      <c r="F538" s="46"/>
      <c r="G538" s="46"/>
      <c r="H538" s="46"/>
      <c r="I538" s="46"/>
      <c r="J538" s="46"/>
    </row>
    <row r="539" spans="5:10" ht="13.15">
      <c r="E539" s="46"/>
      <c r="F539" s="46"/>
      <c r="G539" s="46"/>
      <c r="H539" s="46"/>
      <c r="I539" s="46"/>
      <c r="J539" s="46"/>
    </row>
    <row r="540" spans="5:10" ht="13.15">
      <c r="E540" s="46"/>
      <c r="F540" s="46"/>
      <c r="G540" s="46"/>
      <c r="H540" s="46"/>
      <c r="I540" s="46"/>
      <c r="J540" s="46"/>
    </row>
    <row r="541" spans="5:10" ht="13.15">
      <c r="E541" s="46"/>
      <c r="F541" s="46"/>
      <c r="G541" s="46"/>
      <c r="H541" s="46"/>
      <c r="I541" s="46"/>
      <c r="J541" s="46"/>
    </row>
    <row r="542" spans="5:10" ht="13.15">
      <c r="E542" s="46"/>
      <c r="F542" s="46"/>
      <c r="G542" s="46"/>
      <c r="H542" s="46"/>
      <c r="I542" s="46"/>
      <c r="J542" s="46"/>
    </row>
    <row r="543" spans="5:10" ht="13.15">
      <c r="E543" s="46"/>
      <c r="F543" s="46"/>
      <c r="G543" s="46"/>
      <c r="H543" s="46"/>
      <c r="I543" s="46"/>
      <c r="J543" s="46"/>
    </row>
    <row r="544" spans="5:10" ht="13.15">
      <c r="E544" s="46"/>
      <c r="F544" s="46"/>
      <c r="G544" s="46"/>
      <c r="H544" s="46"/>
      <c r="I544" s="46"/>
      <c r="J544" s="46"/>
    </row>
    <row r="545" spans="5:10" ht="13.15">
      <c r="E545" s="46"/>
      <c r="F545" s="46"/>
      <c r="G545" s="46"/>
      <c r="H545" s="46"/>
      <c r="I545" s="46"/>
      <c r="J545" s="46"/>
    </row>
    <row r="546" spans="5:10" ht="13.15">
      <c r="E546" s="46"/>
      <c r="F546" s="46"/>
      <c r="G546" s="46"/>
      <c r="H546" s="46"/>
      <c r="I546" s="46"/>
      <c r="J546" s="46"/>
    </row>
    <row r="547" spans="5:10" ht="13.15">
      <c r="E547" s="46"/>
      <c r="F547" s="46"/>
      <c r="G547" s="46"/>
      <c r="H547" s="46"/>
      <c r="I547" s="46"/>
      <c r="J547" s="46"/>
    </row>
    <row r="548" spans="5:10" ht="13.15">
      <c r="E548" s="46"/>
      <c r="F548" s="46"/>
      <c r="G548" s="46"/>
      <c r="H548" s="46"/>
      <c r="I548" s="46"/>
      <c r="J548" s="46"/>
    </row>
    <row r="549" spans="5:10" ht="13.15">
      <c r="E549" s="46"/>
      <c r="F549" s="46"/>
      <c r="G549" s="46"/>
      <c r="H549" s="46"/>
      <c r="I549" s="46"/>
      <c r="J549" s="46"/>
    </row>
    <row r="550" spans="5:10" ht="13.15">
      <c r="E550" s="46"/>
      <c r="F550" s="46"/>
      <c r="G550" s="46"/>
      <c r="H550" s="46"/>
      <c r="I550" s="46"/>
      <c r="J550" s="46"/>
    </row>
    <row r="551" spans="5:10" ht="13.15">
      <c r="E551" s="46"/>
      <c r="F551" s="46"/>
      <c r="G551" s="46"/>
      <c r="H551" s="46"/>
      <c r="I551" s="46"/>
      <c r="J551" s="46"/>
    </row>
    <row r="552" spans="5:10" ht="13.15">
      <c r="E552" s="46"/>
      <c r="F552" s="46"/>
      <c r="G552" s="46"/>
      <c r="H552" s="46"/>
      <c r="I552" s="46"/>
      <c r="J552" s="46"/>
    </row>
    <row r="553" spans="5:10" ht="13.15">
      <c r="E553" s="46"/>
      <c r="F553" s="46"/>
      <c r="G553" s="46"/>
      <c r="H553" s="46"/>
      <c r="I553" s="46"/>
      <c r="J553" s="46"/>
    </row>
    <row r="554" spans="5:10" ht="13.15">
      <c r="E554" s="46"/>
      <c r="F554" s="46"/>
      <c r="G554" s="46"/>
      <c r="H554" s="46"/>
      <c r="I554" s="46"/>
      <c r="J554" s="46"/>
    </row>
    <row r="555" spans="5:10" ht="13.15">
      <c r="E555" s="46"/>
      <c r="F555" s="46"/>
      <c r="G555" s="46"/>
      <c r="H555" s="46"/>
      <c r="I555" s="46"/>
      <c r="J555" s="46"/>
    </row>
    <row r="556" spans="5:10" ht="13.15">
      <c r="E556" s="46"/>
      <c r="F556" s="46"/>
      <c r="G556" s="46"/>
      <c r="H556" s="46"/>
      <c r="I556" s="46"/>
      <c r="J556" s="46"/>
    </row>
    <row r="557" spans="5:10" ht="13.15">
      <c r="E557" s="46"/>
      <c r="F557" s="46"/>
      <c r="G557" s="46"/>
      <c r="H557" s="46"/>
      <c r="I557" s="46"/>
      <c r="J557" s="46"/>
    </row>
    <row r="558" spans="5:10" ht="13.15">
      <c r="E558" s="46"/>
      <c r="F558" s="46"/>
      <c r="G558" s="46"/>
      <c r="H558" s="46"/>
      <c r="I558" s="46"/>
      <c r="J558" s="46"/>
    </row>
    <row r="559" spans="5:10" ht="13.15">
      <c r="E559" s="46"/>
      <c r="F559" s="46"/>
      <c r="G559" s="46"/>
      <c r="H559" s="46"/>
      <c r="I559" s="46"/>
      <c r="J559" s="46"/>
    </row>
    <row r="560" spans="5:10" ht="13.15">
      <c r="E560" s="46"/>
      <c r="F560" s="46"/>
      <c r="G560" s="46"/>
      <c r="H560" s="46"/>
      <c r="I560" s="46"/>
      <c r="J560" s="46"/>
    </row>
    <row r="561" spans="5:10" ht="13.15">
      <c r="E561" s="46"/>
      <c r="F561" s="46"/>
      <c r="G561" s="46"/>
      <c r="H561" s="46"/>
      <c r="I561" s="46"/>
      <c r="J561" s="46"/>
    </row>
    <row r="562" spans="5:10" ht="13.15">
      <c r="E562" s="46"/>
      <c r="F562" s="46"/>
      <c r="G562" s="46"/>
      <c r="H562" s="46"/>
      <c r="I562" s="46"/>
      <c r="J562" s="46"/>
    </row>
    <row r="563" spans="5:10" ht="13.15">
      <c r="E563" s="46"/>
      <c r="F563" s="46"/>
      <c r="G563" s="46"/>
      <c r="H563" s="46"/>
      <c r="I563" s="46"/>
      <c r="J563" s="46"/>
    </row>
    <row r="564" spans="5:10" ht="13.15">
      <c r="E564" s="46"/>
      <c r="F564" s="46"/>
      <c r="G564" s="46"/>
      <c r="H564" s="46"/>
      <c r="I564" s="46"/>
      <c r="J564" s="46"/>
    </row>
    <row r="565" spans="5:10" ht="13.15">
      <c r="E565" s="46"/>
      <c r="F565" s="46"/>
      <c r="G565" s="46"/>
      <c r="H565" s="46"/>
      <c r="I565" s="46"/>
      <c r="J565" s="46"/>
    </row>
    <row r="566" spans="5:10" ht="13.15">
      <c r="E566" s="46"/>
      <c r="F566" s="46"/>
      <c r="G566" s="46"/>
      <c r="H566" s="46"/>
      <c r="I566" s="46"/>
      <c r="J566" s="46"/>
    </row>
    <row r="567" spans="5:10" ht="13.15">
      <c r="E567" s="46"/>
      <c r="F567" s="46"/>
      <c r="G567" s="46"/>
      <c r="H567" s="46"/>
      <c r="I567" s="46"/>
      <c r="J567" s="46"/>
    </row>
    <row r="568" spans="5:10" ht="13.15">
      <c r="E568" s="46"/>
      <c r="F568" s="46"/>
      <c r="G568" s="46"/>
      <c r="H568" s="46"/>
      <c r="I568" s="46"/>
      <c r="J568" s="46"/>
    </row>
    <row r="569" spans="5:10" ht="13.15">
      <c r="E569" s="46"/>
      <c r="F569" s="46"/>
      <c r="G569" s="46"/>
      <c r="H569" s="46"/>
      <c r="I569" s="46"/>
      <c r="J569" s="46"/>
    </row>
    <row r="570" spans="5:10" ht="13.15">
      <c r="E570" s="46"/>
      <c r="F570" s="46"/>
      <c r="G570" s="46"/>
      <c r="H570" s="46"/>
      <c r="I570" s="46"/>
      <c r="J570" s="46"/>
    </row>
    <row r="571" spans="5:10" ht="13.15">
      <c r="E571" s="46"/>
      <c r="F571" s="46"/>
      <c r="G571" s="46"/>
      <c r="H571" s="46"/>
      <c r="I571" s="46"/>
      <c r="J571" s="46"/>
    </row>
    <row r="572" spans="5:10" ht="13.15">
      <c r="E572" s="46"/>
      <c r="F572" s="46"/>
      <c r="G572" s="46"/>
      <c r="H572" s="46"/>
      <c r="I572" s="46"/>
      <c r="J572" s="46"/>
    </row>
    <row r="573" spans="5:10" ht="13.15">
      <c r="E573" s="46"/>
      <c r="F573" s="46"/>
      <c r="G573" s="46"/>
      <c r="H573" s="46"/>
      <c r="I573" s="46"/>
      <c r="J573" s="46"/>
    </row>
    <row r="574" spans="5:10" ht="13.15">
      <c r="E574" s="46"/>
      <c r="F574" s="46"/>
      <c r="G574" s="46"/>
      <c r="H574" s="46"/>
      <c r="I574" s="46"/>
      <c r="J574" s="46"/>
    </row>
    <row r="575" spans="5:10" ht="13.15">
      <c r="E575" s="46"/>
      <c r="F575" s="46"/>
      <c r="G575" s="46"/>
      <c r="H575" s="46"/>
      <c r="I575" s="46"/>
      <c r="J575" s="46"/>
    </row>
    <row r="576" spans="5:10" ht="13.15">
      <c r="E576" s="46"/>
      <c r="F576" s="46"/>
      <c r="G576" s="46"/>
      <c r="H576" s="46"/>
      <c r="I576" s="46"/>
      <c r="J576" s="46"/>
    </row>
    <row r="577" spans="5:10" ht="13.15">
      <c r="E577" s="46"/>
      <c r="F577" s="46"/>
      <c r="G577" s="46"/>
      <c r="H577" s="46"/>
      <c r="I577" s="46"/>
      <c r="J577" s="46"/>
    </row>
    <row r="578" spans="5:10" ht="13.15">
      <c r="E578" s="46"/>
      <c r="F578" s="46"/>
      <c r="G578" s="46"/>
      <c r="H578" s="46"/>
      <c r="I578" s="46"/>
      <c r="J578" s="46"/>
    </row>
    <row r="579" spans="5:10" ht="13.15">
      <c r="E579" s="46"/>
      <c r="F579" s="46"/>
      <c r="G579" s="46"/>
      <c r="H579" s="46"/>
      <c r="I579" s="46"/>
      <c r="J579" s="46"/>
    </row>
    <row r="580" spans="5:10" ht="13.15">
      <c r="E580" s="46"/>
      <c r="F580" s="46"/>
      <c r="G580" s="46"/>
      <c r="H580" s="46"/>
      <c r="I580" s="46"/>
      <c r="J580" s="46"/>
    </row>
    <row r="581" spans="5:10" ht="13.15">
      <c r="E581" s="46"/>
      <c r="F581" s="46"/>
      <c r="G581" s="46"/>
      <c r="H581" s="46"/>
      <c r="I581" s="46"/>
      <c r="J581" s="46"/>
    </row>
    <row r="582" spans="5:10" ht="13.15">
      <c r="E582" s="46"/>
      <c r="F582" s="46"/>
      <c r="G582" s="46"/>
      <c r="H582" s="46"/>
      <c r="I582" s="46"/>
      <c r="J582" s="46"/>
    </row>
    <row r="583" spans="5:10" ht="13.15">
      <c r="E583" s="46"/>
      <c r="F583" s="46"/>
      <c r="G583" s="46"/>
      <c r="H583" s="46"/>
      <c r="I583" s="46"/>
      <c r="J583" s="46"/>
    </row>
    <row r="584" spans="5:10" ht="13.15">
      <c r="E584" s="46"/>
      <c r="F584" s="46"/>
      <c r="G584" s="46"/>
      <c r="H584" s="46"/>
      <c r="I584" s="46"/>
      <c r="J584" s="46"/>
    </row>
    <row r="585" spans="5:10" ht="13.15">
      <c r="E585" s="46"/>
      <c r="F585" s="46"/>
      <c r="G585" s="46"/>
      <c r="H585" s="46"/>
      <c r="I585" s="46"/>
      <c r="J585" s="46"/>
    </row>
    <row r="586" spans="5:10" ht="13.15">
      <c r="E586" s="46"/>
      <c r="F586" s="46"/>
      <c r="G586" s="46"/>
      <c r="H586" s="46"/>
      <c r="I586" s="46"/>
      <c r="J586" s="46"/>
    </row>
    <row r="587" spans="5:10" ht="13.15">
      <c r="E587" s="46"/>
      <c r="F587" s="46"/>
      <c r="G587" s="46"/>
      <c r="H587" s="46"/>
      <c r="I587" s="46"/>
      <c r="J587" s="46"/>
    </row>
    <row r="588" spans="5:10" ht="13.15">
      <c r="E588" s="46"/>
      <c r="F588" s="46"/>
      <c r="G588" s="46"/>
      <c r="H588" s="46"/>
      <c r="I588" s="46"/>
      <c r="J588" s="46"/>
    </row>
    <row r="589" spans="5:10" ht="13.15">
      <c r="E589" s="46"/>
      <c r="F589" s="46"/>
      <c r="G589" s="46"/>
      <c r="H589" s="46"/>
      <c r="I589" s="46"/>
      <c r="J589" s="46"/>
    </row>
    <row r="590" spans="5:10" ht="13.15">
      <c r="E590" s="46"/>
      <c r="F590" s="46"/>
      <c r="G590" s="46"/>
      <c r="H590" s="46"/>
      <c r="I590" s="46"/>
      <c r="J590" s="46"/>
    </row>
    <row r="591" spans="5:10" ht="13.15">
      <c r="E591" s="46"/>
      <c r="F591" s="46"/>
      <c r="G591" s="46"/>
      <c r="H591" s="46"/>
      <c r="I591" s="46"/>
      <c r="J591" s="46"/>
    </row>
    <row r="592" spans="5:10" ht="13.15">
      <c r="E592" s="46"/>
      <c r="F592" s="46"/>
      <c r="G592" s="46"/>
      <c r="H592" s="46"/>
      <c r="I592" s="46"/>
      <c r="J592" s="46"/>
    </row>
    <row r="593" spans="5:10" ht="13.15">
      <c r="E593" s="46"/>
      <c r="F593" s="46"/>
      <c r="G593" s="46"/>
      <c r="H593" s="46"/>
      <c r="I593" s="46"/>
      <c r="J593" s="46"/>
    </row>
    <row r="594" spans="5:10" ht="13.15">
      <c r="E594" s="46"/>
      <c r="F594" s="46"/>
      <c r="G594" s="46"/>
      <c r="H594" s="46"/>
      <c r="I594" s="46"/>
      <c r="J594" s="46"/>
    </row>
    <row r="595" spans="5:10" ht="13.15">
      <c r="E595" s="46"/>
      <c r="F595" s="46"/>
      <c r="G595" s="46"/>
      <c r="H595" s="46"/>
      <c r="I595" s="46"/>
      <c r="J595" s="46"/>
    </row>
    <row r="596" spans="5:10" ht="13.15">
      <c r="E596" s="46"/>
      <c r="F596" s="46"/>
      <c r="G596" s="46"/>
      <c r="H596" s="46"/>
      <c r="I596" s="46"/>
      <c r="J596" s="46"/>
    </row>
    <row r="597" spans="5:10" ht="13.15">
      <c r="E597" s="46"/>
      <c r="F597" s="46"/>
      <c r="G597" s="46"/>
      <c r="H597" s="46"/>
      <c r="I597" s="46"/>
      <c r="J597" s="46"/>
    </row>
    <row r="598" spans="5:10" ht="13.15">
      <c r="E598" s="46"/>
      <c r="F598" s="46"/>
      <c r="G598" s="46"/>
      <c r="H598" s="46"/>
      <c r="I598" s="46"/>
      <c r="J598" s="46"/>
    </row>
    <row r="599" spans="5:10" ht="13.15">
      <c r="E599" s="46"/>
      <c r="F599" s="46"/>
      <c r="G599" s="46"/>
      <c r="H599" s="46"/>
      <c r="I599" s="46"/>
      <c r="J599" s="46"/>
    </row>
    <row r="600" spans="5:10" ht="13.15">
      <c r="E600" s="46"/>
      <c r="F600" s="46"/>
      <c r="G600" s="46"/>
      <c r="H600" s="46"/>
      <c r="I600" s="46"/>
      <c r="J600" s="46"/>
    </row>
    <row r="601" spans="5:10" ht="13.15">
      <c r="E601" s="46"/>
      <c r="F601" s="46"/>
      <c r="G601" s="46"/>
      <c r="H601" s="46"/>
      <c r="I601" s="46"/>
      <c r="J601" s="46"/>
    </row>
    <row r="602" spans="5:10" ht="13.15">
      <c r="E602" s="46"/>
      <c r="F602" s="46"/>
      <c r="G602" s="46"/>
      <c r="H602" s="46"/>
      <c r="I602" s="46"/>
      <c r="J602" s="46"/>
    </row>
    <row r="603" spans="5:10" ht="13.15">
      <c r="E603" s="46"/>
      <c r="F603" s="46"/>
      <c r="G603" s="46"/>
      <c r="H603" s="46"/>
      <c r="I603" s="46"/>
      <c r="J603" s="46"/>
    </row>
    <row r="604" spans="5:10" ht="13.15">
      <c r="E604" s="46"/>
      <c r="F604" s="46"/>
      <c r="G604" s="46"/>
      <c r="H604" s="46"/>
      <c r="I604" s="46"/>
      <c r="J604" s="46"/>
    </row>
    <row r="605" spans="5:10" ht="13.15">
      <c r="E605" s="46"/>
      <c r="F605" s="46"/>
      <c r="G605" s="46"/>
      <c r="H605" s="46"/>
      <c r="I605" s="46"/>
      <c r="J605" s="46"/>
    </row>
    <row r="606" spans="5:10" ht="13.15">
      <c r="E606" s="46"/>
      <c r="F606" s="46"/>
      <c r="G606" s="46"/>
      <c r="H606" s="46"/>
      <c r="I606" s="46"/>
      <c r="J606" s="46"/>
    </row>
    <row r="607" spans="5:10" ht="13.15">
      <c r="E607" s="46"/>
      <c r="F607" s="46"/>
      <c r="G607" s="46"/>
      <c r="H607" s="46"/>
      <c r="I607" s="46"/>
      <c r="J607" s="46"/>
    </row>
    <row r="608" spans="5:10" ht="13.15">
      <c r="E608" s="46"/>
      <c r="F608" s="46"/>
      <c r="G608" s="46"/>
      <c r="H608" s="46"/>
      <c r="I608" s="46"/>
      <c r="J608" s="46"/>
    </row>
    <row r="609" spans="5:10" ht="13.15">
      <c r="E609" s="46"/>
      <c r="F609" s="46"/>
      <c r="G609" s="46"/>
      <c r="H609" s="46"/>
      <c r="I609" s="46"/>
      <c r="J609" s="46"/>
    </row>
    <row r="610" spans="5:10" ht="13.15">
      <c r="E610" s="46"/>
      <c r="F610" s="46"/>
      <c r="G610" s="46"/>
      <c r="H610" s="46"/>
      <c r="I610" s="46"/>
      <c r="J610" s="46"/>
    </row>
    <row r="611" spans="5:10" ht="13.15">
      <c r="E611" s="46"/>
      <c r="F611" s="46"/>
      <c r="G611" s="46"/>
      <c r="H611" s="46"/>
      <c r="I611" s="46"/>
      <c r="J611" s="46"/>
    </row>
    <row r="612" spans="5:10" ht="13.15">
      <c r="E612" s="46"/>
      <c r="F612" s="46"/>
      <c r="G612" s="46"/>
      <c r="H612" s="46"/>
      <c r="I612" s="46"/>
      <c r="J612" s="46"/>
    </row>
    <row r="613" spans="5:10" ht="13.15">
      <c r="E613" s="46"/>
      <c r="F613" s="46"/>
      <c r="G613" s="46"/>
      <c r="H613" s="46"/>
      <c r="I613" s="46"/>
      <c r="J613" s="46"/>
    </row>
    <row r="614" spans="5:10" ht="13.15">
      <c r="E614" s="46"/>
      <c r="F614" s="46"/>
      <c r="G614" s="46"/>
      <c r="H614" s="46"/>
      <c r="I614" s="46"/>
      <c r="J614" s="46"/>
    </row>
    <row r="615" spans="5:10" ht="13.15">
      <c r="E615" s="46"/>
      <c r="F615" s="46"/>
      <c r="G615" s="46"/>
      <c r="H615" s="46"/>
      <c r="I615" s="46"/>
      <c r="J615" s="46"/>
    </row>
    <row r="616" spans="5:10" ht="13.15">
      <c r="E616" s="46"/>
      <c r="F616" s="46"/>
      <c r="G616" s="46"/>
      <c r="H616" s="46"/>
      <c r="I616" s="46"/>
      <c r="J616" s="46"/>
    </row>
    <row r="617" spans="5:10" ht="13.15">
      <c r="E617" s="46"/>
      <c r="F617" s="46"/>
      <c r="G617" s="46"/>
      <c r="H617" s="46"/>
      <c r="I617" s="46"/>
      <c r="J617" s="46"/>
    </row>
    <row r="618" spans="5:10" ht="13.15">
      <c r="E618" s="46"/>
      <c r="F618" s="46"/>
      <c r="G618" s="46"/>
      <c r="H618" s="46"/>
      <c r="I618" s="46"/>
      <c r="J618" s="46"/>
    </row>
    <row r="619" spans="5:10" ht="13.15">
      <c r="E619" s="46"/>
      <c r="F619" s="46"/>
      <c r="G619" s="46"/>
      <c r="H619" s="46"/>
      <c r="I619" s="46"/>
      <c r="J619" s="46"/>
    </row>
    <row r="620" spans="5:10" ht="13.15">
      <c r="E620" s="46"/>
      <c r="F620" s="46"/>
      <c r="G620" s="46"/>
      <c r="H620" s="46"/>
      <c r="I620" s="46"/>
      <c r="J620" s="46"/>
    </row>
    <row r="621" spans="5:10" ht="13.15">
      <c r="E621" s="46"/>
      <c r="F621" s="46"/>
      <c r="G621" s="46"/>
      <c r="H621" s="46"/>
      <c r="I621" s="46"/>
      <c r="J621" s="46"/>
    </row>
    <row r="622" spans="5:10" ht="13.15">
      <c r="E622" s="46"/>
      <c r="F622" s="46"/>
      <c r="G622" s="46"/>
      <c r="H622" s="46"/>
      <c r="I622" s="46"/>
      <c r="J622" s="46"/>
    </row>
    <row r="623" spans="5:10" ht="13.15">
      <c r="E623" s="46"/>
      <c r="F623" s="46"/>
      <c r="G623" s="46"/>
      <c r="H623" s="46"/>
      <c r="I623" s="46"/>
      <c r="J623" s="46"/>
    </row>
    <row r="624" spans="5:10" ht="13.15">
      <c r="E624" s="46"/>
      <c r="F624" s="46"/>
      <c r="G624" s="46"/>
      <c r="H624" s="46"/>
      <c r="I624" s="46"/>
      <c r="J624" s="46"/>
    </row>
    <row r="625" spans="5:10" ht="13.15">
      <c r="E625" s="46"/>
      <c r="F625" s="46"/>
      <c r="G625" s="46"/>
      <c r="H625" s="46"/>
      <c r="I625" s="46"/>
      <c r="J625" s="46"/>
    </row>
    <row r="626" spans="5:10" ht="13.15">
      <c r="E626" s="46"/>
      <c r="F626" s="46"/>
      <c r="G626" s="46"/>
      <c r="H626" s="46"/>
      <c r="I626" s="46"/>
      <c r="J626" s="46"/>
    </row>
    <row r="627" spans="5:10" ht="13.15">
      <c r="E627" s="46"/>
      <c r="F627" s="46"/>
      <c r="G627" s="46"/>
      <c r="H627" s="46"/>
      <c r="I627" s="46"/>
      <c r="J627" s="46"/>
    </row>
    <row r="628" spans="5:10" ht="13.15">
      <c r="E628" s="46"/>
      <c r="F628" s="46"/>
      <c r="G628" s="46"/>
      <c r="H628" s="46"/>
      <c r="I628" s="46"/>
      <c r="J628" s="46"/>
    </row>
    <row r="629" spans="5:10" ht="13.15">
      <c r="E629" s="46"/>
      <c r="F629" s="46"/>
      <c r="G629" s="46"/>
      <c r="H629" s="46"/>
      <c r="I629" s="46"/>
      <c r="J629" s="46"/>
    </row>
    <row r="630" spans="5:10" ht="13.15">
      <c r="E630" s="46"/>
      <c r="F630" s="46"/>
      <c r="G630" s="46"/>
      <c r="H630" s="46"/>
      <c r="I630" s="46"/>
      <c r="J630" s="46"/>
    </row>
    <row r="631" spans="5:10" ht="13.15">
      <c r="E631" s="46"/>
      <c r="F631" s="46"/>
      <c r="G631" s="46"/>
      <c r="H631" s="46"/>
      <c r="I631" s="46"/>
      <c r="J631" s="46"/>
    </row>
    <row r="632" spans="5:10" ht="13.15">
      <c r="E632" s="46"/>
      <c r="F632" s="46"/>
      <c r="G632" s="46"/>
      <c r="H632" s="46"/>
      <c r="I632" s="46"/>
      <c r="J632" s="46"/>
    </row>
    <row r="633" spans="5:10" ht="13.15">
      <c r="E633" s="46"/>
      <c r="F633" s="46"/>
      <c r="G633" s="46"/>
      <c r="H633" s="46"/>
      <c r="I633" s="46"/>
      <c r="J633" s="46"/>
    </row>
    <row r="634" spans="5:10" ht="13.15">
      <c r="E634" s="46"/>
      <c r="F634" s="46"/>
      <c r="G634" s="46"/>
      <c r="H634" s="46"/>
      <c r="I634" s="46"/>
      <c r="J634" s="46"/>
    </row>
    <row r="635" spans="5:10" ht="13.15">
      <c r="E635" s="46"/>
      <c r="F635" s="46"/>
      <c r="G635" s="46"/>
      <c r="H635" s="46"/>
      <c r="I635" s="46"/>
      <c r="J635" s="46"/>
    </row>
    <row r="636" spans="5:10" ht="13.15">
      <c r="E636" s="46"/>
      <c r="F636" s="46"/>
      <c r="G636" s="46"/>
      <c r="H636" s="46"/>
      <c r="I636" s="46"/>
      <c r="J636" s="46"/>
    </row>
    <row r="637" spans="5:10" ht="13.15">
      <c r="E637" s="46"/>
      <c r="F637" s="46"/>
      <c r="G637" s="46"/>
      <c r="H637" s="46"/>
      <c r="I637" s="46"/>
      <c r="J637" s="46"/>
    </row>
    <row r="638" spans="5:10" ht="13.15">
      <c r="E638" s="46"/>
      <c r="F638" s="46"/>
      <c r="G638" s="46"/>
      <c r="H638" s="46"/>
      <c r="I638" s="46"/>
      <c r="J638" s="46"/>
    </row>
    <row r="639" spans="5:10" ht="13.15">
      <c r="E639" s="46"/>
      <c r="F639" s="46"/>
      <c r="G639" s="46"/>
      <c r="H639" s="46"/>
      <c r="I639" s="46"/>
      <c r="J639" s="46"/>
    </row>
    <row r="640" spans="5:10" ht="13.15">
      <c r="E640" s="46"/>
      <c r="F640" s="46"/>
      <c r="G640" s="46"/>
      <c r="H640" s="46"/>
      <c r="I640" s="46"/>
      <c r="J640" s="46"/>
    </row>
    <row r="641" spans="5:10" ht="13.15">
      <c r="E641" s="46"/>
      <c r="F641" s="46"/>
      <c r="G641" s="46"/>
      <c r="H641" s="46"/>
      <c r="I641" s="46"/>
      <c r="J641" s="46"/>
    </row>
    <row r="642" spans="5:10" ht="13.15">
      <c r="E642" s="46"/>
      <c r="F642" s="46"/>
      <c r="G642" s="46"/>
      <c r="H642" s="46"/>
      <c r="I642" s="46"/>
      <c r="J642" s="46"/>
    </row>
    <row r="643" spans="5:10" ht="13.15">
      <c r="E643" s="46"/>
      <c r="F643" s="46"/>
      <c r="G643" s="46"/>
      <c r="H643" s="46"/>
      <c r="I643" s="46"/>
      <c r="J643" s="46"/>
    </row>
    <row r="644" spans="5:10" ht="13.15">
      <c r="E644" s="46"/>
      <c r="F644" s="46"/>
      <c r="G644" s="46"/>
      <c r="H644" s="46"/>
      <c r="I644" s="46"/>
      <c r="J644" s="46"/>
    </row>
    <row r="645" spans="5:10" ht="13.15">
      <c r="E645" s="46"/>
      <c r="F645" s="46"/>
      <c r="G645" s="46"/>
      <c r="H645" s="46"/>
      <c r="I645" s="46"/>
      <c r="J645" s="46"/>
    </row>
    <row r="646" spans="5:10" ht="13.15">
      <c r="E646" s="46"/>
      <c r="F646" s="46"/>
      <c r="G646" s="46"/>
      <c r="H646" s="46"/>
      <c r="I646" s="46"/>
      <c r="J646" s="46"/>
    </row>
    <row r="647" spans="5:10" ht="13.15">
      <c r="E647" s="46"/>
      <c r="F647" s="46"/>
      <c r="G647" s="46"/>
      <c r="H647" s="46"/>
      <c r="I647" s="46"/>
      <c r="J647" s="46"/>
    </row>
    <row r="648" spans="5:10" ht="13.15">
      <c r="E648" s="46"/>
      <c r="F648" s="46"/>
      <c r="G648" s="46"/>
      <c r="H648" s="46"/>
      <c r="I648" s="46"/>
      <c r="J648" s="46"/>
    </row>
    <row r="649" spans="5:10" ht="13.15">
      <c r="E649" s="46"/>
      <c r="F649" s="46"/>
      <c r="G649" s="46"/>
      <c r="H649" s="46"/>
      <c r="I649" s="46"/>
      <c r="J649" s="46"/>
    </row>
    <row r="650" spans="5:10" ht="13.15">
      <c r="E650" s="46"/>
      <c r="F650" s="46"/>
      <c r="G650" s="46"/>
      <c r="H650" s="46"/>
      <c r="I650" s="46"/>
      <c r="J650" s="46"/>
    </row>
    <row r="651" spans="5:10" ht="13.15">
      <c r="E651" s="46"/>
      <c r="F651" s="46"/>
      <c r="G651" s="46"/>
      <c r="H651" s="46"/>
      <c r="I651" s="46"/>
      <c r="J651" s="46"/>
    </row>
    <row r="652" spans="5:10" ht="13.15">
      <c r="E652" s="46"/>
      <c r="F652" s="46"/>
      <c r="G652" s="46"/>
      <c r="H652" s="46"/>
      <c r="I652" s="46"/>
      <c r="J652" s="46"/>
    </row>
    <row r="653" spans="5:10" ht="13.15">
      <c r="E653" s="46"/>
      <c r="F653" s="46"/>
      <c r="G653" s="46"/>
      <c r="H653" s="46"/>
      <c r="I653" s="46"/>
      <c r="J653" s="46"/>
    </row>
    <row r="654" spans="5:10" ht="13.15">
      <c r="E654" s="46"/>
      <c r="F654" s="46"/>
      <c r="G654" s="46"/>
      <c r="H654" s="46"/>
      <c r="I654" s="46"/>
      <c r="J654" s="46"/>
    </row>
    <row r="655" spans="5:10" ht="13.15">
      <c r="E655" s="46"/>
      <c r="F655" s="46"/>
      <c r="G655" s="46"/>
      <c r="H655" s="46"/>
      <c r="I655" s="46"/>
      <c r="J655" s="46"/>
    </row>
    <row r="656" spans="5:10" ht="13.15">
      <c r="E656" s="46"/>
      <c r="F656" s="46"/>
      <c r="G656" s="46"/>
      <c r="H656" s="46"/>
      <c r="I656" s="46"/>
      <c r="J656" s="46"/>
    </row>
    <row r="657" spans="5:10" ht="13.15">
      <c r="E657" s="46"/>
      <c r="F657" s="46"/>
      <c r="G657" s="46"/>
      <c r="H657" s="46"/>
      <c r="I657" s="46"/>
      <c r="J657" s="46"/>
    </row>
    <row r="658" spans="5:10" ht="13.15">
      <c r="E658" s="46"/>
      <c r="F658" s="46"/>
      <c r="G658" s="46"/>
      <c r="H658" s="46"/>
      <c r="I658" s="46"/>
      <c r="J658" s="46"/>
    </row>
    <row r="659" spans="5:10" ht="13.15">
      <c r="E659" s="46"/>
      <c r="F659" s="46"/>
      <c r="G659" s="46"/>
      <c r="H659" s="46"/>
      <c r="I659" s="46"/>
      <c r="J659" s="46"/>
    </row>
    <row r="660" spans="5:10" ht="13.15">
      <c r="E660" s="46"/>
      <c r="F660" s="46"/>
      <c r="G660" s="46"/>
      <c r="H660" s="46"/>
      <c r="I660" s="46"/>
      <c r="J660" s="46"/>
    </row>
    <row r="661" spans="5:10" ht="13.15">
      <c r="E661" s="46"/>
      <c r="F661" s="46"/>
      <c r="G661" s="46"/>
      <c r="H661" s="46"/>
      <c r="I661" s="46"/>
      <c r="J661" s="46"/>
    </row>
    <row r="662" spans="5:10" ht="13.15">
      <c r="E662" s="46"/>
      <c r="F662" s="46"/>
      <c r="G662" s="46"/>
      <c r="H662" s="46"/>
      <c r="I662" s="46"/>
      <c r="J662" s="46"/>
    </row>
    <row r="663" spans="5:10" ht="13.15">
      <c r="E663" s="46"/>
      <c r="F663" s="46"/>
      <c r="G663" s="46"/>
      <c r="H663" s="46"/>
      <c r="I663" s="46"/>
      <c r="J663" s="46"/>
    </row>
    <row r="664" spans="5:10" ht="13.15">
      <c r="E664" s="46"/>
      <c r="F664" s="46"/>
      <c r="G664" s="46"/>
      <c r="H664" s="46"/>
      <c r="I664" s="46"/>
      <c r="J664" s="46"/>
    </row>
    <row r="665" spans="5:10" ht="13.15">
      <c r="E665" s="46"/>
      <c r="F665" s="46"/>
      <c r="G665" s="46"/>
      <c r="H665" s="46"/>
      <c r="I665" s="46"/>
      <c r="J665" s="46"/>
    </row>
    <row r="666" spans="5:10" ht="13.15">
      <c r="E666" s="46"/>
      <c r="F666" s="46"/>
      <c r="G666" s="46"/>
      <c r="H666" s="46"/>
      <c r="I666" s="46"/>
      <c r="J666" s="46"/>
    </row>
    <row r="667" spans="5:10" ht="13.15">
      <c r="E667" s="46"/>
      <c r="F667" s="46"/>
      <c r="G667" s="46"/>
      <c r="H667" s="46"/>
      <c r="I667" s="46"/>
      <c r="J667" s="46"/>
    </row>
    <row r="668" spans="5:10" ht="13.15">
      <c r="E668" s="46"/>
      <c r="F668" s="46"/>
      <c r="G668" s="46"/>
      <c r="H668" s="46"/>
      <c r="I668" s="46"/>
      <c r="J668" s="46"/>
    </row>
    <row r="669" spans="5:10" ht="13.15">
      <c r="E669" s="46"/>
      <c r="F669" s="46"/>
      <c r="G669" s="46"/>
      <c r="H669" s="46"/>
      <c r="I669" s="46"/>
      <c r="J669" s="46"/>
    </row>
    <row r="670" spans="5:10" ht="13.15">
      <c r="E670" s="46"/>
      <c r="F670" s="46"/>
      <c r="G670" s="46"/>
      <c r="H670" s="46"/>
      <c r="I670" s="46"/>
      <c r="J670" s="46"/>
    </row>
    <row r="671" spans="5:10" ht="13.15">
      <c r="E671" s="46"/>
      <c r="F671" s="46"/>
      <c r="G671" s="46"/>
      <c r="H671" s="46"/>
      <c r="I671" s="46"/>
      <c r="J671" s="46"/>
    </row>
    <row r="672" spans="5:10" ht="13.15">
      <c r="E672" s="46"/>
      <c r="F672" s="46"/>
      <c r="G672" s="46"/>
      <c r="H672" s="46"/>
      <c r="I672" s="46"/>
      <c r="J672" s="46"/>
    </row>
    <row r="673" spans="5:10" ht="13.15">
      <c r="E673" s="46"/>
      <c r="F673" s="46"/>
      <c r="G673" s="46"/>
      <c r="H673" s="46"/>
      <c r="I673" s="46"/>
      <c r="J673" s="46"/>
    </row>
    <row r="674" spans="5:10" ht="13.15">
      <c r="E674" s="46"/>
      <c r="F674" s="46"/>
      <c r="G674" s="46"/>
      <c r="H674" s="46"/>
      <c r="I674" s="46"/>
      <c r="J674" s="46"/>
    </row>
    <row r="675" spans="5:10" ht="13.15">
      <c r="E675" s="46"/>
      <c r="F675" s="46"/>
      <c r="G675" s="46"/>
      <c r="H675" s="46"/>
      <c r="I675" s="46"/>
      <c r="J675" s="46"/>
    </row>
    <row r="676" spans="5:10" ht="13.15">
      <c r="E676" s="46"/>
      <c r="F676" s="46"/>
      <c r="G676" s="46"/>
      <c r="H676" s="46"/>
      <c r="I676" s="46"/>
      <c r="J676" s="46"/>
    </row>
    <row r="677" spans="5:10" ht="13.15">
      <c r="E677" s="46"/>
      <c r="F677" s="46"/>
      <c r="G677" s="46"/>
      <c r="H677" s="46"/>
      <c r="I677" s="46"/>
      <c r="J677" s="46"/>
    </row>
    <row r="678" spans="5:10" ht="13.15">
      <c r="E678" s="46"/>
      <c r="F678" s="46"/>
      <c r="G678" s="46"/>
      <c r="H678" s="46"/>
      <c r="I678" s="46"/>
      <c r="J678" s="46"/>
    </row>
    <row r="679" spans="5:10" ht="13.15">
      <c r="E679" s="46"/>
      <c r="F679" s="46"/>
      <c r="G679" s="46"/>
      <c r="H679" s="46"/>
      <c r="I679" s="46"/>
      <c r="J679" s="46"/>
    </row>
    <row r="680" spans="5:10" ht="13.15">
      <c r="E680" s="46"/>
      <c r="F680" s="46"/>
      <c r="G680" s="46"/>
      <c r="H680" s="46"/>
      <c r="I680" s="46"/>
      <c r="J680" s="46"/>
    </row>
    <row r="681" spans="5:10" ht="13.15">
      <c r="E681" s="46"/>
      <c r="F681" s="46"/>
      <c r="G681" s="46"/>
      <c r="H681" s="46"/>
      <c r="I681" s="46"/>
      <c r="J681" s="46"/>
    </row>
    <row r="682" spans="5:10" ht="13.15">
      <c r="E682" s="46"/>
      <c r="F682" s="46"/>
      <c r="G682" s="46"/>
      <c r="H682" s="46"/>
      <c r="I682" s="46"/>
      <c r="J682" s="46"/>
    </row>
    <row r="683" spans="5:10" ht="13.15">
      <c r="E683" s="46"/>
      <c r="F683" s="46"/>
      <c r="G683" s="46"/>
      <c r="H683" s="46"/>
      <c r="I683" s="46"/>
      <c r="J683" s="46"/>
    </row>
    <row r="684" spans="5:10" ht="13.15">
      <c r="E684" s="46"/>
      <c r="F684" s="46"/>
      <c r="G684" s="46"/>
      <c r="H684" s="46"/>
      <c r="I684" s="46"/>
      <c r="J684" s="46"/>
    </row>
    <row r="685" spans="5:10" ht="13.15">
      <c r="E685" s="46"/>
      <c r="F685" s="46"/>
      <c r="G685" s="46"/>
      <c r="H685" s="46"/>
      <c r="I685" s="46"/>
      <c r="J685" s="46"/>
    </row>
    <row r="686" spans="5:10" ht="13.15">
      <c r="E686" s="46"/>
      <c r="F686" s="46"/>
      <c r="G686" s="46"/>
      <c r="H686" s="46"/>
      <c r="I686" s="46"/>
      <c r="J686" s="46"/>
    </row>
    <row r="687" spans="5:10" ht="13.15">
      <c r="E687" s="46"/>
      <c r="F687" s="46"/>
      <c r="G687" s="46"/>
      <c r="H687" s="46"/>
      <c r="I687" s="46"/>
      <c r="J687" s="46"/>
    </row>
    <row r="688" spans="5:10" ht="13.15">
      <c r="E688" s="46"/>
      <c r="F688" s="46"/>
      <c r="G688" s="46"/>
      <c r="H688" s="46"/>
      <c r="I688" s="46"/>
      <c r="J688" s="46"/>
    </row>
    <row r="689" spans="5:10" ht="13.15">
      <c r="E689" s="46"/>
      <c r="F689" s="46"/>
      <c r="G689" s="46"/>
      <c r="H689" s="46"/>
      <c r="I689" s="46"/>
      <c r="J689" s="46"/>
    </row>
    <row r="690" spans="5:10" ht="13.15">
      <c r="E690" s="46"/>
      <c r="F690" s="46"/>
      <c r="G690" s="46"/>
      <c r="H690" s="46"/>
      <c r="I690" s="46"/>
      <c r="J690" s="46"/>
    </row>
    <row r="691" spans="5:10" ht="13.15">
      <c r="E691" s="46"/>
      <c r="F691" s="46"/>
      <c r="G691" s="46"/>
      <c r="H691" s="46"/>
      <c r="I691" s="46"/>
      <c r="J691" s="46"/>
    </row>
    <row r="692" spans="5:10" ht="13.15">
      <c r="E692" s="46"/>
      <c r="F692" s="46"/>
      <c r="G692" s="46"/>
      <c r="H692" s="46"/>
      <c r="I692" s="46"/>
      <c r="J692" s="46"/>
    </row>
    <row r="693" spans="5:10" ht="13.15">
      <c r="E693" s="46"/>
      <c r="F693" s="46"/>
      <c r="G693" s="46"/>
      <c r="H693" s="46"/>
      <c r="I693" s="46"/>
      <c r="J693" s="46"/>
    </row>
    <row r="694" spans="5:10" ht="13.15">
      <c r="E694" s="46"/>
      <c r="F694" s="46"/>
      <c r="G694" s="46"/>
      <c r="H694" s="46"/>
      <c r="I694" s="46"/>
      <c r="J694" s="46"/>
    </row>
    <row r="695" spans="5:10" ht="13.15">
      <c r="E695" s="46"/>
      <c r="F695" s="46"/>
      <c r="G695" s="46"/>
      <c r="H695" s="46"/>
      <c r="I695" s="46"/>
      <c r="J695" s="46"/>
    </row>
    <row r="696" spans="5:10" ht="13.15">
      <c r="E696" s="46"/>
      <c r="F696" s="46"/>
      <c r="G696" s="46"/>
      <c r="H696" s="46"/>
      <c r="I696" s="46"/>
      <c r="J696" s="46"/>
    </row>
    <row r="697" spans="5:10" ht="13.15">
      <c r="E697" s="46"/>
      <c r="F697" s="46"/>
      <c r="G697" s="46"/>
      <c r="H697" s="46"/>
      <c r="I697" s="46"/>
      <c r="J697" s="46"/>
    </row>
    <row r="698" spans="5:10" ht="13.15">
      <c r="E698" s="46"/>
      <c r="F698" s="46"/>
      <c r="G698" s="46"/>
      <c r="H698" s="46"/>
      <c r="I698" s="46"/>
      <c r="J698" s="46"/>
    </row>
    <row r="699" spans="5:10" ht="13.15">
      <c r="E699" s="46"/>
      <c r="F699" s="46"/>
      <c r="G699" s="46"/>
      <c r="H699" s="46"/>
      <c r="I699" s="46"/>
      <c r="J699" s="46"/>
    </row>
    <row r="700" spans="5:10" ht="13.15">
      <c r="E700" s="46"/>
      <c r="F700" s="46"/>
      <c r="G700" s="46"/>
      <c r="H700" s="46"/>
      <c r="I700" s="46"/>
      <c r="J700" s="46"/>
    </row>
    <row r="701" spans="5:10" ht="13.15">
      <c r="E701" s="46"/>
      <c r="F701" s="46"/>
      <c r="G701" s="46"/>
      <c r="H701" s="46"/>
      <c r="I701" s="46"/>
      <c r="J701" s="46"/>
    </row>
    <row r="702" spans="5:10" ht="13.15">
      <c r="E702" s="46"/>
      <c r="F702" s="46"/>
      <c r="G702" s="46"/>
      <c r="H702" s="46"/>
      <c r="I702" s="46"/>
      <c r="J702" s="46"/>
    </row>
    <row r="703" spans="5:10" ht="13.15">
      <c r="E703" s="46"/>
      <c r="F703" s="46"/>
      <c r="G703" s="46"/>
      <c r="H703" s="46"/>
      <c r="I703" s="46"/>
      <c r="J703" s="46"/>
    </row>
    <row r="704" spans="5:10" ht="13.15">
      <c r="E704" s="46"/>
      <c r="F704" s="46"/>
      <c r="G704" s="46"/>
      <c r="H704" s="46"/>
      <c r="I704" s="46"/>
      <c r="J704" s="46"/>
    </row>
    <row r="705" spans="5:10" ht="13.15">
      <c r="E705" s="46"/>
      <c r="F705" s="46"/>
      <c r="G705" s="46"/>
      <c r="H705" s="46"/>
      <c r="I705" s="46"/>
      <c r="J705" s="46"/>
    </row>
    <row r="706" spans="5:10" ht="13.15">
      <c r="E706" s="46"/>
      <c r="F706" s="46"/>
      <c r="G706" s="46"/>
      <c r="H706" s="46"/>
      <c r="I706" s="46"/>
      <c r="J706" s="46"/>
    </row>
    <row r="707" spans="5:10" ht="13.15">
      <c r="E707" s="46"/>
      <c r="F707" s="46"/>
      <c r="G707" s="46"/>
      <c r="H707" s="46"/>
      <c r="I707" s="46"/>
      <c r="J707" s="46"/>
    </row>
    <row r="708" spans="5:10" ht="13.15">
      <c r="E708" s="46"/>
      <c r="F708" s="46"/>
      <c r="G708" s="46"/>
      <c r="H708" s="46"/>
      <c r="I708" s="46"/>
      <c r="J708" s="46"/>
    </row>
    <row r="709" spans="5:10" ht="13.15">
      <c r="E709" s="46"/>
      <c r="F709" s="46"/>
      <c r="G709" s="46"/>
      <c r="H709" s="46"/>
      <c r="I709" s="46"/>
      <c r="J709" s="46"/>
    </row>
    <row r="710" spans="5:10" ht="13.15">
      <c r="E710" s="46"/>
      <c r="F710" s="46"/>
      <c r="G710" s="46"/>
      <c r="H710" s="46"/>
      <c r="I710" s="46"/>
      <c r="J710" s="46"/>
    </row>
    <row r="711" spans="5:10" ht="13.15">
      <c r="E711" s="46"/>
      <c r="F711" s="46"/>
      <c r="G711" s="46"/>
      <c r="H711" s="46"/>
      <c r="I711" s="46"/>
      <c r="J711" s="46"/>
    </row>
    <row r="712" spans="5:10" ht="13.15">
      <c r="E712" s="46"/>
      <c r="F712" s="46"/>
      <c r="G712" s="46"/>
      <c r="H712" s="46"/>
      <c r="I712" s="46"/>
      <c r="J712" s="46"/>
    </row>
    <row r="713" spans="5:10" ht="13.15">
      <c r="E713" s="46"/>
      <c r="F713" s="46"/>
      <c r="G713" s="46"/>
      <c r="H713" s="46"/>
      <c r="I713" s="46"/>
      <c r="J713" s="46"/>
    </row>
    <row r="714" spans="5:10" ht="13.15">
      <c r="E714" s="46"/>
      <c r="F714" s="46"/>
      <c r="G714" s="46"/>
      <c r="H714" s="46"/>
      <c r="I714" s="46"/>
      <c r="J714" s="46"/>
    </row>
    <row r="715" spans="5:10" ht="13.15">
      <c r="E715" s="46"/>
      <c r="F715" s="46"/>
      <c r="G715" s="46"/>
      <c r="H715" s="46"/>
      <c r="I715" s="46"/>
      <c r="J715" s="46"/>
    </row>
    <row r="716" spans="5:10" ht="13.15">
      <c r="E716" s="46"/>
      <c r="F716" s="46"/>
      <c r="G716" s="46"/>
      <c r="H716" s="46"/>
      <c r="I716" s="46"/>
      <c r="J716" s="46"/>
    </row>
    <row r="717" spans="5:10" ht="13.15">
      <c r="E717" s="46"/>
      <c r="F717" s="46"/>
      <c r="G717" s="46"/>
      <c r="H717" s="46"/>
      <c r="I717" s="46"/>
      <c r="J717" s="46"/>
    </row>
    <row r="718" spans="5:10" ht="13.15">
      <c r="E718" s="46"/>
      <c r="F718" s="46"/>
      <c r="G718" s="46"/>
      <c r="H718" s="46"/>
      <c r="I718" s="46"/>
      <c r="J718" s="46"/>
    </row>
    <row r="719" spans="5:10" ht="13.15">
      <c r="E719" s="46"/>
      <c r="F719" s="46"/>
      <c r="G719" s="46"/>
      <c r="H719" s="46"/>
      <c r="I719" s="46"/>
      <c r="J719" s="46"/>
    </row>
    <row r="720" spans="5:10" ht="13.15">
      <c r="E720" s="46"/>
      <c r="F720" s="46"/>
      <c r="G720" s="46"/>
      <c r="H720" s="46"/>
      <c r="I720" s="46"/>
      <c r="J720" s="46"/>
    </row>
    <row r="721" spans="5:10" ht="13.15">
      <c r="E721" s="46"/>
      <c r="F721" s="46"/>
      <c r="G721" s="46"/>
      <c r="H721" s="46"/>
      <c r="I721" s="46"/>
      <c r="J721" s="46"/>
    </row>
    <row r="722" spans="5:10" ht="13.15">
      <c r="E722" s="46"/>
      <c r="F722" s="46"/>
      <c r="G722" s="46"/>
      <c r="H722" s="46"/>
      <c r="I722" s="46"/>
      <c r="J722" s="46"/>
    </row>
    <row r="723" spans="5:10" ht="13.15">
      <c r="E723" s="46"/>
      <c r="F723" s="46"/>
      <c r="G723" s="46"/>
      <c r="H723" s="46"/>
      <c r="I723" s="46"/>
      <c r="J723" s="46"/>
    </row>
    <row r="724" spans="5:10" ht="13.15">
      <c r="E724" s="46"/>
      <c r="F724" s="46"/>
      <c r="G724" s="46"/>
      <c r="H724" s="46"/>
      <c r="I724" s="46"/>
      <c r="J724" s="46"/>
    </row>
    <row r="725" spans="5:10" ht="13.15">
      <c r="E725" s="46"/>
      <c r="F725" s="46"/>
      <c r="G725" s="46"/>
      <c r="H725" s="46"/>
      <c r="I725" s="46"/>
      <c r="J725" s="46"/>
    </row>
    <row r="726" spans="5:10" ht="13.15">
      <c r="E726" s="46"/>
      <c r="F726" s="46"/>
      <c r="G726" s="46"/>
      <c r="H726" s="46"/>
      <c r="I726" s="46"/>
      <c r="J726" s="46"/>
    </row>
    <row r="727" spans="5:10" ht="13.15">
      <c r="E727" s="46"/>
      <c r="F727" s="46"/>
      <c r="G727" s="46"/>
      <c r="H727" s="46"/>
      <c r="I727" s="46"/>
      <c r="J727" s="46"/>
    </row>
    <row r="728" spans="5:10" ht="13.15">
      <c r="E728" s="46"/>
      <c r="F728" s="46"/>
      <c r="G728" s="46"/>
      <c r="H728" s="46"/>
      <c r="I728" s="46"/>
      <c r="J728" s="46"/>
    </row>
    <row r="729" spans="5:10" ht="13.15">
      <c r="E729" s="46"/>
      <c r="F729" s="46"/>
      <c r="G729" s="46"/>
      <c r="H729" s="46"/>
      <c r="I729" s="46"/>
      <c r="J729" s="46"/>
    </row>
    <row r="730" spans="5:10" ht="13.15">
      <c r="E730" s="46"/>
      <c r="F730" s="46"/>
      <c r="G730" s="46"/>
      <c r="H730" s="46"/>
      <c r="I730" s="46"/>
      <c r="J730" s="46"/>
    </row>
    <row r="731" spans="5:10" ht="13.15">
      <c r="E731" s="46"/>
      <c r="F731" s="46"/>
      <c r="G731" s="46"/>
      <c r="H731" s="46"/>
      <c r="I731" s="46"/>
      <c r="J731" s="46"/>
    </row>
    <row r="732" spans="5:10" ht="13.15">
      <c r="E732" s="46"/>
      <c r="F732" s="46"/>
      <c r="G732" s="46"/>
      <c r="H732" s="46"/>
      <c r="I732" s="46"/>
      <c r="J732" s="46"/>
    </row>
    <row r="733" spans="5:10" ht="13.15">
      <c r="E733" s="46"/>
      <c r="F733" s="46"/>
      <c r="G733" s="46"/>
      <c r="H733" s="46"/>
      <c r="I733" s="46"/>
      <c r="J733" s="46"/>
    </row>
    <row r="734" spans="5:10" ht="13.15">
      <c r="E734" s="46"/>
      <c r="F734" s="46"/>
      <c r="G734" s="46"/>
      <c r="H734" s="46"/>
      <c r="I734" s="46"/>
      <c r="J734" s="46"/>
    </row>
    <row r="735" spans="5:10" ht="13.15">
      <c r="E735" s="46"/>
      <c r="F735" s="46"/>
      <c r="G735" s="46"/>
      <c r="H735" s="46"/>
      <c r="I735" s="46"/>
      <c r="J735" s="46"/>
    </row>
    <row r="736" spans="5:10" ht="13.15">
      <c r="E736" s="46"/>
      <c r="F736" s="46"/>
      <c r="G736" s="46"/>
      <c r="H736" s="46"/>
      <c r="I736" s="46"/>
      <c r="J736" s="46"/>
    </row>
    <row r="737" spans="5:10" ht="13.15">
      <c r="E737" s="46"/>
      <c r="F737" s="46"/>
      <c r="G737" s="46"/>
      <c r="H737" s="46"/>
      <c r="I737" s="46"/>
      <c r="J737" s="46"/>
    </row>
    <row r="738" spans="5:10" ht="13.15">
      <c r="E738" s="46"/>
      <c r="F738" s="46"/>
      <c r="G738" s="46"/>
      <c r="H738" s="46"/>
      <c r="I738" s="46"/>
      <c r="J738" s="46"/>
    </row>
    <row r="739" spans="5:10" ht="13.15">
      <c r="E739" s="46"/>
      <c r="F739" s="46"/>
      <c r="G739" s="46"/>
      <c r="H739" s="46"/>
      <c r="I739" s="46"/>
      <c r="J739" s="46"/>
    </row>
    <row r="740" spans="5:10" ht="13.15">
      <c r="E740" s="46"/>
      <c r="F740" s="46"/>
      <c r="G740" s="46"/>
      <c r="H740" s="46"/>
      <c r="I740" s="46"/>
      <c r="J740" s="46"/>
    </row>
    <row r="741" spans="5:10" ht="13.15">
      <c r="E741" s="46"/>
      <c r="F741" s="46"/>
      <c r="G741" s="46"/>
      <c r="H741" s="46"/>
      <c r="I741" s="46"/>
      <c r="J741" s="46"/>
    </row>
    <row r="742" spans="5:10" ht="13.15">
      <c r="E742" s="46"/>
      <c r="F742" s="46"/>
      <c r="G742" s="46"/>
      <c r="H742" s="46"/>
      <c r="I742" s="46"/>
      <c r="J742" s="46"/>
    </row>
    <row r="743" spans="5:10" ht="13.15">
      <c r="E743" s="46"/>
      <c r="F743" s="46"/>
      <c r="G743" s="46"/>
      <c r="H743" s="46"/>
      <c r="I743" s="46"/>
      <c r="J743" s="46"/>
    </row>
    <row r="744" spans="5:10" ht="13.15">
      <c r="E744" s="46"/>
      <c r="F744" s="46"/>
      <c r="G744" s="46"/>
      <c r="H744" s="46"/>
      <c r="I744" s="46"/>
      <c r="J744" s="46"/>
    </row>
    <row r="745" spans="5:10" ht="13.15">
      <c r="E745" s="46"/>
      <c r="F745" s="46"/>
      <c r="G745" s="46"/>
      <c r="H745" s="46"/>
      <c r="I745" s="46"/>
      <c r="J745" s="46"/>
    </row>
    <row r="746" spans="5:10" ht="13.15">
      <c r="E746" s="46"/>
      <c r="F746" s="46"/>
      <c r="G746" s="46"/>
      <c r="H746" s="46"/>
      <c r="I746" s="46"/>
      <c r="J746" s="46"/>
    </row>
    <row r="747" spans="5:10" ht="13.15">
      <c r="E747" s="46"/>
      <c r="F747" s="46"/>
      <c r="G747" s="46"/>
      <c r="H747" s="46"/>
      <c r="I747" s="46"/>
      <c r="J747" s="46"/>
    </row>
    <row r="748" spans="5:10" ht="13.15">
      <c r="E748" s="46"/>
      <c r="F748" s="46"/>
      <c r="G748" s="46"/>
      <c r="H748" s="46"/>
      <c r="I748" s="46"/>
      <c r="J748" s="46"/>
    </row>
    <row r="749" spans="5:10" ht="13.15">
      <c r="E749" s="46"/>
      <c r="F749" s="46"/>
      <c r="G749" s="46"/>
      <c r="H749" s="46"/>
      <c r="I749" s="46"/>
      <c r="J749" s="46"/>
    </row>
    <row r="750" spans="5:10" ht="13.15">
      <c r="E750" s="46"/>
      <c r="F750" s="46"/>
      <c r="G750" s="46"/>
      <c r="H750" s="46"/>
      <c r="I750" s="46"/>
      <c r="J750" s="46"/>
    </row>
    <row r="751" spans="5:10" ht="13.15">
      <c r="E751" s="46"/>
      <c r="F751" s="46"/>
      <c r="G751" s="46"/>
      <c r="H751" s="46"/>
      <c r="I751" s="46"/>
      <c r="J751" s="46"/>
    </row>
    <row r="752" spans="5:10" ht="13.15">
      <c r="E752" s="46"/>
      <c r="F752" s="46"/>
      <c r="G752" s="46"/>
      <c r="H752" s="46"/>
      <c r="I752" s="46"/>
      <c r="J752" s="46"/>
    </row>
    <row r="753" spans="5:10" ht="13.15">
      <c r="E753" s="46"/>
      <c r="F753" s="46"/>
      <c r="G753" s="46"/>
      <c r="H753" s="46"/>
      <c r="I753" s="46"/>
      <c r="J753" s="46"/>
    </row>
    <row r="754" spans="5:10" ht="13.15">
      <c r="E754" s="46"/>
      <c r="F754" s="46"/>
      <c r="G754" s="46"/>
      <c r="H754" s="46"/>
      <c r="I754" s="46"/>
      <c r="J754" s="46"/>
    </row>
    <row r="755" spans="5:10" ht="13.15">
      <c r="E755" s="46"/>
      <c r="F755" s="46"/>
      <c r="G755" s="46"/>
      <c r="H755" s="46"/>
      <c r="I755" s="46"/>
      <c r="J755" s="46"/>
    </row>
    <row r="756" spans="5:10" ht="13.15">
      <c r="E756" s="46"/>
      <c r="F756" s="46"/>
      <c r="G756" s="46"/>
      <c r="H756" s="46"/>
      <c r="I756" s="46"/>
      <c r="J756" s="46"/>
    </row>
    <row r="757" spans="5:10" ht="13.15">
      <c r="E757" s="46"/>
      <c r="F757" s="46"/>
      <c r="G757" s="46"/>
      <c r="H757" s="46"/>
      <c r="I757" s="46"/>
      <c r="J757" s="46"/>
    </row>
    <row r="758" spans="5:10" ht="13.15">
      <c r="E758" s="46"/>
      <c r="F758" s="46"/>
      <c r="G758" s="46"/>
      <c r="H758" s="46"/>
      <c r="I758" s="46"/>
      <c r="J758" s="46"/>
    </row>
    <row r="759" spans="5:10" ht="13.15">
      <c r="E759" s="46"/>
      <c r="F759" s="46"/>
      <c r="G759" s="46"/>
      <c r="H759" s="46"/>
      <c r="I759" s="46"/>
      <c r="J759" s="46"/>
    </row>
    <row r="760" spans="5:10" ht="13.15">
      <c r="E760" s="46"/>
      <c r="F760" s="46"/>
      <c r="G760" s="46"/>
      <c r="H760" s="46"/>
      <c r="I760" s="46"/>
      <c r="J760" s="46"/>
    </row>
    <row r="761" spans="5:10" ht="13.15">
      <c r="E761" s="46"/>
      <c r="F761" s="46"/>
      <c r="G761" s="46"/>
      <c r="H761" s="46"/>
      <c r="I761" s="46"/>
      <c r="J761" s="46"/>
    </row>
    <row r="762" spans="5:10" ht="13.15">
      <c r="E762" s="46"/>
      <c r="F762" s="46"/>
      <c r="G762" s="46"/>
      <c r="H762" s="46"/>
      <c r="I762" s="46"/>
      <c r="J762" s="46"/>
    </row>
    <row r="763" spans="5:10" ht="13.15">
      <c r="E763" s="46"/>
      <c r="F763" s="46"/>
      <c r="G763" s="46"/>
      <c r="H763" s="46"/>
      <c r="I763" s="46"/>
      <c r="J763" s="46"/>
    </row>
    <row r="764" spans="5:10" ht="13.15">
      <c r="E764" s="46"/>
      <c r="F764" s="46"/>
      <c r="G764" s="46"/>
      <c r="H764" s="46"/>
      <c r="I764" s="46"/>
      <c r="J764" s="46"/>
    </row>
    <row r="765" spans="5:10" ht="13.15">
      <c r="E765" s="46"/>
      <c r="F765" s="46"/>
      <c r="G765" s="46"/>
      <c r="H765" s="46"/>
      <c r="I765" s="46"/>
      <c r="J765" s="46"/>
    </row>
    <row r="766" spans="5:10" ht="13.15">
      <c r="E766" s="46"/>
      <c r="F766" s="46"/>
      <c r="G766" s="46"/>
      <c r="H766" s="46"/>
      <c r="I766" s="46"/>
      <c r="J766" s="46"/>
    </row>
    <row r="767" spans="5:10" ht="13.15">
      <c r="E767" s="46"/>
      <c r="F767" s="46"/>
      <c r="G767" s="46"/>
      <c r="H767" s="46"/>
      <c r="I767" s="46"/>
      <c r="J767" s="46"/>
    </row>
    <row r="768" spans="5:10" ht="13.15">
      <c r="E768" s="46"/>
      <c r="F768" s="46"/>
      <c r="G768" s="46"/>
      <c r="H768" s="46"/>
      <c r="I768" s="46"/>
      <c r="J768" s="46"/>
    </row>
    <row r="769" spans="5:10" ht="13.15">
      <c r="E769" s="46"/>
      <c r="F769" s="46"/>
      <c r="G769" s="46"/>
      <c r="H769" s="46"/>
      <c r="I769" s="46"/>
      <c r="J769" s="46"/>
    </row>
    <row r="770" spans="5:10" ht="13.15">
      <c r="E770" s="46"/>
      <c r="F770" s="46"/>
      <c r="G770" s="46"/>
      <c r="H770" s="46"/>
      <c r="I770" s="46"/>
      <c r="J770" s="46"/>
    </row>
    <row r="771" spans="5:10" ht="13.15">
      <c r="E771" s="46"/>
      <c r="F771" s="46"/>
      <c r="G771" s="46"/>
      <c r="H771" s="46"/>
      <c r="I771" s="46"/>
      <c r="J771" s="46"/>
    </row>
    <row r="772" spans="5:10" ht="13.15">
      <c r="E772" s="46"/>
      <c r="F772" s="46"/>
      <c r="G772" s="46"/>
      <c r="H772" s="46"/>
      <c r="I772" s="46"/>
      <c r="J772" s="46"/>
    </row>
    <row r="773" spans="5:10" ht="13.15">
      <c r="E773" s="46"/>
      <c r="F773" s="46"/>
      <c r="G773" s="46"/>
      <c r="H773" s="46"/>
      <c r="I773" s="46"/>
      <c r="J773" s="46"/>
    </row>
    <row r="774" spans="5:10" ht="13.15">
      <c r="E774" s="46"/>
      <c r="F774" s="46"/>
      <c r="G774" s="46"/>
      <c r="H774" s="46"/>
      <c r="I774" s="46"/>
      <c r="J774" s="46"/>
    </row>
    <row r="775" spans="5:10" ht="13.15">
      <c r="E775" s="46"/>
      <c r="F775" s="46"/>
      <c r="G775" s="46"/>
      <c r="H775" s="46"/>
      <c r="I775" s="46"/>
      <c r="J775" s="46"/>
    </row>
    <row r="776" spans="5:10" ht="13.15">
      <c r="E776" s="46"/>
      <c r="F776" s="46"/>
      <c r="G776" s="46"/>
      <c r="H776" s="46"/>
      <c r="I776" s="46"/>
      <c r="J776" s="46"/>
    </row>
    <row r="777" spans="5:10" ht="13.15">
      <c r="E777" s="46"/>
      <c r="F777" s="46"/>
      <c r="G777" s="46"/>
      <c r="H777" s="46"/>
      <c r="I777" s="46"/>
      <c r="J777" s="46"/>
    </row>
    <row r="778" spans="5:10" ht="13.15">
      <c r="E778" s="46"/>
      <c r="F778" s="46"/>
      <c r="G778" s="46"/>
      <c r="H778" s="46"/>
      <c r="I778" s="46"/>
      <c r="J778" s="46"/>
    </row>
    <row r="779" spans="5:10" ht="13.15">
      <c r="E779" s="46"/>
      <c r="F779" s="46"/>
      <c r="G779" s="46"/>
      <c r="H779" s="46"/>
      <c r="I779" s="46"/>
      <c r="J779" s="46"/>
    </row>
    <row r="780" spans="5:10" ht="13.15">
      <c r="E780" s="46"/>
      <c r="F780" s="46"/>
      <c r="G780" s="46"/>
      <c r="H780" s="46"/>
      <c r="I780" s="46"/>
      <c r="J780" s="46"/>
    </row>
    <row r="781" spans="5:10" ht="13.15">
      <c r="E781" s="46"/>
      <c r="F781" s="46"/>
      <c r="G781" s="46"/>
      <c r="H781" s="46"/>
      <c r="I781" s="46"/>
      <c r="J781" s="46"/>
    </row>
    <row r="782" spans="5:10" ht="13.15">
      <c r="E782" s="46"/>
      <c r="F782" s="46"/>
      <c r="G782" s="46"/>
      <c r="H782" s="46"/>
      <c r="I782" s="46"/>
      <c r="J782" s="46"/>
    </row>
    <row r="783" spans="5:10" ht="13.15">
      <c r="E783" s="46"/>
      <c r="F783" s="46"/>
      <c r="G783" s="46"/>
      <c r="H783" s="46"/>
      <c r="I783" s="46"/>
      <c r="J783" s="46"/>
    </row>
    <row r="784" spans="5:10" ht="13.15">
      <c r="E784" s="46"/>
      <c r="F784" s="46"/>
      <c r="G784" s="46"/>
      <c r="H784" s="46"/>
      <c r="I784" s="46"/>
      <c r="J784" s="46"/>
    </row>
    <row r="785" spans="5:10" ht="13.15">
      <c r="E785" s="46"/>
      <c r="F785" s="46"/>
      <c r="G785" s="46"/>
      <c r="H785" s="46"/>
      <c r="I785" s="46"/>
      <c r="J785" s="46"/>
    </row>
    <row r="786" spans="5:10" ht="13.15">
      <c r="E786" s="46"/>
      <c r="F786" s="46"/>
      <c r="G786" s="46"/>
      <c r="H786" s="46"/>
      <c r="I786" s="46"/>
      <c r="J786" s="46"/>
    </row>
    <row r="787" spans="5:10" ht="13.15">
      <c r="E787" s="46"/>
      <c r="F787" s="46"/>
      <c r="G787" s="46"/>
      <c r="H787" s="46"/>
      <c r="I787" s="46"/>
      <c r="J787" s="46"/>
    </row>
    <row r="788" spans="5:10" ht="13.15">
      <c r="E788" s="46"/>
      <c r="F788" s="46"/>
      <c r="G788" s="46"/>
      <c r="H788" s="46"/>
      <c r="I788" s="46"/>
      <c r="J788" s="46"/>
    </row>
    <row r="789" spans="5:10" ht="13.15">
      <c r="E789" s="46"/>
      <c r="F789" s="46"/>
      <c r="G789" s="46"/>
      <c r="H789" s="46"/>
      <c r="I789" s="46"/>
      <c r="J789" s="46"/>
    </row>
    <row r="790" spans="5:10" ht="13.15">
      <c r="E790" s="46"/>
      <c r="F790" s="46"/>
      <c r="G790" s="46"/>
      <c r="H790" s="46"/>
      <c r="I790" s="46"/>
      <c r="J790" s="46"/>
    </row>
    <row r="791" spans="5:10" ht="13.15">
      <c r="E791" s="46"/>
      <c r="F791" s="46"/>
      <c r="G791" s="46"/>
      <c r="H791" s="46"/>
      <c r="I791" s="46"/>
      <c r="J791" s="46"/>
    </row>
    <row r="792" spans="5:10" ht="13.15">
      <c r="E792" s="46"/>
      <c r="F792" s="46"/>
      <c r="G792" s="46"/>
      <c r="H792" s="46"/>
      <c r="I792" s="46"/>
      <c r="J792" s="46"/>
    </row>
    <row r="793" spans="5:10" ht="13.15">
      <c r="E793" s="46"/>
      <c r="F793" s="46"/>
      <c r="G793" s="46"/>
      <c r="H793" s="46"/>
      <c r="I793" s="46"/>
      <c r="J793" s="46"/>
    </row>
    <row r="794" spans="5:10" ht="13.15">
      <c r="E794" s="46"/>
      <c r="F794" s="46"/>
      <c r="G794" s="46"/>
      <c r="H794" s="46"/>
      <c r="I794" s="46"/>
      <c r="J794" s="46"/>
    </row>
    <row r="795" spans="5:10" ht="13.15">
      <c r="E795" s="46"/>
      <c r="F795" s="46"/>
      <c r="G795" s="46"/>
      <c r="H795" s="46"/>
      <c r="I795" s="46"/>
      <c r="J795" s="46"/>
    </row>
    <row r="796" spans="5:10" ht="13.15">
      <c r="E796" s="46"/>
      <c r="F796" s="46"/>
      <c r="G796" s="46"/>
      <c r="H796" s="46"/>
      <c r="I796" s="46"/>
      <c r="J796" s="46"/>
    </row>
    <row r="797" spans="5:10" ht="13.15">
      <c r="E797" s="46"/>
      <c r="F797" s="46"/>
      <c r="G797" s="46"/>
      <c r="H797" s="46"/>
      <c r="I797" s="46"/>
      <c r="J797" s="46"/>
    </row>
    <row r="798" spans="5:10" ht="13.15">
      <c r="E798" s="46"/>
      <c r="F798" s="46"/>
      <c r="G798" s="46"/>
      <c r="H798" s="46"/>
      <c r="I798" s="46"/>
      <c r="J798" s="46"/>
    </row>
    <row r="799" spans="5:10" ht="13.15">
      <c r="E799" s="46"/>
      <c r="F799" s="46"/>
      <c r="G799" s="46"/>
      <c r="H799" s="46"/>
      <c r="I799" s="46"/>
      <c r="J799" s="46"/>
    </row>
    <row r="800" spans="5:10" ht="13.15">
      <c r="E800" s="46"/>
      <c r="F800" s="46"/>
      <c r="G800" s="46"/>
      <c r="H800" s="46"/>
      <c r="I800" s="46"/>
      <c r="J800" s="46"/>
    </row>
    <row r="801" spans="5:10" ht="13.15">
      <c r="E801" s="46"/>
      <c r="F801" s="46"/>
      <c r="G801" s="46"/>
      <c r="H801" s="46"/>
      <c r="I801" s="46"/>
      <c r="J801" s="46"/>
    </row>
    <row r="802" spans="5:10" ht="13.15">
      <c r="E802" s="46"/>
      <c r="F802" s="46"/>
      <c r="G802" s="46"/>
      <c r="H802" s="46"/>
      <c r="I802" s="46"/>
      <c r="J802" s="46"/>
    </row>
    <row r="803" spans="5:10" ht="13.15">
      <c r="E803" s="46"/>
      <c r="F803" s="46"/>
      <c r="G803" s="46"/>
      <c r="H803" s="46"/>
      <c r="I803" s="46"/>
      <c r="J803" s="46"/>
    </row>
    <row r="804" spans="5:10" ht="13.15">
      <c r="E804" s="46"/>
      <c r="F804" s="46"/>
      <c r="G804" s="46"/>
      <c r="H804" s="46"/>
      <c r="I804" s="46"/>
      <c r="J804" s="46"/>
    </row>
    <row r="805" spans="5:10" ht="13.15">
      <c r="E805" s="46"/>
      <c r="F805" s="46"/>
      <c r="G805" s="46"/>
      <c r="H805" s="46"/>
      <c r="I805" s="46"/>
      <c r="J805" s="46"/>
    </row>
    <row r="806" spans="5:10" ht="13.15">
      <c r="E806" s="46"/>
      <c r="F806" s="46"/>
      <c r="G806" s="46"/>
      <c r="H806" s="46"/>
      <c r="I806" s="46"/>
      <c r="J806" s="46"/>
    </row>
    <row r="807" spans="5:10" ht="13.15">
      <c r="E807" s="46"/>
      <c r="F807" s="46"/>
      <c r="G807" s="46"/>
      <c r="H807" s="46"/>
      <c r="I807" s="46"/>
      <c r="J807" s="46"/>
    </row>
    <row r="808" spans="5:10" ht="13.15">
      <c r="E808" s="46"/>
      <c r="F808" s="46"/>
      <c r="G808" s="46"/>
      <c r="H808" s="46"/>
      <c r="I808" s="46"/>
      <c r="J808" s="46"/>
    </row>
    <row r="809" spans="5:10" ht="13.15">
      <c r="E809" s="46"/>
      <c r="F809" s="46"/>
      <c r="G809" s="46"/>
      <c r="H809" s="46"/>
      <c r="I809" s="46"/>
      <c r="J809" s="46"/>
    </row>
    <row r="810" spans="5:10" ht="13.15">
      <c r="E810" s="46"/>
      <c r="F810" s="46"/>
      <c r="G810" s="46"/>
      <c r="H810" s="46"/>
      <c r="I810" s="46"/>
      <c r="J810" s="46"/>
    </row>
    <row r="811" spans="5:10" ht="13.15">
      <c r="E811" s="46"/>
      <c r="F811" s="46"/>
      <c r="G811" s="46"/>
      <c r="H811" s="46"/>
      <c r="I811" s="46"/>
      <c r="J811" s="46"/>
    </row>
    <row r="812" spans="5:10" ht="13.15">
      <c r="E812" s="46"/>
      <c r="F812" s="46"/>
      <c r="G812" s="46"/>
      <c r="H812" s="46"/>
      <c r="I812" s="46"/>
      <c r="J812" s="46"/>
    </row>
    <row r="813" spans="5:10" ht="13.15">
      <c r="E813" s="46"/>
      <c r="F813" s="46"/>
      <c r="G813" s="46"/>
      <c r="H813" s="46"/>
      <c r="I813" s="46"/>
      <c r="J813" s="46"/>
    </row>
    <row r="814" spans="5:10" ht="13.15">
      <c r="E814" s="46"/>
      <c r="F814" s="46"/>
      <c r="G814" s="46"/>
      <c r="H814" s="46"/>
      <c r="I814" s="46"/>
      <c r="J814" s="46"/>
    </row>
    <row r="815" spans="5:10" ht="13.15">
      <c r="E815" s="46"/>
      <c r="F815" s="46"/>
      <c r="G815" s="46"/>
      <c r="H815" s="46"/>
      <c r="I815" s="46"/>
      <c r="J815" s="46"/>
    </row>
    <row r="816" spans="5:10" ht="13.15">
      <c r="E816" s="46"/>
      <c r="F816" s="46"/>
      <c r="G816" s="46"/>
      <c r="H816" s="46"/>
      <c r="I816" s="46"/>
      <c r="J816" s="46"/>
    </row>
    <row r="817" spans="5:10" ht="13.15">
      <c r="E817" s="46"/>
      <c r="F817" s="46"/>
      <c r="G817" s="46"/>
      <c r="H817" s="46"/>
      <c r="I817" s="46"/>
      <c r="J817" s="46"/>
    </row>
    <row r="818" spans="5:10" ht="13.15">
      <c r="E818" s="46"/>
      <c r="F818" s="46"/>
      <c r="G818" s="46"/>
      <c r="H818" s="46"/>
      <c r="I818" s="46"/>
      <c r="J818" s="46"/>
    </row>
    <row r="819" spans="5:10" ht="13.15">
      <c r="E819" s="46"/>
      <c r="F819" s="46"/>
      <c r="G819" s="46"/>
      <c r="H819" s="46"/>
      <c r="I819" s="46"/>
      <c r="J819" s="46"/>
    </row>
    <row r="820" spans="5:10" ht="13.15">
      <c r="E820" s="46"/>
      <c r="F820" s="46"/>
      <c r="G820" s="46"/>
      <c r="H820" s="46"/>
      <c r="I820" s="46"/>
      <c r="J820" s="46"/>
    </row>
    <row r="821" spans="5:10" ht="13.15">
      <c r="E821" s="46"/>
      <c r="F821" s="46"/>
      <c r="G821" s="46"/>
      <c r="H821" s="46"/>
      <c r="I821" s="46"/>
      <c r="J821" s="46"/>
    </row>
    <row r="822" spans="5:10" ht="13.15">
      <c r="E822" s="46"/>
      <c r="F822" s="46"/>
      <c r="G822" s="46"/>
      <c r="H822" s="46"/>
      <c r="I822" s="46"/>
      <c r="J822" s="46"/>
    </row>
    <row r="823" spans="5:10" ht="13.15">
      <c r="E823" s="46"/>
      <c r="F823" s="46"/>
      <c r="G823" s="46"/>
      <c r="H823" s="46"/>
      <c r="I823" s="46"/>
      <c r="J823" s="46"/>
    </row>
    <row r="824" spans="5:10" ht="13.15">
      <c r="E824" s="46"/>
      <c r="F824" s="46"/>
      <c r="G824" s="46"/>
      <c r="H824" s="46"/>
      <c r="I824" s="46"/>
      <c r="J824" s="46"/>
    </row>
    <row r="825" spans="5:10" ht="13.15">
      <c r="E825" s="46"/>
      <c r="F825" s="46"/>
      <c r="G825" s="46"/>
      <c r="H825" s="46"/>
      <c r="I825" s="46"/>
      <c r="J825" s="46"/>
    </row>
    <row r="826" spans="5:10" ht="13.15">
      <c r="E826" s="46"/>
      <c r="F826" s="46"/>
      <c r="G826" s="46"/>
      <c r="H826" s="46"/>
      <c r="I826" s="46"/>
      <c r="J826" s="46"/>
    </row>
    <row r="827" spans="5:10" ht="13.15">
      <c r="E827" s="46"/>
      <c r="F827" s="46"/>
      <c r="G827" s="46"/>
      <c r="H827" s="46"/>
      <c r="I827" s="46"/>
      <c r="J827" s="46"/>
    </row>
    <row r="828" spans="5:10" ht="13.15">
      <c r="E828" s="46"/>
      <c r="F828" s="46"/>
      <c r="G828" s="46"/>
      <c r="H828" s="46"/>
      <c r="I828" s="46"/>
      <c r="J828" s="46"/>
    </row>
    <row r="829" spans="5:10" ht="13.15">
      <c r="E829" s="46"/>
      <c r="F829" s="46"/>
      <c r="G829" s="46"/>
      <c r="H829" s="46"/>
      <c r="I829" s="46"/>
      <c r="J829" s="46"/>
    </row>
    <row r="830" spans="5:10" ht="13.15">
      <c r="E830" s="46"/>
      <c r="F830" s="46"/>
      <c r="G830" s="46"/>
      <c r="H830" s="46"/>
      <c r="I830" s="46"/>
      <c r="J830" s="46"/>
    </row>
    <row r="831" spans="5:10" ht="13.15">
      <c r="E831" s="46"/>
      <c r="F831" s="46"/>
      <c r="G831" s="46"/>
      <c r="H831" s="46"/>
      <c r="I831" s="46"/>
      <c r="J831" s="46"/>
    </row>
    <row r="832" spans="5:10" ht="13.15">
      <c r="E832" s="46"/>
      <c r="F832" s="46"/>
      <c r="G832" s="46"/>
      <c r="H832" s="46"/>
      <c r="I832" s="46"/>
      <c r="J832" s="46"/>
    </row>
    <row r="833" spans="5:10" ht="13.15">
      <c r="E833" s="46"/>
      <c r="F833" s="46"/>
      <c r="G833" s="46"/>
      <c r="H833" s="46"/>
      <c r="I833" s="46"/>
      <c r="J833" s="46"/>
    </row>
    <row r="834" spans="5:10" ht="13.15">
      <c r="E834" s="46"/>
      <c r="F834" s="46"/>
      <c r="G834" s="46"/>
      <c r="H834" s="46"/>
      <c r="I834" s="46"/>
      <c r="J834" s="46"/>
    </row>
    <row r="835" spans="5:10" ht="13.15">
      <c r="E835" s="46"/>
      <c r="F835" s="46"/>
      <c r="G835" s="46"/>
      <c r="H835" s="46"/>
      <c r="I835" s="46"/>
      <c r="J835" s="46"/>
    </row>
    <row r="836" spans="5:10" ht="13.15">
      <c r="E836" s="46"/>
      <c r="F836" s="46"/>
      <c r="G836" s="46"/>
      <c r="H836" s="46"/>
      <c r="I836" s="46"/>
      <c r="J836" s="46"/>
    </row>
    <row r="837" spans="5:10" ht="13.15">
      <c r="E837" s="46"/>
      <c r="F837" s="46"/>
      <c r="G837" s="46"/>
      <c r="H837" s="46"/>
      <c r="I837" s="46"/>
      <c r="J837" s="46"/>
    </row>
    <row r="838" spans="5:10" ht="13.15">
      <c r="E838" s="46"/>
      <c r="F838" s="46"/>
      <c r="G838" s="46"/>
      <c r="H838" s="46"/>
      <c r="I838" s="46"/>
      <c r="J838" s="46"/>
    </row>
    <row r="839" spans="5:10" ht="13.15">
      <c r="E839" s="46"/>
      <c r="F839" s="46"/>
      <c r="G839" s="46"/>
      <c r="H839" s="46"/>
      <c r="I839" s="46"/>
      <c r="J839" s="46"/>
    </row>
    <row r="840" spans="5:10" ht="13.15">
      <c r="E840" s="46"/>
      <c r="F840" s="46"/>
      <c r="G840" s="46"/>
      <c r="H840" s="46"/>
      <c r="I840" s="46"/>
      <c r="J840" s="46"/>
    </row>
    <row r="841" spans="5:10" ht="13.15">
      <c r="E841" s="46"/>
      <c r="F841" s="46"/>
      <c r="G841" s="46"/>
      <c r="H841" s="46"/>
      <c r="I841" s="46"/>
      <c r="J841" s="46"/>
    </row>
    <row r="842" spans="5:10" ht="13.15">
      <c r="E842" s="46"/>
      <c r="F842" s="46"/>
      <c r="G842" s="46"/>
      <c r="H842" s="46"/>
      <c r="I842" s="46"/>
      <c r="J842" s="46"/>
    </row>
    <row r="843" spans="5:10" ht="13.15">
      <c r="E843" s="46"/>
      <c r="F843" s="46"/>
      <c r="G843" s="46"/>
      <c r="H843" s="46"/>
      <c r="I843" s="46"/>
      <c r="J843" s="46"/>
    </row>
    <row r="844" spans="5:10" ht="13.15">
      <c r="E844" s="46"/>
      <c r="F844" s="46"/>
      <c r="G844" s="46"/>
      <c r="H844" s="46"/>
      <c r="I844" s="46"/>
      <c r="J844" s="46"/>
    </row>
    <row r="845" spans="5:10" ht="13.15">
      <c r="E845" s="46"/>
      <c r="F845" s="46"/>
      <c r="G845" s="46"/>
      <c r="H845" s="46"/>
      <c r="I845" s="46"/>
      <c r="J845" s="46"/>
    </row>
    <row r="846" spans="5:10" ht="13.15">
      <c r="E846" s="46"/>
      <c r="F846" s="46"/>
      <c r="G846" s="46"/>
      <c r="H846" s="46"/>
      <c r="I846" s="46"/>
      <c r="J846" s="46"/>
    </row>
    <row r="847" spans="5:10" ht="13.15">
      <c r="E847" s="46"/>
      <c r="F847" s="46"/>
      <c r="G847" s="46"/>
      <c r="H847" s="46"/>
      <c r="I847" s="46"/>
      <c r="J847" s="46"/>
    </row>
    <row r="848" spans="5:10" ht="13.15">
      <c r="E848" s="46"/>
      <c r="F848" s="46"/>
      <c r="G848" s="46"/>
      <c r="H848" s="46"/>
      <c r="I848" s="46"/>
      <c r="J848" s="46"/>
    </row>
    <row r="849" spans="5:10" ht="13.15">
      <c r="E849" s="46"/>
      <c r="F849" s="46"/>
      <c r="G849" s="46"/>
      <c r="H849" s="46"/>
      <c r="I849" s="46"/>
      <c r="J849" s="46"/>
    </row>
    <row r="850" spans="5:10" ht="13.15">
      <c r="E850" s="46"/>
      <c r="F850" s="46"/>
      <c r="G850" s="46"/>
      <c r="H850" s="46"/>
      <c r="I850" s="46"/>
      <c r="J850" s="46"/>
    </row>
    <row r="851" spans="5:10" ht="13.15">
      <c r="E851" s="46"/>
      <c r="F851" s="46"/>
      <c r="G851" s="46"/>
      <c r="H851" s="46"/>
      <c r="I851" s="46"/>
      <c r="J851" s="46"/>
    </row>
    <row r="852" spans="5:10" ht="13.15">
      <c r="E852" s="46"/>
      <c r="F852" s="46"/>
      <c r="G852" s="46"/>
      <c r="H852" s="46"/>
      <c r="I852" s="46"/>
      <c r="J852" s="46"/>
    </row>
    <row r="853" spans="5:10" ht="13.15">
      <c r="E853" s="46"/>
      <c r="F853" s="46"/>
      <c r="G853" s="46"/>
      <c r="H853" s="46"/>
      <c r="I853" s="46"/>
      <c r="J853" s="46"/>
    </row>
    <row r="854" spans="5:10" ht="13.15">
      <c r="E854" s="46"/>
      <c r="F854" s="46"/>
      <c r="G854" s="46"/>
      <c r="H854" s="46"/>
      <c r="I854" s="46"/>
      <c r="J854" s="46"/>
    </row>
    <row r="855" spans="5:10" ht="13.15">
      <c r="E855" s="46"/>
      <c r="F855" s="46"/>
      <c r="G855" s="46"/>
      <c r="H855" s="46"/>
      <c r="I855" s="46"/>
      <c r="J855" s="46"/>
    </row>
    <row r="856" spans="5:10" ht="13.15">
      <c r="E856" s="46"/>
      <c r="F856" s="46"/>
      <c r="G856" s="46"/>
      <c r="H856" s="46"/>
      <c r="I856" s="46"/>
      <c r="J856" s="46"/>
    </row>
    <row r="857" spans="5:10" ht="13.15">
      <c r="E857" s="46"/>
      <c r="F857" s="46"/>
      <c r="G857" s="46"/>
      <c r="H857" s="46"/>
      <c r="I857" s="46"/>
      <c r="J857" s="46"/>
    </row>
    <row r="858" spans="5:10" ht="13.15">
      <c r="E858" s="46"/>
      <c r="F858" s="46"/>
      <c r="G858" s="46"/>
      <c r="H858" s="46"/>
      <c r="I858" s="46"/>
      <c r="J858" s="46"/>
    </row>
    <row r="859" spans="5:10" ht="13.15">
      <c r="E859" s="46"/>
      <c r="F859" s="46"/>
      <c r="G859" s="46"/>
      <c r="H859" s="46"/>
      <c r="I859" s="46"/>
      <c r="J859" s="46"/>
    </row>
    <row r="860" spans="5:10" ht="13.15">
      <c r="E860" s="46"/>
      <c r="F860" s="46"/>
      <c r="G860" s="46"/>
      <c r="H860" s="46"/>
      <c r="I860" s="46"/>
      <c r="J860" s="46"/>
    </row>
    <row r="861" spans="5:10" ht="13.15">
      <c r="E861" s="46"/>
      <c r="F861" s="46"/>
      <c r="G861" s="46"/>
      <c r="H861" s="46"/>
      <c r="I861" s="46"/>
      <c r="J861" s="46"/>
    </row>
    <row r="862" spans="5:10" ht="13.15">
      <c r="E862" s="46"/>
      <c r="F862" s="46"/>
      <c r="G862" s="46"/>
      <c r="H862" s="46"/>
      <c r="I862" s="46"/>
      <c r="J862" s="46"/>
    </row>
    <row r="863" spans="5:10" ht="13.15">
      <c r="E863" s="46"/>
      <c r="F863" s="46"/>
      <c r="G863" s="46"/>
      <c r="H863" s="46"/>
      <c r="I863" s="46"/>
      <c r="J863" s="46"/>
    </row>
    <row r="864" spans="5:10" ht="13.15">
      <c r="E864" s="46"/>
      <c r="F864" s="46"/>
      <c r="G864" s="46"/>
      <c r="H864" s="46"/>
      <c r="I864" s="46"/>
      <c r="J864" s="46"/>
    </row>
    <row r="865" spans="5:10" ht="13.15">
      <c r="E865" s="46"/>
      <c r="F865" s="46"/>
      <c r="G865" s="46"/>
      <c r="H865" s="46"/>
      <c r="I865" s="46"/>
      <c r="J865" s="46"/>
    </row>
    <row r="866" spans="5:10" ht="13.15">
      <c r="E866" s="46"/>
      <c r="F866" s="46"/>
      <c r="G866" s="46"/>
      <c r="H866" s="46"/>
      <c r="I866" s="46"/>
      <c r="J866" s="46"/>
    </row>
    <row r="867" spans="5:10" ht="13.15">
      <c r="E867" s="46"/>
      <c r="F867" s="46"/>
      <c r="G867" s="46"/>
      <c r="H867" s="46"/>
      <c r="I867" s="46"/>
      <c r="J867" s="46"/>
    </row>
    <row r="868" spans="5:10" ht="13.15">
      <c r="E868" s="46"/>
      <c r="F868" s="46"/>
      <c r="G868" s="46"/>
      <c r="H868" s="46"/>
      <c r="I868" s="46"/>
      <c r="J868" s="46"/>
    </row>
    <row r="869" spans="5:10" ht="13.15">
      <c r="E869" s="46"/>
      <c r="F869" s="46"/>
      <c r="G869" s="46"/>
      <c r="H869" s="46"/>
      <c r="I869" s="46"/>
      <c r="J869" s="46"/>
    </row>
    <row r="870" spans="5:10" ht="13.15">
      <c r="E870" s="46"/>
      <c r="F870" s="46"/>
      <c r="G870" s="46"/>
      <c r="H870" s="46"/>
      <c r="I870" s="46"/>
      <c r="J870" s="46"/>
    </row>
    <row r="871" spans="5:10" ht="13.15">
      <c r="E871" s="46"/>
      <c r="F871" s="46"/>
      <c r="G871" s="46"/>
      <c r="H871" s="46"/>
      <c r="I871" s="46"/>
      <c r="J871" s="46"/>
    </row>
    <row r="872" spans="5:10" ht="13.15">
      <c r="E872" s="46"/>
      <c r="F872" s="46"/>
      <c r="G872" s="46"/>
      <c r="H872" s="46"/>
      <c r="I872" s="46"/>
      <c r="J872" s="46"/>
    </row>
    <row r="873" spans="5:10" ht="13.15">
      <c r="E873" s="46"/>
      <c r="F873" s="46"/>
      <c r="G873" s="46"/>
      <c r="H873" s="46"/>
      <c r="I873" s="46"/>
      <c r="J873" s="46"/>
    </row>
    <row r="874" spans="5:10" ht="13.15">
      <c r="E874" s="46"/>
      <c r="F874" s="46"/>
      <c r="G874" s="46"/>
      <c r="H874" s="46"/>
      <c r="I874" s="46"/>
      <c r="J874" s="46"/>
    </row>
    <row r="875" spans="5:10" ht="13.15">
      <c r="E875" s="46"/>
      <c r="F875" s="46"/>
      <c r="G875" s="46"/>
      <c r="H875" s="46"/>
      <c r="I875" s="46"/>
      <c r="J875" s="46"/>
    </row>
    <row r="876" spans="5:10" ht="13.15">
      <c r="E876" s="46"/>
      <c r="F876" s="46"/>
      <c r="G876" s="46"/>
      <c r="H876" s="46"/>
      <c r="I876" s="46"/>
      <c r="J876" s="46"/>
    </row>
    <row r="877" spans="5:10" ht="13.15">
      <c r="E877" s="46"/>
      <c r="F877" s="46"/>
      <c r="G877" s="46"/>
      <c r="H877" s="46"/>
      <c r="I877" s="46"/>
      <c r="J877" s="46"/>
    </row>
    <row r="878" spans="5:10" ht="13.15">
      <c r="E878" s="46"/>
      <c r="F878" s="46"/>
      <c r="G878" s="46"/>
      <c r="H878" s="46"/>
      <c r="I878" s="46"/>
      <c r="J878" s="46"/>
    </row>
    <row r="879" spans="5:10" ht="13.15">
      <c r="E879" s="46"/>
      <c r="F879" s="46"/>
      <c r="G879" s="46"/>
      <c r="H879" s="46"/>
      <c r="I879" s="46"/>
      <c r="J879" s="46"/>
    </row>
    <row r="880" spans="5:10" ht="13.15">
      <c r="E880" s="46"/>
      <c r="F880" s="46"/>
      <c r="G880" s="46"/>
      <c r="H880" s="46"/>
      <c r="I880" s="46"/>
      <c r="J880" s="46"/>
    </row>
    <row r="881" spans="5:10" ht="13.15">
      <c r="E881" s="46"/>
      <c r="F881" s="46"/>
      <c r="G881" s="46"/>
      <c r="H881" s="46"/>
      <c r="I881" s="46"/>
      <c r="J881" s="46"/>
    </row>
    <row r="882" spans="5:10" ht="13.15">
      <c r="E882" s="46"/>
      <c r="F882" s="46"/>
      <c r="G882" s="46"/>
      <c r="H882" s="46"/>
      <c r="I882" s="46"/>
      <c r="J882" s="46"/>
    </row>
    <row r="883" spans="5:10" ht="13.15">
      <c r="E883" s="46"/>
      <c r="F883" s="46"/>
      <c r="G883" s="46"/>
      <c r="H883" s="46"/>
      <c r="I883" s="46"/>
      <c r="J883" s="46"/>
    </row>
    <row r="884" spans="5:10" ht="13.15">
      <c r="E884" s="46"/>
      <c r="F884" s="46"/>
      <c r="G884" s="46"/>
      <c r="H884" s="46"/>
      <c r="I884" s="46"/>
      <c r="J884" s="46"/>
    </row>
    <row r="885" spans="5:10" ht="13.15">
      <c r="E885" s="46"/>
      <c r="F885" s="46"/>
      <c r="G885" s="46"/>
      <c r="H885" s="46"/>
      <c r="I885" s="46"/>
      <c r="J885" s="46"/>
    </row>
    <row r="886" spans="5:10" ht="13.15">
      <c r="E886" s="46"/>
      <c r="F886" s="46"/>
      <c r="G886" s="46"/>
      <c r="H886" s="46"/>
      <c r="I886" s="46"/>
      <c r="J886" s="46"/>
    </row>
    <row r="887" spans="5:10" ht="13.15">
      <c r="E887" s="46"/>
      <c r="F887" s="46"/>
      <c r="G887" s="46"/>
      <c r="H887" s="46"/>
      <c r="I887" s="46"/>
      <c r="J887" s="46"/>
    </row>
    <row r="888" spans="5:10" ht="13.15">
      <c r="E888" s="46"/>
      <c r="F888" s="46"/>
      <c r="G888" s="46"/>
      <c r="H888" s="46"/>
      <c r="I888" s="46"/>
      <c r="J888" s="46"/>
    </row>
    <row r="889" spans="5:10" ht="13.15">
      <c r="E889" s="46"/>
      <c r="F889" s="46"/>
      <c r="G889" s="46"/>
      <c r="H889" s="46"/>
      <c r="I889" s="46"/>
      <c r="J889" s="46"/>
    </row>
    <row r="890" spans="5:10" ht="13.15">
      <c r="E890" s="46"/>
      <c r="F890" s="46"/>
      <c r="G890" s="46"/>
      <c r="H890" s="46"/>
      <c r="I890" s="46"/>
      <c r="J890" s="46"/>
    </row>
    <row r="891" spans="5:10" ht="13.15">
      <c r="E891" s="46"/>
      <c r="F891" s="46"/>
      <c r="G891" s="46"/>
      <c r="H891" s="46"/>
      <c r="I891" s="46"/>
      <c r="J891" s="46"/>
    </row>
    <row r="892" spans="5:10" ht="13.15">
      <c r="E892" s="46"/>
      <c r="F892" s="46"/>
      <c r="G892" s="46"/>
      <c r="H892" s="46"/>
      <c r="I892" s="46"/>
      <c r="J892" s="46"/>
    </row>
    <row r="893" spans="5:10" ht="13.15">
      <c r="E893" s="46"/>
      <c r="F893" s="46"/>
      <c r="G893" s="46"/>
      <c r="H893" s="46"/>
      <c r="I893" s="46"/>
      <c r="J893" s="46"/>
    </row>
    <row r="894" spans="5:10" ht="13.15">
      <c r="E894" s="46"/>
      <c r="F894" s="46"/>
      <c r="G894" s="46"/>
      <c r="H894" s="46"/>
      <c r="I894" s="46"/>
      <c r="J894" s="46"/>
    </row>
    <row r="895" spans="5:10" ht="13.15">
      <c r="E895" s="46"/>
      <c r="F895" s="46"/>
      <c r="G895" s="46"/>
      <c r="H895" s="46"/>
      <c r="I895" s="46"/>
      <c r="J895" s="46"/>
    </row>
    <row r="896" spans="5:10" ht="13.15">
      <c r="E896" s="46"/>
      <c r="F896" s="46"/>
      <c r="G896" s="46"/>
      <c r="H896" s="46"/>
      <c r="I896" s="46"/>
      <c r="J896" s="46"/>
    </row>
    <row r="897" spans="5:10" ht="13.15">
      <c r="E897" s="46"/>
      <c r="F897" s="46"/>
      <c r="G897" s="46"/>
      <c r="H897" s="46"/>
      <c r="I897" s="46"/>
      <c r="J897" s="46"/>
    </row>
    <row r="898" spans="5:10" ht="13.15">
      <c r="E898" s="46"/>
      <c r="F898" s="46"/>
      <c r="G898" s="46"/>
      <c r="H898" s="46"/>
      <c r="I898" s="46"/>
      <c r="J898" s="46"/>
    </row>
    <row r="899" spans="5:10" ht="13.15">
      <c r="E899" s="46"/>
      <c r="F899" s="46"/>
      <c r="G899" s="46"/>
      <c r="H899" s="46"/>
      <c r="I899" s="46"/>
      <c r="J899" s="46"/>
    </row>
    <row r="900" spans="5:10" ht="13.15">
      <c r="E900" s="46"/>
      <c r="F900" s="46"/>
      <c r="G900" s="46"/>
      <c r="H900" s="46"/>
      <c r="I900" s="46"/>
      <c r="J900" s="46"/>
    </row>
    <row r="901" spans="5:10" ht="13.15">
      <c r="E901" s="46"/>
      <c r="F901" s="46"/>
      <c r="G901" s="46"/>
      <c r="H901" s="46"/>
      <c r="I901" s="46"/>
      <c r="J901" s="46"/>
    </row>
    <row r="902" spans="5:10" ht="13.15">
      <c r="E902" s="46"/>
      <c r="F902" s="46"/>
      <c r="G902" s="46"/>
      <c r="H902" s="46"/>
      <c r="I902" s="46"/>
      <c r="J902" s="46"/>
    </row>
    <row r="903" spans="5:10" ht="13.15">
      <c r="E903" s="46"/>
      <c r="F903" s="46"/>
      <c r="G903" s="46"/>
      <c r="H903" s="46"/>
      <c r="I903" s="46"/>
      <c r="J903" s="46"/>
    </row>
    <row r="904" spans="5:10" ht="13.15">
      <c r="E904" s="46"/>
      <c r="F904" s="46"/>
      <c r="G904" s="46"/>
      <c r="H904" s="46"/>
      <c r="I904" s="46"/>
      <c r="J904" s="46"/>
    </row>
    <row r="905" spans="5:10" ht="13.15">
      <c r="E905" s="46"/>
      <c r="F905" s="46"/>
      <c r="G905" s="46"/>
      <c r="H905" s="46"/>
      <c r="I905" s="46"/>
      <c r="J905" s="46"/>
    </row>
    <row r="906" spans="5:10" ht="13.15">
      <c r="E906" s="46"/>
      <c r="F906" s="46"/>
      <c r="G906" s="46"/>
      <c r="H906" s="46"/>
      <c r="I906" s="46"/>
      <c r="J906" s="46"/>
    </row>
    <row r="907" spans="5:10" ht="13.15">
      <c r="E907" s="46"/>
      <c r="F907" s="46"/>
      <c r="G907" s="46"/>
      <c r="H907" s="46"/>
      <c r="I907" s="46"/>
      <c r="J907" s="46"/>
    </row>
    <row r="908" spans="5:10" ht="13.15">
      <c r="E908" s="46"/>
      <c r="F908" s="46"/>
      <c r="G908" s="46"/>
      <c r="H908" s="46"/>
      <c r="I908" s="46"/>
      <c r="J908" s="46"/>
    </row>
    <row r="909" spans="5:10" ht="13.15">
      <c r="E909" s="46"/>
      <c r="F909" s="46"/>
      <c r="G909" s="46"/>
      <c r="H909" s="46"/>
      <c r="I909" s="46"/>
      <c r="J909" s="46"/>
    </row>
    <row r="910" spans="5:10" ht="13.15">
      <c r="E910" s="46"/>
      <c r="F910" s="46"/>
      <c r="G910" s="46"/>
      <c r="H910" s="46"/>
      <c r="I910" s="46"/>
      <c r="J910" s="46"/>
    </row>
    <row r="911" spans="5:10" ht="13.15">
      <c r="E911" s="46"/>
      <c r="F911" s="46"/>
      <c r="G911" s="46"/>
      <c r="H911" s="46"/>
      <c r="I911" s="46"/>
      <c r="J911" s="46"/>
    </row>
    <row r="912" spans="5:10" ht="13.15">
      <c r="E912" s="46"/>
      <c r="F912" s="46"/>
      <c r="G912" s="46"/>
      <c r="H912" s="46"/>
      <c r="I912" s="46"/>
      <c r="J912" s="46"/>
    </row>
    <row r="913" spans="5:10" ht="13.15">
      <c r="E913" s="46"/>
      <c r="F913" s="46"/>
      <c r="G913" s="46"/>
      <c r="H913" s="46"/>
      <c r="I913" s="46"/>
      <c r="J913" s="46"/>
    </row>
    <row r="914" spans="5:10" ht="13.15">
      <c r="E914" s="46"/>
      <c r="F914" s="46"/>
      <c r="G914" s="46"/>
      <c r="H914" s="46"/>
      <c r="I914" s="46"/>
      <c r="J914" s="46"/>
    </row>
    <row r="915" spans="5:10" ht="13.15">
      <c r="E915" s="46"/>
      <c r="F915" s="46"/>
      <c r="G915" s="46"/>
      <c r="H915" s="46"/>
      <c r="I915" s="46"/>
      <c r="J915" s="46"/>
    </row>
    <row r="916" spans="5:10" ht="13.15">
      <c r="E916" s="46"/>
      <c r="F916" s="46"/>
      <c r="G916" s="46"/>
      <c r="H916" s="46"/>
      <c r="I916" s="46"/>
      <c r="J916" s="46"/>
    </row>
    <row r="917" spans="5:10" ht="13.15">
      <c r="E917" s="46"/>
      <c r="F917" s="46"/>
      <c r="G917" s="46"/>
      <c r="H917" s="46"/>
      <c r="I917" s="46"/>
      <c r="J917" s="46"/>
    </row>
    <row r="918" spans="5:10" ht="13.15">
      <c r="E918" s="46"/>
      <c r="F918" s="46"/>
      <c r="G918" s="46"/>
      <c r="H918" s="46"/>
      <c r="I918" s="46"/>
      <c r="J918" s="46"/>
    </row>
    <row r="919" spans="5:10" ht="13.15">
      <c r="E919" s="46"/>
      <c r="F919" s="46"/>
      <c r="G919" s="46"/>
      <c r="H919" s="46"/>
      <c r="I919" s="46"/>
      <c r="J919" s="46"/>
    </row>
    <row r="920" spans="5:10" ht="13.15">
      <c r="E920" s="46"/>
      <c r="F920" s="46"/>
      <c r="G920" s="46"/>
      <c r="H920" s="46"/>
      <c r="I920" s="46"/>
      <c r="J920" s="46"/>
    </row>
    <row r="921" spans="5:10" ht="13.15">
      <c r="E921" s="46"/>
      <c r="F921" s="46"/>
      <c r="G921" s="46"/>
      <c r="H921" s="46"/>
      <c r="I921" s="46"/>
      <c r="J921" s="46"/>
    </row>
    <row r="922" spans="5:10" ht="13.15">
      <c r="E922" s="46"/>
      <c r="F922" s="46"/>
      <c r="G922" s="46"/>
      <c r="H922" s="46"/>
      <c r="I922" s="46"/>
      <c r="J922" s="46"/>
    </row>
    <row r="923" spans="5:10" ht="13.15">
      <c r="E923" s="46"/>
      <c r="F923" s="46"/>
      <c r="G923" s="46"/>
      <c r="H923" s="46"/>
      <c r="I923" s="46"/>
      <c r="J923" s="46"/>
    </row>
    <row r="924" spans="5:10" ht="13.15">
      <c r="E924" s="46"/>
      <c r="F924" s="46"/>
      <c r="G924" s="46"/>
      <c r="H924" s="46"/>
      <c r="I924" s="46"/>
      <c r="J924" s="46"/>
    </row>
    <row r="925" spans="5:10" ht="13.15">
      <c r="E925" s="46"/>
      <c r="F925" s="46"/>
      <c r="G925" s="46"/>
      <c r="H925" s="46"/>
      <c r="I925" s="46"/>
      <c r="J925" s="46"/>
    </row>
    <row r="926" spans="5:10" ht="13.15">
      <c r="E926" s="46"/>
      <c r="F926" s="46"/>
      <c r="G926" s="46"/>
      <c r="H926" s="46"/>
      <c r="I926" s="46"/>
      <c r="J926" s="46"/>
    </row>
    <row r="927" spans="5:10" ht="13.15">
      <c r="E927" s="46"/>
      <c r="F927" s="46"/>
      <c r="G927" s="46"/>
      <c r="H927" s="46"/>
      <c r="I927" s="46"/>
      <c r="J927" s="46"/>
    </row>
    <row r="928" spans="5:10" ht="13.15">
      <c r="E928" s="46"/>
      <c r="F928" s="46"/>
      <c r="G928" s="46"/>
      <c r="H928" s="46"/>
      <c r="I928" s="46"/>
      <c r="J928" s="46"/>
    </row>
    <row r="929" spans="5:10" ht="13.15">
      <c r="E929" s="46"/>
      <c r="F929" s="46"/>
      <c r="G929" s="46"/>
      <c r="H929" s="46"/>
      <c r="I929" s="46"/>
      <c r="J929" s="46"/>
    </row>
    <row r="930" spans="5:10" ht="13.15">
      <c r="E930" s="46"/>
      <c r="F930" s="46"/>
      <c r="G930" s="46"/>
      <c r="H930" s="46"/>
      <c r="I930" s="46"/>
      <c r="J930" s="46"/>
    </row>
    <row r="931" spans="5:10" ht="13.15">
      <c r="E931" s="46"/>
      <c r="F931" s="46"/>
      <c r="G931" s="46"/>
      <c r="H931" s="46"/>
      <c r="I931" s="46"/>
      <c r="J931" s="46"/>
    </row>
    <row r="932" spans="5:10" ht="13.15">
      <c r="E932" s="46"/>
      <c r="F932" s="46"/>
      <c r="G932" s="46"/>
      <c r="H932" s="46"/>
      <c r="I932" s="46"/>
      <c r="J932" s="46"/>
    </row>
    <row r="933" spans="5:10" ht="13.15">
      <c r="E933" s="46"/>
      <c r="F933" s="46"/>
      <c r="G933" s="46"/>
      <c r="H933" s="46"/>
      <c r="I933" s="46"/>
      <c r="J933" s="46"/>
    </row>
    <row r="934" spans="5:10" ht="13.15">
      <c r="E934" s="46"/>
      <c r="F934" s="46"/>
      <c r="G934" s="46"/>
      <c r="H934" s="46"/>
      <c r="I934" s="46"/>
      <c r="J934" s="46"/>
    </row>
    <row r="935" spans="5:10" ht="13.15">
      <c r="E935" s="46"/>
      <c r="F935" s="46"/>
      <c r="G935" s="46"/>
      <c r="H935" s="46"/>
      <c r="I935" s="46"/>
      <c r="J935" s="46"/>
    </row>
    <row r="936" spans="5:10" ht="13.15">
      <c r="E936" s="46"/>
      <c r="F936" s="46"/>
      <c r="G936" s="46"/>
      <c r="H936" s="46"/>
      <c r="I936" s="46"/>
      <c r="J936" s="46"/>
    </row>
    <row r="937" spans="5:10" ht="13.15">
      <c r="E937" s="46"/>
      <c r="F937" s="46"/>
      <c r="G937" s="46"/>
      <c r="H937" s="46"/>
      <c r="I937" s="46"/>
      <c r="J937" s="46"/>
    </row>
    <row r="938" spans="5:10" ht="13.15">
      <c r="E938" s="46"/>
      <c r="F938" s="46"/>
      <c r="G938" s="46"/>
      <c r="H938" s="46"/>
      <c r="I938" s="46"/>
      <c r="J938" s="46"/>
    </row>
    <row r="939" spans="5:10" ht="13.15">
      <c r="E939" s="46"/>
      <c r="F939" s="46"/>
      <c r="G939" s="46"/>
      <c r="H939" s="46"/>
      <c r="I939" s="46"/>
      <c r="J939" s="46"/>
    </row>
    <row r="940" spans="5:10" ht="13.15">
      <c r="E940" s="46"/>
      <c r="F940" s="46"/>
      <c r="G940" s="46"/>
      <c r="H940" s="46"/>
      <c r="I940" s="46"/>
      <c r="J940" s="46"/>
    </row>
    <row r="941" spans="5:10" ht="13.15">
      <c r="E941" s="46"/>
      <c r="F941" s="46"/>
      <c r="G941" s="46"/>
      <c r="H941" s="46"/>
      <c r="I941" s="46"/>
      <c r="J941" s="46"/>
    </row>
    <row r="942" spans="5:10" ht="13.15">
      <c r="E942" s="46"/>
      <c r="F942" s="46"/>
      <c r="G942" s="46"/>
      <c r="H942" s="46"/>
      <c r="I942" s="46"/>
      <c r="J942" s="46"/>
    </row>
    <row r="943" spans="5:10" ht="13.15">
      <c r="E943" s="46"/>
      <c r="F943" s="46"/>
      <c r="G943" s="46"/>
      <c r="H943" s="46"/>
      <c r="I943" s="46"/>
      <c r="J943" s="46"/>
    </row>
    <row r="944" spans="5:10" ht="13.15">
      <c r="E944" s="46"/>
      <c r="F944" s="46"/>
      <c r="G944" s="46"/>
      <c r="H944" s="46"/>
      <c r="I944" s="46"/>
      <c r="J944" s="46"/>
    </row>
    <row r="945" spans="5:10" ht="13.15">
      <c r="E945" s="46"/>
      <c r="F945" s="46"/>
      <c r="G945" s="46"/>
      <c r="H945" s="46"/>
      <c r="I945" s="46"/>
      <c r="J945" s="46"/>
    </row>
    <row r="946" spans="5:10" ht="13.15">
      <c r="E946" s="46"/>
      <c r="F946" s="46"/>
      <c r="G946" s="46"/>
      <c r="H946" s="46"/>
      <c r="I946" s="46"/>
      <c r="J946" s="46"/>
    </row>
    <row r="947" spans="5:10" ht="13.15">
      <c r="E947" s="46"/>
      <c r="F947" s="46"/>
      <c r="G947" s="46"/>
      <c r="H947" s="46"/>
      <c r="I947" s="46"/>
      <c r="J947" s="46"/>
    </row>
    <row r="948" spans="5:10" ht="13.15">
      <c r="E948" s="46"/>
      <c r="F948" s="46"/>
      <c r="G948" s="46"/>
      <c r="H948" s="46"/>
      <c r="I948" s="46"/>
      <c r="J948" s="46"/>
    </row>
    <row r="949" spans="5:10" ht="13.15">
      <c r="E949" s="46"/>
      <c r="F949" s="46"/>
      <c r="G949" s="46"/>
      <c r="H949" s="46"/>
      <c r="I949" s="46"/>
      <c r="J949" s="46"/>
    </row>
    <row r="950" spans="5:10" ht="13.15">
      <c r="E950" s="46"/>
      <c r="F950" s="46"/>
      <c r="G950" s="46"/>
      <c r="H950" s="46"/>
      <c r="I950" s="46"/>
      <c r="J950" s="46"/>
    </row>
    <row r="951" spans="5:10" ht="13.15">
      <c r="E951" s="46"/>
      <c r="F951" s="46"/>
      <c r="G951" s="46"/>
      <c r="H951" s="46"/>
      <c r="I951" s="46"/>
      <c r="J951" s="46"/>
    </row>
    <row r="952" spans="5:10" ht="13.15">
      <c r="E952" s="46"/>
      <c r="F952" s="46"/>
      <c r="G952" s="46"/>
      <c r="H952" s="46"/>
      <c r="I952" s="46"/>
      <c r="J952" s="46"/>
    </row>
    <row r="953" spans="5:10" ht="13.15">
      <c r="E953" s="46"/>
      <c r="F953" s="46"/>
      <c r="G953" s="46"/>
      <c r="H953" s="46"/>
      <c r="I953" s="46"/>
      <c r="J953" s="46"/>
    </row>
    <row r="954" spans="5:10" ht="13.15">
      <c r="E954" s="46"/>
      <c r="F954" s="46"/>
      <c r="G954" s="46"/>
      <c r="H954" s="46"/>
      <c r="I954" s="46"/>
      <c r="J954" s="46"/>
    </row>
    <row r="955" spans="5:10" ht="13.15">
      <c r="E955" s="46"/>
      <c r="F955" s="46"/>
      <c r="G955" s="46"/>
      <c r="H955" s="46"/>
      <c r="I955" s="46"/>
      <c r="J955" s="46"/>
    </row>
    <row r="956" spans="5:10" ht="13.15">
      <c r="E956" s="46"/>
      <c r="F956" s="46"/>
      <c r="G956" s="46"/>
      <c r="H956" s="46"/>
      <c r="I956" s="46"/>
      <c r="J956" s="46"/>
    </row>
    <row r="957" spans="5:10" ht="13.15">
      <c r="E957" s="46"/>
      <c r="F957" s="46"/>
      <c r="G957" s="46"/>
      <c r="H957" s="46"/>
      <c r="I957" s="46"/>
      <c r="J957" s="46"/>
    </row>
    <row r="958" spans="5:10" ht="13.15">
      <c r="E958" s="46"/>
      <c r="F958" s="46"/>
      <c r="G958" s="46"/>
      <c r="H958" s="46"/>
      <c r="I958" s="46"/>
      <c r="J958" s="46"/>
    </row>
    <row r="959" spans="5:10" ht="13.15">
      <c r="E959" s="46"/>
      <c r="F959" s="46"/>
      <c r="G959" s="46"/>
      <c r="H959" s="46"/>
      <c r="I959" s="46"/>
      <c r="J959" s="46"/>
    </row>
    <row r="960" spans="5:10" ht="13.15">
      <c r="E960" s="46"/>
      <c r="F960" s="46"/>
      <c r="G960" s="46"/>
      <c r="H960" s="46"/>
      <c r="I960" s="46"/>
      <c r="J960" s="46"/>
    </row>
    <row r="961" spans="5:10" ht="13.15">
      <c r="E961" s="46"/>
      <c r="F961" s="46"/>
      <c r="G961" s="46"/>
      <c r="H961" s="46"/>
      <c r="I961" s="46"/>
      <c r="J961" s="46"/>
    </row>
    <row r="962" spans="5:10" ht="13.15">
      <c r="E962" s="46"/>
      <c r="F962" s="46"/>
      <c r="G962" s="46"/>
      <c r="H962" s="46"/>
      <c r="I962" s="46"/>
      <c r="J962" s="46"/>
    </row>
    <row r="963" spans="5:10" ht="13.15">
      <c r="E963" s="46"/>
      <c r="F963" s="46"/>
      <c r="G963" s="46"/>
      <c r="H963" s="46"/>
      <c r="I963" s="46"/>
      <c r="J963" s="46"/>
    </row>
    <row r="964" spans="5:10" ht="13.15">
      <c r="E964" s="46"/>
      <c r="F964" s="46"/>
      <c r="G964" s="46"/>
      <c r="H964" s="46"/>
      <c r="I964" s="46"/>
      <c r="J964" s="46"/>
    </row>
    <row r="965" spans="5:10" ht="13.15">
      <c r="E965" s="46"/>
      <c r="F965" s="46"/>
      <c r="G965" s="46"/>
      <c r="H965" s="46"/>
      <c r="I965" s="46"/>
      <c r="J965" s="46"/>
    </row>
    <row r="966" spans="5:10" ht="13.15">
      <c r="E966" s="46"/>
      <c r="F966" s="46"/>
      <c r="G966" s="46"/>
      <c r="H966" s="46"/>
      <c r="I966" s="46"/>
      <c r="J966" s="46"/>
    </row>
    <row r="967" spans="5:10" ht="13.15">
      <c r="E967" s="46"/>
      <c r="F967" s="46"/>
      <c r="G967" s="46"/>
      <c r="H967" s="46"/>
      <c r="I967" s="46"/>
      <c r="J967" s="46"/>
    </row>
    <row r="968" spans="5:10" ht="13.15">
      <c r="E968" s="46"/>
      <c r="F968" s="46"/>
      <c r="G968" s="46"/>
      <c r="H968" s="46"/>
      <c r="I968" s="46"/>
      <c r="J968" s="46"/>
    </row>
    <row r="969" spans="5:10" ht="13.15">
      <c r="E969" s="46"/>
      <c r="F969" s="46"/>
      <c r="G969" s="46"/>
      <c r="H969" s="46"/>
      <c r="I969" s="46"/>
      <c r="J969" s="46"/>
    </row>
    <row r="970" spans="5:10" ht="13.15">
      <c r="E970" s="46"/>
      <c r="F970" s="46"/>
      <c r="G970" s="46"/>
      <c r="H970" s="46"/>
      <c r="I970" s="46"/>
      <c r="J970" s="46"/>
    </row>
    <row r="971" spans="5:10" ht="13.15">
      <c r="E971" s="46"/>
      <c r="F971" s="46"/>
      <c r="G971" s="46"/>
      <c r="H971" s="46"/>
      <c r="I971" s="46"/>
      <c r="J971" s="46"/>
    </row>
    <row r="972" spans="5:10" ht="13.15">
      <c r="E972" s="46"/>
      <c r="F972" s="46"/>
      <c r="G972" s="46"/>
      <c r="H972" s="46"/>
      <c r="I972" s="46"/>
      <c r="J972" s="46"/>
    </row>
    <row r="973" spans="5:10" ht="13.15">
      <c r="E973" s="46"/>
      <c r="F973" s="46"/>
      <c r="G973" s="46"/>
      <c r="H973" s="46"/>
      <c r="I973" s="46"/>
      <c r="J973" s="46"/>
    </row>
    <row r="974" spans="5:10" ht="13.15">
      <c r="E974" s="46"/>
      <c r="F974" s="46"/>
      <c r="G974" s="46"/>
      <c r="H974" s="46"/>
      <c r="I974" s="46"/>
      <c r="J974" s="46"/>
    </row>
    <row r="975" spans="5:10" ht="13.15">
      <c r="E975" s="46"/>
      <c r="F975" s="46"/>
      <c r="G975" s="46"/>
      <c r="H975" s="46"/>
      <c r="I975" s="46"/>
      <c r="J975" s="46"/>
    </row>
    <row r="976" spans="5:10" ht="13.15">
      <c r="E976" s="46"/>
      <c r="F976" s="46"/>
      <c r="G976" s="46"/>
      <c r="H976" s="46"/>
      <c r="I976" s="46"/>
      <c r="J976" s="46"/>
    </row>
    <row r="977" spans="5:10" ht="13.15">
      <c r="E977" s="46"/>
      <c r="F977" s="46"/>
      <c r="G977" s="46"/>
      <c r="H977" s="46"/>
      <c r="I977" s="46"/>
      <c r="J977" s="46"/>
    </row>
    <row r="978" spans="5:10" ht="13.15">
      <c r="E978" s="46"/>
      <c r="F978" s="46"/>
      <c r="G978" s="46"/>
      <c r="H978" s="46"/>
      <c r="I978" s="46"/>
      <c r="J978" s="46"/>
    </row>
    <row r="979" spans="5:10" ht="13.15">
      <c r="E979" s="46"/>
      <c r="F979" s="46"/>
      <c r="G979" s="46"/>
      <c r="H979" s="46"/>
      <c r="I979" s="46"/>
      <c r="J979" s="46"/>
    </row>
    <row r="980" spans="5:10" ht="13.15">
      <c r="E980" s="46"/>
      <c r="F980" s="46"/>
      <c r="G980" s="46"/>
      <c r="H980" s="46"/>
      <c r="I980" s="46"/>
      <c r="J980" s="46"/>
    </row>
    <row r="981" spans="5:10" ht="13.15">
      <c r="E981" s="46"/>
      <c r="F981" s="46"/>
      <c r="G981" s="46"/>
      <c r="H981" s="46"/>
      <c r="I981" s="46"/>
      <c r="J981" s="46"/>
    </row>
    <row r="982" spans="5:10" ht="13.15">
      <c r="E982" s="46"/>
      <c r="F982" s="46"/>
      <c r="G982" s="46"/>
      <c r="H982" s="46"/>
      <c r="I982" s="46"/>
      <c r="J982" s="46"/>
    </row>
    <row r="983" spans="5:10" ht="13.15">
      <c r="E983" s="46"/>
      <c r="F983" s="46"/>
      <c r="G983" s="46"/>
      <c r="H983" s="46"/>
      <c r="I983" s="46"/>
      <c r="J983" s="46"/>
    </row>
    <row r="984" spans="5:10" ht="13.15">
      <c r="E984" s="46"/>
      <c r="F984" s="46"/>
      <c r="G984" s="46"/>
      <c r="H984" s="46"/>
      <c r="I984" s="46"/>
      <c r="J984" s="46"/>
    </row>
    <row r="985" spans="5:10" ht="13.15">
      <c r="E985" s="46"/>
      <c r="F985" s="46"/>
      <c r="G985" s="46"/>
      <c r="H985" s="46"/>
      <c r="I985" s="46"/>
      <c r="J985" s="46"/>
    </row>
    <row r="986" spans="5:10" ht="13.15">
      <c r="E986" s="46"/>
      <c r="F986" s="46"/>
      <c r="G986" s="46"/>
      <c r="H986" s="46"/>
      <c r="I986" s="46"/>
      <c r="J986" s="46"/>
    </row>
    <row r="987" spans="5:10" ht="13.15">
      <c r="E987" s="46"/>
      <c r="F987" s="46"/>
      <c r="G987" s="46"/>
      <c r="H987" s="46"/>
      <c r="I987" s="46"/>
      <c r="J987" s="46"/>
    </row>
    <row r="988" spans="5:10" ht="13.15">
      <c r="E988" s="46"/>
      <c r="F988" s="46"/>
      <c r="G988" s="46"/>
      <c r="H988" s="46"/>
      <c r="I988" s="46"/>
      <c r="J988" s="46"/>
    </row>
    <row r="989" spans="5:10" ht="13.15">
      <c r="E989" s="46"/>
      <c r="F989" s="46"/>
      <c r="G989" s="46"/>
      <c r="H989" s="46"/>
      <c r="I989" s="46"/>
      <c r="J989" s="46"/>
    </row>
    <row r="990" spans="5:10" ht="13.15">
      <c r="E990" s="46"/>
      <c r="F990" s="46"/>
      <c r="G990" s="46"/>
      <c r="H990" s="46"/>
      <c r="I990" s="46"/>
      <c r="J990" s="46"/>
    </row>
    <row r="991" spans="5:10" ht="13.15">
      <c r="E991" s="46"/>
      <c r="F991" s="46"/>
      <c r="G991" s="46"/>
      <c r="H991" s="46"/>
      <c r="I991" s="46"/>
      <c r="J991" s="46"/>
    </row>
    <row r="992" spans="5:10" ht="13.15">
      <c r="E992" s="46"/>
      <c r="F992" s="46"/>
      <c r="G992" s="46"/>
      <c r="H992" s="46"/>
      <c r="I992" s="46"/>
      <c r="J992" s="46"/>
    </row>
    <row r="993" spans="5:10" ht="13.15">
      <c r="E993" s="46"/>
      <c r="F993" s="46"/>
      <c r="G993" s="46"/>
      <c r="H993" s="46"/>
      <c r="I993" s="46"/>
      <c r="J993" s="46"/>
    </row>
    <row r="994" spans="5:10" ht="13.15">
      <c r="E994" s="46"/>
      <c r="F994" s="46"/>
      <c r="G994" s="46"/>
      <c r="H994" s="46"/>
      <c r="I994" s="46"/>
      <c r="J994" s="46"/>
    </row>
    <row r="995" spans="5:10" ht="13.15">
      <c r="E995" s="46"/>
      <c r="F995" s="46"/>
      <c r="G995" s="46"/>
      <c r="H995" s="46"/>
      <c r="I995" s="46"/>
      <c r="J995" s="46"/>
    </row>
    <row r="996" spans="5:10" ht="13.15">
      <c r="E996" s="46"/>
      <c r="F996" s="46"/>
      <c r="G996" s="46"/>
      <c r="H996" s="46"/>
      <c r="I996" s="46"/>
      <c r="J996" s="46"/>
    </row>
    <row r="997" spans="5:10" ht="13.15">
      <c r="E997" s="46"/>
      <c r="F997" s="46"/>
      <c r="G997" s="46"/>
      <c r="H997" s="46"/>
      <c r="I997" s="46"/>
      <c r="J997" s="46"/>
    </row>
    <row r="998" spans="5:10" ht="13.15">
      <c r="E998" s="46"/>
      <c r="F998" s="46"/>
      <c r="G998" s="46"/>
      <c r="H998" s="46"/>
      <c r="I998" s="46"/>
      <c r="J998" s="46"/>
    </row>
    <row r="999" spans="5:10" ht="13.15">
      <c r="E999" s="46"/>
      <c r="F999" s="46"/>
      <c r="G999" s="46"/>
      <c r="H999" s="46"/>
      <c r="I999" s="46"/>
      <c r="J999" s="46"/>
    </row>
    <row r="1000" spans="5:10" ht="13.15">
      <c r="E1000" s="46"/>
      <c r="F1000" s="46"/>
      <c r="G1000" s="46"/>
      <c r="H1000" s="46"/>
      <c r="I1000" s="46"/>
      <c r="J1000" s="46"/>
    </row>
    <row r="1001" spans="5:10" ht="13.15">
      <c r="E1001" s="46"/>
      <c r="F1001" s="46"/>
      <c r="G1001" s="46"/>
      <c r="H1001" s="46"/>
      <c r="I1001" s="46"/>
      <c r="J1001" s="46"/>
    </row>
    <row r="1002" spans="5:10" ht="13.15">
      <c r="E1002" s="46"/>
      <c r="F1002" s="46"/>
      <c r="G1002" s="46"/>
      <c r="H1002" s="46"/>
      <c r="I1002" s="46"/>
      <c r="J1002" s="46"/>
    </row>
  </sheetData>
  <phoneticPr fontId="2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sheetPr>
  <dimension ref="A1:B14"/>
  <sheetViews>
    <sheetView workbookViewId="0"/>
  </sheetViews>
  <sheetFormatPr defaultColWidth="12.7109375" defaultRowHeight="15.75" customHeight="1"/>
  <cols>
    <col min="1" max="1" width="12.85546875" customWidth="1"/>
    <col min="2" max="2" width="71" customWidth="1"/>
  </cols>
  <sheetData>
    <row r="1" spans="1:2" ht="13.15">
      <c r="A1" s="69"/>
      <c r="B1" s="70" t="s">
        <v>656</v>
      </c>
    </row>
    <row r="2" spans="1:2" ht="52.9">
      <c r="A2" s="71" t="s">
        <v>54</v>
      </c>
      <c r="B2" s="34" t="s">
        <v>657</v>
      </c>
    </row>
    <row r="3" spans="1:2" ht="132.6" customHeight="1">
      <c r="A3" s="72" t="s">
        <v>190</v>
      </c>
      <c r="B3" s="57" t="s">
        <v>658</v>
      </c>
    </row>
    <row r="4" spans="1:2" ht="13.15">
      <c r="A4" s="68"/>
      <c r="B4" s="36"/>
    </row>
    <row r="5" spans="1:2" ht="13.15">
      <c r="A5" s="68"/>
      <c r="B5" s="36"/>
    </row>
    <row r="6" spans="1:2" ht="13.15">
      <c r="A6" s="68"/>
      <c r="B6" s="36"/>
    </row>
    <row r="7" spans="1:2" ht="13.15">
      <c r="A7" s="68"/>
      <c r="B7" s="36"/>
    </row>
    <row r="8" spans="1:2" ht="13.15">
      <c r="A8" s="68"/>
      <c r="B8" s="36"/>
    </row>
    <row r="9" spans="1:2" ht="13.15">
      <c r="A9" s="68"/>
      <c r="B9" s="36"/>
    </row>
    <row r="10" spans="1:2" ht="13.15">
      <c r="A10" s="68"/>
      <c r="B10" s="36"/>
    </row>
    <row r="11" spans="1:2" ht="13.15">
      <c r="A11" s="68"/>
      <c r="B11" s="36"/>
    </row>
    <row r="12" spans="1:2" ht="13.15">
      <c r="A12" s="68"/>
      <c r="B12" s="36"/>
    </row>
    <row r="13" spans="1:2" ht="13.15">
      <c r="A13" s="68"/>
      <c r="B13" s="36"/>
    </row>
    <row r="14" spans="1:2" ht="13.15">
      <c r="A14" s="73"/>
      <c r="B14"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MENARD MBENDE</dc:creator>
  <cp:keywords/>
  <dc:description/>
  <cp:lastModifiedBy>Alejandra Revilla Cejudo (WWF NL)</cp:lastModifiedBy>
  <cp:revision/>
  <dcterms:created xsi:type="dcterms:W3CDTF">2025-05-23T14:43:24Z</dcterms:created>
  <dcterms:modified xsi:type="dcterms:W3CDTF">2026-05-07T08:35:10Z</dcterms:modified>
  <cp:category/>
  <cp:contentStatus/>
</cp:coreProperties>
</file>