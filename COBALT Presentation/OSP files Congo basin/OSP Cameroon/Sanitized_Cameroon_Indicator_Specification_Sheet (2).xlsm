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0000000-0000-0000-0000-000000000000}"/>
  <workbookPr codeName="ThisWorkbook"/>
  <mc:AlternateContent xmlns:mc="http://schemas.openxmlformats.org/markup-compatibility/2006">
    <mc:Choice Requires="x15">
      <x15ac:absPath xmlns:x15ac="http://schemas.microsoft.com/office/spreadsheetml/2010/11/ac" url="C:\Users\ESSOMBANKOULOUThadde\Downloads\"/>
    </mc:Choice>
  </mc:AlternateContent>
  <xr:revisionPtr revIDLastSave="0" documentId="13_ncr:1_{E61E930C-F427-4944-9C51-24FABB8D5AD2}" xr6:coauthVersionLast="47" xr6:coauthVersionMax="47" xr10:uidLastSave="{00000000-0000-0000-0000-000000000000}"/>
  <bookViews>
    <workbookView xWindow="-110" yWindow="-110" windowWidth="19420" windowHeight="11500" tabRatio="599" xr2:uid="{00000000-000D-0000-FFFF-FFFF00000000}"/>
  </bookViews>
  <sheets>
    <sheet name="Indicator Data" sheetId="1" r:id="rId1"/>
    <sheet name="RM2030 Alignment" sheetId="2" state="hidden" r:id="rId2"/>
    <sheet name="OSP M&amp;E Plan revision2" sheetId="13" r:id="rId3"/>
    <sheet name="Field Descriptions" sheetId="3" r:id="rId4"/>
    <sheet name="Versions" sheetId="4" state="hidden" r:id="rId5"/>
    <sheet name="GBF Targets details" sheetId="5" state="hidden" r:id="rId6"/>
    <sheet name="Do Not Edit" sheetId="6" r:id="rId7"/>
    <sheet name="Sheet2" sheetId="7" state="hidden" r:id="rId8"/>
    <sheet name="PMEL Programme Output Indic" sheetId="8" state="hidden" r:id="rId9"/>
    <sheet name="Program M&amp;E Plan" sheetId="9" state="hidden" r:id="rId10"/>
    <sheet name="Program M&amp;E Plan forest" sheetId="10" state="hidden" r:id="rId11"/>
    <sheet name="OM OSP M&amp;E Plan revision2" sheetId="11" state="hidden" r:id="rId12"/>
    <sheet name="(RA M&amp;E From OM)" sheetId="12" r:id="rId13"/>
    <sheet name="CCO Resource Aquistion MEL" sheetId="14" r:id="rId14"/>
  </sheets>
  <externalReferences>
    <externalReference r:id="rId15"/>
  </externalReferences>
  <definedNames>
    <definedName name="_xlnm._FilterDatabase" localSheetId="12" hidden="1">'(RA M&amp;E From OM)'!$A$1:$R$16</definedName>
    <definedName name="_xlnm._FilterDatabase" localSheetId="6" hidden="1">'Do Not Edit'!$N$1:$N$1000</definedName>
    <definedName name="_xlnm._FilterDatabase" localSheetId="0" hidden="1">'Indicator Data'!$A$2:$Z$264</definedName>
    <definedName name="_xlnm._FilterDatabase" localSheetId="11" hidden="1">'OM OSP M&amp;E Plan revision2'!$D$1:$R$1</definedName>
    <definedName name="_xlnm._FilterDatabase" localSheetId="9" hidden="1">'Program M&amp;E Plan'!$A$1:$W$135</definedName>
    <definedName name="_xlnm._FilterDatabase" localSheetId="10" hidden="1">'Program M&amp;E Plan forest'!$A$1:$W$85</definedName>
  </definedNames>
  <calcPr calcId="191028"/>
  <pivotCaches>
    <pivotCache cacheId="1"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5" i="11" l="1"/>
  <c r="P28" i="10"/>
  <c r="P26" i="10"/>
  <c r="P24" i="10"/>
  <c r="P35"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tc={4F4ADAD8-F9CC-4335-B2CE-6FB01CFDD0B0}</author>
    <author>tc={5D5AC908-7134-4554-8C67-4AF3A968EC35}</author>
    <author>tc={65577A89-FCDE-4A3C-B5F6-2B60CAABF3B6}</author>
    <author>tc={D1C72B9B-19A4-4CCA-9FA6-FA511AFA7DCA}</author>
    <author>tc={F3E86ABA-67E8-4BAA-B220-9A84F2DC96ED}</author>
    <author>tc={4D839499-4822-4BE2-A23C-FF2C5CB9DA59}</author>
    <author>tc={EAF6C7D7-3588-4320-9AA2-E1A7FAE8AF1A}</author>
    <author>tc={42D97F26-CA40-435D-A11C-8BAC0DFA6D58}</author>
    <author>tc={13384D41-3132-47B6-BAD5-656A13BEAF10}</author>
    <author>tc={2FAEAACA-EF5C-40D5-BC13-B763829AA8F2}</author>
    <author>tc={DEC49D28-A5AB-4A42-8E25-B4512F0519BC}</author>
    <author>tc={6B5D8F0B-A572-424D-9BF5-A2F02B87C598}</author>
    <author>tc={061AE123-3D2E-458D-A978-7BF6E27B32DE}</author>
    <author>tc={BBA99128-F6D7-4938-9630-FBB0232D2C41}</author>
    <author>tc={CF491E8D-F1DF-42BB-A04C-FF4ECF8C3881}</author>
    <author>tc={4D879E22-712E-458D-B4E7-A7DE39EEEE24}</author>
    <author>tc={87342A3C-859B-407D-87E4-B6A3985AF281}</author>
    <author>tc={E8C65F5F-84F5-4A59-9DEB-E9EF6DEF3EB1}</author>
    <author>tc={8278BCF3-2214-4EDA-95EA-0B3D6804A083}</author>
    <author>tc={24D6D1F6-AB0E-41CD-89E6-5D217CC6752D}</author>
    <author>tc={42B9A6E5-90F9-4500-9E4B-A8EC142B0D80}</author>
    <author>tc={D1FF24A7-0B2D-4061-863C-0E9F0531D4EF}</author>
    <author>tc={396B0C61-C5FF-4437-A7AD-98C3927A514D}</author>
    <author>tc={AEA44247-418A-48CE-B356-8C7B2E500F6E}</author>
    <author>tc={8FDB83F7-77B0-4A59-A639-32E5F776B71D}</author>
    <author>tc={709DFF6D-4679-470B-9ABB-26D1D0AD526B}</author>
    <author>tc={D80C2F36-B06D-4652-92AF-3B19F8DD31F8}</author>
    <author>tc={91A6AD43-B459-4BC5-9EEC-D820BF8E5220}</author>
    <author>tc={2D6ACAF5-D3E6-4C17-8F05-C9793D0D5A0A}</author>
    <author>tc={5686BF1B-4AB8-45E3-B16F-A8481474D042}</author>
    <author>tc={62E92B3F-F6E5-4807-B0DD-044AA896558C}</author>
    <author>tc={671FCC16-95CC-45D7-AE09-95825858C6E1}</author>
    <author>tc={0F064124-5ED7-447E-874A-FC6BFFFC0CEB}</author>
    <author>tc={C1CACE86-2328-4B69-BBDF-8709883350EC}</author>
    <author>tc={833EAEDF-9D4B-44F7-B3E6-1C9D753A5218}</author>
    <author>tc={4A2645DE-8100-4130-8C0F-2D6141D633DD}</author>
    <author>tc={DE789F5A-7211-4485-A718-E824F74921FE}</author>
    <author>tc={B341F7BC-FEF6-4F9A-BCF4-7D64B74A5B43}</author>
    <author>tc={E6096688-34EE-41B9-A838-3F1C4ED636C6}</author>
    <author>tc={EB9921D9-9BCD-45D5-8B8F-317AE12F4BDC}</author>
    <author>tc={323FB7B6-3EC5-47A9-9893-2023B5299A97}</author>
    <author>tc={75A66688-8B18-4189-9628-456CD1D29DBF}</author>
    <author>tc={702E9536-BB31-47A7-A13E-6601B0DACE60}</author>
    <author>tc={3F20DEC8-56E7-4DBA-8AAE-5ED037112978}</author>
    <author>tc={FFE157DD-96C1-47A2-9A52-AFABFCBEE15B}</author>
    <author>tc={9CBD94E9-B293-4E56-BEDC-B9D372C399CC}</author>
    <author>tc={11BCEFF6-4ECC-4169-8BAC-0E29653EE493}</author>
    <author>tc={674D5796-DC8A-4DD4-BE4B-BB1A3191C6B9}</author>
    <author>tc={2D12C3D8-3C1A-4305-948E-F180029079EC}</author>
    <author>tc={06FD0754-8ED8-4532-8DC3-324A7F0F1A8B}</author>
    <author>tc={185A2963-9A33-47EF-ACAE-9A18A1B66D5E}</author>
    <author>tc={3B38A08A-D6B3-4328-8AE7-DE519621FAB2}</author>
    <author>tc={A69CFEF6-AA16-4288-BCB8-CA74D26CBF06}</author>
    <author>tc={DBEFE332-2EAE-40C4-8A05-510966D54C66}</author>
    <author>tc={74C4F7F0-CB3A-45D1-A8A4-4B31B06E3725}</author>
    <author>tc={B826C595-BFDD-48F9-9A5B-C7F4377DF656}</author>
    <author>tc={34ADEC0A-102E-4D0B-8E01-FAE484C4FE34}</author>
    <author>tc={AB73B0E0-12A1-419B-BA15-048A0CF3CC1E}</author>
    <author>tc={E406FD28-4B3D-4454-9002-25BED407494E}</author>
    <author>tc={39ADA54B-1FF0-4D34-A90A-A5EBF2E507C9}</author>
    <author>tc={2E27FC5C-603D-4C96-8284-853DE9720A09}</author>
    <author>tc={5E7B800B-2A89-47AD-97BE-9EFFDA0D90A2}</author>
    <author>tc={C76086B8-15A4-4B26-B096-C5853F7FBF43}</author>
    <author>tc={0E3FE1D0-7595-4FA2-8B37-0D7E6F65AB73}</author>
    <author>tc={6BCB4A97-222F-4F65-8075-7335856A3882}</author>
    <author>tc={AFE2E212-ECF5-4043-8E99-1EF51016030E}</author>
    <author>tc={5F2924EB-8B5C-4AAA-9D98-F477B5D4CE5D}</author>
    <author>tc={9137D6C3-1BBC-42D5-8EFE-34A39B420B89}</author>
    <author>tc={2B577648-A3E0-4859-8087-A26768DD0278}</author>
    <author>tc={BFAC1A25-B38F-406A-8C50-DDDC9E8D1D6B}</author>
    <author>tc={45B42C17-2E34-47EA-BA9F-F978693040CB}</author>
    <author>tc={49CEF124-FC45-48E5-9A36-59C46B88C51A}</author>
    <author>tc={444BE133-1234-4F1C-B444-59EFAE5A3308}</author>
    <author>tc={756C219C-F193-4D5E-BC3C-70C5748482CF}</author>
    <author>tc={30FE9BE7-F861-4E6E-8D0C-11D799A43097}</author>
    <author>tc={A804AFF7-F3C4-4AC1-94F9-8EF6C71E787E}</author>
    <author>tc={6EE861C5-A583-489C-8634-4CAFA781E64F}</author>
    <author>tc={FAE60557-34D2-4CB2-8235-2209F2803E4C}</author>
    <author>tc={958B5BF3-6283-4335-A963-0DE28C90CC42}</author>
    <author>tc={B1F2596D-12F8-4779-B231-D3C775071C27}</author>
    <author>tc={4F5EE173-32BD-486F-BBA2-81B632C4FE32}</author>
    <author>tc={53A1CA30-0D4A-48DB-B1C5-D42CFEB06B73}</author>
    <author>tc={1135C72A-1CD8-48F7-AB8F-01324DA0376D}</author>
    <author>tc={5601981E-D7A1-4FC2-931B-9626E04AE08A}</author>
    <author>tc={5502FE87-726B-4D5B-8AD9-D63782FE61BA}</author>
    <author>tc={75086159-DA70-471B-97E3-F4C0C986BACF}</author>
    <author>tc={4C7A5BDC-8AB9-4196-B2E0-C309FD09D6F5}</author>
    <author>tc={0BA3FBAE-8FA9-490C-875F-E02097F1E818}</author>
    <author>tc={DC223F72-2B73-4F63-B9CE-919C33B5C6C6}</author>
    <author>tc={0D937CB2-F028-4BC7-B147-11EFF04FA257}</author>
    <author>tc={84C247E3-F9F9-47B8-B8B6-7F06284B1992}</author>
    <author>tc={45D28786-716C-459E-B45D-78C3F2D1CB90}</author>
    <author>tc={8C305933-BB85-4A08-BB1F-307A8684A138}</author>
    <author>tc={1769D5A6-EBEB-4E6D-AB25-BC0F2CD29CE5}</author>
    <author>tc={7338FA95-3AD8-4804-8C01-331D061B89B9}</author>
    <author>tc={D2326800-A857-423D-A043-C325D2D27C16}</author>
    <author>tc={4060213F-4E0F-45AB-A5D8-D6E59066AD85}</author>
    <author>tc={F1DB397C-B62C-4EEB-844B-17A4687E9462}</author>
    <author>tc={C51BF965-D042-4FD5-BC25-FD72A7366343}</author>
    <author>tc={299BC85E-36D9-48D9-85BD-C8497CEEC9F5}</author>
    <author>tc={67306550-D6D5-470E-9303-192FEB87211F}</author>
    <author>tc={B9C9D745-6527-4820-A5B9-394EDD33B1F6}</author>
    <author>tc={51159342-B7DC-490F-A0CD-4E4EBE56CB28}</author>
    <author>tc={57D1025F-42C9-4AB9-897E-40724E88CDDD}</author>
    <author>tc={78B897E3-99B3-4241-8944-978B19C4A94C}</author>
    <author>tc={B02D0A83-1388-41E8-A8DA-1CCA476A011F}</author>
    <author>tc={3E47C0F8-EB44-41EE-BBA6-C9F41FBC6025}</author>
    <author>tc={C94634FF-C7F4-4FCC-85F6-B94B6D539F11}</author>
  </authors>
  <commentList>
    <comment ref="E2" authorId="0" shapeId="0" xr:uid="{4F4ADAD8-F9CC-4335-B2CE-6FB01CFDD0B0}">
      <text>
        <t>[Threaded comment]
Your version of Excel allows you to read this threaded comment; however, any edits to it will get removed if the file is opened in a newer version of Excel. Learn more: https://go.microsoft.com/fwlink/?linkid=870924
Comment:
    I note most of the definition explains what the indicator is measuring but now numerator and denominator when the indicator is a percentage</t>
      </text>
    </comment>
    <comment ref="L2" authorId="1" shapeId="0" xr:uid="{5D5AC908-7134-4554-8C67-4AF3A968EC35}">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@ESSOMBA NKOULOU Thaddee  Ghislain , @Anne Ntongho , The panda Impact restrict the data collection tool to a specific list. Please map Column M to Column L based on the dropdown provided.</t>
      </text>
    </comment>
    <comment ref="D74" authorId="2" shapeId="0" xr:uid="{65577A89-FCDE-4A3C-B5F6-2B60CAABF3B6}">
      <text>
        <t>[Threaded comment]
Your version of Excel allows you to read this threaded comment; however, any edits to it will get removed if the file is opened in a newer version of Excel. Learn more: https://go.microsoft.com/fwlink/?linkid=870924
Comment:
    I would recommend “% of identified HWC hotspots that are mapped/geo-referenced” or something close to it and have the value format as Numerator /Denominator</t>
      </text>
    </comment>
    <comment ref="D75" authorId="3" shapeId="0" xr:uid="{D1C72B9B-19A4-4CCA-9FA6-FA511AFA7DCA}">
      <text>
        <t xml:space="preserve">[Threaded comment]
Your version of Excel allows you to read this threaded comment; however, any edits to it will get removed if the file is opened in a newer version of Excel. Learn more: https://go.microsoft.com/fwlink/?linkid=870924
Comment:
    Please not in the system, there is no space for disaggregation. If you need any form of disaggregation, you have to have it as a separate indicators e.g. 
% of reported elephant mortality cases by natural caused
% of reported elephant mortality cases by HEC
% of reported elephant mortality cases by zoonotic diseases
…..
That said, 
1) mortality rate is outcome level because it relates to direct threats e.g HEC, zoonotics etc
2) the output is about operationability community and enforcement level reporting system. The indicator should focus on that aspect.
 </t>
      </text>
    </comment>
    <comment ref="G76" authorId="4" shapeId="0" xr:uid="{F3E86ABA-67E8-4BAA-B220-9A84F2DC96ED}">
      <text>
        <t>[Threaded comment]
Your version of Excel allows you to read this threaded comment; however, any edits to it will get removed if the file is opened in a newer version of Excel. Learn more: https://go.microsoft.com/fwlink/?linkid=870924
Comment:
    Since the indicator is part of a whole, the value format should be numerator / denominator</t>
      </text>
    </comment>
    <comment ref="D78" authorId="5" shapeId="0" xr:uid="{4D839499-4822-4BE2-A23C-FF2C5CB9DA59}">
      <text>
        <t>[Threaded comment]
Your version of Excel allows you to read this threaded comment; however, any edits to it will get removed if the file is opened in a newer version of Excel. Learn more: https://go.microsoft.com/fwlink/?linkid=870924
Comment:
    Can we be specific and say “Number of HWC conflicts cases managed through C2C”? Otherwise, someone who does not have the output might count even marital conflicts</t>
      </text>
    </comment>
    <comment ref="D79" authorId="6" shapeId="0" xr:uid="{EAF6C7D7-3588-4320-9AA2-E1A7FAE8AF1A}">
      <text>
        <t>[Threaded comment]
Your version of Excel allows you to read this threaded comment; however, any edits to it will get removed if the file is opened in a newer version of Excel. Learn more: https://go.microsoft.com/fwlink/?linkid=870924
Comment:
    Since the frequency is already annual, I would suggest removing per year and have it as “# of awareness campaigns conducted on HWC”</t>
      </text>
    </comment>
    <comment ref="E79" authorId="7" shapeId="0" xr:uid="{42D97F26-CA40-435D-A11C-8BAC0DFA6D58}">
      <text>
        <t>[Threaded comment]
Your version of Excel allows you to read this threaded comment; however, any edits to it will get removed if the file is opened in a newer version of Excel. Learn more: https://go.microsoft.com/fwlink/?linkid=870924
Comment:
    I doubt measuring # of campaigns gives us effectiveness.. If we want effectiveness, we can measure the knowledge os people reached.</t>
      </text>
    </comment>
    <comment ref="G80" authorId="8" shapeId="0" xr:uid="{13384D41-3132-47B6-BAD5-656A13BEAF10}">
      <text>
        <t>[Threaded comment]
Your version of Excel allows you to read this threaded comment; however, any edits to it will get removed if the file is opened in a newer version of Excel. Learn more: https://go.microsoft.com/fwlink/?linkid=870924
Comment:
    Num/denom</t>
      </text>
    </comment>
    <comment ref="D81" authorId="9" shapeId="0" xr:uid="{2FAEAACA-EF5C-40D5-BC13-B763829AA8F2}">
      <text>
        <t>[Threaded comment]
Your version of Excel allows you to read this threaded comment; however, any edits to it will get removed if the file is opened in a newer version of Excel. Learn more: https://go.microsoft.com/fwlink/?linkid=870924
Comment:
    Since we are measuring resolution, I would recommend we measure “% of reported grievances resolved through GRM mechanisms”</t>
      </text>
    </comment>
    <comment ref="D83" authorId="10" shapeId="0" xr:uid="{DEC49D28-A5AB-4A42-8E25-B4512F0519BC}">
      <text>
        <t>[Threaded comment]
Your version of Excel allows you to read this threaded comment; however, any edits to it will get removed if the file is opened in a newer version of Excel. Learn more: https://go.microsoft.com/fwlink/?linkid=870924
Comment:
    Need to be specific.. Which meeting?</t>
      </text>
    </comment>
    <comment ref="D84" authorId="11" shapeId="0" xr:uid="{6B5D8F0B-A572-424D-9BF5-A2F02B87C598}">
      <text>
        <t>[Threaded comment]
Your version of Excel allows you to read this threaded comment; however, any edits to it will get removed if the file is opened in a newer version of Excel. Learn more: https://go.microsoft.com/fwlink/?linkid=870924
Comment:
    Need to be specific, Which type of conflict, HWC. Political, etc?</t>
      </text>
    </comment>
    <comment ref="D85" authorId="12" shapeId="0" xr:uid="{061AE123-3D2E-458D-A978-7BF6E27B32DE}">
      <text>
        <t>[Threaded comment]
Your version of Excel allows you to read this threaded comment; however, any edits to it will get removed if the file is opened in a newer version of Excel. Learn more: https://go.microsoft.com/fwlink/?linkid=870924
Comment:
    Need to be specific, but would also recommend restructuring to “Existence of baseline report on HWC perception”</t>
      </text>
    </comment>
    <comment ref="D86" authorId="13" shapeId="0" xr:uid="{BBA99128-F6D7-4938-9630-FBB0232D2C41}">
      <text>
        <t>[Threaded comment]
Your version of Excel allows you to read this threaded comment; however, any edits to it will get removed if the file is opened in a newer version of Excel. Learn more: https://go.microsoft.com/fwlink/?linkid=870924
Comment:
    Need to be specific.. Which campaigns? Also, not the comment on disaggregation.</t>
      </text>
    </comment>
    <comment ref="D87" authorId="14" shapeId="0" xr:uid="{CF491E8D-F1DF-42BB-A04C-FF4ECF8C3881}">
      <text>
        <t>[Threaded comment]
Your version of Excel allows you to read this threaded comment; however, any edits to it will get removed if the file is opened in a newer version of Excel. Learn more: https://go.microsoft.com/fwlink/?linkid=870924
Comment:
    This would be better of as a % since we want to determine “of those trained, who is using the skills”</t>
      </text>
    </comment>
    <comment ref="D89" authorId="15" shapeId="0" xr:uid="{4D879E22-712E-458D-B4E7-A7DE39EEEE24}">
      <text>
        <t>[Threaded comment]
Your version of Excel allows you to read this threaded comment; however, any edits to it will get removed if the file is opened in a newer version of Excel. Learn more: https://go.microsoft.com/fwlink/?linkid=870924
Comment:
    “# of MSP’s resolutions or action points addressing C2C”</t>
      </text>
    </comment>
    <comment ref="D90" authorId="16" shapeId="0" xr:uid="{87342A3C-859B-407D-87E4-B6A3985AF281}">
      <text>
        <t>[Threaded comment]
Your version of Excel allows you to read this threaded comment; however, any edits to it will get removed if the file is opened in a newer version of Excel. Learn more: https://go.microsoft.com/fwlink/?linkid=870924
Comment:
    Need to be specific, Perception on what? Forest, species, WWF, Species.. Etc.</t>
      </text>
    </comment>
    <comment ref="D93" authorId="17" shapeId="0" xr:uid="{E8C65F5F-84F5-4A59-9DEB-E9EF6DEF3EB1}">
      <text>
        <t>[Threaded comment]
Your version of Excel allows you to read this threaded comment; however, any edits to it will get removed if the file is opened in a newer version of Excel. Learn more: https://go.microsoft.com/fwlink/?linkid=870924
Comment:
    Same comment as above on disaggregation, 
instead of staff, we could just say # of trained eco-guards and community rangers demonstrating …..
Also good to spell out acronyms ..</t>
      </text>
    </comment>
    <comment ref="H94" authorId="18" shapeId="0" xr:uid="{8278BCF3-2214-4EDA-95EA-0B3D6804A083}">
      <text>
        <t>[Threaded comment]
Your version of Excel allows you to read this threaded comment; however, any edits to it will get removed if the file is opened in a newer version of Excel. Learn more: https://go.microsoft.com/fwlink/?linkid=870924
Comment:
    These are indicated as outcomea but are associated to output statements</t>
      </text>
    </comment>
    <comment ref="D97" authorId="19" shapeId="0" xr:uid="{24D6D1F6-AB0E-41CD-89E6-5D217CC6752D}">
      <text>
        <t>[Threaded comment]
Your version of Excel allows you to read this threaded comment; however, any edits to it will get removed if the file is opened in a newer version of Excel. Learn more: https://go.microsoft.com/fwlink/?linkid=870924
Comment:
    Can we keep it simple to “Baseline study completed on marine turtle nesting” The rest of the information on what the report will contain can go to the indicator definition column</t>
      </text>
    </comment>
    <comment ref="D98" authorId="20" shapeId="0" xr:uid="{42B9A6E5-90F9-4500-9E4B-A8EC142B0D80}">
      <text>
        <t>[Threaded comment]
Your version of Excel allows you to read this threaded comment; however, any edits to it will get removed if the file is opened in a newer version of Excel. Learn more: https://go.microsoft.com/fwlink/?linkid=870924
Comment:
    Would suggest “Number of turtle patrols and nest monitoring teams established, trained or equipped”</t>
      </text>
    </comment>
    <comment ref="D99" authorId="21" shapeId="0" xr:uid="{D1FF24A7-0B2D-4061-863C-0E9F0531D4EF}">
      <text>
        <t xml:space="preserve">[Threaded comment]
Your version of Excel allows you to read this threaded comment; however, any edits to it will get removed if the file is opened in a newer version of Excel. Learn more: https://go.microsoft.com/fwlink/?linkid=870924
Comment:
    “% of protected turtle nests surviving to hatching”, However survival means reduction in threat level and I see that as an outcome.. The output is about “implementation of protection measures” and that should be the focus of your indicator. 
e.g. “Number of action/strategies implemented to protect turtle nests” or “% of planned turtle nest protection actions implemented or under implementation” </t>
      </text>
    </comment>
    <comment ref="D100" authorId="22" shapeId="0" xr:uid="{396B0C61-C5FF-4437-A7AD-98C3927A514D}">
      <text>
        <t>[Threaded comment]
Your version of Excel allows you to read this threaded comment; however, any edits to it will get removed if the file is opened in a newer version of Excel. Learn more: https://go.microsoft.com/fwlink/?linkid=870924
Comment:
    I think predation rate  is a direct threat thus an outcome level result.. The output here is about “development of Control and management strategies” and that is what the output indicator should focus on..</t>
      </text>
    </comment>
    <comment ref="C101" authorId="23" shapeId="0" xr:uid="{AEA44247-418A-48CE-B356-8C7B2E500F6E}">
      <text>
        <t>[Threaded comment]
Your version of Excel allows you to read this threaded comment; however, any edits to it will get removed if the file is opened in a newer version of Excel. Learn more: https://go.microsoft.com/fwlink/?linkid=870924
Comment:
    The output is not clear, campaigns on what?</t>
      </text>
    </comment>
    <comment ref="D101" authorId="24" shapeId="0" xr:uid="{8FDB83F7-77B0-4A59-A639-32E5F776B71D}">
      <text>
        <t>[Threaded comment]
Your version of Excel allows you to read this threaded comment; however, any edits to it will get removed if the file is opened in a newer version of Excel. Learn more: https://go.microsoft.com/fwlink/?linkid=870924
Comment:
    I am advising against having change in indicator. I would advise you to focus the indicator on  the knowledge score, then the change is done after analysis since this is done year by year.
The indicator should also be specific.. Knowledge on what</t>
      </text>
    </comment>
    <comment ref="C102" authorId="25" shapeId="0" xr:uid="{709DFF6D-4679-470B-9ABB-26D1D0AD526B}">
      <text>
        <t>[Threaded comment]
Your version of Excel allows you to read this threaded comment; however, any edits to it will get removed if the file is opened in a newer version of Excel. Learn more: https://go.microsoft.com/fwlink/?linkid=870924
Comment:
    Comm guardians on what...</t>
      </text>
    </comment>
    <comment ref="D102" authorId="26" shapeId="0" xr:uid="{D80C2F36-B06D-4652-92AF-3B19F8DD31F8}">
      <text>
        <t>[Threaded comment]
Your version of Excel allows you to read this threaded comment; however, any edits to it will get removed if the file is opened in a newer version of Excel. Learn more: https://go.microsoft.com/fwlink/?linkid=870924
Comment:
    Could be more specific on community guardians on ...</t>
      </text>
    </comment>
    <comment ref="H102" authorId="27" shapeId="0" xr:uid="{91A6AD43-B459-4BC5-9EEC-D820BF8E5220}">
      <text>
        <t>[Threaded comment]
Your version of Excel allows you to read this threaded comment; however, any edits to it will get removed if the file is opened in a newer version of Excel. Learn more: https://go.microsoft.com/fwlink/?linkid=870924
Comment:
    Should be output.</t>
      </text>
    </comment>
    <comment ref="C103" authorId="28" shapeId="0" xr:uid="{2D6ACAF5-D3E6-4C17-8F05-C9793D0D5A0A}">
      <text>
        <t xml:space="preserve">[Threaded comment]
Your version of Excel allows you to read this threaded comment; however, any edits to it will get removed if the file is opened in a newer version of Excel. Learn more: https://go.microsoft.com/fwlink/?linkid=870924
Comment:
    Lessons or successful approaches on what? </t>
      </text>
    </comment>
    <comment ref="D103" authorId="29" shapeId="0" xr:uid="{5686BF1B-4AB8-45E3-B16F-A8481474D042}">
      <text>
        <t>[Threaded comment]
Your version of Excel allows you to read this threaded comment; however, any edits to it will get removed if the file is opened in a newer version of Excel. Learn more: https://go.microsoft.com/fwlink/?linkid=870924
Comment:
    Same comment as output, knowledge on what...</t>
      </text>
    </comment>
    <comment ref="D105" authorId="30" shapeId="0" xr:uid="{62E92B3F-F6E5-4807-B0DD-044AA896558C}">
      <text>
        <t>[Threaded comment]
Your version of Excel allows you to read this threaded comment; however, any edits to it will get removed if the file is opened in a newer version of Excel. Learn more: https://go.microsoft.com/fwlink/?linkid=870924
Comment:
    Need to be specific, trained on … that said I would propose measuring this as a % so that it can also be measured in a survey much later esp since its freq is mid/endline... “% of trained individuals demonstrating knowledge and understanding of marine turtle protection practices”</t>
      </text>
    </comment>
    <comment ref="D107" authorId="31" shapeId="0" xr:uid="{671FCC16-95CC-45D7-AE09-95825858C6E1}">
      <text>
        <t>[Threaded comment]
Your version of Excel allows you to read this threaded comment; however, any edits to it will get removed if the file is opened in a newer version of Excel. Learn more: https://go.microsoft.com/fwlink/?linkid=870924
Comment:
    Would recommend being specific, “partnership on waste management.” However, if we want to measure of these established partnership how many have action plans, I would recommend “% of established waste management partnerships with a joint action plan in place ”</t>
      </text>
    </comment>
    <comment ref="D108" authorId="32" shapeId="0" xr:uid="{0F064124-5ED7-447E-874A-FC6BFFFC0CEB}">
      <text>
        <t>[Threaded comment]
Your version of Excel allows you to read this threaded comment; however, any edits to it will get removed if the file is opened in a newer version of Excel. Learn more: https://go.microsoft.com/fwlink/?linkid=870924
Comment:
    The indicator is not specific to a perception of what. Could we measure awareness instead of perception?  e.g. “% of students and community members who can correctly identify impacts of plastic waste on marine turtles”</t>
      </text>
    </comment>
    <comment ref="D109" authorId="33" shapeId="0" xr:uid="{C1CACE86-2328-4B69-BBDF-8709883350EC}">
      <text>
        <t>[Threaded comment]
Your version of Excel allows you to read this threaded comment; however, any edits to it will get removed if the file is opened in a newer version of Excel. Learn more: https://go.microsoft.com/fwlink/?linkid=870924
Comment:
    These are two indicators in one. Please separate. I think the indicator should be just on the existence of the report. The rest seem to be captured elsewher</t>
      </text>
    </comment>
    <comment ref="D111" authorId="34" shapeId="0" xr:uid="{833EAEDF-9D4B-44F7-B3E6-1C9D753A5218}">
      <text>
        <t>[Threaded comment]
Your version of Excel allows you to read this threaded comment; however, any edits to it will get removed if the file is opened in a newer version of Excel. Learn more: https://go.microsoft.com/fwlink/?linkid=870924
Comment:
    If we have a finite number of PAs.. We could measure % of Pas and have the indicator as num/denom</t>
      </text>
    </comment>
    <comment ref="D113" authorId="35" shapeId="0" xr:uid="{4A2645DE-8100-4130-8C0F-2D6141D633DD}">
      <text>
        <t xml:space="preserve">[Threaded comment]
Your version of Excel allows you to read this threaded comment; however, any edits to it will get removed if the file is opened in a newer version of Excel. Learn more: https://go.microsoft.com/fwlink/?linkid=870924
Comment:
    Need to make the indicator specific.. Trained on …… then since the freq is annual.. No need to specify per year
</t>
      </text>
    </comment>
    <comment ref="D114" authorId="36" shapeId="0" xr:uid="{DE789F5A-7211-4485-A718-E824F74921FE}">
      <text>
        <t>[Threaded comment]
Your version of Excel allows you to read this threaded comment; however, any edits to it will get removed if the file is opened in a newer version of Excel. Learn more: https://go.microsoft.com/fwlink/?linkid=870924
Comment:
    Can we change to % of targeted….. Then have value format as num / denom</t>
      </text>
    </comment>
    <comment ref="D115" authorId="37" shapeId="0" xr:uid="{B341F7BC-FEF6-4F9A-BCF4-7D64B74A5B43}">
      <text>
        <t xml:space="preserve">[Threaded comment]
Your version of Excel allows you to read this threaded comment; however, any edits to it will get removed if the file is opened in a newer version of Excel. Learn more: https://go.microsoft.com/fwlink/?linkid=870924
Comment:
    I see the output is related to species but this indicator is more general for fundraising.. Can we make it more specific  to PA financing? E.g. “Amount of revenue generated annually from sustainable financing mechanisms in WWF supported protected areas” </t>
      </text>
    </comment>
    <comment ref="D118" authorId="38" shapeId="0" xr:uid="{E6096688-34EE-41B9-A838-3F1C4ED636C6}">
      <text>
        <t>[Threaded comment]
Your version of Excel allows you to read this threaded comment; however, any edits to it will get removed if the file is opened in a newer version of Excel. Learn more: https://go.microsoft.com/fwlink/?linkid=870924
Comment:
    Would we also be interest to measure the number households supported with this initiatives.</t>
      </text>
    </comment>
    <comment ref="C120" authorId="39" shapeId="0" xr:uid="{EB9921D9-9BCD-45D5-8B8F-317AE12F4BDC}">
      <text>
        <t>[Threaded comment]
Your version of Excel allows you to read this threaded comment; however, any edits to it will get removed if the file is opened in a newer version of Excel. Learn more: https://go.microsoft.com/fwlink/?linkid=870924
Comment:
    Maybe update the output to be under restoration, not restored.. Please not where we edit output, we will need to update in Panda Impact. Not Deleting but editing.</t>
      </text>
    </comment>
    <comment ref="D125" authorId="40" shapeId="0" xr:uid="{323FB7B6-3EC5-47A9-9893-2023B5299A97}">
      <text>
        <t>[Threaded comment]
Your version of Excel allows you to read this threaded comment; however, any edits to it will get removed if the file is opened in a newer version of Excel. Learn more: https://go.microsoft.com/fwlink/?linkid=870924
Comment:
    Can we restructure to “Number of data-driven management decisions informed by wildlife monitoring systems”</t>
      </text>
    </comment>
    <comment ref="D126" authorId="41" shapeId="0" xr:uid="{75A66688-8B18-4189-9628-456CD1D29DBF}">
      <text>
        <t>[Threaded comment]
Your version of Excel allows you to read this threaded comment; however, any edits to it will get removed if the file is opened in a newer version of Excel. Learn more: https://go.microsoft.com/fwlink/?linkid=870924
Comment:
    Another option is to measure  “% of targeted community hunting zones households receiving benefits annually”
 This will show the extend or distribution way better than just #</t>
      </text>
    </comment>
    <comment ref="D127" authorId="42" shapeId="0" xr:uid="{702E9536-BB31-47A7-A13E-6601B0DACE60}">
      <text>
        <t xml:space="preserve">[Threaded comment]
Your version of Excel allows you to read this threaded comment; however, any edits to it will get removed if the file is opened in a newer version of Excel. Learn more: https://go.microsoft.com/fwlink/?linkid=870924
Comment:
    Recommend: # of joint monitoring missions or annual review meetings conducted to assess community hunting zone performance. </t>
      </text>
    </comment>
    <comment ref="D128" authorId="43" shapeId="0" xr:uid="{3F20DEC8-56E7-4DBA-8AAE-5ED037112978}">
      <text>
        <t>[Threaded comment]
Your version of Excel allows you to read this threaded comment; however, any edits to it will get removed if the file is opened in a newer version of Excel. Learn more: https://go.microsoft.com/fwlink/?linkid=870924
Comment:
    Change to percentage of .. and have value format as num/denom</t>
      </text>
    </comment>
    <comment ref="D129" authorId="44" shapeId="0" xr:uid="{FFE157DD-96C1-47A2-9A52-AFABFCBEE15B}">
      <text>
        <t>[Threaded comment]
Your version of Excel allows you to read this threaded comment; however, any edits to it will get removed if the file is opened in a newer version of Excel. Learn more: https://go.microsoft.com/fwlink/?linkid=870924
Comment:
    Same comment on disaggregation. Also would suggest “# of IP&amp;LC participating in MSPs”</t>
      </text>
    </comment>
    <comment ref="D130" authorId="45" shapeId="0" xr:uid="{9CBD94E9-B293-4E56-BEDC-B9D372C399CC}">
      <text>
        <t>[Threaded comment]
Your version of Excel allows you to read this threaded comment; however, any edits to it will get removed if the file is opened in a newer version of Excel. Learn more: https://go.microsoft.com/fwlink/?linkid=870924
Comment:
    If the interest is measuring application of knowledge, I would suggest “% of staff and partners trained on human rights based approached applying the knowledge”</t>
      </text>
    </comment>
    <comment ref="D131" authorId="46" shapeId="0" xr:uid="{11BCEFF6-4ECC-4169-8BAC-0E29653EE493}">
      <text>
        <t>[Threaded comment]
Your version of Excel allows you to read this threaded comment; however, any edits to it will get removed if the file is opened in a newer version of Excel. Learn more: https://go.microsoft.com/fwlink/?linkid=870924
Comment:
    The output is about “benefit-sharing mechanisms implemented and strengthened” and IPLC “perceive tangible benefit” so you might have two indicator, one on “number of benefit-sharing mechanisms established or strengthened” and a second one on “% of IPLC who report receiving benefit through the benefit sharing mechanism”</t>
      </text>
    </comment>
    <comment ref="D133" authorId="47" shapeId="0" xr:uid="{674D5796-DC8A-4DD4-BE4B-BB1A3191C6B9}">
      <text>
        <t>[Threaded comment]
Your version of Excel allows you to read this threaded comment; however, any edits to it will get removed if the file is opened in a newer version of Excel. Learn more: https://go.microsoft.com/fwlink/?linkid=870924
Comment:
    Could we measure maybe “Number of monitoring systems established for social and complaints monitoring” however, The second part on the complaints seem more GRM</t>
      </text>
    </comment>
    <comment ref="H134" authorId="48" shapeId="0" xr:uid="{2D12C3D8-3C1A-4305-948E-F180029079EC}">
      <text>
        <t>[Threaded comment]
Your version of Excel allows you to read this threaded comment; however, any edits to it will get removed if the file is opened in a newer version of Excel. Learn more: https://go.microsoft.com/fwlink/?linkid=870924
Comment:
    While I agree this is more of a process.. In CSI there are only three levels of results. Goal, outcome and Output.</t>
      </text>
    </comment>
    <comment ref="D136" authorId="49" shapeId="0" xr:uid="{06FD0754-8ED8-4532-8DC3-324A7F0F1A8B}">
      <text>
        <t>[Threaded comment]
Your version of Excel allows you to read this threaded comment; however, any edits to it will get removed if the file is opened in a newer version of Excel. Learn more: https://go.microsoft.com/fwlink/?linkid=870924
Comment:
    Very similar to row 127.. Would suggest we try to align the two to avoid double counting</t>
      </text>
    </comment>
    <comment ref="D137" authorId="50" shapeId="0" xr:uid="{185A2963-9A33-47EF-ACAE-9A18A1B66D5E}">
      <text>
        <t xml:space="preserve">[Threaded comment]
Your version of Excel allows you to read this threaded comment; however, any edits to it will get removed if the file is opened in a newer version of Excel. Learn more: https://go.microsoft.com/fwlink/?linkid=870924
Comment:
    Can we say “Existence of a report on assessment of income-generation activity”, though I would put this more as activity level </t>
      </text>
    </comment>
    <comment ref="D143" authorId="51" shapeId="0" xr:uid="{3B38A08A-D6B3-4328-8AE7-DE519621FAB2}">
      <text>
        <t>[Threaded comment]
Your version of Excel allows you to read this threaded comment; however, any edits to it will get removed if the file is opened in a newer version of Excel. Learn more: https://go.microsoft.com/fwlink/?linkid=870924
Comment:
    For this and similar indicators tracking change, it is preferable to measure the primary variable directly, allowing the change to be derived from the measured values over time.. E.g. here we measure “# of IP&amp;LC participating in conservation activities with WWF support”. The part which gives examples ( like wildlife monitoring or habitat restoration) can go in the definition column to define  conservation activities.</t>
      </text>
    </comment>
    <comment ref="D144" authorId="52" shapeId="0" xr:uid="{A69CFEF6-AA16-4288-BCB8-CA74D26CBF06}">
      <text>
        <t>[Threaded comment]
Your version of Excel allows you to read this threaded comment; however, any edits to it will get removed if the file is opened in a newer version of Excel. Learn more: https://go.microsoft.com/fwlink/?linkid=870924
Comment:
    Would this be the same as raws 132 and 133</t>
      </text>
    </comment>
    <comment ref="D146" authorId="53" shapeId="0" xr:uid="{DBEFE332-2EAE-40C4-8A05-510966D54C66}">
      <text>
        <t>[Threaded comment]
Your version of Excel allows you to read this threaded comment; however, any edits to it will get removed if the file is opened in a newer version of Excel. Learn more: https://go.microsoft.com/fwlink/?linkid=870924
Comment:
    Existence of a survey report on community access to material of good life.</t>
      </text>
    </comment>
    <comment ref="D147" authorId="54" shapeId="0" xr:uid="{74C4F7F0-CB3A-45D1-A8A4-4B31B06E3725}">
      <text>
        <t>[Threaded comment]
Your version of Excel allows you to read this threaded comment; however, any edits to it will get removed if the file is opened in a newer version of Excel. Learn more: https://go.microsoft.com/fwlink/?linkid=870924
Comment:
    To align to output.. Can we say “% of targeted IP&amp;LC households with access…. “ and have the value format as num/deno</t>
      </text>
    </comment>
    <comment ref="D149" authorId="55" shapeId="0" xr:uid="{B826C595-BFDD-48F9-9A5B-C7F4377DF656}">
      <text>
        <t>[Threaded comment]
Your version of Excel allows you to read this threaded comment; however, any edits to it will get removed if the file is opened in a newer version of Excel. Learn more: https://go.microsoft.com/fwlink/?linkid=870924
Comment:
    It would be good to specify it is a monitoring system to track community access to materials of good life. That said, these are processes which I would not have recommended as output results.</t>
      </text>
    </comment>
    <comment ref="D150" authorId="56" shapeId="0" xr:uid="{34ADEC0A-102E-4D0B-8E01-FAE484C4FE34}">
      <text>
        <t xml:space="preserve">[Threaded comment]
Your version of Excel allows you to read this threaded comment; however, any edits to it will get removed if the file is opened in a newer version of Excel. Learn more: https://go.microsoft.com/fwlink/?linkid=870924
Comment:
    The striked out part can go to the description. I would suggested “existence of an assessment report on gaps in existing policies on IPLC rights </t>
      </text>
    </comment>
    <comment ref="D156" authorId="57" shapeId="0" xr:uid="{AB73B0E0-12A1-419B-BA15-048A0CF3CC1E}">
      <text>
        <t>[Threaded comment]
Your version of Excel allows you to read this threaded comment; however, any edits to it will get removed if the file is opened in a newer version of Excel. Learn more: https://go.microsoft.com/fwlink/?linkid=870924
Comment:
    I am not sure this mesures the output and also the output is more of a process, “monitoring the impact of a policy” can we revise the output so that we develop an indicator that will measure the result.</t>
      </text>
    </comment>
    <comment ref="D157" authorId="58" shapeId="0" xr:uid="{E406FD28-4B3D-4454-9002-25BED407494E}">
      <text>
        <t>[Threaded comment]
Your version of Excel allows you to read this threaded comment; however, any edits to it will get removed if the file is opened in a newer version of Excel. Learn more: https://go.microsoft.com/fwlink/?linkid=870924
Comment:
    This is not an output or something that we can change, I see it as being an FYI in which case I would drop it.</t>
      </text>
    </comment>
    <comment ref="D161" authorId="59" shapeId="0" xr:uid="{39ADA54B-1FF0-4D34-A90A-A5EBF2E507C9}">
      <text>
        <t>[Threaded comment]
Your version of Excel allows you to read this threaded comment; however, any edits to it will get removed if the file is opened in a newer version of Excel. Learn more: https://go.microsoft.com/fwlink/?linkid=870924
Comment:
    Would suggest we frame as “% of identified High Conservation Value (HCV) forests gazetted or in process of being gazzeted”</t>
      </text>
    </comment>
    <comment ref="D162" authorId="60" shapeId="0" xr:uid="{2E27FC5C-603D-4C96-8284-853DE9720A09}">
      <text>
        <t>[Threaded comment]
Your version of Excel allows you to read this threaded comment; however, any edits to it will get removed if the file is opened in a newer version of Excel. Learn more: https://go.microsoft.com/fwlink/?linkid=870924
Comment:
    These seem like two indicators in one cell. I would recommend separating because while uploading, one row is on one indicator.
instead of presence of HCV language in strategies, I would recommend you go for “# of strategies that mention High Conservation Value forest protection/conservation”</t>
      </text>
    </comment>
    <comment ref="D164" authorId="61" shapeId="0" xr:uid="{5E7B800B-2A89-47AD-97BE-9EFFDA0D90A2}">
      <text>
        <t xml:space="preserve">[Threaded comment]
Your version of Excel allows you to read this threaded comment; however, any edits to it will get removed if the file is opened in a newer version of Excel. Learn more: https://go.microsoft.com/fwlink/?linkid=870924
Comment:
    Several indicators in one cell. The output is on IPLC engagement , so the indicator should be on that. </t>
      </text>
    </comment>
    <comment ref="D165" authorId="62" shapeId="0" xr:uid="{C76086B8-15A4-4B26-B096-C5853F7FBF43}">
      <text>
        <t>[Threaded comment]
Your version of Excel allows you to read this threaded comment; however, any edits to it will get removed if the file is opened in a newer version of Excel. Learn more: https://go.microsoft.com/fwlink/?linkid=870924
Comment:
    Same case, several indicators that are not SMART in one cell.</t>
      </text>
    </comment>
    <comment ref="D166" authorId="63" shapeId="0" xr:uid="{0E3FE1D0-7595-4FA2-8B37-0D7E6F65AB73}">
      <text>
        <t>[Threaded comment]
Your version of Excel allows you to read this threaded comment; however, any edits to it will get removed if the file is opened in a newer version of Excel. Learn more: https://go.microsoft.com/fwlink/?linkid=870924
Comment:
    Same comment as above..</t>
      </text>
    </comment>
    <comment ref="D168" authorId="64" shapeId="0" xr:uid="{6BCB4A97-222F-4F65-8075-7335856A3882}">
      <text>
        <t>[Threaded comment]
Your version of Excel allows you to read this threaded comment; however, any edits to it will get removed if the file is opened in a newer version of Excel. Learn more: https://go.microsoft.com/fwlink/?linkid=870924
Comment:
    Since forest loss is a direct threat, this is an outcome level indicator. It is also a bit tricky to frame it as baseline since it means the indicator will have only baseline and no target. Probably you want to have the “Existence of a baseline report on HCV Loss” since the output is on baseline.</t>
      </text>
    </comment>
    <comment ref="D169" authorId="65" shapeId="0" xr:uid="{AFE2E212-ECF5-4043-8E99-1EF51016030E}">
      <text>
        <t>[Threaded comment]
Your version of Excel allows you to read this threaded comment; however, any edits to it will get removed if the file is opened in a newer version of Excel. Learn more: https://go.microsoft.com/fwlink/?linkid=870924
Comment:
    How many are expected? Can we say “# of validated land use plans”</t>
      </text>
    </comment>
    <comment ref="D170" authorId="66" shapeId="0" xr:uid="{5F2924EB-8B5C-4AAA-9D98-F477B5D4CE5D}">
      <text>
        <t>[Threaded comment]
Your version of Excel allows you to read this threaded comment; however, any edits to it will get removed if the file is opened in a newer version of Excel. Learn more: https://go.microsoft.com/fwlink/?linkid=870924
Comment:
    “# of farmers trained on climate-smart farming practices”</t>
      </text>
    </comment>
    <comment ref="D173" authorId="67" shapeId="0" xr:uid="{9137D6C3-1BBC-42D5-8EFE-34A39B420B89}">
      <text>
        <t>[Threaded comment]
Your version of Excel allows you to read this threaded comment; however, any edits to it will get removed if the file is opened in a newer version of Excel. Learn more: https://go.microsoft.com/fwlink/?linkid=870924
Comment:
    The indicator is not so specific, and can be interpreted to mean any monitoring.. Maybe “Number of forest surveillance groups supported to conduct real-time forest clearance monitoring or “Number of forest clearance alerts received from supported forest surveillance groups.”</t>
      </text>
    </comment>
    <comment ref="D174" authorId="68" shapeId="0" xr:uid="{2B577648-A3E0-4859-8087-A26768DD0278}">
      <text>
        <t>[Threaded comment]
Your version of Excel allows you to read this threaded comment; however, any edits to it will get removed if the file is opened in a newer version of Excel. Learn more: https://go.microsoft.com/fwlink/?linkid=870924
Comment:
    Annual loss is a direct threat, so this indicator is at outcome level. The output is focuse on “Independent verification and tracking ha creard”, which is an activity and so the output could be “Number of forest loss verification carried out” or something close to it.</t>
      </text>
    </comment>
    <comment ref="D175" authorId="69" shapeId="0" xr:uid="{BFAC1A25-B38F-406A-8C50-DDDC9E8D1D6B}">
      <text>
        <t>[Threaded comment]
Your version of Excel allows you to read this threaded comment; however, any edits to it will get removed if the file is opened in a newer version of Excel. Learn more: https://go.microsoft.com/fwlink/?linkid=870924
Comment:
    Existence of a report documenting agricultural practices &amp; challenges</t>
      </text>
    </comment>
    <comment ref="E175" authorId="70" shapeId="0" xr:uid="{45B42C17-2E34-47EA-BA9F-F978693040CB}">
      <text>
        <t>[Threaded comment]
Your version of Excel allows you to read this threaded comment; however, any edits to it will get removed if the file is opened in a newer version of Excel. Learn more: https://go.microsoft.com/fwlink/?linkid=870924
Comment:
    This looks like another indicator</t>
      </text>
    </comment>
    <comment ref="C177" authorId="71" shapeId="0" xr:uid="{49CEF124-FC45-48E5-9A36-59C46B88C51A}">
      <text>
        <t>[Threaded comment]
Your version of Excel allows you to read this threaded comment; however, any edits to it will get removed if the file is opened in a newer version of Excel. Learn more: https://go.microsoft.com/fwlink/?linkid=870924
Comment:
    I suppose this should be improved agricultural practice</t>
      </text>
    </comment>
    <comment ref="D177" authorId="72" shapeId="0" xr:uid="{444BE133-1234-4F1C-B444-59EFAE5A3308}">
      <text>
        <t xml:space="preserve">[Threaded comment]
Your version of Excel allows you to read this threaded comment; however, any edits to it will get removed if the file is opened in a newer version of Excel. Learn more: https://go.microsoft.com/fwlink/?linkid=870924
Comment:
    Number of demo plots on improved agricultural practice established
</t>
      </text>
    </comment>
    <comment ref="E177" authorId="73" shapeId="0" xr:uid="{756C219C-F193-4D5E-BC3C-70C5748482CF}">
      <text>
        <t>[Threaded comment]
Your version of Excel allows you to read this threaded comment; however, any edits to it will get removed if the file is opened in a newer version of Excel. Learn more: https://go.microsoft.com/fwlink/?linkid=870924
Comment:
    Please revise the description</t>
      </text>
    </comment>
    <comment ref="D179" authorId="74" shapeId="0" xr:uid="{30FE9BE7-F861-4E6E-8D0C-11D799A43097}">
      <text>
        <t>[Threaded comment]
Your version of Excel allows you to read this threaded comment; however, any edits to it will get removed if the file is opened in a newer version of Excel. Learn more: https://go.microsoft.com/fwlink/?linkid=870924
Comment:
    “# of farmers provided with agricultural inputs with WFF support”. I think the second part “using them correctly,” could be a separate indicator measured through a survey.</t>
      </text>
    </comment>
    <comment ref="D180" authorId="75" shapeId="0" xr:uid="{A804AFF7-F3C4-4AC1-94F9-8EF6C71E787E}">
      <text>
        <t>[Threaded comment]
Your version of Excel allows you to read this threaded comment; however, any edits to it will get removed if the file is opened in a newer version of Excel. Learn more: https://go.microsoft.com/fwlink/?linkid=870924
Comment:
    “# of formal supplier–cooperative agreements established to link farmers with suppliers”</t>
      </text>
    </comment>
    <comment ref="D181" authorId="76" shapeId="0" xr:uid="{6EE861C5-A583-489C-8634-4CAFA781E64F}">
      <text>
        <t>[Threaded comment]
Your version of Excel allows you to read this threaded comment; however, any edits to it will get removed if the file is opened in a newer version of Excel. Learn more: https://go.microsoft.com/fwlink/?linkid=870924
Comment:
    The output and the indicator are not specific to awareness /behavior on what.</t>
      </text>
    </comment>
    <comment ref="D182" authorId="77" shapeId="0" xr:uid="{FAE60557-34D2-4CB2-8235-2209F2803E4C}">
      <text>
        <t xml:space="preserve">[Threaded comment]
Your version of Excel allows you to read this threaded comment; however, any edits to it will get removed if the file is opened in a newer version of Excel. Learn more: https://go.microsoft.com/fwlink/?linkid=870924
Comment:
    Isnt this the same as the output in row 171? Also wouldn’t every 6 months be a bit costly to monitor.
</t>
      </text>
    </comment>
    <comment ref="D183" authorId="78" shapeId="0" xr:uid="{958B5BF3-6283-4335-A963-0DE28C90CC42}">
      <text>
        <t>[Threaded comment]
Your version of Excel allows you to read this threaded comment; however, any edits to it will get removed if the file is opened in a newer version of Excel. Learn more: https://go.microsoft.com/fwlink/?linkid=870924
Comment:
    This will most likely be done in a survey and would therefore recommend it is measured as a %ge.  Maybe “% of farmers practicing improved agricultural practices” adoption is also an outcome level result thought the indicators is well aligned to the output.</t>
      </text>
    </comment>
    <comment ref="D184" authorId="79" shapeId="0" xr:uid="{B1F2596D-12F8-4779-B231-D3C775071C27}">
      <text>
        <t>[Threaded comment]
Your version of Excel allows you to read this threaded comment; however, any edits to it will get removed if the file is opened in a newer version of Excel. Learn more: https://go.microsoft.com/fwlink/?linkid=870924
Comment:
    The output is on strengthening of the agric platforms and cooperatives. Do we assume if the farmers are participating in cooperative is a measure of how strong the cooperative is.</t>
      </text>
    </comment>
    <comment ref="D187" authorId="80" shapeId="0" xr:uid="{4F5EE173-32BD-486F-BBA2-81B632C4FE32}">
      <text>
        <t>[Threaded comment]
Your version of Excel allows you to read this threaded comment; however, any edits to it will get removed if the file is opened in a newer version of Excel. Learn more: https://go.microsoft.com/fwlink/?linkid=870924
Comment:
    “% of committee members trained on forest management who demonstrate improved forest management practices”
if the goal is to measure adoption, I would recommend using %</t>
      </text>
    </comment>
    <comment ref="C188" authorId="81" shapeId="0" xr:uid="{53A1CA30-0D4A-48DB-B1C5-D42CFEB06B73}">
      <text>
        <t>[Threaded comment]
Your version of Excel allows you to read this threaded comment; however, any edits to it will get removed if the file is opened in a newer version of Excel. Learn more: https://go.microsoft.com/fwlink/?linkid=870924
Comment:
    The output is not so clear.. Monitoring system for what exactly.</t>
      </text>
    </comment>
    <comment ref="D188" authorId="82" shapeId="0" xr:uid="{1135C72A-1CD8-48F7-AB8F-01324DA0376D}">
      <text>
        <t>[Threaded comment]
Your version of Excel allows you to read this threaded comment; however, any edits to it will get removed if the file is opened in a newer version of Excel. Learn more: https://go.microsoft.com/fwlink/?linkid=870924
Comment:
    Not so clear is the intention here to establish how many of the monitored forest are compliant?</t>
      </text>
    </comment>
    <comment ref="C192" authorId="83" shapeId="0" xr:uid="{5601981E-D7A1-4FC2-931B-9626E04AE08A}">
      <text>
        <t>[Threaded comment]
Your version of Excel allows you to read this threaded comment; however, any edits to it will get removed if the file is opened in a newer version of Excel. Learn more: https://go.microsoft.com/fwlink/?linkid=870924
Comment:
    Both the output and the indicators are not specific.. Trained on what?</t>
      </text>
    </comment>
    <comment ref="D192" authorId="84" shapeId="0" xr:uid="{5502FE87-726B-4D5B-8AD9-D63782FE61BA}">
      <text>
        <t>[Threaded comment]
Your version of Excel allows you to read this threaded comment; however, any edits to it will get removed if the file is opened in a newer version of Excel. Learn more: https://go.microsoft.com/fwlink/?linkid=870924
Comment:
    The indicator has two measuring units which potentially overlap.. Companies and individuals. Also make it specific by indicating what they are being trained on.</t>
      </text>
    </comment>
    <comment ref="D194" authorId="85" shapeId="0" xr:uid="{75086159-DA70-471B-97E3-F4C0C986BACF}">
      <text>
        <t>[Threaded comment]
Your version of Excel allows you to read this threaded comment; however, any edits to it will get removed if the file is opened in a newer version of Excel. Learn more: https://go.microsoft.com/fwlink/?linkid=870924
Comment:
    The indicator is not specific. “% of established Grievance Redress Mechanisms (GRM) or Whistleblower systems that are operational” and then set the value format as num/denom. You might need to define functionality based on number of complaints received and resolved or any other way.</t>
      </text>
    </comment>
    <comment ref="D196" authorId="86" shapeId="0" xr:uid="{4C7A5BDC-8AB9-4196-B2E0-C309FD09D6F5}">
      <text>
        <t>[Threaded comment]
Your version of Excel allows you to read this threaded comment; however, any edits to it will get removed if the file is opened in a newer version of Excel. Learn more: https://go.microsoft.com/fwlink/?linkid=870924
Comment:
    The indicator is not specific. Is this a system for monitoring compliance with forest regulations? If so, we could have the indicator as “Number of systems developed to monitor compliance with forest regulations” if we want to focus on the operability of the systems developed. I would suggest something like “% of forest compliance monitoring systems established that are operational” and have the type as num/denom this way the numerator will be the the # operational and denominator # established.</t>
      </text>
    </comment>
    <comment ref="D197" authorId="87" shapeId="0" xr:uid="{0BA3FBAE-8FA9-490C-875F-E02097F1E818}">
      <text>
        <t>[Threaded comment]
Your version of Excel allows you to read this threaded comment; however, any edits to it will get removed if the file is opened in a newer version of Excel. Learn more: https://go.microsoft.com/fwlink/?linkid=870924
Comment:
    Since we have a finite landscape.. This would be better as % of landscape…..</t>
      </text>
    </comment>
    <comment ref="E198" authorId="88" shapeId="0" xr:uid="{DC223F72-2B73-4F63-B9CE-919C33B5C6C6}">
      <text>
        <t>[Threaded comment]
Your version of Excel allows you to read this threaded comment; however, any edits to it will get removed if the file is opened in a newer version of Excel. Learn more: https://go.microsoft.com/fwlink/?linkid=870924
Comment:
    The description is not giving info on indicators.</t>
      </text>
    </comment>
    <comment ref="D200" authorId="89" shapeId="0" xr:uid="{0D937CB2-F028-4BC7-B147-11EFF04FA257}">
      <text>
        <t>[Threaded comment]
Your version of Excel allows you to read this threaded comment; however, any edits to it will get removed if the file is opened in a newer version of Excel. Learn more: https://go.microsoft.com/fwlink/?linkid=870924
Comment:
    If we say its restored, that would be impact, because it would mean its functionality is restored. We could say under restoration</t>
      </text>
    </comment>
    <comment ref="D201" authorId="90" shapeId="0" xr:uid="{84C247E3-F9F9-47B8-B8B6-7F06284B1992}">
      <text>
        <t>[Threaded comment]
Your version of Excel allows you to read this threaded comment; however, any edits to it will get removed if the file is opened in a newer version of Excel. Learn more: https://go.microsoft.com/fwlink/?linkid=870924
Comment:
    Indicator not specific.. Trained on ____</t>
      </text>
    </comment>
    <comment ref="D202" authorId="91" shapeId="0" xr:uid="{45D28786-716C-459E-B45D-78C3F2D1CB90}">
      <text>
        <t>[Threaded comment]
Your version of Excel allows you to read this threaded comment; however, any edits to it will get removed if the file is opened in a newer version of Excel. Learn more: https://go.microsoft.com/fwlink/?linkid=870924
Comment:
    Areas under restoration.. Instead of restored</t>
      </text>
    </comment>
    <comment ref="D203" authorId="92" shapeId="0" xr:uid="{8C305933-BB85-4A08-BB1F-307A8684A138}">
      <text>
        <t>[Threaded comment]
Your version of Excel allows you to read this threaded comment; however, any edits to it will get removed if the file is opened in a newer version of Excel. Learn more: https://go.microsoft.com/fwlink/?linkid=870924
Comment:
    We could be more specfic by indicating what the peer-peer would be on.. Forest, IPLC rights, etc</t>
      </text>
    </comment>
    <comment ref="D204" authorId="93" shapeId="0" xr:uid="{1769D5A6-EBEB-4E6D-AB25-BC0F2CD29CE5}">
      <text>
        <t>[Threaded comment]
Your version of Excel allows you to read this threaded comment; however, any edits to it will get removed if the file is opened in a newer version of Excel. Learn more: https://go.microsoft.com/fwlink/?linkid=870924
Comment:
    “Number of comprehensive reviews on biodiversity policies and legal instruments  completed and validated” to make it more specific</t>
      </text>
    </comment>
    <comment ref="D206" authorId="94" shapeId="0" xr:uid="{7338FA95-3AD8-4804-8C01-331D061B89B9}">
      <text>
        <t>[Threaded comment]
Your version of Excel allows you to read this threaded comment; however, any edits to it will get removed if the file is opened in a newer version of Excel. Learn more: https://go.microsoft.com/fwlink/?linkid=870924
Comment:
    # of CSO coalitions formed/engaged with joint actions undertaken to influence forest policy</t>
      </text>
    </comment>
    <comment ref="D207" authorId="95" shapeId="0" xr:uid="{D2326800-A857-423D-A043-C325D2D27C16}">
      <text>
        <t>[Threaded comment]
Your version of Excel allows you to read this threaded comment; however, any edits to it will get removed if the file is opened in a newer version of Excel. Learn more: https://go.microsoft.com/fwlink/?linkid=870924
Comment:
    “Number of drafted or revised legal and policy instruments on biodiversity protection officially submitted to government authorities”</t>
      </text>
    </comment>
    <comment ref="D208" authorId="96" shapeId="0" xr:uid="{4060213F-4E0F-45AB-A5D8-D6E59066AD85}">
      <text>
        <t>[Threaded comment]
Your version of Excel allows you to read this threaded comment; however, any edits to it will get removed if the file is opened in a newer version of Excel. Learn more: https://go.microsoft.com/fwlink/?linkid=870924
Comment:
    “# of high-level meetings/dialogues held with government representatives to advocate for natural resources conservation/protection policies”</t>
      </text>
    </comment>
    <comment ref="D209" authorId="97" shapeId="0" xr:uid="{F1DB397C-B62C-4EEB-844B-17A4687E9462}">
      <text>
        <t>[Threaded comment]
Your version of Excel allows you to read this threaded comment; however, any edits to it will get removed if the file is opened in a newer version of Excel. Learn more: https://go.microsoft.com/fwlink/?linkid=870924
Comment:
    Number of technical briefs or strategic policy documents officially published and disseminated on natural resources conservation/protection</t>
      </text>
    </comment>
    <comment ref="D210" authorId="98" shapeId="0" xr:uid="{C51BF965-D042-4FD5-BC25-FD72A7366343}">
      <text>
        <t xml:space="preserve">[Threaded comment]
Your version of Excel allows you to read this threaded comment; however, any edits to it will get removed if the file is opened in a newer version of Excel. Learn more: https://go.microsoft.com/fwlink/?linkid=870924
Comment:
    --- on  natural resources conservation/protection </t>
      </text>
    </comment>
    <comment ref="D211" authorId="99" shapeId="0" xr:uid="{299BC85E-36D9-48D9-85BD-C8497CEEC9F5}">
      <text>
        <t xml:space="preserve">[Threaded comment]
Your version of Excel allows you to read this threaded comment; however, any edits to it will get removed if the file is opened in a newer version of Excel. Learn more: https://go.microsoft.com/fwlink/?linkid=870924
Comment:
    … on natural resource conservation/protection </t>
      </text>
    </comment>
    <comment ref="D218" authorId="100" shapeId="0" xr:uid="{67306550-D6D5-470E-9303-192FEB87211F}">
      <text>
        <t>[Threaded comment]
Your version of Excel allows you to read this threaded comment; however, any edits to it will get removed if the file is opened in a newer version of Excel. Learn more: https://go.microsoft.com/fwlink/?linkid=870924
Comment:
    This seem like a status indicator, a yes/no kind of indicator. Would it be better to say “Existence of an operational logistics tool” then explain the tool and how it will be determined that is operational in the indicator definition.</t>
      </text>
    </comment>
    <comment ref="D221" authorId="101" shapeId="0" xr:uid="{B9C9D745-6527-4820-A5B9-394EDD33B1F6}">
      <text>
        <t>[Threaded comment]
Your version of Excel allows you to read this threaded comment; however, any edits to it will get removed if the file is opened in a newer version of Excel. Learn more: https://go.microsoft.com/fwlink/?linkid=870924
Comment:
    % of staff satisfied with logistic services offered by WWF</t>
      </text>
    </comment>
    <comment ref="D223" authorId="102" shapeId="0" xr:uid="{51159342-B7DC-490F-A0CD-4E4EBE56CB28}">
      <text>
        <t>[Threaded comment]
Your version of Excel allows you to read this threaded comment; however, any edits to it will get removed if the file is opened in a newer version of Excel. Learn more: https://go.microsoft.com/fwlink/?linkid=870924
Comment:
    % monthly internet connection uptime</t>
      </text>
    </comment>
    <comment ref="D226" authorId="103" shapeId="0" xr:uid="{57D1025F-42C9-4AB9-897E-40724E88CDDD}">
      <text>
        <t>[Threaded comment]
Your version of Excel allows you to read this threaded comment; however, any edits to it will get removed if the file is opened in a newer version of Excel. Learn more: https://go.microsoft.com/fwlink/?linkid=870924
Comment:
    Three indicators in one cell. 
donor compliance reports submitted on time-- &gt; “% of donor reports submitted on time”
Reply:
     % of staff and partners reporting increased trust --&gt; “Level of staff and stakeholder trust in the Country Office “ or “% of staff and partners reporting trust in the organization</t>
      </text>
    </comment>
    <comment ref="D235" authorId="104" shapeId="0" xr:uid="{78B897E3-99B3-4241-8944-978B19C4A94C}">
      <text>
        <t>[Threaded comment]
Your version of Excel allows you to read this threaded comment; however, any edits to it will get removed if the file is opened in a newer version of Excel. Learn more: https://go.microsoft.com/fwlink/?linkid=870924
Comment:
    Three items in one cell. Please separate and structure them better as indicators</t>
      </text>
    </comment>
    <comment ref="D239" authorId="105" shapeId="0" xr:uid="{B02D0A83-1388-41E8-A8DA-1CCA476A011F}">
      <text>
        <t>[Threaded comment]
Your version of Excel allows you to read this threaded comment; however, any edits to it will get removed if the file is opened in a newer version of Excel. Learn more: https://go.microsoft.com/fwlink/?linkid=870924
Comment:
    Same as above, separate and remove the targets as those have a different place, and measure just turn over instead of reduction..</t>
      </text>
    </comment>
    <comment ref="D240" authorId="106" shapeId="0" xr:uid="{3E47C0F8-EB44-41EE-BBA6-C9F41FBC6025}">
      <text>
        <t>[Threaded comment]
Your version of Excel allows you to read this threaded comment; however, any edits to it will get removed if the file is opened in a newer version of Excel. Learn more: https://go.microsoft.com/fwlink/?linkid=870924
Comment:
    Separate to different rows.</t>
      </text>
    </comment>
    <comment ref="D242" authorId="107" shapeId="0" xr:uid="{C94634FF-C7F4-4FCC-85F6-B94B6D539F11}">
      <text>
        <t>[Threaded comment]
Your version of Excel allows you to read this threaded comment; however, any edits to it will get removed if the file is opened in a newer version of Excel. Learn more: https://go.microsoft.com/fwlink/?linkid=870924
Comment:
    Separate. I don’t believe we need to measure number of updates..</t>
      </text>
    </comment>
  </commentList>
</comments>
</file>

<file path=xl/sharedStrings.xml><?xml version="1.0" encoding="utf-8"?>
<sst xmlns="http://schemas.openxmlformats.org/spreadsheetml/2006/main" count="9534" uniqueCount="4497">
  <si>
    <t xml:space="preserve">Indicator Specification Sheet - General guidelines
● Please fill in all the fields of the template for the indicators you want to create. For more details and examples of what is needed for each field, see the
● Make sure the indicator definition provides a clear and comprehensive understanding of what is being measured. 
● Make sure indicators should not imply a specific direction of change, specific targets or locations.  
● Indicators should focus solely on what is being measured to enable monitoring and reporting at scale and avoid information like targets and locations. These will be set in the monitoring and evaluation plans.
</t>
  </si>
  <si>
    <t>Program Name</t>
  </si>
  <si>
    <t>Goal/Outcome/Output #</t>
  </si>
  <si>
    <t>Goal/Outcome/Output Statement</t>
  </si>
  <si>
    <t>Indicator Name</t>
  </si>
  <si>
    <t>Indicator Definition</t>
  </si>
  <si>
    <t>Measuring Unit</t>
  </si>
  <si>
    <t>Value Format</t>
  </si>
  <si>
    <t>Type of Indicator</t>
  </si>
  <si>
    <t>Minimum Expected Monitoring Frequency</t>
  </si>
  <si>
    <t>Direction of Desired Change</t>
  </si>
  <si>
    <t>Data Source</t>
  </si>
  <si>
    <t>Data Collection Tools</t>
  </si>
  <si>
    <t>Data Collection Tool</t>
  </si>
  <si>
    <t>Data Collection &amp; Analysis Methodology</t>
  </si>
  <si>
    <t>the data collection and analysis methodology</t>
  </si>
  <si>
    <t>Cost estimate</t>
  </si>
  <si>
    <t>WWF 2025 Targets</t>
  </si>
  <si>
    <t>Practice</t>
  </si>
  <si>
    <t>Target Beneficiary
(specify the individuals, communities, species, or ecosystems that will directly benefit from the indicator's outcomes)</t>
  </si>
  <si>
    <t>CMP Action Classification (Primary)</t>
  </si>
  <si>
    <t>International Thresholds</t>
  </si>
  <si>
    <t>GBF Targets alignment</t>
  </si>
  <si>
    <t>SDG Alignment</t>
  </si>
  <si>
    <t>Donor</t>
  </si>
  <si>
    <t>Indicator Owner</t>
  </si>
  <si>
    <t>Baseline</t>
  </si>
  <si>
    <t>Indicator Ranking</t>
  </si>
  <si>
    <t>Year 1
Objective</t>
  </si>
  <si>
    <t>Year 2
Objective</t>
  </si>
  <si>
    <t>Year 3
Objective</t>
  </si>
  <si>
    <t>Year 4
Objective</t>
  </si>
  <si>
    <t>Final Objective</t>
  </si>
  <si>
    <t>Place of work</t>
  </si>
  <si>
    <t>Manager</t>
  </si>
  <si>
    <t>Species conservation</t>
  </si>
  <si>
    <t xml:space="preserve">By 2035, the number of elephants in CCO priority landscapes are stabilised relative to 2015 baseline for Jengi -TRIDOM, 2018 baseline for Jengi -TNS,2020 for Campo and 2013 for Mount Cameroon
</t>
  </si>
  <si>
    <t>Number of individual elephants</t>
  </si>
  <si>
    <t>Population size</t>
  </si>
  <si>
    <t>Numerical</t>
  </si>
  <si>
    <t>Whole Number</t>
  </si>
  <si>
    <t>Impact</t>
  </si>
  <si>
    <t>Endline only</t>
  </si>
  <si>
    <t>Positive</t>
  </si>
  <si>
    <t>Elephant Survey Database (With validated analyses and report)</t>
  </si>
  <si>
    <t>Elephant population Biomonitoring tools</t>
  </si>
  <si>
    <t>Line Transect Distance Sampling, Camera Trap Distance Sampling, DNA Capture-Recapture</t>
  </si>
  <si>
    <t>Number of elephants per surface area in sqkm</t>
  </si>
  <si>
    <t>Density (n/sqkm)</t>
  </si>
  <si>
    <t>Endline  (only measured at the end)</t>
  </si>
  <si>
    <t>Programme Managers in collaboration with MINFOF</t>
  </si>
  <si>
    <t>Number of sightings of elephants in an area per unit of sampling distance in km</t>
  </si>
  <si>
    <t>Encounter rate (n/km)</t>
  </si>
  <si>
    <t>Midline (only measured half way and at the end)</t>
  </si>
  <si>
    <t>Line Transect Distance Sampling, Reconnaissance Survey</t>
  </si>
  <si>
    <t>Proportion of surface area occupied by elephants in an area</t>
  </si>
  <si>
    <t>Occupation rate (%)</t>
  </si>
  <si>
    <t>Line Transect Distance Sampling, Camera Trap Occupancy</t>
  </si>
  <si>
    <t>Number of independent detection events of elephants captured with camera traps per unit of sampling day</t>
  </si>
  <si>
    <t>Capture/ Detection rate (# independent events/date)</t>
  </si>
  <si>
    <t>Camera Trap occupancy, Camera Trap Reconnaissance Survey</t>
  </si>
  <si>
    <t xml:space="preserve">By 2035, the number of great apes in CCO priority landscapes are stabilised relative to 2015 baseline for Jengi -TRIDOM, 2018 baseline for Jengi -TNS , 2020 for Campo and 2013 for Mount Cameroon
</t>
  </si>
  <si>
    <t>Number of individual great apes</t>
  </si>
  <si>
    <t>Great apes Survey Database (With validated analyses and report)</t>
  </si>
  <si>
    <t>Great Apes Biomonitoring tools</t>
  </si>
  <si>
    <t>Number of great apes per surface area in sqkm</t>
  </si>
  <si>
    <t>Great apes Database (With validated analyses and report)</t>
  </si>
  <si>
    <t>Line Transect Distance Sampling, Camera Trap Distance Sampling and maybe DNA Capture-Recapture</t>
  </si>
  <si>
    <t>Number of sightings of great apes in an area per unit of sampling distance in km</t>
  </si>
  <si>
    <t>Proportion of surface area occupied by great apes in an area</t>
  </si>
  <si>
    <t>Number of independent detection events of great apes captured with camera traps per unit of sampling day</t>
  </si>
  <si>
    <t xml:space="preserve">By 2035, the number of duikers in CCO priority landscapes are stabilised relative to 2015 baseline for Jengi -TRIDOM, 2018 baseline for Jengi -TNS , 2020 for Campo and 2013 for Mount Cameroon
</t>
  </si>
  <si>
    <t>Number of individual duikers</t>
  </si>
  <si>
    <t>Duikers Survey Database (With validated analyses and report)</t>
  </si>
  <si>
    <t>Duikers Biomonitoring tools</t>
  </si>
  <si>
    <t>Number of duikers per surface area in sqkm</t>
  </si>
  <si>
    <t>Line Transect Distance Sampling, Camera Trap Distance Sampling</t>
  </si>
  <si>
    <t>Number of sightings of duikers in an area per unit of sampling distance in km</t>
  </si>
  <si>
    <t>Line Transect Distance Sampling, Walk Reconnaissance Survey</t>
  </si>
  <si>
    <t>Proportion of surface area occupied by duikers in an area</t>
  </si>
  <si>
    <t>Occupation rate (%) or spatial distribution</t>
  </si>
  <si>
    <t>Number of independent detection events of duikers captured with camera traps per unit of sampling day</t>
  </si>
  <si>
    <t>By 2035, the success rate of sea turtle hatching for monitored nests is maintained at least at 90% each nesting season</t>
  </si>
  <si>
    <t xml:space="preserve">The egg hatching success rate of monitored sea turtle nests
</t>
  </si>
  <si>
    <t>The number of egg hatchlings that reached the sea, relative to the number of monitored nests</t>
  </si>
  <si>
    <t>Percentage</t>
  </si>
  <si>
    <t>Midline/Endline</t>
  </si>
  <si>
    <t>Sea Turtle monitoring Database (With validated analyses and report)</t>
  </si>
  <si>
    <t>Sea Turtle hatching monitoring tools</t>
  </si>
  <si>
    <t>Records of all eggs (a) in a monitored area, and record the number of hatched sea turtles that reached the sea (b), caclule the success rate = b/a *100</t>
  </si>
  <si>
    <t>By 2035, the wellbeing of targeted communities in supported landscapes is improved by 20% relative to 2025 baseline.</t>
  </si>
  <si>
    <t>Wellbeing score</t>
  </si>
  <si>
    <t>Wellbeing includes materials for good life, social cohesion, rights, access to natural resources/5 categories of wellbeing</t>
  </si>
  <si>
    <t>Wellbeing survey data (with linked database)</t>
  </si>
  <si>
    <t>Households Socioeconomic survey</t>
  </si>
  <si>
    <t>Socioeconomic survey related on supported wellbeing aspects</t>
  </si>
  <si>
    <t>Forest Conservation</t>
  </si>
  <si>
    <t>By 2035, at least 90% of the targeted HCV forest surface area in priority landscapes are maintained intact relative to the 2025 baseline</t>
  </si>
  <si>
    <t>% of HCV forest that is kept intact</t>
  </si>
  <si>
    <t>Forest intactness refers to the state of a forest that is largely free from significant human disturbance and fragmentation, retaining its natural structure and function 
(Targeted forest include Saltflats, forest clearings, baïs)</t>
  </si>
  <si>
    <t>Hectares</t>
  </si>
  <si>
    <t>Numerator/ Denominator</t>
  </si>
  <si>
    <t>Annual</t>
  </si>
  <si>
    <t>Clearing and other FHCVs monitoring database</t>
  </si>
  <si>
    <t>Satellite imagery</t>
  </si>
  <si>
    <t>Remote sensing; habitat classification</t>
  </si>
  <si>
    <t>Forest and other habitats programme</t>
  </si>
  <si>
    <t>Rate of use of HCV forest clearings of wildlife</t>
  </si>
  <si>
    <t>Relates to the viability of the forest (Targeted forest include Saltflats, forest clearings, baïs)</t>
  </si>
  <si>
    <t>Annually</t>
  </si>
  <si>
    <t>Data collection through camera traps and permanent presence  of biomonitoring teams: Records on the size of the sites, the species present, the number of individuals visiting per species, the period of visit of species, etc. 
Rate of use: Average number of visits per species / day over one year</t>
  </si>
  <si>
    <t>Programme Managers in collaboration with MINFOF and CSOs</t>
  </si>
  <si>
    <t>By 2035, the number of ha of dense forests in the targeted landscapes is maintained 100% intact in the targeted PAs and at least 95% in the non-PAs compared to 2020</t>
  </si>
  <si>
    <t>Area (ha) of targeted forests maintained intact in Non-PAs</t>
  </si>
  <si>
    <t xml:space="preserve">relative to 2015 baseline for Jengi -TRIDOM, 2018 baseline for Jengi -TNS , 2020 for Campo and 2013 for Mount Cameroon </t>
  </si>
  <si>
    <t>Decimal</t>
  </si>
  <si>
    <t>Landcover monitoring data (with linked database)</t>
  </si>
  <si>
    <t>Remote sensing</t>
  </si>
  <si>
    <t xml:space="preserve">Number of ha of targeted forests maintained intact in PAs </t>
  </si>
  <si>
    <t xml:space="preserve">Endline </t>
  </si>
  <si>
    <t>Number of tons of the above ground Carbon Dioxide (CO2) stocked</t>
  </si>
  <si>
    <t>Carbon stock in above ground biomass of targeted landscapes</t>
  </si>
  <si>
    <t>Carbon stock data (with linked database and validated report)</t>
  </si>
  <si>
    <t>Field-based study combined with remote sensing data though a modelling process.</t>
  </si>
  <si>
    <t xml:space="preserve">By 2035, at least 190000 ha  of mangrove forests in priority landscapes are intact, relative to 2020 baseline
</t>
  </si>
  <si>
    <t xml:space="preserve">Area (ha) of targeted mangrove forests maintained intact </t>
  </si>
  <si>
    <t>(Rio Del Rey bloc - 100000 ha, Cameroon estuary block -  88000 ha and the Ntem estuary block - 2000 ha)</t>
  </si>
  <si>
    <t>OM Priorities Theory of Change</t>
  </si>
  <si>
    <t xml:space="preserve">By 2030, WWF CCO demonstrates operational excellence by achieving at least 75% of its strategic plan goals
</t>
  </si>
  <si>
    <t>% of strategic plan objectives fully achieved or on track by 2030 (target: ≥75%)</t>
  </si>
  <si>
    <t>Proportion of OSP objectives that are either fully achieved or progressing as planned (“on track”) against predefined milestones and timelines</t>
  </si>
  <si>
    <t>Mid-term and end-term strategic plan evaluations, annual progress reports, scorecards, board meeting minutes</t>
  </si>
  <si>
    <t>Excel dashboards, Panda Impact platform, reporting templates</t>
  </si>
  <si>
    <t>Annual performance reviews, strategic plan tracking tools, KPI dashboards, internal audit reports</t>
  </si>
  <si>
    <t>Classify each objective (achieved, on track, delayed, off track) using predefined criteria. Compute % of objectives achieved or on track over total objectives assessed.</t>
  </si>
  <si>
    <t>Strategic plan is well-designed and aligned with capacity and context; leadership and staff are committed to implementation; adequate funding is available Inadequate resource mobilization, misalignment between operations and strategy, external shocks (e.g., political/economic instability)</t>
  </si>
  <si>
    <t>Low Cost</t>
  </si>
  <si>
    <t>DC &amp; PMEL team</t>
  </si>
  <si>
    <t xml:space="preserve">% of staff satisfied with the governance and leadership system </t>
  </si>
  <si>
    <t>Percentage of staff reporting satisfaction with governance structures, leadership, and decision-making processes</t>
  </si>
  <si>
    <t>Staff satisfaction reports; survey summaries; leadership action plans</t>
  </si>
  <si>
    <t>Online survey tools (KoboToolbox, Google Forms, SurveyMonkey), HR systems</t>
  </si>
  <si>
    <t>Staff perception survey tool</t>
  </si>
  <si>
    <t>Conduct anonymous surveys using Likert scale. Analyse proportion of respondents indicating satisfaction or high satisfaction.</t>
  </si>
  <si>
    <t>Staff feel safe to express honest feedback; leadership engages meaningfully with feedback
Core values and policies are well communicated and enforced Low participation rates; perception of survey ineffectiveness</t>
  </si>
  <si>
    <t>Medium Cost</t>
  </si>
  <si>
    <t>CLT &amp; PMs/TLs</t>
  </si>
  <si>
    <t>% of the governance and leadership system that are marked satisfactory</t>
  </si>
  <si>
    <t>Proportion of governance and leadership components (policies, systems, processes) meeting defined quality standards</t>
  </si>
  <si>
    <t>Bi-anually</t>
  </si>
  <si>
    <t>Internal assessments, audit reports, evaluation reports</t>
  </si>
  <si>
    <t>Assessment scorecards, audit tools, evaluation frameworks, Excel scoring sheets</t>
  </si>
  <si>
    <t>Use structured checklist or scoring system to assess components. Calculate % rated satisfactory out of total assessed components.</t>
  </si>
  <si>
    <t xml:space="preserve">By 2030, the level of CCO staff performance, satisfaction, and retention is maintained at 90% or higher relative to the 2024 baseline. </t>
  </si>
  <si>
    <t>% score of competent and accountable staff retained</t>
  </si>
  <si>
    <t>Proportion of staff assessed as competent and accountable who remain employed within the organization over a given period</t>
  </si>
  <si>
    <t>•	Annual HR reports
•	Performance appraisal results
•	Staff satisfaction surveys
•	Exit interview reports</t>
  </si>
  <si>
    <t>HR information systems, Excel tracking sheets, performance appraisal tools</t>
  </si>
  <si>
    <t>•	Staff performance evaluation forms
•	Annual staff satisfaction questionnaires
•	HR MIS system
•	Exit interview templates</t>
  </si>
  <si>
    <t>Identify staff rated as competent/accountable from performance evaluations, then calculate % retained over the reporting period relative to total identified staff</t>
  </si>
  <si>
    <t>•	Sufficient financial resources are available for staff capacity-building, incentives, and retention programs
•	Leadership remains committed to staff development
•	External factors (e.g., political, economic) remain stable •	High staff turnover due to external opportunities
•	Burnout or poor morale due to workload or unmet expectations
•	Budget constraints reducing investment in staff welfare</t>
  </si>
  <si>
    <t>CLT</t>
  </si>
  <si>
    <t xml:space="preserve">% score in performance evaluation </t>
  </si>
  <si>
    <t>Average performance score of staff based on formal performance appraisal processes</t>
  </si>
  <si>
    <t>Performance appraisal reports, HR records</t>
  </si>
  <si>
    <t>Performance management systems, appraisal forms, Excel analysis tools</t>
  </si>
  <si>
    <t>Aggregate individual performance scores and compute average or % of staff meeting defined performance thresholds</t>
  </si>
  <si>
    <t>Score (%) of landscape staff satisfaction on wellbeing conditions.</t>
  </si>
  <si>
    <t>Percentage score reflecting staff satisfaction with wellbeing conditions (work environment, safety, workload, support) in landscape locations</t>
  </si>
  <si>
    <t>Staff wellbeing surveys, HR feedback tools</t>
  </si>
  <si>
    <t>KoboToolbox, Google Forms, SurveyMonkey, mobile survey tools</t>
  </si>
  <si>
    <t>Conduct anonymous wellbeing surveys; compute average satisfaction score or % of staff satisfied based on defined thresholds</t>
  </si>
  <si>
    <t>CLT &amp; PMs</t>
  </si>
  <si>
    <t xml:space="preserve">By 2030, WWF CCO has achieved 100% compliance with the required policies and procedures
</t>
  </si>
  <si>
    <t xml:space="preserve">% of compliance with procedures and policies
</t>
  </si>
  <si>
    <t>Proportion of organizational processes and actions that adhere to established procedures, policies, and standards</t>
  </si>
  <si>
    <t>Annual compliance audit reports, M&amp;E system outputs, external audit findings</t>
  </si>
  <si>
    <t>Audit tools, compliance checklists, Excel tracking sheets, internal review templates</t>
  </si>
  <si>
    <t>Audit tools, compliance dashboard</t>
  </si>
  <si>
    <t>Conduct periodic compliance assessments using checklists; calculate % of compliant cases over total cases reviewed</t>
  </si>
  <si>
    <t>Adequate staff capacity and leadership commitment to enforce compliance Inadequate funding, staff turnover, resistance to accountability mechanisms</t>
  </si>
  <si>
    <t>95% Compliance with procedures and policies</t>
  </si>
  <si>
    <t>% Score of level of  implementation and efficiency of the governance structure in place
Structured system put in place
Number of documents shared</t>
  </si>
  <si>
    <t>Composite score measuring how effectively governance structures are implemented and how efficiently they function</t>
  </si>
  <si>
    <t>Governance assessments, evaluation reports, internal reviews</t>
  </si>
  <si>
    <t>Assessment scorecards, evaluation tools, Excel scoring frameworks</t>
  </si>
  <si>
    <t>Use a structured scoring framework to assess implementation and efficiency criteria; compute composite % score across components</t>
  </si>
  <si>
    <t>80% implementation and efficiency of the governance structure in place</t>
  </si>
  <si>
    <t>Resource Acquisition Priorities</t>
  </si>
  <si>
    <t xml:space="preserve">
By 2030, WWF CCO has increased its income by 50% relative to the 2024 baseline, through a diversified funding base and enhanced unrestricted income, enabling it to deliver at least 90% of the OSP. </t>
  </si>
  <si>
    <t>Income increased to FCFA 8,000,000,000 (i.e. US$ 15,000,000) by 2030.</t>
  </si>
  <si>
    <t>Percentage increase in WWF CCO’s total annual income relative to the 2024 baseline, alongside changes in the composition of funding sources (including the share of unrestricted income), to reflect growth and diversification of the funding base.</t>
  </si>
  <si>
    <t>Bi-annually</t>
  </si>
  <si>
    <t>Partnership agreements, Event reports, Published materials, Endorsement letters</t>
  </si>
  <si>
    <t>ORACLE</t>
  </si>
  <si>
    <t>Stakeholder surveys, Partnership tracking matrix, Event reports, Document review</t>
  </si>
  <si>
    <t>Annual income data will be sourced from WWF CCO’s audited financial statements, finance system, and budget reports, including breakdowns by funding source (restricted and unrestricted). The 2024 baseline will be established from validated financial records.
Analysis will compare annual income to the 2024 baseline to calculate percentage growth, while assessing diversification of funding sources and the share of unrestricted income. Progress will be tracked annually against the 50% increase target by 2030 and linked to OSP delivery performance.</t>
  </si>
  <si>
    <t>Stakeholders see added value in partnering with CCO; Political environment remains conducive; Resources are available for engagement activities Political instability; Shifts in donor or partner priorities; Internal capacity constraints</t>
  </si>
  <si>
    <t>%  increase in unrestricted income</t>
  </si>
  <si>
    <t>Percentage increase in WWF CCO’s unrestricted income compared to the 2024 baseline.</t>
  </si>
  <si>
    <t>Audited financial statements and internal finance system reports (including budget vs actual reports)</t>
  </si>
  <si>
    <t>Data will be collected from WWF CCO’s audited financial statements, finance system, and budget reports, focusing on unrestricted income. The 2024 baseline will be established from validated financial records.
Analysis will compare annual unrestricted income to the 2024 baseline to calculate the percentage increase over time. Trends will be tracked annually to assess progress toward the target.</t>
  </si>
  <si>
    <t>Amount of funding to achieve at least 90% of the OSP and cover the funding gaps secured.</t>
  </si>
  <si>
    <t>Total amount of funding secured to support the implementation of at least 90% of the OSP and address identified funding gaps.</t>
  </si>
  <si>
    <t>WWF CCO audited financial statements
Internal finance system (e.g., ERP/Agresso)
Budget vs actual financial reports
Funding agreements and donor contracts</t>
  </si>
  <si>
    <t>GMS</t>
  </si>
  <si>
    <t>Data will be collected from audited financial statements, finance system records, and signed funding agreements. Information will include total funds secured and alignment to OSP priorities and identified funding gaps.
Analysis will aggregate total funding secured and compare it against the estimated financial requirements to deliver at least 90% of the OSP. The extent to which funding gaps are covered will be assessed, and trends in funding mobilization will be tracked annually.</t>
  </si>
  <si>
    <t>By 2030, incidences of negative impacts (on people and wildlife) from human wildlife conflict are reduced by at least 25% compared to the baseline established in 2025</t>
  </si>
  <si>
    <t>Number of HWC incidents that have resulted in retaliatory killing of elephants</t>
  </si>
  <si>
    <t xml:space="preserve"> Numerator: Number of HWC indicdents that have resulted in 1 or more elephants/great apes being killed.  
Divided by:
Denominator: Number of reported HWC incidents </t>
  </si>
  <si>
    <t>HWC database</t>
  </si>
  <si>
    <t xml:space="preserve">Monitoring of HWC </t>
  </si>
  <si>
    <t xml:space="preserve">1. Targeted interventions (SAFE) is effective in adressing the HWC problem.
</t>
  </si>
  <si>
    <t>Programme Managers in collaboration with MINFOF and Community Rapid Response Team</t>
  </si>
  <si>
    <t>Total number of elephants/great apes killed as a result of HWC retaliatory killing</t>
  </si>
  <si>
    <t>-</t>
  </si>
  <si>
    <t>Anually</t>
  </si>
  <si>
    <t>1.1.2.</t>
  </si>
  <si>
    <t>By 2030, the positive perception of HEC by IPLC in priority landscapes is improved by at least 25% compared to the baseline established in 2025</t>
  </si>
  <si>
    <t>HEC perception score (%)</t>
  </si>
  <si>
    <t>Outcome</t>
  </si>
  <si>
    <t>Perception survey data</t>
  </si>
  <si>
    <t>Households survey</t>
  </si>
  <si>
    <t>Perception Survey</t>
  </si>
  <si>
    <t>% of reported complaints  linked to HWC recorded each year</t>
  </si>
  <si>
    <t xml:space="preserve"> Numerator: The number of complaints linked to HEC each year
Divided by:
Denominator:  The total number of reported complaints each year</t>
  </si>
  <si>
    <t>Grievance mechanism database</t>
  </si>
  <si>
    <t>Grievance mechanism system</t>
  </si>
  <si>
    <t xml:space="preserve">1.1.3, 
1.2.1,  
1.3.1 </t>
  </si>
  <si>
    <t>By 2030, the number of poaching signs per unit effort in targeted landscapes is reduced by at least 20% relative to the 2024 baseline</t>
  </si>
  <si>
    <t xml:space="preserve">Number of poaching signs recorded per unit effort (n/km) </t>
  </si>
  <si>
    <t>This outcome refers to all the focus species (Elephants, Great apes, duikers), the indicator refers to the encounter rate of poaching signs</t>
  </si>
  <si>
    <t>Negative</t>
  </si>
  <si>
    <t>Species Survey Database (With validated analyses and report)</t>
  </si>
  <si>
    <t>Species survey tools</t>
  </si>
  <si>
    <t>Line Transect Distance Sampling, Camera Trap Distance Sampling,  Walk Reconnaissance Survey</t>
  </si>
  <si>
    <t>1.4.1</t>
  </si>
  <si>
    <t>By 2030, the % of preyed on sea turtle nests at nesting sites monitored by CCO is reduced by at least 95% compared to 2025.</t>
  </si>
  <si>
    <t>% of predated sea turtle nests</t>
  </si>
  <si>
    <t>Predated includes human predation and animal pradated nests. Number of predated nests as per the total number of nests monitored.</t>
  </si>
  <si>
    <t>Records of all nests (a) in a monitored area, and records of predated nests (b), caclule the success rate = b/a *100</t>
  </si>
  <si>
    <t>1.4.2</t>
  </si>
  <si>
    <t>Each year from 2025 to 2030, at least 90% of the length of sea turtle nesting beaches targeted by CCO is monitored and cleaned of plastic pollution.</t>
  </si>
  <si>
    <t xml:space="preserve">% of the length of sea turtle nesting beaches that is cleaned of plastic pollution </t>
  </si>
  <si>
    <t>Numerator: Length of sea turtle nesting beaches that is cleaned of plastic
Divided by:
Denominator:  Total targeted length of nesting beach</t>
  </si>
  <si>
    <t>Kilometers</t>
  </si>
  <si>
    <t>Program Records</t>
  </si>
  <si>
    <t>Plastic clearance activities</t>
  </si>
  <si>
    <t xml:space="preserve">By 2030, supported PAs have improved their management effectiveness by at least 5% relative to the 2025 baseline. 
</t>
  </si>
  <si>
    <t>Management effectiveness score per PA</t>
  </si>
  <si>
    <t>IMET scoring Database for PAs</t>
  </si>
  <si>
    <t>IMET</t>
  </si>
  <si>
    <t>IMET score</t>
  </si>
  <si>
    <t xml:space="preserve">
1.2.1 
</t>
  </si>
  <si>
    <t>By 2030, the transmission of zoonotic pathogens in the priority landscapes of CCO is reduced to 0 compared to the 2024 reference.</t>
  </si>
  <si>
    <t xml:space="preserve">Number of individual persons affected by zoonotic cases </t>
  </si>
  <si>
    <t>The transmission of zoonotic pathogen agents [Mpox,Yellow fever, H1N5, Brucellosis, Lassa Fever, HIV]. Transmission can go in both ways or among themselves. One reported case includes 1 affected individual.</t>
  </si>
  <si>
    <t>Landscape lab database (With validated analyses and report)</t>
  </si>
  <si>
    <t>Lap reporting form/database</t>
  </si>
  <si>
    <t>Lab test analysis</t>
  </si>
  <si>
    <t xml:space="preserve">Number of individual animals affected by zoonotic cases </t>
  </si>
  <si>
    <t>The transmission of zoonotic pathogen agents [Mpox,Yellow fever, H1N5, Brucellosis, Lassa Fever, HIV]. Transmission can go in both ways or among themselves. One reported case includes 1 affected individual animal.
"</t>
  </si>
  <si>
    <t xml:space="preserve">By 2030, at least 75% of supported community hunting zones are managed using best practices, relative to 2025 baseline </t>
  </si>
  <si>
    <t>% of community hunting zones that are managed according to approved best practices</t>
  </si>
  <si>
    <t>Best practices include (PSG, plan de chasse and compliance with national legal procedures). Numerator: Hacteres of community managed hunting zones according to approved best practices
Divided by:
Denominator: Hacteres of community hunting zones</t>
  </si>
  <si>
    <t>Community hunting zone database (With validated analyses and report)</t>
  </si>
  <si>
    <t>Hunting area survey</t>
  </si>
  <si>
    <t>Hunting area implementation survey</t>
  </si>
  <si>
    <t>Crosscutting</t>
  </si>
  <si>
    <t>3.1.1</t>
  </si>
  <si>
    <t>By 2030, the percentage of conservation related complaints related to CCO-supported conservation activities in target landscapes is reduced by at least 90%.</t>
  </si>
  <si>
    <t>% of conservation related complaints related to CCO conservation activities</t>
  </si>
  <si>
    <t>This will be measured on national level not on program level.
Numerator: Number of conservation related complaints related to CCO conservation activities
Divided by:
Denominator: Number of conservation related complaints</t>
  </si>
  <si>
    <t>Number of reported Human Rights violation cases by WWF or implementing partners staff</t>
  </si>
  <si>
    <t>Programme Managers in collaboration with MINFOF and CSOs managing the GRM</t>
  </si>
  <si>
    <t>3.1.2</t>
  </si>
  <si>
    <t>By 2030, at least 80% of targeted IPLCs in CCO-supported landscapes have a positive perception towards conservation projects/ideas.</t>
  </si>
  <si>
    <t>% of targeted IPLC who have a positive perception towards CCO-supported conservation projects/ ideas</t>
  </si>
  <si>
    <t>This will be measured on national level not on program level.</t>
  </si>
  <si>
    <t>3.1.4</t>
  </si>
  <si>
    <t>By 2030, targeted IPLC gain at least a 10% increase in household income from WWF-supported activities compared to the 2025 baseline</t>
  </si>
  <si>
    <t>Average annual household income of targeted IPLC</t>
  </si>
  <si>
    <t>Household income could be derived from IGA value chains, tourism, etc</t>
  </si>
  <si>
    <t>Currency</t>
  </si>
  <si>
    <t>Household survey data (with linked database)</t>
  </si>
  <si>
    <t>Household survey on WWF-supported activities</t>
  </si>
  <si>
    <t>Average total annual income gained by IP&amp;LC through direct employment in conservation related activities</t>
  </si>
  <si>
    <t xml:space="preserve">The income that is paid to IPLC directly from conservation activities </t>
  </si>
  <si>
    <t>HR salary data (with linked database)</t>
  </si>
  <si>
    <t>HR salary checks</t>
  </si>
  <si>
    <t xml:space="preserve">Programme Managers in collaboration with MINFOF and CSOs </t>
  </si>
  <si>
    <t>3.1.5</t>
  </si>
  <si>
    <t xml:space="preserve">By 2030, the number of targeted IPLC communities in WWF-supported landscapes having access to materials of good life has increased by at least 50% relative to the 2025 baseline </t>
  </si>
  <si>
    <t>% of targeted IPLC communities in the WWF-supported landscapes that have access to materials of good life</t>
  </si>
  <si>
    <t>Access means the ability for the targeted group to make use of the materials. Materials of good life include portable water, health care, natural resources, food, education and traditional sites inside PAs. Communities refers to a group of people living in one village. 
Numerator: Number of targeted communities with access to the materials of a good life
Divided by:
Denominator: Number of targeted communities</t>
  </si>
  <si>
    <t>Community survey as well as program data (with linked database)</t>
  </si>
  <si>
    <t>Community surveys</t>
  </si>
  <si>
    <t>Community surveys and program progress reports</t>
  </si>
  <si>
    <t>3.1.6</t>
  </si>
  <si>
    <t xml:space="preserve">By 2030, at least one new or revised policies or decisions promoting the rights and intrests of IPLC enacted with with WWF support 
</t>
  </si>
  <si>
    <t xml:space="preserve">Number of new or revised policy or decisions promoting the rights and intrests of IPLC enacted with with WWF support 
</t>
  </si>
  <si>
    <t xml:space="preserve"> policies include decrees or other circular decisions</t>
  </si>
  <si>
    <t>Policy and advocacy database (With validated analyses and report)</t>
  </si>
  <si>
    <t>Policy and advocacy records</t>
  </si>
  <si>
    <t>Policy and advocacy activities</t>
  </si>
  <si>
    <t>2.1.1</t>
  </si>
  <si>
    <t>By 2030, zero Ha of HCV forests converted to other land uses in targeted landscapes</t>
  </si>
  <si>
    <t>Area (Ha) of HCV forests converted to other land uses</t>
  </si>
  <si>
    <t>Landcover monitoring data (with linked database) and field verification</t>
  </si>
  <si>
    <t>Remote sensing and field verification</t>
  </si>
  <si>
    <t>2.2.1</t>
  </si>
  <si>
    <t xml:space="preserve">By 2030, areas of forest cleared for agriculture in targeted landscapes is reduced by at least 30% relative to 2025 baseline </t>
  </si>
  <si>
    <t>Area (ha) of forest converted for agricultural use annually</t>
  </si>
  <si>
    <t>Especially for cocoa production</t>
  </si>
  <si>
    <t>2.2.2.</t>
  </si>
  <si>
    <t>By 2030, at least 80% of targeted famers in the CCO supported landscapes implement best agricultural practices relative to 2025 baseline</t>
  </si>
  <si>
    <t xml:space="preserve">% of farmers who implement best agricultural practices                     
</t>
  </si>
  <si>
    <t>Focus group is mainly cocoa farmers. Best Agricultural Practises follow Deforestation and Carbon Free -DCF program and nature positve practices. Implementation describes the effective operationalising as how it was intended.</t>
  </si>
  <si>
    <t>Farm survey database (With validated analyses and report)</t>
  </si>
  <si>
    <t>Farm Survey, Households survey</t>
  </si>
  <si>
    <t xml:space="preserve">Farm survey </t>
  </si>
  <si>
    <t>Number of hectares  of nature-positive practices implemented</t>
  </si>
  <si>
    <t>2.2.3</t>
  </si>
  <si>
    <t xml:space="preserve">By 2030, at least 75% of supported community forest are managed using best practices, relative to 2025 baseline </t>
  </si>
  <si>
    <t>% of community forest areas that are managed according to approved best practices</t>
  </si>
  <si>
    <t xml:space="preserve">Best practices include (PSG, in compliance with national legal procedures).  Numerator: Hacteres of community forest managed according to approved best practices
Divided by:
Denominator: Hacteres of community forest </t>
  </si>
  <si>
    <t>Community forest database (With validated analyses and report)</t>
  </si>
  <si>
    <t>Program activity records, Households Survey form</t>
  </si>
  <si>
    <t>Forest area implementation survey</t>
  </si>
  <si>
    <t>2.1.2</t>
  </si>
  <si>
    <t>By 2030, at least 80% of the legal requirements and operating rules for forest protection are met with forestry, mining and agricultural companies in targeted landscapes compared to the 2025 baseline</t>
  </si>
  <si>
    <t>% compliance with legal and operating regulations for forest protection (by type of company)</t>
  </si>
  <si>
    <t>The indicator mesures the average compliance percentage by category of forest, mining and agriculture.</t>
  </si>
  <si>
    <t>Forest protection compliance database (With validated analyses and report)</t>
  </si>
  <si>
    <t>Compliance checks form</t>
  </si>
  <si>
    <t>Forest protection compliance checks</t>
  </si>
  <si>
    <t>2.3.1, 2.2.4</t>
  </si>
  <si>
    <t xml:space="preserve">By 2030, the area of targeted   habitat restored is increased by at least 25% compared to the 2025 baseline.
</t>
  </si>
  <si>
    <t>Area (in hectares) of habitat restored</t>
  </si>
  <si>
    <t>Restored zones are in community forests, municipal forests, and fallow lands, and mangroves</t>
  </si>
  <si>
    <t>Restoration database (With validated analyses and report)</t>
  </si>
  <si>
    <t>Program activity records</t>
  </si>
  <si>
    <t>Monitoring of restoration activities: recording of restored area size</t>
  </si>
  <si>
    <t>By 2030, at least two national policies/ strategies or decrees of applications on biodiversity and environmental management are enacted or reviewed with support of WWF</t>
  </si>
  <si>
    <t xml:space="preserve">Number of decrees enacted or reviewed with support of WWF
</t>
  </si>
  <si>
    <t>enacted and review is about getting a decree that supports the operationalisation of the law.</t>
  </si>
  <si>
    <t xml:space="preserve">1. The government is willing to engage WWF and partners in the propositions, enacting and reviewing process
</t>
  </si>
  <si>
    <t>Conservation Director, Programme Managers in collaboration with MINFOF and CSOs</t>
  </si>
  <si>
    <t>Number of national policies, strategies enacted or reviewed with support of WWF</t>
  </si>
  <si>
    <t>This also includes international conventions (COPs) and national laws/decrees (NBSAP, NDC, CBD30x30).</t>
  </si>
  <si>
    <t>By 2028 WWF CCO has institutionalized management decision-making and communication culture and systems to enable agility and effectiveness in conservation programme delivery relative to 2023 baseline</t>
  </si>
  <si>
    <t>Average decision turnaround time (days) for key internal decisions</t>
  </si>
  <si>
    <t>Average number of days taken to complete key internal decision-making processes from initiation to final approval, based on predefined decision categories</t>
  </si>
  <si>
    <t>Performance reviews, dashboards, survey results, decision logs</t>
  </si>
  <si>
    <t>Workflow management systems (if available), Excel tracking logs, SharePoint/Drive logs, email tracking</t>
  </si>
  <si>
    <t>Internal audits, HR reports, staff surveys, management meeting minutes</t>
  </si>
  <si>
    <t>Define key decision categories and start/end points. Record timestamps for each decision. Calculate turnaround time per case and compute average over reporting period. Analyse trends over time and by category.</t>
  </si>
  <si>
    <t>Leadership is committed; systems are adopted organization-wide; training is effective Resistance to change, staff turnover, weak IT infrastructure</t>
  </si>
  <si>
    <t xml:space="preserve">DN &amp; CLT </t>
  </si>
  <si>
    <t xml:space="preserve">
By 2028,  technical and operational delivery is improved compared to 2023 baseline.</t>
  </si>
  <si>
    <t>% of teams reporting improved access to and use of timely data/information; frequency of use of the knowledge system</t>
  </si>
  <si>
    <t>Proportion of teams that report improved access to relevant, timely data and increased use of such information for decision-making compared to a baseline</t>
  </si>
  <si>
    <t>Reports from KM system, case studies, increased documentation and learning products</t>
  </si>
  <si>
    <t>KoboToolbox, Google Forms, SurveyMonkey, internal survey tools</t>
  </si>
  <si>
    <t>KM system usage data, user feedback surveys, IT system reports</t>
  </si>
  <si>
    <t>Conduct structured survey with baseline comparison. Teams self-report improvement based on defined criteria (access, timeliness, usability, frequency of use). Calculate % of teams reporting improvement over total teams surveyed.</t>
  </si>
  <si>
    <t>Digital literacy is sufficient across teams; systems are interoperable; staff are willing to share knowledge Low usage by staff, poor data quality, siloed departments</t>
  </si>
  <si>
    <t>IT &amp; PMs/TLs</t>
  </si>
  <si>
    <t>By 2028, CCO has an integrated monitoring, evaluation, learning, information and knowledge management system that is enhancing at least 75% of technical and operations delivery of CCO strategy relative to 2023 baseline</t>
  </si>
  <si>
    <t xml:space="preserve">% of programmes using integrated MELIKM data for decision-making and reporting; </t>
  </si>
  <si>
    <t>Proportion of programmes that actively use MELIKM data in planning, reporting, and decision-making processes</t>
  </si>
  <si>
    <t>Evaluation reports, adaptive management decisions, improved outcomes in program reports</t>
  </si>
  <si>
    <t>Excel dashboards, Panda Impact, reporting templates, surveys</t>
  </si>
  <si>
    <t>MEL reports, learning sessions, data dashboards, system analytics</t>
  </si>
  <si>
    <t>Review programme documents and validate evidence of MELIKM data use (e.g. cited indicators, data-driven decisions). Calculate % of programmes meeting criteria over total programmes</t>
  </si>
  <si>
    <t>Sufficient capacity and tools; commitment to learning and adaptation; resources for implementation Inadequate data use, fragmented systems, MEL fatigue</t>
  </si>
  <si>
    <t>PMEL &amp; PMs/TLs</t>
  </si>
  <si>
    <t>At least 60% of technical and operations delivery of CCO strategy achieved</t>
  </si>
  <si>
    <t>By 2028,the level of implementation of WWF core values and policies by all staff is atleast 90% relative to 2025 baseline</t>
  </si>
  <si>
    <t>% adherence to core values based on compliance tracking and disciplinary records</t>
  </si>
  <si>
    <t>Proportion of staff adhering to organizational core values as reflected by compliance records and absence of disciplinary actions</t>
  </si>
  <si>
    <t>Ethics reports, incident tracking reports, HR disciplinary data</t>
  </si>
  <si>
    <t>HR systems, compliance tracking tools, Excel logs</t>
  </si>
  <si>
    <t>Internal audit checklists; non-compliance log</t>
  </si>
  <si>
    <t>Analyse compliance and disciplinary data; calculate % of staff with no recorded violations relative to total staff</t>
  </si>
  <si>
    <t>Core values and policies are well communicated and enforced Inconsistent enforcement; fear of reporting violations</t>
  </si>
  <si>
    <t xml:space="preserve">By 2026, the CCO has a well-structured, adequately staffed, and supportive work environment </t>
  </si>
  <si>
    <t>Score (%) of staff satisfaction on wellbeing condition</t>
  </si>
  <si>
    <t>Percentage score reflecting staff satisfaction with work environment, leadership support, workload balance, and overall wellbeing conditions</t>
  </si>
  <si>
    <t>Staff surveys, HR feedback tools</t>
  </si>
  <si>
    <t>Strategy documents, implementation reports, landscape assessments, stakeholder feedback tools</t>
  </si>
  <si>
    <t>Conduct anonymous staff wellbeing survey using Likert scale. Aggregate responses and compute average satisfaction score or % of staff satisfied based on defined threshold</t>
  </si>
  <si>
    <t>Stakeholder engagement is effective; adequate scientific data and expertise are available; political environment remains supportive Political interference, limited stakeholder buy-in, lack of resources</t>
  </si>
  <si>
    <t>WWF CCO OSP developed and validated</t>
  </si>
  <si>
    <t xml:space="preserve">
By 2030, WWF CCO has an institutionalized compliance framework and systems that ensure consistent adherence to policies, procedures, partner agreements, and OSP standards.</t>
  </si>
  <si>
    <t>% of organizational units meeting compliance requirements in annual reviews</t>
  </si>
  <si>
    <t>Proportion of units that meet predefined compliance standards during annual assessments</t>
  </si>
  <si>
    <t>Internal quality assurance reports, partner evaluation reports, independent verification</t>
  </si>
  <si>
    <t>Audit tools, compliance checklists, Excel tracking</t>
  </si>
  <si>
    <t>Annual partner reviews, internal QA assessments</t>
  </si>
  <si>
    <t>Conduct annual compliance review; calculate % of units meeting all required standards</t>
  </si>
  <si>
    <t>External standards remain stable and achievable; external partners cooperate Regulatory changes, low partner compliance, operational disruptions</t>
  </si>
  <si>
    <t>By 2030, WWF CCO has maintained at least 75% of its trusted PSP and NOs donors and has at least five new donors secured, relative to the 2024 baseline.</t>
  </si>
  <si>
    <t>% of current PSP and NOs donors (2024 baseline) renewed.</t>
  </si>
  <si>
    <t>Percentage of donors from the 2024 baseline (PSP and National Offices) that have renewed their funding support to WWF CCO within the reporting period.</t>
  </si>
  <si>
    <t>Audited financial statements, donor portfolio reports</t>
  </si>
  <si>
    <t>Financial records, donor reports, fundraising dashboards</t>
  </si>
  <si>
    <t>Data will be collected from donor records, signed agreements, and finance system reports to identify PSP and National Office donors active in 2024 (baseline) and those that have renewed their funding within the reporting period.
Analysis will compare the number of donors who have renewed against the total number of baseline donors to calculate the percentage. Trends in donor retention will be tracked annually to assess progress.</t>
  </si>
  <si>
    <t>Fundraising strategy is effectively implemented; donor interest remains strong; CCO has capacity to manage funds Economic downturns, changing donor priorities, over-reliance on few sources</t>
  </si>
  <si>
    <t>Number of funding secured from at least 1 new Trust/Foundation donor.</t>
  </si>
  <si>
    <t>Number of new Trust/Foundation donors from which WWF CCO has secured funding during the reporting period.</t>
  </si>
  <si>
    <t>Donor database and partnership records
Signed funding agreements and grant contracts
Internal finance system (e.g., ERP/Agresso)
Grant pipeline and fundraising tracking reports
Data collection and analysis met</t>
  </si>
  <si>
    <t>Data will be collected from donor records, signed agreements, and finance system reports to identify funding secured from new Trust/Foundation donors. A donor will be considered “new” if they were not part of the existing donor portfolio in the baseline year.
Analysis will involve counting the number of new Trust/Foundation donors that have secured funding agreements within the reporting period. Progress will be tracked annually against the target.</t>
  </si>
  <si>
    <t>By end 2028, CCO is a viable, trusted and strategic partner for donors, CSOs, IPLC, private sector, government and other conservation and development players to work in synergy in delivering its conservation vision relative to 2020 baseline</t>
  </si>
  <si>
    <t xml:space="preserve">Number of partnerships, events co-hosted, joint publications, and endorsement of plans </t>
  </si>
  <si>
    <t>Number of partnerships established, events co-hosted, joint publications produced, and plans endorsed by WWF CCO with partners during the reporting period.</t>
  </si>
  <si>
    <t>Partnership agreements, event reports, joint publications, endorsed plans, and programme reports</t>
  </si>
  <si>
    <t>Data will be collected from partnership records, event reports, joint publications, and official documentation of endorsed plans across projects and programmes. Each qualifying activity will be recorded and verified.
Analysis will involve aggregating the total number of partnerships, co-hosted events, joint publications, and endorsed plans during the reporting period, with optional disaggregation by type or partner category.</t>
  </si>
  <si>
    <t>CAM Species Conservation Program</t>
  </si>
  <si>
    <t>1.1.1</t>
  </si>
  <si>
    <t>At least 75% of HWC hotspots identified and mapped in all CCO targeted landscapes to establish a new baseline by mid-2026</t>
  </si>
  <si>
    <t xml:space="preserve">Percentage of identified HWC hotspots geo-referenced and formally mapped
</t>
  </si>
  <si>
    <t>The proportion of historically or community-identified Human-Wildlife Conflict (HWC) hotspots in the landscape that have been physically ground-truthed, geo-referenced using GPS, and integrated into the central GIS database. Numerator: Number of identified HWC hotspots with verified georeferencing and formal mapping. Denominator: Total number of HWC hotspots historically or community-identified in the targeted landscapes.</t>
  </si>
  <si>
    <t>Output</t>
  </si>
  <si>
    <t>GIS/SMART maps; hotspot analysis reports; mapping metadata</t>
  </si>
  <si>
    <t>Ground Surveys</t>
  </si>
  <si>
    <t>GPS handhelds and GIS software</t>
  </si>
  <si>
    <t>Conduct spatial analysis of incident location data, key informant interviews, and ground-truthing field visits. Calculate by dividing the count of identified HWC hotspots with verified georeferencing and formal mapping (numerator) by the total number of historically or community-identified HWC hotspots (denominator).</t>
  </si>
  <si>
    <t>Risk: Mapping errors, exclusion of remote highly affected areas due to logistical constraints, or reliance on outdated data. Mitigation: Ensure participatory mapping with IP&amp;LCs to identify true hotspots, followed by physical ground-truthing using GPS handhelds to validate coordinates before GIS integration.</t>
  </si>
  <si>
    <t>25. Human-wildlife conflict</t>
  </si>
  <si>
    <t>Wildlife</t>
  </si>
  <si>
    <t>Local Communities</t>
  </si>
  <si>
    <t>2.1 Species Stewardship</t>
  </si>
  <si>
    <t>TARGET 4: Halt Species Extinction, Protect Genetic Diversity, and Manage Human-Wildlife Conflicts</t>
  </si>
  <si>
    <t>15. Life on Land: Protect, restore, and promote sustainable use of terrestrial ecosystems, sustainably manage forests, combat desertification, and halt and reverse land degradation and halt biodiversity loss</t>
  </si>
  <si>
    <t>High</t>
  </si>
  <si>
    <t>Jengi-TRIDOM: 0
Jengi-TNS: 0
CFP: 0
KZP: 0</t>
  </si>
  <si>
    <t>1.1.2</t>
  </si>
  <si>
    <t>Community-level and enforcement-level reporting systems operational for tracking elephant mortality causes by end of 2025</t>
  </si>
  <si>
    <t>Percentage of targeted reporting units actively using the elephant mortality reporting system</t>
  </si>
  <si>
    <t>The proportion of targeted reporting units (encompassing both local communities and law enforcement posts) that actively submit elephant mortality data through the established reporting system during the reporting period. Numerator: Number of targeted reporting units actively submitting mortality data. Denominator: Total number of targeted reporting units equipped to use the system.</t>
  </si>
  <si>
    <t>Reporting system logs; patrol logs; SMART entries; enforcement database extracts</t>
  </si>
  <si>
    <t>Document Review</t>
  </si>
  <si>
    <t>IT system audit and log review</t>
  </si>
  <si>
    <t>Conduct a desk review of the central reporting system logs and SMART databases. Calculate by dividing the number of reporting units (community and enforcement) actively submitting data (numerator) by the total number of units equipped and targeted to use the system (denominator).</t>
  </si>
  <si>
    <t>Risk: 'The Black Hole Effect' where communities diligently submit mortality reports but receive no feedback or management response, leading to reporting fatigue and abandonment of the system. Mitigation: Implement a mandatory feedback loop where system administrators provide regular, accessible updates to reporting units on how their data was used to drive enforcement or management actions.</t>
  </si>
  <si>
    <t>29. Illegal trade of CITES species</t>
  </si>
  <si>
    <t>1.1.3</t>
  </si>
  <si>
    <t>All related staff and partners including community-based rapid response team in CCO targeted landscapes are trained on C2C approach by June 2026</t>
  </si>
  <si>
    <t>Percentage of targeted staff and partners with certified training on the C2C approach</t>
  </si>
  <si>
    <t>The proportion of targeted project personnel, implementing partners, and community-based rapid response team members who successfully complete and receive certified training on the Human-Wildlife Conflict to Coexistence (C2C) approach during the reporting period. Numerator: Number of targeted individuals who successfully complete the certified C2C training. Denominator: Total number of individuals targeted for the C2C training.</t>
  </si>
  <si>
    <t>Training attendance registers; pre/post test scores; training evaluation reports; completion certificates</t>
  </si>
  <si>
    <t>Training attendance registers and certification records</t>
  </si>
  <si>
    <t>Conduct an administrative review of training records. Calculate by dividing the number of targeted staff and partners who successfully complete the training and pass the post-training assessment (numerator) by the total number of individuals targeted for C2C capacity building (denominator).</t>
  </si>
  <si>
    <t>Risk: Participants sign attendance sheets but do not acquire the necessary skills, or attendance is falsified ('ghost participants'). Mitigation: Mandate the use of pre/post knowledge assessments and practical role-play evaluations before issuing verifiable completion certificates, rather than relying solely on attendance signatures.</t>
  </si>
  <si>
    <t>Governance</t>
  </si>
  <si>
    <t>Project staff and partners</t>
  </si>
  <si>
    <t>9.2 Training &amp; Individual Capacity Development</t>
  </si>
  <si>
    <t>TARGET 20: Strengthen Capacity-Building, Technology Transfer, and Scientific and Technical Cooperation for Biodiversity </t>
  </si>
  <si>
    <t>16. Peace, Justice, and Strong Institutions: Promote peaceful and inclusive societies for sustainable development, provide access to justice for all and build effective, accountable, and inclusive institutions at all levels</t>
  </si>
  <si>
    <t>1.1.4</t>
  </si>
  <si>
    <t>C2C approach is 100% implemented in all targeted CCO landscapes by June 2029</t>
  </si>
  <si>
    <t xml:space="preserve">Proportion of targeted landscapes actively implementing C2C protocols
</t>
  </si>
  <si>
    <t>Measures the proportion of targeted landscapes actively implementing the agreed C2C protocols during the reporting period. Numerator: Number of targeted landscapes actively implementing the agreed C2C protocols during the reporting period. Denominator: Total number of targeted CCO landscapes.</t>
  </si>
  <si>
    <t>Intervention activity reports; ranger logs; community feedback; Landscape Annual Technical Reports</t>
  </si>
  <si>
    <t>Protocol implementation checklist and field audit notes</t>
  </si>
  <si>
    <t>Conduct a PMEL desk review of Landscape Annual Technical Reports supplemented by field visits and structured interviews with stakeholders. Calculate by dividing the number of landscapes meeting all C2C operational criteria (numerator) by the total number of targeted CCO landscapes (denominator).</t>
  </si>
  <si>
    <t>Risk: 'Paper implementation' where protocols are formally reported as adopted but are not genuinely practiced on the ground due to a lack of resources, training, or community trust. Mitigation: Require independent verification audits that combine desk reviews of ranger logs with direct community feedback and field observations to confirm active compliance.</t>
  </si>
  <si>
    <t>10. PLC land/seascapes</t>
  </si>
  <si>
    <t>1.1 Site/Area Stewardship</t>
  </si>
  <si>
    <t>TARGET 14: Integrate Biodiversity in Decision-Making at Every Level</t>
  </si>
  <si>
    <t>Jengi-TRIDOM (South of Nki NP, Ndongo, East of BB NP(Koumela))
Jengi-TNS-
CFP:
KZP:</t>
  </si>
  <si>
    <t>Number of Human-Wildlife Conflict (HWC) cases managed and resolved through the C2C protocol</t>
  </si>
  <si>
    <t>The total count of verified Human-Wildlife Conflict (HWC) incidents (e.g., crop raiding, property damage) that were responded to by field teams and processed to a formal resolution or closure as dictated by the Communities, Conservation, and Commerce (C2C) rapid response protocol.</t>
  </si>
  <si>
    <t>Bi-annual (Every 6 month)</t>
  </si>
  <si>
    <t>C2C case registers; ranger response logs; community incident reports</t>
  </si>
  <si>
    <t>C2C case management register</t>
  </si>
  <si>
    <t>Conduct a desk review and tally of verified HWC cases logged in the SMART or central Kobo system where the status has been officially marked as 'responded' or 'closed' following a field deployment.</t>
  </si>
  <si>
    <t>Risk: HWC cases are under-reported by remote communities or inconsistently marked as closed by field staff without actual resolution. Mitigation: Verify official case files against ranger patrol logs and community focal point incident records before confirming the formal closure status.</t>
  </si>
  <si>
    <t>2.1.5</t>
  </si>
  <si>
    <t>Targeted awareness campaigns on elephant behaviour and conservation laws conducted annually in all high HWC zones of CCO targeted landscapes starting January 2026</t>
  </si>
  <si>
    <t>Number of targeted awareness campaigns on elephant behaviour and conservation laws conducted</t>
  </si>
  <si>
    <t>The total count of targeted awareness campaigns focusing on safe elephant behavior and conservation laws formally conducted in high Human-Wildlife Conflict (HWC) zones during the reporting period.</t>
  </si>
  <si>
    <t>Campaign activity reports; attendance registers</t>
  </si>
  <si>
    <t>Campaign activity reports and attendance registers</t>
  </si>
  <si>
    <t>Administrative tally of verified campaign activity reports and attendance registers from high HWC zones.</t>
  </si>
  <si>
    <t>Risk: Inflated outreach numbers due to double-counting or falsified event reports. Mitigation: Require verifiable sign-in sheets, photos, and formal activity reports for each campaign to be counted.</t>
  </si>
  <si>
    <t>3.1 Outreach &amp; Communications</t>
  </si>
  <si>
    <t>Jengi-TRIDOM:2 each year
Jengi-TNS: 0
CFP: 0
KZP: 0</t>
  </si>
  <si>
    <t>1.1.6</t>
  </si>
  <si>
    <t>Conflict mediation and GRM established in 100% of conflict-prone villages by June 2027</t>
  </si>
  <si>
    <t>Percentage of targeted conflict-prone villages where a Grievance Redress Mechanism (GRM) is established</t>
  </si>
  <si>
    <t>The proportion of targeted conflict-prone villages where a formal Grievance Redress Mechanism (GRM) has been officially constituted and documented. Numerator: Number of targeted conflict-prone villages with an officially established GRM. Denominator: Total number of targeted conflict-prone villages.</t>
  </si>
  <si>
    <t>GRM documentation; case resolution logs; committee meeting minutes</t>
  </si>
  <si>
    <t>GRM registers and case resolution logs</t>
  </si>
  <si>
    <t>Administrative desk review calculating the percentage by dividing the number of targeted conflict-prone villages with a formally documented GRM established (numerator) by the total number of targeted conflict-prone villages (denominator).</t>
  </si>
  <si>
    <t>Risk: GRMs are established on paper but local communities are completely unaware of their existence. Mitigation: Ensure the establishment process requires documented socialization meetings and the public posting of the GRM charter in the village to count as established.</t>
  </si>
  <si>
    <t>TARGET 22: Ensure Participation in Decision-Making and Access to Justice and Information Related to Biodiversity for all </t>
  </si>
  <si>
    <t>Jengi-TRIDOM:66% (six axes on nine covered)
Jengi-TNS: 0
CFP: 0
KZP: 0</t>
  </si>
  <si>
    <t>Number of Human-Wildlife Conflict (HWC) grievances formally received and logged in the GRM</t>
  </si>
  <si>
    <t>The total count of formal Human-Wildlife Conflict (HWC) grievances that have been received and officially recorded in the Grievance Redress Mechanism (GRM) intake logs during the reporting period.</t>
  </si>
  <si>
    <t>GRM intake registers; incident logbooks</t>
  </si>
  <si>
    <t>GRM intake registers</t>
  </si>
  <si>
    <t>Administrative tally of all formal HWC grievances officially recorded in the community GRM intake logs during the reporting period.</t>
  </si>
  <si>
    <t>Risk: Grievances are submitted verbally by community members but not officially logged by the focal point. Mitigation: Implement standardized, simple intake forms and provide physical receipts to complainants to ensure all received grievances are formally recorded.</t>
  </si>
  <si>
    <t>TARGET 22: Ensure Participation in Decision-Making and Access to Justice and Information Related to Biodiversity for all</t>
  </si>
  <si>
    <t>2.1.7</t>
  </si>
  <si>
    <t>Quarterly reporting system on elephant killings and investigation established, integrated into SMART and national databases by June 2026</t>
  </si>
  <si>
    <t>Number of quarterly reports produced and integrated into SMART and national databases</t>
  </si>
  <si>
    <t>The total count of quarterly reports detailing elephant killings and investigation outcomes that are successfully produced, validated, and integrated into both the SMART database and national wildlife crime databases during the reporting period.</t>
  </si>
  <si>
    <t>Quarterly reports; SMART data logs; national database access logs</t>
  </si>
  <si>
    <t>SMART - Spatial Monitoring And Reporting Tool</t>
  </si>
  <si>
    <t>SMART database reports and system audit logs</t>
  </si>
  <si>
    <t>Conduct a system audit and report-to-database reconciliation by cross-referencing the produced quarterly elephant mortality reports against successfully uploaded records in both the SMART database and national wildlife crime databases.</t>
  </si>
  <si>
    <t>Risk: Delayed data submission or internet connectivity issues in remote field sites prevent timely integration into national databases. Mitigation: Establish a strict reporting schedule with offline data syncing capabilities (e.g., SMART Mobile) and conduct bi-annual validation audits to ensure data is successfully uploaded when connectivity is available.</t>
  </si>
  <si>
    <t>3. PCA Management Effectiveness</t>
  </si>
  <si>
    <t>Government Entities</t>
  </si>
  <si>
    <t>TARGET 21: Ensure That Knowledge Is Available and Accessible To Guide Biodiversity Action </t>
  </si>
  <si>
    <t>Medium</t>
  </si>
  <si>
    <t>1.1.8</t>
  </si>
  <si>
    <t>Annual progress reviews done on  killing trends and HEC mitigation outcomes starting 2026</t>
  </si>
  <si>
    <t>Number of annual progress review reports produced on killing trends and HEC mitigation</t>
  </si>
  <si>
    <t>The total count of finalized annual progress review reports analyzing killing trends and Human-Elephant Conflict (HEC) mitigation outcomes that are officially produced and submitted during the reporting period.</t>
  </si>
  <si>
    <t>Annual progress review reports; meeting minutes</t>
  </si>
  <si>
    <t>Document review checklist</t>
  </si>
  <si>
    <t>Administrative desk review tallying the number of finalized annual progress review reports explicitly covering killing trends and HEC mitigation that are officially submitted to project management.</t>
  </si>
  <si>
    <t>Risk: Reviews are conducted verbally but not documented in a formal report, leading to loss of institutional knowledge. Mitigation: Require the submission of a standardized, finalized review report capturing key findings and recommendations before the review activity is counted as complete.</t>
  </si>
  <si>
    <t>8.2 Evaluation, Effectiveness Measures &amp; Learning</t>
  </si>
  <si>
    <t>17. Partnerships for the Goals: Strengthen the means of implementation and revitalize the Global Partnership for Sustainable Development</t>
  </si>
  <si>
    <t>1.1.9</t>
  </si>
  <si>
    <t>Sustainable livelihood initiatives and support packages are provided to verified Human-Elephant Conflict (HEC) affected households.</t>
  </si>
  <si>
    <t>Percentage of Human-Elephant Conflict (HEC) affected households benefiting from livelihood support</t>
  </si>
  <si>
    <t>The proportion of verified HEC-affected households that successfully receive livelihood support packages (e.g., training, agricultural inputs, start-up kits) designed to offset economic losses during the reporting period. Numerator: Number of verified HEC-affected households that receive livelihood support. Denominator: Total number of verified HEC-affected households registered in the target landscape.</t>
  </si>
  <si>
    <t>HEC incident database; Beneficiary distribution registries</t>
  </si>
  <si>
    <t>Beneficiary tracking registers and HEC incident logs</t>
  </si>
  <si>
    <t>Conduct an administrative desk review cross-referencing the official HEC incident database with the project's livelihood beneficiary distribution logs. Calculate by dividing the number of verified HEC-affected households that received livelihood support (numerator) by the total number of identified HEC-affected households in the landscape (denominator).</t>
  </si>
  <si>
    <t>Risk: Inaccurate or manipulated beneficiary lists leading to 'elite capture', where livelihood support goes to unaffected local elites instead of genuine HEC victims. Mitigation: Mandate that livelihood beneficiary selection is strictly cross-referenced and validated against the official, verified HEC incident damage database prior to any distribution.</t>
  </si>
  <si>
    <t>Markets</t>
  </si>
  <si>
    <t>5.1 Linked Enterprises &amp; Alternative Livelihoods</t>
  </si>
  <si>
    <t>TARGET 9: Manage Wild Species Sustainably To Benefit People</t>
  </si>
  <si>
    <t>1. No Poverty: End poverty in all its forms everywhere</t>
  </si>
  <si>
    <t>1.2.1</t>
  </si>
  <si>
    <t>Baseline information on perception survey on HWC collected for CCO targeted landscapes by end of 2025</t>
  </si>
  <si>
    <t>Existence of baseline report on Human-Wildlife Conflict (HWC) perception</t>
  </si>
  <si>
    <t>The formal availability of a finalized, peer-reviewed, and locally validated baseline report on Human-Wildlife Conflict (HWC) perception, including its raw disaggregated datasets, officially archived in the Country Office Knowledge Management System (KMS).</t>
  </si>
  <si>
    <t>Text</t>
  </si>
  <si>
    <t>Boolean (Yes/No)</t>
  </si>
  <si>
    <t>Central Document Repository / Knowledge Management System</t>
  </si>
  <si>
    <t>Document Review (Validation Memos)</t>
  </si>
  <si>
    <t>Administrative M&amp;E verification confirming the digital presence of the signed baseline report, the validation workshop minutes, and the raw datasets (e.g., KoboToolbox exports) in the central repository. Recorded as 'Yes' if fully available and validated, and 'No' otherwise.</t>
  </si>
  <si>
    <t>Risk: Weak baseline design and high illiteracy rates rendering standard written surveys ineffective, skewing perception data. Mitigation: Ensure the methodology is peer-reviewed prior to deployment, utilizing visual tools and oral interviews in local dialects to accurately capture community perceptions.</t>
  </si>
  <si>
    <t>8.1 Basic Research &amp; Status Monitoring</t>
  </si>
  <si>
    <t>1.2.2</t>
  </si>
  <si>
    <t>IP&amp;LC awareness and sensitization campaigns on Human-Wildlife Conflict (HWC) implemented in the CCO targeted landscapes starting January 2026</t>
  </si>
  <si>
    <t>Percentage of the target IP&amp;LC population reached by HWC sensitization campaigns</t>
  </si>
  <si>
    <t>Measures the proportion of the target Indigenous Peoples and Local Community (IPLC) population directly reached by Human-Wildlife Conflict (HWC) sensitization campaigns during the reporting period. Numerator: Number of unique individuals in the target IPLC population directly reached by HWC sensitization campaigns (disaggregated by gender and age). Denominator: Total estimated IPLC population in the targeted HWC hotspots.</t>
  </si>
  <si>
    <t>Campaign reports; attendance lists; radio airing logs; IEC material distribution logs</t>
  </si>
  <si>
    <t>Campaign attendance registers and media reach logs</t>
  </si>
  <si>
    <t>Conduct a desk review aggregating unique participants from campaign attendance lists and estimated media reach logs. Calculate by dividing the number of unique IPLC individuals reached (numerator) by the total estimated IPLC population in the target area (denominator), with data explicitly disaggregated by gender and age.</t>
  </si>
  <si>
    <t>Risk: Inflated outreach numbers due to double-counting the same individuals across multiple campaign events, or relying on unverified radio broadcast estimates. Mitigation: Require verifiable sign-in sheets with unique identifiers for in-person events and apply conservative, standardized audience estimation formulas for radio or mass media reach.</t>
  </si>
  <si>
    <t>1.2.3</t>
  </si>
  <si>
    <t>Elephant/Great Apes Ambassadors and IP&amp;LC Champions in CCO landscapes coached and trained by June 2026</t>
  </si>
  <si>
    <t>Number of Elephant/Great Apes Ambassadors and IP&amp;LC Champions trained</t>
  </si>
  <si>
    <t>The total count of unique Elephant and Great Ape Ambassadors and Indigenous Peoples and Local Community (IP&amp;LC) Champions who have successfully completed the WWF coaching and training program during the reporting period.</t>
  </si>
  <si>
    <t>Training attendance registers; training completion certificates</t>
  </si>
  <si>
    <t>Training attendance sheets</t>
  </si>
  <si>
    <t>Administrative tally of unique Ambassadors and Champions who successfully completed the training, verified through signed attendance registers and training completion certificates.</t>
  </si>
  <si>
    <t>Risk: High dropout rates or ghost participants inflating training numbers. Mitigation: Mandate daily sign-in sheets and issue completion certificates only to those who attend the full training program, strictly de-duplicating participant lists using unique IDs.</t>
  </si>
  <si>
    <t>30. WWF priority species polulation</t>
  </si>
  <si>
    <t>1.2.4</t>
  </si>
  <si>
    <t>C2C issues are captured in MSPs and other fora in CCO targeted landscapes starting Jan 2026.</t>
  </si>
  <si>
    <t>Number of Multi-Stakeholder Platform (MSP) meetings where C2C issues are documented</t>
  </si>
  <si>
    <t>The total count of formal Multi-Stakeholder Platform (MSP) meetings convened where issues relating to Human-Wildlife Coexistence (C2C) and conflict mitigation are explicitly discussed and documented in the official meeting minutes during the reporting period.</t>
  </si>
  <si>
    <t>MSP meeting minutes; action point registers; stakeholder participation logs</t>
  </si>
  <si>
    <t>Meeting minutes and action point registers</t>
  </si>
  <si>
    <t>Conduct an administrative tally of official MSP meeting minutes and action point registers. Verify that C2C or Human-Wildlife Conflict topics are explicitly recorded as formal agenda items or minuted discussion points.</t>
  </si>
  <si>
    <t>Risk: Undocumented or informal discussions that are never officially recorded, making them impossible to track or act upon. Mitigation: Mandate the use of standardized meeting report templates and require official sign-offs from platform representatives to confirm the minutes accurately reflect the C2C discussions.</t>
  </si>
  <si>
    <t>Platform members, local authorities, and local communities</t>
  </si>
  <si>
    <t>Number of Multi-Stakeholder Platform (MSP) resolutions or action points addressing C2C</t>
  </si>
  <si>
    <t>The total count of specific, actionable resolutions or decisions aimed at mitigating human-wildlife conflict (C2C) that are formally agreed upon, documented, and adopted by Multi-Stakeholder Platforms during the reporting period.</t>
  </si>
  <si>
    <t>MSP meeting minutes; action trackers; annual review notes</t>
  </si>
  <si>
    <t>Meeting action tracker and resolution logs</t>
  </si>
  <si>
    <t>Conduct an administrative tally of explicit C2C-related action points or formal resolutions that are recorded in the officially signed and validated MSP minutes.</t>
  </si>
  <si>
    <t>Risk: Resolutions are formally adopted but lack assigned responsibilities, deadlines, or budgets, rendering them 'paper decisions' that are never executed. Mitigation: Only count resolutions or action points that explicitly designate a responsible owner, a clear timeframe, and are formally minuted in the platform's proceedings.</t>
  </si>
  <si>
    <t>Platform members, local authorities, and communities engaged in coexistence governance</t>
  </si>
  <si>
    <t>1.2.5</t>
  </si>
  <si>
    <t>Annual surveys and focus groups conducted in targeted CCO landscapes to track changes in perception, evaluate impact of interventions, and adjust strategies accordingly done in May of every year</t>
  </si>
  <si>
    <t>Validation status of the annual IP&amp;LC perception survey report on WWF conservation impacts</t>
  </si>
  <si>
    <t>Verifies whether the annual mixed-methods survey (household questionnaires and Focus Group Discussions) assessing Indigenous Peoples and Local Communities (IP&amp;LC) perceptions of WWF conservation impacts, conflict mitigation, and livelihood interventions has been conducted, documented, and formally validated for adaptive management.</t>
  </si>
  <si>
    <t>Project Document Repository; M&amp;E Database</t>
  </si>
  <si>
    <t>Validation memos and survey reports</t>
  </si>
  <si>
    <t>Conduct an administrative verification confirming the final survey report, raw datasets, and FGD transcripts have been submitted to the central repository, methodologically peer-reviewed, and officially signed off by the Conservation Director. Recorded as 'Yes' if fully validated and 'No' otherwise.</t>
  </si>
  <si>
    <t>Risk: Extractive survey-fatigue among IP&amp;LCs; deep-forest language barriers distorting FGD transcripts. Mitigation: Deploy local indigenous enumerators and translators, utilize visual/oral participatory methods rather than just written questionnaires, and mandate community data restitution sessions so locals see how their feedback drives management changes.</t>
  </si>
  <si>
    <t>Jengi-TRIDOM: 0
Jengi-TNS: 0
CFP:
KZP:</t>
  </si>
  <si>
    <t>1.3.1</t>
  </si>
  <si>
    <t>Comprehensive analysis of SMART (Spatial Monitoring and Reporting Tool) data from 2021-2024 conducted in CCO targeted landscapes to set a reliable benchmark for poaching indices per patrol effort and set the right baseline.</t>
  </si>
  <si>
    <t>Percentage score on the SMART scorecard</t>
  </si>
  <si>
    <t>Measures the percentage score achieved on the SMART scorecard during the assessment period. Numerator: Number of SMART scorecard points achieved during the assessment period. Denominator: Total number of SMART scorecard points possible during the assessment period.</t>
  </si>
  <si>
    <t>SMART analysis report; MIST/SMART databases; landscape-level briefs</t>
  </si>
  <si>
    <t>SMART scorecard tool</t>
  </si>
  <si>
    <t>Conduct a spatial-temporal analysis using SMART exports (effort, arrest, encounter data) and GIS mapping. Calculate the final score by dividing the number of SMART scorecard points achieved (numerator) by the total possible points on the scorecard (denominator).</t>
  </si>
  <si>
    <t>Risk: Inconsistent scoring across different Protected Areas due to varying capacities and subjective interpretation of criteria. Mitigation: Conduct standardized SMART scorecard evaluation workshops with peer-review from regional biomonitoring experts to ensure objective and uniform scoring.</t>
  </si>
  <si>
    <t>Protected Areas</t>
  </si>
  <si>
    <t>2.3.2</t>
  </si>
  <si>
    <t>Patrol coverage increased by at least 30% in high-risk zones of CCO targeted landscapes  by 2027.</t>
  </si>
  <si>
    <t>Total distance of anti-poaching foot patrols conducted in designated high-risk zones</t>
  </si>
  <si>
    <t>The cumulative distance walked during formalized law enforcement and surveillance patrols within pre-identified spatial poaching hotspots, serving to measure the scale-up of field presence.</t>
  </si>
  <si>
    <t>Monthly</t>
  </si>
  <si>
    <t>SMART Patrol Database</t>
  </si>
  <si>
    <t>SMART Mobile / GPS Handhelds</t>
  </si>
  <si>
    <t>Extract and spatially filter clean GPS track logs from the SMART database, calculating the exact polyline distance traversed specifically within the boundaries of the designated high-risk GIS polygons.</t>
  </si>
  <si>
    <t>Risk: Dense forest canopy blocking GPS signals; 'Ghost patrolling' where eco-guards leave GPS units stationary to artificially log time, or use motorcycles instead of foot patrols. Mitigation: Use SMART software's spatial analysis to filter out anomalies (e.g., impossible speeds indicating motorcycle use or stationary clustering) and ensure supervisors cross-reference tracks with field patrol logs.</t>
  </si>
  <si>
    <t>4.1 Detection &amp; Arrest</t>
  </si>
  <si>
    <t>8.1.3</t>
  </si>
  <si>
    <t>Training and refresher course of new eco-guards and community rangers completed across all CCO intervention areas (training includes HRBA, law, surveillance, ethics) by June 2026</t>
  </si>
  <si>
    <t>Number of eco-guards and community rangers completing training and refresher courses</t>
  </si>
  <si>
    <t>The total count of unique eco-guards and community rangers who have successfully completed formal training or refresher courses encompassing Human Rights-Based Approaches (HRBA), wildlife law, surveillance, and ethics during the reporting period.</t>
  </si>
  <si>
    <t>Training attendance registers; completion certificates</t>
  </si>
  <si>
    <t>Administrative tally of unique eco-guards and community rangers who successfully complete the training curriculum, verified by signed attendance registers and issued certificates.</t>
  </si>
  <si>
    <t>Risk: Double-counting rangers who attend multiple refresher modules, inflating the true reach of the capacity-building efforts. Mitigation: Maintain a centralized digital training database utilizing unique staff identifiers to strictly de-duplicate attendance records before final reporting.</t>
  </si>
  <si>
    <t>PA staff and community rangers</t>
  </si>
  <si>
    <t>Jengi-TRIDOM:35
Jengi-TNS: 0
CFP: 0
KZP: 0</t>
  </si>
  <si>
    <t>1.3.5</t>
  </si>
  <si>
    <t>Regular analysis of patrol effort vs. detection rates as captured in SMART data shared with managers and MINFOF for decision making and reorientation of surveillance (adaptive management).</t>
  </si>
  <si>
    <t>Number of SMART patrol analysis reports produced and shared with managers and MINFOF</t>
  </si>
  <si>
    <t>The total count of analytical reports detailing patrol effort versus detection rates, extracted from SMART data, that are successfully produced and formally shared with Protected Area managers and MINFOF for decision-making purposes during the reporting period.</t>
  </si>
  <si>
    <t>SMART analysis reports; official transmittal records; meeting minutes</t>
  </si>
  <si>
    <t>Document distribution logs and meeting minutes</t>
  </si>
  <si>
    <t>Administrative desk review of sent emails, meeting minutes, or official transmittal letters confirming the formal delivery and presentation of the SMART analysis reports to the target stakeholders.</t>
  </si>
  <si>
    <t>Risk: Extreme internet isolation prevents timely SMART data syncs, rendering reports obsolete before decisions can be made, or resulting in 'paper decisions' that are formally ordered but never actually executed on the ground. Mitigation: Establish offline SMART syncing protocols at patrol posts and require spatial verification of field execution (e.g., altered patrol GPS tracks) before confirming a decision as fully implemented.</t>
  </si>
  <si>
    <t>TARGET 21: Ensure That Knowledge Is Available and Accessible To Guide Biodiversity Action</t>
  </si>
  <si>
    <t>Jengi-TRIDOM:
Jengi-TNS: 0
CFP: 0
KZP: 0</t>
  </si>
  <si>
    <t>8.1.5</t>
  </si>
  <si>
    <t>An anti-poaching incentive scheme is operationalized to successfully process and reward verified intelligence tips regarding wildlife crime.</t>
  </si>
  <si>
    <t>Number of verified intelligence tips rewarded through the anti-poaching incentive scheme</t>
  </si>
  <si>
    <t>The total count of actionable information reports (tip-offs) provided by informants regarding wildlife crime that were successfully verified by law enforcement, led to a preventive or judicial action, and resulted in a documented financial or material reward being disbursed to the informant.</t>
  </si>
  <si>
    <t>Secure intelligence logbooks; financial disbursement ledgers</t>
  </si>
  <si>
    <t>Informant case tracking system and financial receipts</t>
  </si>
  <si>
    <t>Conduct a tally of closed cases in the secure intelligence database that have a corresponding, anonymized financial receipt proving the reward was disbursed according to the due diligence protocol.</t>
  </si>
  <si>
    <t>Risk: Severe risk of retaliatory violence against informants if identities are leaked, and risk of 'elite capture' where eco-guards invent false tips to claim reward funds. Mitigation: Implement strict double-blind anonymization protocols for informant identities and require independent verification of the intelligence validity prior to any financial disbursement.</t>
  </si>
  <si>
    <t>1.3.6</t>
  </si>
  <si>
    <t>Law enforcement collaboration protocols refined between park staff, local authorities, and judiciary and with HRBA incorporated by December 2026</t>
  </si>
  <si>
    <t>Number of revised law enforcement collaboration protocols incorporating HRBA officially adopted</t>
  </si>
  <si>
    <t>The total count of finalized law enforcement collaboration protocols between park staff, local authorities, and the judiciary that have been formally revised to explicitly incorporate Human Rights-Based Approaches (HRBA) and officially signed or adopted by the participating entities.</t>
  </si>
  <si>
    <t>Revised collaboration protocols; signed MoUs or official adoption decrees</t>
  </si>
  <si>
    <t>Policy and protocol review checklist</t>
  </si>
  <si>
    <t>Administrative review of the finalized protocol documents to verify the inclusion of explicit HRBA clauses and the presence of official adoption signatures or stamps from the relevant law enforcement and judicial authorities.</t>
  </si>
  <si>
    <t>Risk: 'Paper operations' where multiple agencies sign the administrative mission order to collect per diems, but do not actually deploy together into the field. Mitigation: Require GPS verification of joint deployment via SMART tracks and cross-reference with independent field mission reports rather than relying solely on signed mission orders.</t>
  </si>
  <si>
    <t>A comprehensive baseline study completed at Campo Ma’an-monitored nesting beaches to assess nest predation rates (species-specific, predator types, and locations) and data used to identify high-risk nesting sites and main predators by December 2026.</t>
  </si>
  <si>
    <t>Existence of a completed baseline study on marine turtle nesting</t>
  </si>
  <si>
    <t>The formal availability and successful delivery of a comprehensive scientific baseline report that quantifies marine turtle nest predation rates. The study must identify predation by turtle species and predator types across monitored beaches, include spatial analysis, and be officially validated and archived.</t>
  </si>
  <si>
    <t>Baseline survey report; Central Document Repository; Validation meeting minutes</t>
  </si>
  <si>
    <t>Document review and verification checklist</t>
  </si>
  <si>
    <t>Administrative M&amp;E verification confirming the digital presence of the finalized, peer-reviewed baseline report, the validation workshop minutes, and the raw datasets in the central project repository. Recorded as 'Yes' if fully available and validated, and 'No' otherwise.</t>
  </si>
  <si>
    <t>Risk: Incomplete data collection due to remote beach access issues or lack of standardized protocols, leading to a flawed baseline. Mitigation: Ensure the methodology uses a standardized, peer-reviewed survey protocol prior to deployment, and mandate formal technical validation of the final report before it is officially accepted.</t>
  </si>
  <si>
    <t>Night patrols and nest monitoring teams established, trained and equipped by June 2026</t>
  </si>
  <si>
    <t xml:space="preserve">Number of sea turtle patrol and nest monitoring teams trained, equipped, and actively deployed 
</t>
  </si>
  <si>
    <t>The total count of distinct community or eco-guard sea turtle patrol teams that have completed standardized training, received all mandatory monitoring equipment (e.g., GPS, red-light flashlights), and are verified as actively conducting night patrols on targeted nesting beaches during the reporting period.</t>
  </si>
  <si>
    <t>Patrol team attendance sheets; training records; equipment inventory logs; SMART Patrol Database</t>
  </si>
  <si>
    <t>Team operationality checklist and SMART patrol logs</t>
  </si>
  <si>
    <t>Conduct an administrative and field audit verifying that each counted team possesses signed training certificates, an updated equipment inventory, and logged GPS tracks from active night patrols during the current nesting season.</t>
  </si>
  <si>
    <t>Risk: 'Paper Teams' &amp; Equipment Attrition. Teams are trained on paper, but harsh coastal environments (saltwater, humidity, sand) quickly destroy sensitive field equipment, leading to halted patrols. Mitigation: Ensure procurement includes ruggedized, waterproof gear, and establish a fast-track replacement budget and regular equipment maintenance protocols.</t>
  </si>
  <si>
    <t>2. Marine PCA expansion</t>
  </si>
  <si>
    <t>Oceans</t>
  </si>
  <si>
    <t>Local Communities and Government Entities</t>
  </si>
  <si>
    <t>TARGET 3: Conserve 30% of Land, Waters and Seas</t>
  </si>
  <si>
    <t>14. Life Below Water: Conserve and sustainably use the oceans, seas, and marine resources for sustainable development</t>
  </si>
  <si>
    <t>3.1.3</t>
  </si>
  <si>
    <t>Nest protection measures implemented by January 2027</t>
  </si>
  <si>
    <t>Percentage of identified sea turtle nests successfully protected</t>
  </si>
  <si>
    <t>The proportion of identified sea turtle nests where physical protection interventions (e.g., predator exclusion cages, safe relocation) are successfully implemented during the reporting period. Numerator: Number of identified sea turtle nests successfully protected. Denominator: Total number of sea turtle nests identified by patrol teams during the nesting season.</t>
  </si>
  <si>
    <t>Project activity reports; nest monitoring logs; patrol GPS data</t>
  </si>
  <si>
    <t>Intervention tracking dashboard and field checklists</t>
  </si>
  <si>
    <t>Conduct a desk review dividing the number of identified nests with completed protection interventions, verified by field checklists and geo-tagged photos (numerator), by the total number of nests identified by patrols during the nesting season (denominator).</t>
  </si>
  <si>
    <t>Risk: 'Tick-Box Deployment' where protection measures are physically installed to meet quotas but are placed improperly (e.g., cages placed below the high-tide line, causing inundation and mortality). Mitigation: Require specialized marine turtle training for patrol teams and mandate supervisor field spot-checks to verify the ecological correctness of the physical installations.</t>
  </si>
  <si>
    <t>Predator control and management strategies deployed, including Standard Operating Procedures (SOPs) developed, by June 2027.</t>
  </si>
  <si>
    <t>Percentage of targeted nesting sites actively implementing approved predator control strategies and SOPs</t>
  </si>
  <si>
    <t>The proportion of designated high-risk wildlife nesting sites where formalized predator control interventions (e.g., predator exclusion grids, humane feral dog management protocols) have been physically deployed and are routinely maintained by field teams. Numerator: Number of targeted nesting sites with verified active predator control measures in place. Denominator: Total number of high-risk nesting sites targeted in the project workplan.</t>
  </si>
  <si>
    <t xml:space="preserve">
Positive</t>
  </si>
  <si>
    <t>Project management reports; field activity logs</t>
  </si>
  <si>
    <t>SOP implementation and field audit checklist</t>
  </si>
  <si>
    <t>Conduct a desk review dividing the number of targeted nesting sites with verified active predator control measures in place, confirmed via field audit checklists and geo-tagged photos (numerator), by the total number of high-risk sites targeted in the project workplan (denominator).</t>
  </si>
  <si>
    <t>Risk: 'Community backlash' where feral dogs targeted for control belong to local communities. Deploying predator control SOPs (especially culling or trapping) without prior consensus leads to conflict and sabotage of conservation efforts. Mitigation: Conduct thorough community consultations to obtain Free, Prior and Informed Consent (FPIC), and prioritize non-lethal, physical exclusion methods (e.g., grids) over culling.</t>
  </si>
  <si>
    <t>30. WWF priority species population</t>
  </si>
  <si>
    <t>3.1.7</t>
  </si>
  <si>
    <t>Community awareness and engagement campaigns on sea turtle conservation and nest protection delivered in targeted coastal landscapes starting June 2027</t>
  </si>
  <si>
    <t>Number of community members reached through sea turtle conservation awareness campaigns</t>
  </si>
  <si>
    <t>The total headcount of unique individuals from targeted coastal communities who physically attended or actively participated in WWF-supported awareness and engagement campaigns focused on sea turtle conservation and nest protection during the reporting period.</t>
  </si>
  <si>
    <t>Campaign activity reports; participant attendance registers</t>
  </si>
  <si>
    <t>Campaign attendance registers</t>
  </si>
  <si>
    <t>Administrative tally of unique participants derived from verified, signed attendance lists and activity reports collected during all targeted community awareness and engagement sessions.</t>
  </si>
  <si>
    <t>Risk: Social desirability bias where respondents give 'correct' answers to please enumerators, and low literacy rates skewing responses to written surveys. Mitigation: Use anonymous survey methods, employ local enumerators to conduct oral interviews using visual aids, and triangulate responses with independent field observations.</t>
  </si>
  <si>
    <t>12. Responsible Consumption and Production: Ensure sustainable consumption and production patterns</t>
  </si>
  <si>
    <t>Community sea turtle guardians are incentivized and actively deployed for nest monitoring and protection annually.</t>
  </si>
  <si>
    <t>Number of incentivized community sea turtle guardians actively deployed for nest monitoring and protection</t>
  </si>
  <si>
    <t>The total count of community sea turtle guardians who received the agreed incentive support and had verified active deployment records for sea turtle nest monitoring and protection during the reporting period.</t>
  </si>
  <si>
    <t>Guardian rosters; patrol logs; incentive payment records</t>
  </si>
  <si>
    <t>Patrol logs and financial payment records</t>
  </si>
  <si>
    <t>Conduct an administrative tally of community sea turtle guardians who both received the agreed incentive support (verified via payment records) and have verified patrol or nest-monitoring deployment records (verified via signed patrol logs) during the reporting period.</t>
  </si>
  <si>
    <t>Risk: Individuals may receive incentives without verified field deployment, leading to payment for 'ghost workers'. Mitigation: Count only guardians supported by strictly reconciled payment records paired with verified patrol or nest-monitoring deployment logs signed by field supervisors.</t>
  </si>
  <si>
    <t>11. Community-led coastal conservation</t>
  </si>
  <si>
    <t xml:space="preserve">
Oceans</t>
  </si>
  <si>
    <t>5.4 Direct Economic Incentives</t>
  </si>
  <si>
    <t>Lessons learned and successful approaches regarding sea turtle nest protection and anti-predation strategies documented and shared with local and regional partners annually.</t>
  </si>
  <si>
    <t>Number of knowledge products documenting lessons learned on sea turtle nest protection produced and disseminated</t>
  </si>
  <si>
    <t>The total count of formal knowledge management products (e.g., case studies, technical briefs, evaluation reports) capturing successful approaches, community engagement tactics, or operational failures related to sea turtle nest protection and anti-predation strategies that are produced and verifiably disseminated to stakeholders during the reporting period.</t>
  </si>
  <si>
    <t>PMEL repository; knowledge management repository; distribution logs</t>
  </si>
  <si>
    <t>Document review and dissemination tracking checklist</t>
  </si>
  <si>
    <t>Administrative tally of finalized case studies and technical briefs focusing on sea turtle conservation that have verified evidence of dissemination (e.g., email tracking, workshop distribution receipts) to external partners.</t>
  </si>
  <si>
    <t>Risk: Producing 'shelf-ware'—documents written in highly technical English or French that local IP&amp;LC partners cannot read or apply. Mitigation: Mandate that knowledge products intended for local dissemination are translated into accessible, non-technical formats (e.g., visual guides, vernacular summaries) and actively distribute them through community-facing platforms.</t>
  </si>
  <si>
    <t>Local Communities and Conservation Partners</t>
  </si>
  <si>
    <t>3.2.1</t>
  </si>
  <si>
    <t>CCO identifies and maps 100% of sea turtle nesting beaches and priority zones under its intervention for regular cleaning and monitoring by June 2027.</t>
  </si>
  <si>
    <t>Proportion of targeted sea turtle nesting beaches formally mapped</t>
  </si>
  <si>
    <t>The proportion of the total estimated coastal length (in kilometers) identified as priority sea turtle nesting habitat that has been physically ground-truthed, geo-referenced, and digitized into the central GIS database for monitoring. Numerator: Kilometers of targeted sea turtle nesting beaches with verified formal GIS mapping. Denominator: Total estimated kilometers of targeted sea turtle nesting beaches in the landscape.</t>
  </si>
  <si>
    <t>Central GIS Database; mapping reports</t>
  </si>
  <si>
    <t>GPS handhelds and SMART Mobile</t>
  </si>
  <si>
    <t>Field teams conduct ground-truthing using GPS handhelds to log the extent of nesting beaches. Data is synced to the Central GIS Database. Calculate by dividing the kilometers of nesting beach physically ground-truthed and digitized (numerator) by the total estimated kilometers of target nesting beaches in the landscape (denominator).</t>
  </si>
  <si>
    <t>Risk: Severe coastal erosion and tidal shifts rapidly altering beach morphology, making static maps obsolete within a single season. Extremely remote beaches lacking network connectivity delay SMART data synchronization. Mitigation: Conduct annual pre-season map updates using offline SMART Mobile profiles, and schedule periodic data syncing when teams return to network coverage areas.</t>
  </si>
  <si>
    <t>3.2.2</t>
  </si>
  <si>
    <t>Local teams formed and trained to conduct beach patrols, document pollution levels, and coordinate clean-up logistics by December 2027</t>
  </si>
  <si>
    <t>Number of local team members trained to conduct beach patrols and coordinate clean-ups</t>
  </si>
  <si>
    <t>The total count of unique individuals from targeted coastal communities who have formally completed the WWF training program on beach patrolling, pollution documentation, and clean-up logistics during the reporting period.</t>
  </si>
  <si>
    <t>Training attendance registers</t>
  </si>
  <si>
    <t>Administrative tally of unique participants who successfully complete the training program, verified through signed attendance registers and training completion certificates.</t>
  </si>
  <si>
    <t>Risk: Ghost participants or high turnover after training. Mitigation: Use unique participant IDs and cross-reference training certificates with actual team deployment rosters.</t>
  </si>
  <si>
    <t>Local Communities and PA staff</t>
  </si>
  <si>
    <t>3.2.3</t>
  </si>
  <si>
    <t>Clean-ups organized at least monthly during nesting seasons (and quarterly off-season) across 90% of beach length</t>
  </si>
  <si>
    <t>Number of beach clean-ups conducted per kilometer of targeted sea turtle nesting beach</t>
  </si>
  <si>
    <t>The total number of organized beach clean-up activities conducted normalized by the total length (in kilometers) of targeted sea turtle nesting beaches covered during the reporting period.</t>
  </si>
  <si>
    <t>Clean-up logs; GPS coverage data; patrol photos</t>
  </si>
  <si>
    <t>Clean-up activity tracking sheets and GPS logs</t>
  </si>
  <si>
    <t>Conduct a desk review of clean-up activity logs and GPS tracks. Divide the total number of validated clean-up events by the total targeted beach length (in kilometers) to calculate the clean-up frequency rate per kilometer.</t>
  </si>
  <si>
    <t>Risk: Inaccurate reporting or 'paper clean-ups' where teams claim to have covered the beach but did not actually deploy. Mitigation: Require GPS track logs of the clean-up routes and geo-tagged photos of collected waste to verify physical presence and coverage before logging the activity.</t>
  </si>
  <si>
    <t>1.2 Ecosystem &amp; Natural Process (Re)Creation</t>
  </si>
  <si>
    <t>TARGET 7: Reduce Pollution to Levels That Are Not Harmful to Biodiversity</t>
  </si>
  <si>
    <t>3.2.4</t>
  </si>
  <si>
    <t>Waste management system implemented, and partnerships established with municipal services or recycling companies by December 2027</t>
  </si>
  <si>
    <t xml:space="preserve">Percentage of established waste management partnerships with a formal joint action plan in place   </t>
  </si>
  <si>
    <t>Measures the proportion of established waste management partnerships (with municipalities or private recycling companies) that have a formal, signed joint action plan in place during the reporting period. Numerator: Number of established waste management partnerships with a formal joint action plan in place. Denominator: Total number of established waste management MoUs or agreements registered by the project.</t>
  </si>
  <si>
    <t>Partnership database; legal repository</t>
  </si>
  <si>
    <t>Partnership tracking dashboard and document review</t>
  </si>
  <si>
    <t>Conduct a desk review and calculate the percentage by dividing the number of established waste management partnerships that possess a signed, active joint action plan (numerator) by the total number of established waste management MoUs registered by the project (denominator).</t>
  </si>
  <si>
    <t>Risk: 'Paper Partnerships' where MoUs and joint action plans are signed with municipalities purely for political visibility or to satisfy donor requirements, but lack dedicated resources for execution. Mitigation: Only count joint action plans that explicitly designate a focal point, clear timelines, and dedicated funding or personnel resources.</t>
  </si>
  <si>
    <t>10.3 Alliance &amp; Partnership Development</t>
  </si>
  <si>
    <t>3.2.5</t>
  </si>
  <si>
    <t>Community education and school outreach programs conducted each year to build awareness on plastic waste, its impact on marine turtles, and behavior change.</t>
  </si>
  <si>
    <t>Number of students and community members reached through plastic waste awareness and school outreach programs</t>
  </si>
  <si>
    <t>The total count of unique individuals (students, teachers, and community members) who actively participated in WWF-supported environmental education and school outreach programs regarding plastic waste and marine turtle conservation during the reporting period.</t>
  </si>
  <si>
    <t>Outreach activity reports; school and community attendance registers</t>
  </si>
  <si>
    <t>Attendance registers and outreach activity logs</t>
  </si>
  <si>
    <t>Administrative tally of unique participants attending the community education and school outreach sessions, derived from verified and signed attendance sheets.</t>
  </si>
  <si>
    <t>Risk: Double-counting students across multiple events or inflating attendance numbers. Mitigation: Require signed attendance sheets from school administrators and use school enrollment lists to verify student headcounts.</t>
  </si>
  <si>
    <t>3.2.6</t>
  </si>
  <si>
    <t>Reports generated every year showing percentage of beach cleaned, volume/type of plastic collected, and improvements over time.</t>
  </si>
  <si>
    <t>Existence of an annual environmental monitoring report detailing beach pollution and clean-up progress</t>
  </si>
  <si>
    <t>The formal availability of a finalized and validated annual monitoring report that synthesizes field data on beach clean-up coverage, collected plastic volumes, and waste classification, officially uploaded to the central Knowledge Management System (KMS).</t>
  </si>
  <si>
    <t>Central Document Repository; Knowledge Management System</t>
  </si>
  <si>
    <t>Administrative M&amp;E verification confirming the digital presence of the finalized annual pollution report and its associated raw datasets in the designated project repository. Recorded as 'Yes' if fully validated and uploaded, and 'No' otherwise.</t>
  </si>
  <si>
    <t>Risk: 'The Shelf-Ware Syndrome' (Data Silos) where the report is written merely to satisfy donor requirements, but findings are never shared with local stakeholders. Mitigation: Mandate that the final report includes a summary dissemination plan, and require an annual restitution meeting with local authorities and coastal communities to share findings and adjust future clean-up strategies.</t>
  </si>
  <si>
    <t>CCO supported PAs governance and co-management mechanisms strengthened with more inclusivity by June 2026.</t>
  </si>
  <si>
    <t>Number of Protected Areas with a formally established and functional inclusive co-management platform</t>
  </si>
  <si>
    <t>The total count of Protected Areas (PAs) where a formal co-management or governance body has been established that includes documented, active voting representation from marginalized local stakeholders (e.g., IP&amp;LCs, women's groups) and meets at least twice a year to jointly decide on PA management issues.</t>
  </si>
  <si>
    <t>PA governance archives; co-management charters; meeting minutes</t>
  </si>
  <si>
    <t>Platform functionality checklist</t>
  </si>
  <si>
    <t>Conduct a desk audit of PA co-management charters and official meeting minutes against the functionality checklist, specifically verifying the documented presence and voting records of IP&amp;LC representatives during decision-making sessions.</t>
  </si>
  <si>
    <t>Risk: Elite capture, where PA authorities select 'friendly' local elites or traditional chiefs who do not genuinely represent marginalized groups (e.g., Baka communities or women). Mitigation: Ensure a transparent, participatory, and community-led selection process for IP&amp;LC representatives, requiring documented FPIC validation of the chosen delegates by the wider community.</t>
  </si>
  <si>
    <t>PA management effectiveness (IMET) assessments conducted every two years, with scores recorded and lessons learned shared across the landscape for all CCO targeted PAs.</t>
  </si>
  <si>
    <t>Percentage of targeted Protected Areas with completed and validated IMET assessments</t>
  </si>
  <si>
    <t>Measures the percentage of targeted Protected Areas that have a completed, validated, and officially uploaded IMET assessment during the reporting period. Numerator: Number of targeted Protected Areas with a completed and validated IMET assessment. Denominator: Total number of targeted Protected Areas supported by the CCO.</t>
  </si>
  <si>
    <t>IMET database; BIOPAMA Regional Observatory</t>
  </si>
  <si>
    <t>IMET offline tool and validation workshop minutes</t>
  </si>
  <si>
    <t>Conduct a desk review dividing the number of targeted PAs that have uploaded finalized IMET assessments and documented a landscape-level learning workshop (numerator) by the total number of PAs supported by the CCO (denominator).</t>
  </si>
  <si>
    <t>Risk: 'Desk IMETs' where consultants or park wardens fill out the assessment in an office without genuine participatory input from eco-guards or local communities, artificially inflating scores. Mitigation: Mandate that final IMET submissions include signed attendance sheets and meeting minutes from multi-stakeholder validation workshops to ensure data authenticity.</t>
  </si>
  <si>
    <t>Government Entities and Local Communities</t>
  </si>
  <si>
    <t>1.4.3</t>
  </si>
  <si>
    <t>Existing management plans  of CCO supported PAs revised or updated to reflect current threats, stakeholder needs, and conservation priorities starting June 2026</t>
  </si>
  <si>
    <t>Percentage of targeted Protected Areas with revised and updated management plans</t>
  </si>
  <si>
    <t>The proportion of targeted Protected Areas supported by WWF CCO that have successfully revised and updated their management plans to reflect current threats and stakeholder needs during the reporting period. Numerator: Number of targeted Protected Areas with revised and updated management plans. Denominator: Total number of targeted Protected Areas slated for plan revisions.</t>
  </si>
  <si>
    <t>Updated management plan documents; project progress reports</t>
  </si>
  <si>
    <t>Administrative desk review calculating the percentage by dividing the number of targeted Protected Areas with finalized, updated management plan drafts (numerator) by the total number of targeted Protected Areas slated for management plan revisions (denominator).</t>
  </si>
  <si>
    <t>Risk: Plans are revised by consultants in isolation without actual stakeholder input. Mitigation: Require the updated management plans to include documented evidence of stakeholder consultation meetings and participatory threat assessments before they are counted as completed.</t>
  </si>
  <si>
    <t>6.4 Conservation Planning</t>
  </si>
  <si>
    <t>1.4.4</t>
  </si>
  <si>
    <t>Capacity building for PA staff delivered with at least one training session carried out for ecoguards, managers, and technical staff in areas like monitoring, SMART, enforcement, and human rights</t>
  </si>
  <si>
    <t>Number of PA staff trained on SMART, enforcement, and human rights</t>
  </si>
  <si>
    <t>The total count of distinct Protected Area personnel (e.g., eco-guards, managers, technical staff) who have attended and successfully completed designated capacity-building modules on technical enforcement, monitoring, SMART, or human rights during the reporting period.</t>
  </si>
  <si>
    <t>HR training logs; project activity reports</t>
  </si>
  <si>
    <t>Signed training attendance sheets and completion certificates</t>
  </si>
  <si>
    <t>Administrative tally of unique PA staff members who have completed training, extracted from verified attendance registers. Data must be aggregated using unique staff IDs to prevent double-counting individuals who attend multiple sessions.</t>
  </si>
  <si>
    <t>Risk: Duplicate training counts inflating the numbers, or staff signing attendance sheets without completing the course. Mitigation: Maintain a centralized digital training log using unique staff identifiers to cross-reference attendees and prevent double-counting. Require a post-training assessment or certificate of completion to verify actual participation.</t>
  </si>
  <si>
    <t>PA staff</t>
  </si>
  <si>
    <t>TARGET 20: Strengthen Capacity-Building, Technology Transfer, and Scientific and Technical Cooperation for Biodiversity</t>
  </si>
  <si>
    <t>1.4.5</t>
  </si>
  <si>
    <t>Operational equipment and infrastructure improved (e.g., radios, ranger posts, vehicles, GPS devices) for all CCO PAs by June 2026.</t>
  </si>
  <si>
    <t>Percentage of targeted Protected Areas receiving planned operational equipment and infrastructure upgrades</t>
  </si>
  <si>
    <t>The proportion of targeted Protected Areas (PAs) that have officially received their planned operational equipment and infrastructure upgrades (e.g., radios, vehicles, GPS devices) during the reporting period. Numerator: Number of targeted PAs receiving planned operational equipment and infrastructure upgrades. Denominator: Total number of targeted PAs slated for equipment and infrastructure upgrades.</t>
  </si>
  <si>
    <t>Procurement records; asset handover certificates; PA asset inventories</t>
  </si>
  <si>
    <t>Asset handover certificates and inventory logs</t>
  </si>
  <si>
    <t>Administrative calculation dividing the number of targeted PAs that have received their planned upgrades (verified by signed handover documents and asset registries) (numerator) by the total number of targeted PAs slated for upgrades (denominator).</t>
  </si>
  <si>
    <t>Risk: Equipment is delivered but sits unused in storage due to lack of training or fuel. Mitigation: Ensure handover of equipment is paired with immediate user training and integrated into the PA's operational budget.</t>
  </si>
  <si>
    <t>PA Management Authorities and Law Enforcement Teams</t>
  </si>
  <si>
    <t>6.5 Site Infrastructure</t>
  </si>
  <si>
    <t>Jengi-TRIDOM: 60% planned operational equipment
Jengi-TNS
CFP: 0
KZP: 0</t>
  </si>
  <si>
    <t>1.4.6</t>
  </si>
  <si>
    <t>By 2028, sustainable financing mechanisms piloted or expanded focusing on areas of establishing eco-tourism, conservation trust funds, or payment for ecosystem services (PES) schemes to increase financial sustainability for all CCO supported PAs.</t>
  </si>
  <si>
    <t>Number of sustainable financing mechanisms piloted or expanded in WWF-supported protected areas</t>
  </si>
  <si>
    <t>The total count of sustainable financing mechanisms (e.g., eco-tourism initiatives, conservation trust funds, or PES schemes) that have been formally established, piloted, or expanded in WWF-supported protected areas during the reporting period.</t>
  </si>
  <si>
    <t>Project implementation reports; signed financing mechanism agreements; trust fund charters</t>
  </si>
  <si>
    <t>Financing mechanism establishment documents and pilot launch reports</t>
  </si>
  <si>
    <t>Administrative tally of new or expanded sustainable financing mechanisms formally launched during the reporting period, verified by signed agreements, project launch reports, or trust fund establishment documents.</t>
  </si>
  <si>
    <t>Risk: Mechanisms are designed on paper but never operationalized due to lack of seed funding or stakeholder buy-in. Mitigation: Ensure each pilot has a dedicated launch budget and documented endorsement from key local stakeholders and government authorities before being counted.</t>
  </si>
  <si>
    <t>Finance</t>
  </si>
  <si>
    <t>Protected Area Management Authorities and Local Communities</t>
  </si>
  <si>
    <t>10.4 Financing Conservation</t>
  </si>
  <si>
    <t>TARGET 19: Mobilize $200 Billion per Year for Biodiversity From all Sources, Including $30 Billion Through International Finance</t>
  </si>
  <si>
    <t>2.5.1</t>
  </si>
  <si>
    <t>Functional One Health surveillance system established in CCO targeted landscapes (TNS, Campo Ma’an &amp; Lobeke) with annual monitoring of wildlife, livestock, and human populations and early detection and response mechanism for zoonotic outbreaks.</t>
  </si>
  <si>
    <t>Percentage of targeted landscapes with an established One Health surveillance system conducting annual monitoring</t>
  </si>
  <si>
    <t>The proportion of targeted landscapes (e.g., TNS, Campo Ma’an, Lobeke) where a One Health surveillance system has been formally established and has conducted at least one documented monitoring cycle of wildlife, livestock, or human populations during the reporting period. Numerator: Number of targeted landscapes with an established One Health surveillance system conducting monitoring. Denominator: Total number of targeted landscapes slated for One Health systems.</t>
  </si>
  <si>
    <t>One Health system establishment charters; annual multi-sectoral monitoring reports</t>
  </si>
  <si>
    <t>System establishment charters and monitoring reports</t>
  </si>
  <si>
    <t>Administrative desk review dividing the number of targeted landscapes with formal One Health system establishment documents and verified monitoring reports (numerator) by the total number of targeted landscapes (denominator).</t>
  </si>
  <si>
    <t>Risk: Systems are formally established but fail to conduct actual field monitoring due to lack of coordination between health and wildlife ministries. Mitigation: Require the submission of joint, multi-sectoral annual monitoring reports to verify the active status of the system.</t>
  </si>
  <si>
    <t>TARGET 5: Ensure Sustainable, Safe and Legal Harvesting and Trade of Wild Species</t>
  </si>
  <si>
    <t>3. Good Health and Well-being: Ensure healthy lives and promote well-being for all at all ages</t>
  </si>
  <si>
    <t>WWF CCO: 50%</t>
  </si>
  <si>
    <t>2.5.2</t>
  </si>
  <si>
    <t>IP&amp;LCs in CCO supported landscapes are annually sensitized and are practicing safe behaviours to reduce zoonotic risk through awareness campaigns against risky practices (e.g., bushmeat consumption, unsafe animal handling).</t>
  </si>
  <si>
    <t>Percentage of targeted individuals demonstrating improved knowledge and self-reported safe practices regarding zoonotic disease risks</t>
  </si>
  <si>
    <t>The proportion of sampled individuals in targeted communities who achieve a defined passing threshold on a standardized KAP assessment regarding zoonotic disease transmission, safe animal handling, and bushmeat risk reduction following project campaigns. Numerator: Number of sampled individuals achieving the passing threshold on the KAP assessment. Denominator: Total number of individuals sampled in the targeted communities.</t>
  </si>
  <si>
    <t>M&amp;E KAP survey database</t>
  </si>
  <si>
    <t>Survey</t>
  </si>
  <si>
    <t>KoboToolbox mobile surveys and oral assessment guides</t>
  </si>
  <si>
    <t>Administer a structured KAP survey (baseline vs. follow-up) to a statistically representative sample of the target population. Calculate the indicator by dividing the number of respondents scoring above the 'safe practice' threshold (numerator) by the total number of individuals surveyed (denominator).</t>
  </si>
  <si>
    <t>Risk: High illiteracy rates render standard written surveys useless. Severe self-reporting bias or fear of reprisal, as bushmeat hunting is heavily criminalized by eco-guards, leading to false 'safe practice' reporting. Mitigation: Conduct oral KAP assessments using trained local enumerators and anonymize all survey data to separate health surveillance from law enforcement, ensuring community trust.</t>
  </si>
  <si>
    <t>2.5.3</t>
  </si>
  <si>
    <t>Alternative livelihood initiatives and support packages are provided to targeted households to reduce bushmeat dependency.</t>
  </si>
  <si>
    <t>Number of households supported with alternative livelihood initiatives to reduce bushmeat dependency</t>
  </si>
  <si>
    <t>The total count of unique Indigenous Peoples and Local Community (IPLC) households that have received verified technical, material, or financial support from WWF to implement viable economic and protein alternatives to bushmeat hunting (e.g., poultry farming, agroforestry pilots) during the reporting period.</t>
  </si>
  <si>
    <t>Project portfolio database; beneficiary distribution logs; activity reports</t>
  </si>
  <si>
    <t>Beneficiary tracking registers and distribution logs</t>
  </si>
  <si>
    <t>Conduct an administrative tally of unique households recorded in the central project database that have verifiable evidence of receiving livelihood support (e.g., signed distribution logs, training attendance sheets, or funding agreements) during the reporting period.</t>
  </si>
  <si>
    <t>Risk: Distributing poultry or agroforestry seedlings in remote areas often fails rapidly due to lack of cold-chain vaccines, wildlife depredation, or extreme weather, creating community frustration and a rapid return to bushmeat hunting. Mitigation: Ensure livelihood packages include ongoing veterinary or technical extension support, climate-resilient breeds/seeds, and adequate protective infrastructure (e.g., predator-proof coops) rather than just initial distributions.</t>
  </si>
  <si>
    <t>8. Decent Work and Economic Growth: Promote sustained, inclusive and sustainable economic growth, full and productive employment and decent work for all</t>
  </si>
  <si>
    <t>2.5.3b</t>
  </si>
  <si>
    <t>The total count of distinct households (represented by a primary beneficiary or head of household) that have successfully received a verifiable package of direct support (e.g., poultry starter kits, agroforestry seedlings, and associated technical training) designed to provide an alternative protein or income source to bushmeat hunting.</t>
  </si>
  <si>
    <t>Beneficiary database; project distribution logs</t>
  </si>
  <si>
    <t>Beneficiary registration forms and signed delivery waybills</t>
  </si>
  <si>
    <t>Administrative tally of unique households extracted from signed distribution logs. Data must be aggregated using unique household identifiers to prevent double-counting beneficiaries who participate in multiple distribution cycles.</t>
  </si>
  <si>
    <t>Risk: 'Elite Capture and Double Counting' where village elites or project staff register their own family members multiple times to receive multiple starter kits, while vulnerable households are excluded. Mitigation: Implement a transparent, community-validated targeting process, use unique household identifiers for registration, and conduct random spot checks during distributions.</t>
  </si>
  <si>
    <t>2.5.4</t>
  </si>
  <si>
    <t>Degraded habitats under restoration and buffer zones established to limit human-wildlife interaction by 2030</t>
  </si>
  <si>
    <t>Area of degraded habitat and functional buffer zones under active restoration</t>
  </si>
  <si>
    <t>The total surface area (in hectares) where active ecological restoration or buffer zone establishment activities (e.g., planting native vegetation, clearing invasive species) are currently being implemented to limit human-wildlife interfaces.</t>
  </si>
  <si>
    <t>Restoration GIS database; landscape spatial archives</t>
  </si>
  <si>
    <t>GPS handhelds, SMART Mobile, and drone imagery</t>
  </si>
  <si>
    <t>Conduct GPS mapping of the perimeter of restored plots and buffer zones using field teams. Extract, clean, and calculate the polygon data in GIS software to determine the total hectares under active restoration.</t>
  </si>
  <si>
    <t>Risk: 'Paper restoration' where hectares are mapped immediately after planting, but wildlife browsing (e.g., elephants), dry season fires, or lack of maintenance cause total seedling mortality. Mitigation: Ensure mapping is accompanied by scheduled maintenance plans (e.g., weeding, fire breaks) and verify ongoing maintenance or early survival rates during subsequent field audits.</t>
  </si>
  <si>
    <t>16. Forest landscape restoration</t>
  </si>
  <si>
    <t>Forest</t>
  </si>
  <si>
    <t>Forest ecosystems</t>
  </si>
  <si>
    <t>TARGET 2: Restore 30% of all Degraded Ecosystems</t>
  </si>
  <si>
    <t>2.5.5</t>
  </si>
  <si>
    <t>Intersectoral coordination mechanism (One Health platform) operational at landscape level involving all the sectorial stakeholders (Health, agriculture, environment, and wildlife services) and information-sharing and joint planning annually conducted.</t>
  </si>
  <si>
    <t>Number of One Health multi-stakeholder joint planning meetings conducted</t>
  </si>
  <si>
    <t>The total count of formal joint planning and information-sharing meetings successfully convened by the One Health intersectoral coordination mechanism (involving health, agriculture, environment, and wildlife services) during the reporting period.</t>
  </si>
  <si>
    <t>Meeting minutes; attendance registers; shared action plans</t>
  </si>
  <si>
    <t>Meeting minutes and attendance registers</t>
  </si>
  <si>
    <t>Administrative tally of verified meeting minutes and signed attendance sheets demonstrating multi-sectoral participation in joint planning sessions.</t>
  </si>
  <si>
    <t>Risk: Meetings are held but lack multi-sectoral representation. Mitigation: Require signed attendance sheets showing active representation from all key sectors (Health, Agriculture, Environment, Wildlife) for a meeting to be counted.</t>
  </si>
  <si>
    <t>2.5.6</t>
  </si>
  <si>
    <t>By June 2026, policies and protocols developed or strengthened to support zoonotic disease prevention and response, e.g., Standard Operating Procedures (SOPs) for outbreak response established, and zoonotic risk mitigation measures are integrated into local development plans.</t>
  </si>
  <si>
    <t>Number of formal local development plans that integrate zoonotic disease risk mitigation measures</t>
  </si>
  <si>
    <t>The count of officially validated Commune Development Plans (PCDs) or local spatial plans that explicitly include budgeted activities and Standard Operating Procedures (SOPs) for zoonotic disease prevention and outbreak response.</t>
  </si>
  <si>
    <t>Local Council archives; Ministry of Decentralization (MINDDEVEL)</t>
  </si>
  <si>
    <t>Policy review checklist</t>
  </si>
  <si>
    <t>Conduct an administrative review of officially signed local development plans against a standardized rubric, searching for explicit, budgeted zoonotic risk mitigation clauses.</t>
  </si>
  <si>
    <t>Risk: Plans are drafted by external consultants with 'copy-paste' zoonotic clauses to satisfy donor requirements, but are never legally adopted by the local council or lack allocated budgets for implementation. Mitigation: Only count plans that have been officially adopted by the municipal council and have dedicated budget lines approved for zoonotic prevention.</t>
  </si>
  <si>
    <t>7.2 Policies &amp; Guidelines</t>
  </si>
  <si>
    <t>1.5.1</t>
  </si>
  <si>
    <t>Management plans for community hunting zones (CHZ) in CCO targeted landscapes developed or updated mainstreaming best practices by June 2030</t>
  </si>
  <si>
    <t>Percentage of community hunting zones with updated management plans</t>
  </si>
  <si>
    <t>Measures the proportion of targeted Community Hunting Zones (CHZ) with an updated management plan that meets the agreed quality criteria during the reporting period. Numerator: Number of targeted Community Hunting Zones with an updated management plan that meets quality criteria and best practices. Denominator: Total number of targeted Community Hunting Zones in the landscape.</t>
  </si>
  <si>
    <t>Finalized and approved plans; stakeholder validation reports; zoning maps</t>
  </si>
  <si>
    <t>Management plan review checklist</t>
  </si>
  <si>
    <t>Conduct a desk review dividing the number of targeted Community Hunting Zones with an updated, validated management plan meeting best practices (numerator) by the total number of targeted Community Hunting Zones in the landscape (denominator).</t>
  </si>
  <si>
    <t>Risk: Outdated plans or plans lacking genuine community input are counted. Mitigation: Verify the validation date is within the reporting period and require signed minutes from community validation workshops to ensure participatory planning.</t>
  </si>
  <si>
    <t>22. Sustainable use of wild resources and equitable benefits to communities</t>
  </si>
  <si>
    <t>1.5.2</t>
  </si>
  <si>
    <t>All CCO supported CHZs local management committees (COVAREFs) trained on related themes (governance, conflict resolution, wildlife monitoring) and are functional by December 2026.</t>
  </si>
  <si>
    <t>Number of community hunting zones with active management committees</t>
  </si>
  <si>
    <t>The total count of Community Hunting Zones (CHZs) where the local management committee (COVAREF) demonstrates active functionality by holding regular meetings and documenting management decisions during the reporting period.</t>
  </si>
  <si>
    <t>COVAREF meeting minutes; governance assessment reports</t>
  </si>
  <si>
    <t>Governance functionality checklist and meeting minutes</t>
  </si>
  <si>
    <t>Conduct an annual desk review of COVAREF governance records, verifying active status through meeting minutes and implemented action points to assess committee functionality.</t>
  </si>
  <si>
    <t>Risk: 'Paper committees' that are formally established and trained but remain inactive and do not actively govern hunting activities. Mitigation: Mandate that functionality is verified not just by existence, but by the submission of signed meeting minutes and verifiable proof of at least one executed management decision or field activity per year.</t>
  </si>
  <si>
    <t>Jengi-TRIDOM:2(out of 7)
Jengi-TNS: 0
CFP: 0
KZP: 0</t>
  </si>
  <si>
    <t>1.5.3</t>
  </si>
  <si>
    <t>Participatory wildlife monitoring and reporting systems implemented and informs adaptive management decisions by June 2026</t>
  </si>
  <si>
    <t>Number of data-driven management decisions informed by wildlife monitoring systems</t>
  </si>
  <si>
    <t>The total count of formal management actions, hunting quota updates, or strategic patrol shifts enacted by local committees (e.g., COVAREFs) or Protected Area managers that explicitly cite participatory wildlife monitoring data (e.g., SMART/CyberTracker) as the primary rationale.</t>
  </si>
  <si>
    <t>Management committee minutes; official directives; COVAREF resolutions</t>
  </si>
  <si>
    <t>Decision tracking matrix and meeting minutes</t>
  </si>
  <si>
    <t>Conduct an administrative review of formal meeting minutes, COVAREF resolutions, or official directives to verify that recent wildlife monitoring data was explicitly documented as the rationale for an adaptive management decision.</t>
  </si>
  <si>
    <t>Risk: 'Data Silos &amp; Extractive Monitoring.' Communities collect field data using tools like CyberTracker, but the data is extracted to central HQ databases and never fed back to them for local decision-making. Mitigation: Mandate bi-annual data restitution workshops where monitoring results are presented back to COVAREFs and local managers in accessible formats to empower local management actions.</t>
  </si>
  <si>
    <t>Local Communities and Wildlife Managers</t>
  </si>
  <si>
    <t>1.5.4</t>
  </si>
  <si>
    <t>Annual support provided in designing and implementation of benefit-sharing mechanisms showing effective sharing of revenue from legal hunting licenses, eco-tourism, or sustainable game meat schemes in all CCO supported landscapes.</t>
  </si>
  <si>
    <t>Number of benefit-sharing mechanisms receiving design and implementation support</t>
  </si>
  <si>
    <t>The total count of distinct benefit-sharing mechanisms (e.g., from hunting licenses, eco-tourism, sustainable game meat schemes) that have received verifiable technical, financial, or administrative support from WWF in their design or implementation phases during the reporting period.</t>
  </si>
  <si>
    <t>Project technical assistance reports; support MoUs; mechanism draft charters</t>
  </si>
  <si>
    <t>Technical assistance logs and project reports</t>
  </si>
  <si>
    <t>Administrative tally of distinct benefit-sharing mechanisms formally receiving project support, verified through technical assistance logs, consultation workshop reports, or mechanism draft charters.</t>
  </si>
  <si>
    <t>Risk: Support is provided as generic advice without tangible progress on the mechanism. Mitigation: Require verifiable documentation of the mechanism's design (e.g., draft charters, revenue-sharing protocols, or consultation minutes) to count the support as effectively delivered.</t>
  </si>
  <si>
    <t>1.5.5</t>
  </si>
  <si>
    <t>Joint field monitoring missions and annual review meetings are conducted with government authorities and partners to assess community hunting zone performance.</t>
  </si>
  <si>
    <t xml:space="preserve">Number of joint monitoring missions or annual review meetings conducted to assess community hunting zone performance 
</t>
  </si>
  <si>
    <t>The total count of formal joint field monitoring missions or annual review meetings convened with government authorities (e.g., MINFOF) and conservation partners specifically to evaluate the operational and ecological performance of Community Hunting Zones (CHZs) during the reporting period.</t>
  </si>
  <si>
    <t>Mission reports; official meeting minutes; joint recommendations</t>
  </si>
  <si>
    <t>Event tracking register and signed attendance sheets</t>
  </si>
  <si>
    <t>Conduct an administrative tally of completed joint missions and review meetings, verified by cross-referencing signed mission reports, GPS logs from field deployments, and official meeting minutes.</t>
  </si>
  <si>
    <t>Risk: 'Paper missions' claimed without actual field deployment or multi-actor participation. Mitigation: Mandate signed attendance sheets from all participating entities and require GPS-stamped mission reports for any field deployments to verify genuine multi-actor presence.</t>
  </si>
  <si>
    <t>Government Entities, Conservation Partners, and Local Communities</t>
  </si>
  <si>
    <t>Low</t>
  </si>
  <si>
    <t>4.4.1</t>
  </si>
  <si>
    <t>Community grievance redress mechanisms (GRMs) are functional in all CCO supported landscapes by December 2026</t>
  </si>
  <si>
    <t>Percentage of targeted landscapes with a fully operational Grievance Redress Mechanism (GRM)</t>
  </si>
  <si>
    <t>The proportion of targeted conservation landscapes where a formal GRM is established, culturally accessible to IP&amp;LCs, and actively logging, investigating, and resolving community complaints during the reporting period. Numerator: Number of targeted landscapes with a fully operational GRM. Denominator: Total number of targeted conservation landscapes supported by CCO.</t>
  </si>
  <si>
    <t>Central GRM database; landscape resolution reports; community feedback surveys</t>
  </si>
  <si>
    <t>GRM functionality checklist and case resolution audits</t>
  </si>
  <si>
    <t>Conduct an administrative audit of the landscape GRM databases. Calculate the indicator by dividing the number of targeted landscapes possessing a fully operational GRM (verified through active focal points, accessible channels, and resolved logged cases) by the total number of targeted landscapes.</t>
  </si>
  <si>
    <t>Risk: Fear of reprisal by armed eco-guards prevents IP&amp;LCs from utilizing the GRM. Cases involving human rights abuses are buried or ignored by park management. Mitigation: Establish independent, anonymous reporting channels managed by third-party CSOs and guarantee strict confidentiality and escalation protocols to protect complainants.</t>
  </si>
  <si>
    <t>4.4.2</t>
  </si>
  <si>
    <t>IP&amp;LC members actively participate in formal Multi-Stakeholder Platforms (MSPs) and structured dialogue processes.</t>
  </si>
  <si>
    <t>Number of IP&amp;LC members participating in Multi-Stakeholder Platforms (MSPs)</t>
  </si>
  <si>
    <t>The total count of unique individuals from Indigenous Peoples and Local Communities (IP&amp;LCs) who actively participate in formal Multi-Stakeholder Platforms (MSPs) and structured dialogue processes for conservation decision-making during the reporting period, disaggregated by gender and age.</t>
  </si>
  <si>
    <t>MSP meeting minutes; official attendance registers</t>
  </si>
  <si>
    <t>Signed attendance sheets and meeting minutes</t>
  </si>
  <si>
    <t>Administrative tally of unique IP&amp;LC individuals from signed attendance sheets of formal MSP meetings. Data must be strictly de-duplicated using unique participant names or IDs to prevent double-counting across multiple meetings, and disaggregated by gender and age.</t>
  </si>
  <si>
    <t>Risk: 'Tokenistic Participation' where IP&amp;LC members are physically present but do not actively engage, or where sign-in sheets lack gender/age data. Mitigation: Mandate the use of standardized attendance sheets with mandatory disaggregation fields. Cross-reference attendance with meeting minutes to verify that IP&amp;LC interventions or concerns were formally recorded.</t>
  </si>
  <si>
    <t>Indigenous Peoples and Local Communities (IP&amp;LCs)</t>
  </si>
  <si>
    <t>10. Reduced Inequalities: Reduce income inequality within and among countries</t>
  </si>
  <si>
    <t>4.4.3</t>
  </si>
  <si>
    <t>CCO staff and partners trained on conflict sensitivity and human rights-based approaches (FPIC, gender-sensitive engagement, conflict resolution) by June 2026.</t>
  </si>
  <si>
    <t>Number of staff and partners trained on conflict sensitivity and human rights-based approaches</t>
  </si>
  <si>
    <t>The total count of unique individuals (WWF CCO staff and implementing partners) who successfully complete formal training on conflict sensitivity and human rights-based approaches (including FPIC, gender-sensitive engagement, and conflict resolution) during the reporting period.</t>
  </si>
  <si>
    <t>Administrative tally of unique participants who successfully complete the required training curriculum, verified by signed attendance registers and training completion certificates.</t>
  </si>
  <si>
    <t>Risk: Inflated attendance numbers or 'ghost participants'. Mitigation: Maintain a centralized training database with unique participant identifiers and require signed, dated attendance sheets for each training session.</t>
  </si>
  <si>
    <t>Project Staff and Partners</t>
  </si>
  <si>
    <t xml:space="preserve">
9.2 Training &amp; Individual Capacity Development</t>
  </si>
  <si>
    <t>TARGET 23: Ensure Gender Equality and a Gender-Responsive Approach for Biodiversity Action</t>
  </si>
  <si>
    <t>5. Gender Equality: Achieve gender equality and empower all women and girls</t>
  </si>
  <si>
    <t>Jengi-TRIDOM:15 people
Jengi-TNS: 0
CFP: 0
KZP: 0</t>
  </si>
  <si>
    <t>4.4.4</t>
  </si>
  <si>
    <t>Equitable benefit-sharing mechanisms are formally established, documented, or strengthened to support local communities.</t>
  </si>
  <si>
    <t xml:space="preserve">Number of benefit-sharing mechanisms established or strengthened
</t>
  </si>
  <si>
    <t>The total count of formal, documented mechanisms (e.g., ecotourism revenue-sharing agreements, sustainable game meat distribution schemes) that have been newly established or significantly improved (e.g., revised charters, expanded scope) to distribute conservation-derived revenues or resources equitably to target communities.</t>
  </si>
  <si>
    <t>Signed agreements; community governance records; financial ledgers</t>
  </si>
  <si>
    <t>Signed agreements and governance records</t>
  </si>
  <si>
    <t xml:space="preserve">
Administrative tally of distinct benefit-sharing mechanisms that possess formal, signed agreements or operational frameworks actively in place during the reporting period.</t>
  </si>
  <si>
    <t>Risk: 'Paper Mechanisms' that are legally formed but disburse no actual funds. Mitigation: Require proof of an active bank account, initial capitalization, or verifiable first-round disbursements before counting the mechanism as established or strengthened.</t>
  </si>
  <si>
    <t>4.4.4b</t>
  </si>
  <si>
    <t>Equitable benefit-sharing mechanisms implemented and strengthened with IP&amp;LC perceiving tangible benefits from conservation (e.g., jobs, services, micro-projects) in all CCO supported landscapes by December 2027.</t>
  </si>
  <si>
    <t>Percentage of surveyed IP&amp;LC members reporting receipt of tangible benefits through benefit-sharing mechanisms</t>
  </si>
  <si>
    <t>The proportion of surveyed Indigenous Peoples and Local Community (IPLC) members who self-report receiving direct material, financial, or service-based benefits from conservation mechanisms. Numerator: Number of surveyed IPLC members who confirm receiving tangible conservation benefits. Denominator: Total number of IPLC members sampled during the survey.</t>
  </si>
  <si>
    <t>Household and community perception surveys</t>
  </si>
  <si>
    <t>Standardized socio-economic survey questionnaire</t>
  </si>
  <si>
    <t>Conduct an annual household survey. Calculate the percentage by dividing the number of respondents who report receiving tangible conservation benefits (numerator) by the total number of respondents sampled (denominator), disaggregating data by gender and age.</t>
  </si>
  <si>
    <t>Risk: 'Elite Capture' where benefits are monopolized by local leaders, and surveyed households feel pressured to report satisfaction out of fear. Mitigation: Ensure surveys are strictly anonymous, conducted by independent enumerators rather than local authorities, and use randomized household sampling to capture the voices of marginalized members.</t>
  </si>
  <si>
    <t xml:space="preserve">
5.4 Direct Economic Incentives</t>
  </si>
  <si>
    <t>4.4.5</t>
  </si>
  <si>
    <t>Annual monitoring and learning system for social impact established and used for adaptive management.</t>
  </si>
  <si>
    <t>Number of targeted landscapes with an operational social impact monitoring and learning system</t>
  </si>
  <si>
    <t>The total count of targeted conservation landscapes that have established and actively utilize a formalized monitoring and learning system to track social impacts and inform adaptive management during the reporting period.</t>
  </si>
  <si>
    <t>M&amp;E system records; adaptive management meeting minutes; landscape monitoring reports</t>
  </si>
  <si>
    <t>System audit and document review checklist</t>
  </si>
  <si>
    <t>Conduct an administrative review of M&amp;E system records to verify that social impact data is actively collected, and review landscape management meeting minutes to confirm this data is utilized for adaptive management decisions.</t>
  </si>
  <si>
    <t>Risk: 'Paper Systems' where systems are designed but never populated with real field data or used for actual decision-making. Mitigation: Require verified data entries and recent learning session minutes demonstrating adaptive management decisions before counting a system as operational.</t>
  </si>
  <si>
    <t>Project Teams and Local Communities</t>
  </si>
  <si>
    <t>WWF CCO: 4</t>
  </si>
  <si>
    <t>4.5.1</t>
  </si>
  <si>
    <t>Perception surveys and participatory assessments carried out every two years to understand and track IP&amp;LC attitudes, values, and concerns related to conservation.</t>
  </si>
  <si>
    <t>Number of IP&amp;LC perception surveys and participatory assessments completed</t>
  </si>
  <si>
    <t>The total count of finalized, methodologically validated survey reports or participatory assessments that capture and analyze Indigenous Peoples and Local Communities' (IP&amp;LC) attitudes, values, and concerns regarding conservation impacts during the reporting period.</t>
  </si>
  <si>
    <t>Project document repository; PMEL database</t>
  </si>
  <si>
    <t>Validated survey reports and participatory assessment records</t>
  </si>
  <si>
    <t>Conduct an administrative tally of finalized, peer-reviewed perception survey reports and participatory assessments that have been officially submitted and validated by project management.</t>
  </si>
  <si>
    <t>Risk: High illiteracy rates and deep cultural barriers among marginalized indigenous groups (e.g., Baka, Bagyeli) render standard written or academic surveys useless, resulting in excluded voices or inaccurate data. Mitigation: Mandate the use of oral, visual, and participatory assessment tools (e.g., Smiley scales, community mapping) administered by trained local enumerators in native languages.</t>
  </si>
  <si>
    <t>4.5.6</t>
  </si>
  <si>
    <t>By June 2028, IP&amp;LCs are involved in co-management and decision-making (e.g., community members have representation in governance structures for PAs or other community-managed zones) and they are included in the elaboration of PA management plans or land-use decisions.</t>
  </si>
  <si>
    <t>Number of formal conservation governance structures with documented IP&amp;LC representation and active participation</t>
  </si>
  <si>
    <t>The total count of formal conservation governance bodies (e.g., PA Steering Committees, CHZ boards) where recognized Indigenous Peoples and Local Community (IP&amp;LC) representatives hold official, documented voting or decision-making power during the reporting period.</t>
  </si>
  <si>
    <t>Governance meeting minutes; legal charters</t>
  </si>
  <si>
    <t>Platform functionality and participation scorecard</t>
  </si>
  <si>
    <t>Conduct a desk audit of governance charters to verify formal IP&amp;LC seating, followed by a review of meeting minutes using a participation scorecard to confirm IP&amp;LC members actually spoke or voted during key decisions.</t>
  </si>
  <si>
    <t>Risk: Severe 'Tokenism' where IP&amp;LC members are physically brought to the meeting to satisfy donor quotas, but are unable to speak or influence decisions due to language barriers or power imbalances. Mitigation: Mandate that meetings are conducted with translation into local languages, and utilize a participation scorecard to evaluate meeting minutes to verify that IP&amp;LC members actively spoke or voted on key decisions.</t>
  </si>
  <si>
    <t>4.5.7</t>
  </si>
  <si>
    <t>By June 2026, conservation-related livelihood benefits delivered for IP&amp;LCs (e.g., employment, support for eco-friendly enterprises, access to resources) in all CCO supported landscapes.</t>
  </si>
  <si>
    <t>Number of IP&amp;LC households receiving conservation-related livelihood support packages</t>
  </si>
  <si>
    <t>The total count of unique Indigenous Peoples and Local Community (IP&amp;LC) households that have physically received verified conservation-related livelihood support (e.g., enterprise starter kits, technical training, or resource access permits) from the project during the reporting period.</t>
  </si>
  <si>
    <t>Beneficiary distribution logs; training attendance registers; project activity reports</t>
  </si>
  <si>
    <t>Beneficiary tracking registers</t>
  </si>
  <si>
    <t>Administrative tally of unique households from signed distribution logs and beneficiary registers, strictly de-duplicated using unique household IDs.</t>
  </si>
  <si>
    <t>Risk: Elite capture where support packages are hijacked by local leaders, excluding vulnerable IP&amp;LC households. Mitigation: Use a transparent, community-validated beneficiary selection process and conduct random spot checks during distributions.</t>
  </si>
  <si>
    <t>4.6.1</t>
  </si>
  <si>
    <t>Needs assessment on types of culturally contextualised IGAs carried out in targeted CCO landscapes by June 2026</t>
  </si>
  <si>
    <t>Existence of a report on assessment of income-generation activity</t>
  </si>
  <si>
    <t>The formal availability of a finalized, validated assessment report identifying and prioritizing culturally appropriate Income-Generating Activities (IGAs) for the targeted communities, officially uploaded to the central Knowledge Management System (KMS).</t>
  </si>
  <si>
    <t>Administrative M&amp;E verification confirming the digital presence of a finalized and community-validated IGA assessment report in the official project repository. Recorded as 'Yes' if fully available and validated, and 'No' otherwise.</t>
  </si>
  <si>
    <t>Risk: 'Shelf-ware Reports.' The assessment is drafted by external consultants without genuine IPLC validation, resulting in culturally inappropriate IGA recommendations that are never adopted by the community. Mitigation: Mandate that the assessment methodology includes Participatory Rural Appraisal (PRA) techniques and requires a formal, documented community validation meeting before the final report is approved.</t>
  </si>
  <si>
    <t>4.6.2</t>
  </si>
  <si>
    <t>A validated baseline dataset and report on household income vulnerability and livelihood diversity is completed and formally archived for targeted CCO landscapes.</t>
  </si>
  <si>
    <t>Existence of baseline dataset on income vulnerability and livelihood diversity</t>
  </si>
  <si>
    <t>Confirms whether a validated baseline dataset and report on household income vulnerability and livelihood diversity in targeted Indigenous Peoples and Local Community (IP&amp;LC) communities has been completed and formally archived during the reporting period.</t>
  </si>
  <si>
    <t>Survey reports; household economic profile database; central document repository</t>
  </si>
  <si>
    <t>Administrative verification confirming the digital presence of a finalized and community-validated baseline dataset and report in the official project repository. Recorded as 'Yes' if fully available and validated, and 'No' otherwise.</t>
  </si>
  <si>
    <t>Risk: Inaccurate responses during baseline collection leading to flawed data, or the dataset is collected but never analyzed and validated with the community. Mitigation: Mandate rigorous enumerator training using local dialects, use standardized digital survey tools (e.g., KoboToolbox) with built-in data validation, and require formal community restitution workshops to validate findings.</t>
  </si>
  <si>
    <t>4.6.3</t>
  </si>
  <si>
    <t>By 2030, at least 3 green diversified and climate-resilient livelihoods initiatives (e.g., agroforestry, organic farming, fisheries management, ecotourism, handicrafts, and small business development) implemented with support from CCO in each supported landscape.</t>
  </si>
  <si>
    <t>Number of IP&amp;LC households provided with technical or material support for climate-resilient livelihood initiatives</t>
  </si>
  <si>
    <t>The total count of unique Indigenous Peoples and Local Community (IP&amp;LC) households that have received direct, verifiable technical training or material inputs (e.g., agroforestry seedlings, organic farming tools) to establish climate-resilient livelihoods during the reporting period.</t>
  </si>
  <si>
    <t>Project distribution logs; training attendance registers</t>
  </si>
  <si>
    <t>Beneficiary tracking registers and signed delivery waybills</t>
  </si>
  <si>
    <t>Administrative tally of unique households extracted from signed distribution waybills and training attendance sheets, strictly de-duplicated across the different livelihood initiatives to prevent double-counting.</t>
  </si>
  <si>
    <t>Risk: Inputs are distributed but are unsuitable for local climate or sold immediately instead of planted. Mitigation: Ensure all distributed inputs are climate-appropriate and paired with required technical extension training prior to handover.</t>
  </si>
  <si>
    <t>Jengi-TRIDOM: 40 households
Jengi-TNS: 0
CFP: 0
KZP: 0</t>
  </si>
  <si>
    <t>4.6.4</t>
  </si>
  <si>
    <t>Individuals from targeted IP&amp;LC micro-enterprises and cooperatives are trained in business management, value chain development, product development, and marketing.</t>
  </si>
  <si>
    <t>Number of individuals from targeted IP&amp;LC enterprises trained in business management and value chain development</t>
  </si>
  <si>
    <t>The total count of unique individuals representing Indigenous Peoples and Local Community (IP&amp;LC) micro-enterprises or cooperatives who have successfully completed the project's formalized training curriculum on business development, quality control, or marketing during the reporting period.</t>
  </si>
  <si>
    <t>Training database; enterprise support logs</t>
  </si>
  <si>
    <t>Attendance registers and training certificates</t>
  </si>
  <si>
    <t>Tally of unique individuals from signed attendance registers who completed the enterprise curriculum, de-duplicated using unique participant IDs to prevent double-counting across multiple training modules.</t>
  </si>
  <si>
    <t>Risk: 'Per-diem hunting,' where community members attend business training strictly for the daily transport and meal allowances, possessing no actual micro-enterprise or intention to apply the skills. Mitigation: Require participants to be nominated by an active cooperative or demonstrate pre-existing micro-enterprise activity prior to enrollment, and issue completion certificates only after passing a practical post-training assessment.</t>
  </si>
  <si>
    <t>4.6.5</t>
  </si>
  <si>
    <t>By 2030, access to national and at least 3 international markets for IP&amp;LC products, including the development of branding, packaging, and marketing strategies facilitated and support provided to boost IP&amp;LC capacity to engage in direct trade relationships and ensure fair pricing for their products.</t>
  </si>
  <si>
    <t>Number of IP&amp;LC product lines receiving formal branding, packaging, and market linkage support</t>
  </si>
  <si>
    <t>The total count of distinct IP&amp;LC value chains or product lines that have received verified technical or financial assistance from WWF to develop branding, packaging, or formal marketing strategies during the reporting period.</t>
  </si>
  <si>
    <t>Project activity reports; technical assistance logs; marketing materials</t>
  </si>
  <si>
    <t>Enterprise support tracking registers</t>
  </si>
  <si>
    <t>Administrative tally of distinct product lines or value chains that have documented evidence of receiving market facilitation support (e.g., finalized branding kits, packaging materials, or organized trade fairs).</t>
  </si>
  <si>
    <t>Risk: Branding and packaging materials are developed but do not meet national regulatory standards, rendering them unusable for formal markets. Mitigation: Ensure all project-supported packaging and branding initiatives involve consultations with relevant trade and health regulatory authorities prior to final production.</t>
  </si>
  <si>
    <t>Jengi-TRIDOM: 0 (AAFEBEN is handling this aspect by organising the IP&amp;LC into cooperatives and SIGs)
Jengi-TNS: 0
CFP: 0
KZP: 0</t>
  </si>
  <si>
    <t>4.6.6</t>
  </si>
  <si>
    <t>By 2030, CCO is offering 100% support to sustainable eco-tourism and conservation-linked employment opportunities, such as eco-tourism opportunities (guides, rangers,…) in line with community-based tourism initiatives that link conservation to income generation.</t>
  </si>
  <si>
    <t>Number of IP&amp;LC members receiving support for conservation-linked employment</t>
  </si>
  <si>
    <t>The total count of unique individuals from Indigenous Peoples and Local Communities (IP&amp;LCs) who have physically received verified project support (e.g., guide training, eco-guard equipment, enterprise start-up kits) aimed at facilitating conservation-linked employment during the reporting period.</t>
  </si>
  <si>
    <t>Training attendance registers; equipment distribution logs; project activity reports</t>
  </si>
  <si>
    <t>Administrative tally of unique IP&amp;LC individuals from signed distribution logs and training registers, de-duplicated using unique IDs to prevent counting the same person multiple times across different support types.</t>
  </si>
  <si>
    <t>Risk: Support is captured by local elites instead of reaching marginalized IP&amp;LC members. Mitigation: Use transparent, community-validated beneficiary selection criteria and conduct spot checks during distributions.</t>
  </si>
  <si>
    <t>Jengi-TRIDOM: 120 people
Jengi-TNS: 0
CFP: 0
KZP: 0</t>
  </si>
  <si>
    <t>4.6.7</t>
  </si>
  <si>
    <t>IP&amp;LC members actively participate in WWF-supported conservation implementation activities, such as wildlife monitoring and habitat restoration, in CCO supported landscapes.</t>
  </si>
  <si>
    <t>Number of IP&amp;LC members participating in conservation activities with WWF support</t>
  </si>
  <si>
    <t>The total count of unique individuals from Indigenous Peoples and Local Communities (IP&amp;LC) who actively participate in WWF-supported conservation implementation activities (e.g., wildlife monitoring, habitat restoration, and field patrols) during the reporting period.</t>
  </si>
  <si>
    <t>Project activity archives; community participation registers</t>
  </si>
  <si>
    <t>Standardized digital attendance sheets (e.g., KoboToolbox)</t>
  </si>
  <si>
    <t>Conduct an administrative tally extracting unique IP&amp;LC participants from verified attendance logs. Aggregate data using unique identifiers to establish total annual reach and prevent double-counting across multiple events.</t>
  </si>
  <si>
    <t>Risk: Double-counting individuals who participate in multiple events, artificially inflating participation rates. Mitigation: Enforce unique participant IDs in a centralized beneficiary database to de-duplicate attendance logs and accurately determine the true number of unique community members engaged.</t>
  </si>
  <si>
    <t>4.6.8</t>
  </si>
  <si>
    <t>A functional household income tracking system is established and actively utilized by targeted landscapes to monitor income trends related to WWF-supported activities.</t>
  </si>
  <si>
    <t>Percentage of targeted landscapes utilizing a functional household income tracking system</t>
  </si>
  <si>
    <t>The proportion of targeted WWF landscapes (implementing livelihood interventions) that have established and actively utilize a formalized digital data system to track household income trends during the reporting period. Numerator: Number of targeted landscapes with an active, functional household income tracking system. Denominator: Total number of targeted landscapes implementing livelihood interventions.</t>
  </si>
  <si>
    <t>PMEL database and server architectures</t>
  </si>
  <si>
    <t>System audit checklist and backend data upload logs</t>
  </si>
  <si>
    <t>Administrative calculation dividing the number of targeted landscapes with verified, active income tracking databases (evidenced by recent timestamped data uploads) (numerator) by the total number of targeted landscapes implementing livelihood interventions (denominator).</t>
  </si>
  <si>
    <t>Risk: 'Empty Shell Systems.' Databases are built but remain unpopulated due to enumerator fatigue or lack of field connectivity. Mitigation: Audits must verify recent, continuous data entries rather than just system existence, and mandate the use of offline-capable data collection tools (e.g., KoboCollect) to overcome remote Congo Basin connectivity barriers.</t>
  </si>
  <si>
    <t>Project PMEL Teams and Beneficiary Households</t>
  </si>
  <si>
    <t>4.6.9</t>
  </si>
  <si>
    <t>By 2030, partnerships with local and international organizations, NGOs, and private sector players to enhance income opportunities for IP&amp;LCs, local businesses and NGOs to bring technical, financial, and market support to IP&amp;LC communities is strengthened in all CCO supported landscapes.</t>
  </si>
  <si>
    <t>Number of formal, functional partnerships established to support IP&amp;LC income opportunities</t>
  </si>
  <si>
    <t>The total count of formalized agreements (MoUs, Joint Ventures) signed with external entities (private sector, NGOs) that are actively functional, defined as having verifiable evidence of joint technical, financial, or market support delivered to IP&amp;LC communities during the reporting period.</t>
  </si>
  <si>
    <t>Project partnership archives; joint activity reports; co-financing ledgers</t>
  </si>
  <si>
    <t>Signed MoUs and joint action plans</t>
  </si>
  <si>
    <t>Administrative count of fully executed partnership documents that contain documented evidence (e.g., joint field mission reports, co-financing ledgers, market linkage contracts) of actual implementation in the field.</t>
  </si>
  <si>
    <t>Risk: 'Paper Partnerships' and 'Greenwashing.' Private sector actors (e.g., logging or agri-business companies) sign MoUs with WWF purely for public relations benefits, but fail to deliver tangible investments or change their on-the-ground practices. Mitigation: Do not count mere signatures; mandate that partnerships are only recorded if accompanied by verified joint activity reports, transparent financial ledgers, or co-implemented field missions demonstrating actual resource deployment.</t>
  </si>
  <si>
    <t>Indigenous Peoples and Local Communities (IP&amp;LCs), Local Businesses, and NGOs</t>
  </si>
  <si>
    <t>Jengi-TRIDOM: 2
Jengi-TNS: 0
CFP/MC: 0
KZP/KoudouZongo/Campo: 0</t>
  </si>
  <si>
    <t>4.7.1</t>
  </si>
  <si>
    <t>By June 2026, a comprehensive survey to evaluate the current levels of access to key materials such as clean water, energy, education, healthcare, sanitation, and housing within targeted IP&amp;LC communities carried out.</t>
  </si>
  <si>
    <t>Existence of a survey report on community access to material of good life</t>
  </si>
  <si>
    <t>The formal availability of a finalized, validated baseline survey report evaluating current access to key materials (clean water, energy, education, healthcare, sanitation, housing) for targeted Indigenous Peoples and Local Communities (IP&amp;LCs), officially uploaded to the central Knowledge Management System (KMS).</t>
  </si>
  <si>
    <t>Central document repository; Knowledge Management System (KMS)</t>
  </si>
  <si>
    <t>Administrative M&amp;E verification confirming the digital presence of a finalized and community-validated baseline survey report in the official project repository. Recorded as 'Yes' if fully available and validated, and 'No' otherwise.</t>
  </si>
  <si>
    <t>Risk: 'Shelf-ware Reports' where the survey is drafted by external consultants without genuine IPLC validation, leading to inaccurate data. Mitigation: Require signed community validation minutes before final report approval, and ensure the survey design utilizes culturally appropriate, participatory methods (e.g., PRA, oral surveys) to capture accurate IP&amp;LC perspectives.</t>
  </si>
  <si>
    <t xml:space="preserve">
8.1 Basic Research &amp; Status Monitoring</t>
  </si>
  <si>
    <t>4.7.2</t>
  </si>
  <si>
    <t>By 2030, at least 50% of the targeted IP&amp;LCs in the CCO targeted landscapes have improved access to clean water by installation or upgrading of community-based water systems (e.g., wells, boreholes, rainwater harvesting systems).</t>
  </si>
  <si>
    <t>Percentage of targeted IP&amp;LC households with access to project-supported clean water points</t>
  </si>
  <si>
    <t>The proportion of targeted Indigenous Peoples and Local Community (IP&amp;LC) households that have reliable, year-round access to clean water from project-installed or rehabilitated infrastructure (e.g., boreholes, wells) that are verified as fully functional during the reporting period. Numerator: Number of targeted IP&amp;LC households with reliable access to functional project-supported water points. Denominator: Total number of targeted IP&amp;LC households in the intervention area.</t>
  </si>
  <si>
    <t>Water infrastructure database; beneficiary census; water committee logs</t>
  </si>
  <si>
    <t>Water point functionality audit and beneficiary registers</t>
  </si>
  <si>
    <t>Conduct an annual ground survey and technical functionality audit (e.g., pump flow test) of water points. Calculate the indicator by dividing the number of unique households located within the standard catchment radius of fully functional water points (numerator) by the total number of targeted households in the intervention area (denominator).</t>
  </si>
  <si>
    <t>Risk: 'Ghost Infrastructure' where boreholes break down after 6 months because no local supply chain exists for spare parts (e.g., pump seals) and no village maintenance fund was established. Mitigation: Mandate the creation and capacity building of a community water management committee, establish a user-fee collection system for a maintenance fund, and train local artisans on basic repairs before any infrastructure is handed over.</t>
  </si>
  <si>
    <t>High Cost</t>
  </si>
  <si>
    <t>TARGET 11: Restore, Maintain and Enhance Nature’s Contributions to People</t>
  </si>
  <si>
    <t>6. Clean Water and Sanitation: Ensure availability and sustainable management of water and sanitation for all</t>
  </si>
  <si>
    <t>4.7.3</t>
  </si>
  <si>
    <t>By December 2026, community governance and participation in local development strengthened through enhanced leadership and governance structures to empower IP&amp;LCs to manage and advocate for their needs and rights.</t>
  </si>
  <si>
    <t>Number of functional local community governance structures established or revitalized</t>
  </si>
  <si>
    <t>The total count of local community governance bodies (e.g., village development committees) that have been established or revitalized and meet strict functionality criteria, including holding regular meetings, maintaining transparent records, and ensuring equitable representation of women and indigenous minorities during the reporting period.</t>
  </si>
  <si>
    <t>Community governance archives; project logs</t>
  </si>
  <si>
    <t>Governance functionality scorecard</t>
  </si>
  <si>
    <t>Conduct a desk audit of committee charters and meeting minutes against a standardized functionality scorecard, verifying meeting frequency, quorum, and diverse demographic representation.</t>
  </si>
  <si>
    <t>Risk: Elite capture, where traditional chiefs or local elites hijack the 'revitalized' structure to control development funds, entirely excluding women or indigenous minorities. Mitigation: Mandate diversity quotas (e.g., minimum percentage of women and indigenous minorities) in committee charters and verify their active participation through independent spot-checks during community meetings.</t>
  </si>
  <si>
    <t>10.2 External Organizational Development &amp; Support</t>
  </si>
  <si>
    <t>Jengi-TRIDOM: 7
Jengi-TNS: 0
CFP: 0
KZP: 0</t>
  </si>
  <si>
    <t>4.7.4</t>
  </si>
  <si>
    <t>By June 2026, a monitoring system to track community access to materials of a good life over time and identify priority areas for adaptive interventions is in place and being implemented.</t>
  </si>
  <si>
    <t>Number of targeted landscapes where a monitoring system for community access to materials of a good life is established</t>
  </si>
  <si>
    <t>The total count of targeted conservation landscapes where a formalized monitoring system designed to track community access to materials of a good life has been officially established, configured, and deployed during the reporting period.</t>
  </si>
  <si>
    <t>System configuration reports; IT deployment logs; project handover documents</t>
  </si>
  <si>
    <t>System deployment checklist</t>
  </si>
  <si>
    <t>Administrative desk review verifying the formal deployment and configuration of the monitoring system in each targeted landscape through signed handover documents or active system links.</t>
  </si>
  <si>
    <t>Risk: Systems are established centrally but remain inaccessible to field staff due to lack of training or connectivity. Mitigation: Require documented proof of field staff training on the system and ensure the system design includes offline data collection capabilities (e.g., KoboCollect) prior to counting it as established.</t>
  </si>
  <si>
    <t>WWF CCO: 2</t>
  </si>
  <si>
    <t>4.8.1</t>
  </si>
  <si>
    <t>A finalized and validated assessment report identifying gaps in existing policies on IP&amp;LC rights is produced and formally archived.</t>
  </si>
  <si>
    <t>Existence of an assessment report on gaps in existing policies on IP&amp;LC rights</t>
  </si>
  <si>
    <t>The formal availability of a finalized and validated assessment report identifying gaps in existing policies affecting IPLC rights—specifically across the themes of land tenure, culture, governance, and natural resource management (NRM)—officially uploaded to the central Knowledge Management System (KMS).</t>
  </si>
  <si>
    <t>Central document repository; Knowledge Management System</t>
  </si>
  <si>
    <t>Administrative M&amp;E verification confirming the digital presence of a finalized, peer-reviewed policy gap assessment report in the official project repository. Recorded as 'Yes' if fully available and community-validated, and 'No' otherwise.</t>
  </si>
  <si>
    <t>Risk: 'Shelf-ware Reports.' The assessment is drafted by external consultants without genuine IPLC input and is never utilized for advocacy. Mitigation: Require signed validation meeting minutes from IP&amp;LC representatives and local civil society organizations before the report is finalized, ensuring the gaps identified reflect genuine community concerns.</t>
  </si>
  <si>
    <t>Policy Makers and Local Communities</t>
  </si>
  <si>
    <t>4.8.2</t>
  </si>
  <si>
    <t>By 2028, multi-stakeholder platforms to ensure that IP&amp;LC concerns are heard and incorporated into policy recommendations facilitated by CCO in all CCO supported landscapes.</t>
  </si>
  <si>
    <t>Number of multi-stakeholder platform meetings facilitated to discuss IP&amp;LC policy concerns</t>
  </si>
  <si>
    <t>The total count of formal multi-stakeholder platform (MSP) meetings financially or technically facilitated by WWF CCO where Indigenous Peoples and Local Communities (IP&amp;LC) concerns regarding policy recommendations are explicitly included on the agenda during the reporting period.</t>
  </si>
  <si>
    <t>Meeting minutes; attendance registers; event agendas</t>
  </si>
  <si>
    <t>Meeting minutes and attendance sheets</t>
  </si>
  <si>
    <t>Administrative tally of verified MSP meeting minutes and signed attendance sheets demonstrating that WWF facilitated the event and that IP&amp;LC policy concerns were discussed.</t>
  </si>
  <si>
    <t>Risk: Meetings are held but IP&amp;LC representatives are not invited or face language barriers preventing meaningful participation. Mitigation: Mandate that meeting facilitation requires sending invitations in advance to legitimate IP&amp;LC representatives and providing local language translation during the sessions.</t>
  </si>
  <si>
    <t>Jengi-TRIDOM:4
Jengi-TNS: 0
CFP: 0
KZP: 0</t>
  </si>
  <si>
    <t>4.8.3</t>
  </si>
  <si>
    <t>By 2030, IP&amp;LC leaders and community representatives on policy analysis, legal frameworks, and advocacy strategies are empowered and effectively engaged with decision-makers.</t>
  </si>
  <si>
    <t>Number of IP&amp;LC leaders and community representatives trained on policy analysis and advocacy strategies</t>
  </si>
  <si>
    <t>The total count of unique Indigenous Peoples and Local Community (IP&amp;LC) leaders who have completed the formalized training curriculum covering legal frameworks, policy analysis, and advocacy strategies to engage decision-makers.</t>
  </si>
  <si>
    <t>Training database; community capacity records</t>
  </si>
  <si>
    <t>Attendance registers and post-training assessments</t>
  </si>
  <si>
    <t>Administrative tally of unique individuals from signed attendance registers who completed the advocacy curriculum, de-duplicated using unique participant IDs to prevent double-counting across different modules.</t>
  </si>
  <si>
    <t>Risk: Elite capture of capacity-building resources, where urban-based NGO workers or dominant local elites (e.g., Bantu chiefs) are selected for the advocacy training instead of marginalized IP&amp;LC representatives. Mitigation: Implement a transparent, community-led selection process for trainees and verify participant origins to ensure equitable representation of deep-forest communities.</t>
  </si>
  <si>
    <t>4.8.4</t>
  </si>
  <si>
    <t>Policy briefs and legislative recommendations on IP&amp;LC rights are co-authored and formalized with IP&amp;LC representatives and legal experts.</t>
  </si>
  <si>
    <t>Number of policy briefs or legislative recommendations on IP&amp;LC rights co-authored with IP&amp;LC representatives and legal experts</t>
  </si>
  <si>
    <t>The total count of formalized policy briefs, draft decrees, or legal recommendations developed collaboratively—evidenced by documented co-authorship or formal endorsement—by WWF, independent legal experts, and recognized IP&amp;LC representatives.</t>
  </si>
  <si>
    <t>Project document repository; policy archives</t>
  </si>
  <si>
    <t>Administrative tally of finalized policy documents that include formal acknowledgements, validation meeting minutes, or co-signatures from IP&amp;LC representatives and legal researchers.</t>
  </si>
  <si>
    <t>Risk: 'Consultant Capture,' where policy briefs are written entirely by external, urban-based consultants with no genuine input from or understanding of the deep-forest IP&amp;LCs whose rights they claim to represent. Mitigation: Mandate co-authorship or formal endorsement processes that require documented IP&amp;LC consultation and validation workshops before any policy brief is finalized.</t>
  </si>
  <si>
    <t>4.8.5</t>
  </si>
  <si>
    <t>Targeted advocacy engagements are conducted with key decision-makers to promote IP&amp;LC-focused and biodiversity policy changes.</t>
  </si>
  <si>
    <t>Number of targeted advocacy engagements conducted with key decision-makers</t>
  </si>
  <si>
    <t>The total count of formal, documented advocacy engagements (e.g., parliamentary briefings, high-level ministerial meetings, official policy presentations) executed by WWF and partners to promote specific IP&amp;LC-focused or biodiversity policy changes.</t>
  </si>
  <si>
    <t>Advocacy tracking matrix; project governance logs</t>
  </si>
  <si>
    <t>Signed agendas and official correspondence</t>
  </si>
  <si>
    <t>Administrative tally of verified high-level meetings and events where specific policy asks were presented to government officials or legislators, cross-referenced with the approved advocacy strategy.</t>
  </si>
  <si>
    <t>Risk: 'Access over Influence.' Project staff secure meetings with low-level administrators who possess no actual legislative power to change the targeted policy, simply to hit numerical targets. Mitigation: Define 'key decision-makers' to include only individuals with formal authority over the targeted policy, and verify their attendance via signed meeting minutes.</t>
  </si>
  <si>
    <t>Policy Makers</t>
  </si>
  <si>
    <t>4.8.6</t>
  </si>
  <si>
    <t>Formal policy consultation meetings are held with government agencies and lawmakers to review proposed biodiversity or IP&amp;LC policies.</t>
  </si>
  <si>
    <t>Number of formal policy consultation meetings held with government agencies and lawmakers</t>
  </si>
  <si>
    <t>The total count of official working sessions, technical committees, or consultation workshops convened with government ministries, parliamentarians, and legal drafters specifically dedicated to reviewing and advancing proposed biodiversity or IP&amp;LC policy drafts during the reporting period.</t>
  </si>
  <si>
    <t>Policy consultation register; ministry archives</t>
  </si>
  <si>
    <t>Signed agendas and meeting minutes</t>
  </si>
  <si>
    <t>Administrative tally of formal consultation events supported by official government invitations, signed attendance sheets, and documented feedback on the policy drafts.</t>
  </si>
  <si>
    <t>Risk: 'The Endless Draft' syndrome. Ministries endlessly hold consultations on the same policy draft to collect workshop per-diems, creating a continuous loop of 'events' without moving toward enactment. Mitigation: Require that counted consultations generate documented, progressive revisions to the draft policy and tie continued funding to reaching legislative milestones.</t>
  </si>
  <si>
    <t>4.8.7</t>
  </si>
  <si>
    <t>Enacted conservation policies achieve intended outcomes and demonstrate responsiveness to the evolving needs, rights, and livelihoods of IP&amp;LC communities in CCO targeted landscapes.</t>
  </si>
  <si>
    <t>Percentage of enacted conservation policies resulting in verified improvements in IP&amp;LC natural resource rights and livelihoods</t>
  </si>
  <si>
    <t>The proportion of enacted conservation policies or Natural Resource Management (NRM) governance decisions supported by CCO that, upon independent evaluation, demonstrate real, tangible improvements in resource access, governance inclusion, and livelihoods for Indigenous Peoples and Local Communities (IP&amp;LCs) during the reporting period. Numerator: Number of evaluated policies demonstrating verified positive IP&amp;LC impacts. Denominator: Total number of CCO-supported enacted policies evaluated.</t>
  </si>
  <si>
    <t>Policy impact evaluation reports; community perception surveys; livelihood assessments</t>
  </si>
  <si>
    <t>Standardized policy impact assessment rubric and household survey data</t>
  </si>
  <si>
    <t>Conduct a mixed-methods evaluation including document review and community surveys. Calculate the indicator by dividing the number of enacted policies that score successfully on the impact rubric (evidenced by verified positive community feedback and livelihood data) by the total number of enacted policies evaluated.</t>
  </si>
  <si>
    <t>Risk: 'Paper Policies' where policies are legally enacted but never enforced or funded on the ground, yielding zero community benefit. Mitigation: Do not count policies based merely on their legal adoption; mandate that the evaluation requires verifiable field evidence of enforcement and direct community testimonies confirming tangible livelihood or rights improvements.</t>
  </si>
  <si>
    <t>2.1.1.1</t>
  </si>
  <si>
    <t xml:space="preserve">All HCV forests in CCO targeted landscapes identified, mapped, and classified </t>
  </si>
  <si>
    <t>Percentage of identified High Conservation Value (HCV) forests mapped and community-validated</t>
  </si>
  <si>
    <t>The proportion of identified High Conservation Value (HCV) forests within targeted landscapes that have been fully mapped, classified, and formally validated by local communities during the reporting period. Numerator: Number of identified HCV forests fully mapped and community-validated. Denominator: Total number of identified HCV forests in the targeted landscapes.</t>
  </si>
  <si>
    <t>Central GIS database; knowledge management system; community validation meeting minutes</t>
  </si>
  <si>
    <t>Document and spatial database review checklist</t>
  </si>
  <si>
    <t>Administrative M&amp;E verification calculating the percentage by dividing the number of fully mapped and community-validated HCV forests (numerator) by the total number of identified HCV forests in the targeted landscapes (denominator).</t>
  </si>
  <si>
    <t>Risk: 'Desk Mapping' where maps are created using only satellite imagery without genuine ground-truthing or FPIC-aligned community validation, leading to contested boundaries and conflict. Mitigation: Require signed community validation meeting minutes and participatory ground-truthing GPS logs before marking any HCV forest as fully mapped and community-validated.</t>
  </si>
  <si>
    <t>12. Deforestation halted</t>
  </si>
  <si>
    <t>Local Communities and Forest Ecosystems</t>
  </si>
  <si>
    <t>TARGET 1: Plan and Manage all Areas To Reduce Biodiversity Loss</t>
  </si>
  <si>
    <t>All HCV forests in CCO targeted landscapes identified, mapped, and classified</t>
  </si>
  <si>
    <t>Number of distinct High Conservation Value (HCV) forest areas identified and classified</t>
  </si>
  <si>
    <t>The total count of discrete forest parcels or ecological units that have been formally assessed and classified into one of the recognized High Conservation Value categories (e.g., HCV 1-6) and recorded in the landscape spatial database during the reporting period.</t>
  </si>
  <si>
    <t>GIS database; HCV assessment reports</t>
  </si>
  <si>
    <t>HCV classification rubric</t>
  </si>
  <si>
    <t>Administrative tally of all discrete HCV polygons in the spatial database, categorized by their primary HCV designation (e.g., HCV 1: Species diversity, HCV 5: Community needs) following technical review.</t>
  </si>
  <si>
    <t>Risk: 'Paper HCVs' where areas are classified technically by WWF ecologists but are not recognized or respected by local government authorities or the logging concessions. Mitigation: Ensure classification involves joint technical missions with the Ministry of Forestry and Wildlife (MINFOF) and integrate findings into official landscape zoning plans.</t>
  </si>
  <si>
    <t>2.1.1.2</t>
  </si>
  <si>
    <t xml:space="preserve">Community-validated HCV forest boundaries documented and integrated into land use plans </t>
  </si>
  <si>
    <t>Number of High Conservation Value (HCV) forest boundaries formally validated by communities</t>
  </si>
  <si>
    <t>The total count of distinct High Conservation Value (HCV) forest zones where the mapped boundaries have been formally reviewed, agreed upon, and validated by the local communities through documented Free, Prior, and Informed Consent (FPIC) processes.</t>
  </si>
  <si>
    <t>Project GIS database; community governance archives</t>
  </si>
  <si>
    <t>Signed validation maps and FPIC consent forms</t>
  </si>
  <si>
    <t>Administrative tally of finalized HCV maps that bear the official signatures or thumbprints of recognized community representatives, confirming their agreement with the spatial boundaries.</t>
  </si>
  <si>
    <t>Risk: 'Elite capture' where only the village chief or local elites sign the validation map, completely excluding marginalized groups (e.g., Baka/Bagyeli) whose traditional resource zones overlap with the HCV. Mitigation: Mandate inclusive, documented FPIC processes requiring broad community assemblies and separate focus groups for indigenous minorities and women before boundary sign-off.</t>
  </si>
  <si>
    <t>Community-validated HCV forest boundaries documented and integrated into land use plans</t>
  </si>
  <si>
    <t>Proportion of identified High Conservation Value (HCV) forests officially integrated into municipal land-use plans</t>
  </si>
  <si>
    <t>The proportion of targeted High Conservation Value (HCV) forests whose spatial boundaries and protective management restrictions have been officially incorporated into legally approved municipal or regional land-use development plans. Numerator: Number of identified HCV forests explicitly zoned with protective restrictions in approved municipal plans. Denominator: Total number of identified HCV forests in the targeted landscape.</t>
  </si>
  <si>
    <t>Municipal archives; Ministry of Land Tenure (MINDCAF) registries</t>
  </si>
  <si>
    <t>Government Records</t>
  </si>
  <si>
    <t>Municipal planning review checklist</t>
  </si>
  <si>
    <t>Calculation: Divide the number of identified HCV forests explicitly zoned in approved municipal plans (numerator) by the total number of identified HCV forests in the landscape (denominator). Verified via spatial analysis comparing the legally approved municipal zoning map against the project's HCV spatial database.</t>
  </si>
  <si>
    <t>Risk: 'Paper integration' where HCVs are vaguely referenced in the text of the municipal development plan (PCD) to appease donors, but are not spatially delineated on the official zoning maps, leaving them legally unprotected and vulnerable to conversion. Mitigation: Require that integration is verified by cross-referencing the official, legally binding municipal zoning maps, rejecting purely narrative inclusions.</t>
  </si>
  <si>
    <t>6.3  Land/Water Use Zoning &amp; Designation</t>
  </si>
  <si>
    <t>2.1.1.3</t>
  </si>
  <si>
    <t>Support is provided for all identified HCV forests to be officially gazetted or assigned protective status through titling or conservation agreements (e.g., national park, community forest, conservation concession).</t>
  </si>
  <si>
    <t>Number of identified High Conservation Value (HCV) forests receiving technical or financial support for gazettement</t>
  </si>
  <si>
    <t>The total count of distinct identified High Conservation Value (HCV) forests that have received documented technical, financial, or administrative assistance from the project to facilitate their official gazettement or protective status assignment during the reporting period.</t>
  </si>
  <si>
    <t>Project activity reports; technical assistance logs; draft legal dossiers</t>
  </si>
  <si>
    <t>Project support tracking register</t>
  </si>
  <si>
    <t>Administrative tally of distinct HCV forests actively receiving project support for gazettement, verified through technical assistance logs, drafted conservation agreements, or formal correspondence with authorities.</t>
  </si>
  <si>
    <t>Risk: Support is generic and does not meaningfully advance the complex legal gazettement process. Mitigation: Require verifiable documentation of support directly linked to gazettement milestones, such as completed boundary surveys or submitted draft decrees, to count the assistance as delivered.</t>
  </si>
  <si>
    <t>HCV Forests, Rightsholders, and Local Communities</t>
  </si>
  <si>
    <t>6.1 Protected Area Designation &amp;/or Acquisition</t>
  </si>
  <si>
    <t>2.1.1.4</t>
  </si>
  <si>
    <t>Advocacy for prioritising HCV forests in CCO targeted landscapes in municipal/regional development strategies is done and enforced through local governance by June 2027.</t>
  </si>
  <si>
    <t>Number of advocacy engagements conducted to prioritize HCV forests in municipal and regional development strategies</t>
  </si>
  <si>
    <t>The total count of formal advocacy meetings, workshops, or structured consultative sessions organized and conducted by the project with local government authorities to promote the integration of HCV forest protection into development strategies during the reporting period.</t>
  </si>
  <si>
    <t>Advocacy activity reports; meeting minutes; official correspondence</t>
  </si>
  <si>
    <t>Event tracking register and meeting minutes</t>
  </si>
  <si>
    <t>Administrative tally of documented advocacy engagements with local governance structures, verified through signed attendance registers, meeting minutes, and submitted policy briefs.</t>
  </si>
  <si>
    <t>Risk: Advocacy engagements are informal or target officials without planning authority. Mitigation: Ensure advocacy events specifically target relevant municipal planning officials and mandate the production of formal meeting minutes to verify meaningful engagement.</t>
  </si>
  <si>
    <t>Local government units and planning authorities integrating HCV safeguards into development strategies</t>
  </si>
  <si>
    <t>2.1.1.5</t>
  </si>
  <si>
    <t>By June 2027, community-based forest protection observatory structures are supported and fully functional in CCO targeted landscapes.</t>
  </si>
  <si>
    <t>Number of functional community-based forest protection observatories established or strengthened</t>
  </si>
  <si>
    <t>The total count of distinct community-based forest observatories that meet standardized functionality criteria during the reporting period, including holding regular meetings, maintaining a roster of trained observers, and actively submitting verified alerts on illegal forest activities.</t>
  </si>
  <si>
    <t>Observatory archives; project governance logs; alert submission databases</t>
  </si>
  <si>
    <t>Observatory functionality scorecard and alert logs</t>
  </si>
  <si>
    <t>Conduct a field verification and desk audit of observatory records (meeting minutes, alert submission logs) against a standardized functionality scorecard to confirm active, autonomous operation.</t>
  </si>
  <si>
    <t>Risk: 'Ghost Structures' or 'Elite Capture,' where observatories only assemble when WWF staff visit to collect per-diems, or where local chiefs hijack the observatory to extort forest users. Mitigation: Mandate independent verification of submitted alerts through spatial data (e.g., SMART/Forest Foresight) and require regular, unannounced spot-checks to ensure the observatory operates autonomously and transparently.</t>
  </si>
  <si>
    <t>CAM Forest and Other Habitats Program</t>
  </si>
  <si>
    <t>5.1.5</t>
  </si>
  <si>
    <t>IP&amp;LC members actively participate in conservation surveillance, incident reporting, and co-management activities.</t>
  </si>
  <si>
    <t>Number of IP&amp;LC members participating in conservation surveillance and co-management</t>
  </si>
  <si>
    <t>The total count of unique individuals from Indigenous Peoples and Local Communities (IP&amp;LC) who actively participate in conservation surveillance, incident reporting, and co-management activities (e.g., joint patrols, community observatories) during the reporting period.</t>
  </si>
  <si>
    <t>Patrol logs; incident database; enforcement records; community observatory logs</t>
  </si>
  <si>
    <t>Participation tracking register and patrol/activity reports</t>
  </si>
  <si>
    <t>Conduct an administrative tally extracting unique IP&amp;LC participants from verified patrol logs, incident databases, and co-management activity reports. Data must be aggregated and de-duplicated using unique participant IDs to establish the true annual reach.</t>
  </si>
  <si>
    <t>Risk: Participation overreported or inconsistent recording of IP&amp;LC involvement across different conservation activities, leading to double-counting. Mitigation: Verify participation using standardized attendance sheets and patrol reports with mandatory demographic fields, and enforce unique participant IDs in a centralized tracking database.</t>
  </si>
  <si>
    <t>5.1.6</t>
  </si>
  <si>
    <t>Sustainable IGAs (e.g., NTFPs, ecotourism) are functional for IP&amp;LC around HCV forests by June 2028.</t>
  </si>
  <si>
    <t>Number of functional income-generating activities (IGAs) established around HCV forests</t>
  </si>
  <si>
    <t>The total count of distinct, project-supported income-generating activities (e.g., NTFP processing, ecotourism, beekeeping) that are actively functional. 'Functional' is defined as having a formalized community structure and generating verifiable, sustained economic benefits (recorded sales or wages) for participating Indigenous Peoples and Local Community (IP&amp;LC) households during the reporting period.</t>
  </si>
  <si>
    <t>IGA tracking registers; cooperative financial records; project activity reports</t>
  </si>
  <si>
    <t>Livelihood initiative tracking register and financial ledgers</t>
  </si>
  <si>
    <t>Conduct an administrative desk review of livelihood tracking registers and cross-reference with cooperative financial sales records or tourism receipt ledgers to verify that launched initiatives are generating active economic returns.</t>
  </si>
  <si>
    <t>Risk: Inaccurate or underreported household income data, or 'ghost initiatives' that exist on paper but generate no real community benefits. Mitigation: Use standardized initiative tracking registers, require submission of transparent cooperative sales records or mobile money transaction receipts, and triangulate financial results with regular spot-check field visits.</t>
  </si>
  <si>
    <t>Jengi-TRIDOM: 8
Jengi-TNS: 0
CFP: 0
KZP: 0</t>
  </si>
  <si>
    <t>5.1.7</t>
  </si>
  <si>
    <t>Training and tools provided to local councils, forest officers, and judiciary on High Conservation Value (HCV) protection and enforcement by June 2026.</t>
  </si>
  <si>
    <t>Number of local council members, forest officers, and judiciary actors trained on HCV protection and enforcement</t>
  </si>
  <si>
    <t>The total count of unique individuals from local councils, the forestry administration, and the judiciary who have successfully completed the formalized WWF-supported training curriculum on High Conservation Value (HCV) protection and enforcement during the reporting period.</t>
  </si>
  <si>
    <t>Training database; HR records of partner ministries; post-training test results</t>
  </si>
  <si>
    <t>Training attendance sheets and post-training assessments</t>
  </si>
  <si>
    <t>Conduct an administrative tally of unique individuals from signed training attendance registers who successfully completed the HCV training curriculum, verified by post-training test scores and de-duplicated using unique participant IDs.</t>
  </si>
  <si>
    <t>Risk: High turnover of trained government and judicial staff, meaning institutional capacity is lost shortly after training. Mitigation: Institutionalize the training curriculum within national forestry and judicial training schools (e.g., ENEF) to ensure continuous capacity building, and establish a periodic refresher training schedule rather than relying on one-off events.</t>
  </si>
  <si>
    <t>5.1.8</t>
  </si>
  <si>
    <t>Annual independent audits and verification of zero conversion status done and reports shared.</t>
  </si>
  <si>
    <t>Number of independent HCV zero-conversion audit reports completed and publicly disseminated</t>
  </si>
  <si>
    <t>The total count of formalized, independent third-party audit reports that verify the zero-conversion status of targeted High Conservation Value (HCV) forests, which have been completed, peer-reviewed, and made publicly accessible to stakeholders during the reporting period.</t>
  </si>
  <si>
    <t>Public disclosure portals; project document repository</t>
  </si>
  <si>
    <t>Document review checklist and publication logs</t>
  </si>
  <si>
    <t>Administrative verification confirming the existence of the finalized third-party audit report and capturing the URL or distribution evidence proving it was made publicly available to stakeholders.</t>
  </si>
  <si>
    <t>Risk: 'Financial Greenwashing' where audits are paid for directly by the logging or agri-business companies being audited, compromising independence. Critical findings regarding forest conversion might be suppressed. Mitigation: Mandate that WWF or an independent certification body directly contracts and oversees the third-party auditors using standardized protocols (e.g., HCVRN) to ensure complete impartiality.</t>
  </si>
  <si>
    <t>Forest ecosystems and stakeholders</t>
  </si>
  <si>
    <t>TARGET 15: Businesses Assess, Disclose and Reduce Biodiversity-Related Risks and Negative Impacts</t>
  </si>
  <si>
    <t>Spatial and statistical baseline for forest loss due to agriculture established by June 2026, enabling the continuous monitoring and reduction of agricultural deforestation in targeted landscapes.</t>
  </si>
  <si>
    <t>Existence of a validated spatial and statistical baseline report on forest loss due to agriculture</t>
  </si>
  <si>
    <t>Confirms the formal availability of a finalized, validated spatial and statistical baseline report detailing forest loss driven by agriculture in targeted landscapes, officially archived in the project knowledge management system during the reporting period.</t>
  </si>
  <si>
    <t>Project document repository; finalized baseline report; GIS datasets</t>
  </si>
  <si>
    <t>Administrative verification confirming the digital presence of the finalized and validated baseline report and corresponding spatial datasets in the official project repository. Recorded as 'Yes' if fully available and validated, and 'No' otherwise.</t>
  </si>
  <si>
    <t>Risk: Baseline is produced using only remote sensing without field verification, leading to inaccurate attribution of deforestation drivers. Mitigation: Mandate that the baseline methodology includes documented field ground-truthing (e.g., GPS transects) and participatory verification with local communities before final validation.</t>
  </si>
  <si>
    <t>Forest Ecosystems and Local Communities</t>
  </si>
  <si>
    <t>Land use plans defined in CCO landscapes showing different used zones (e.g., agricultural, conservation, buffer zones) by June 2027.</t>
  </si>
  <si>
    <t>Number of draft land-use plans defined and spatially mapped</t>
  </si>
  <si>
    <t>The total count of draft land-use plans that have been technically defined and spatially mapped (explicitly delineating agricultural, conservation, and buffer zones) across targeted CCO landscapes, finalized by the project team for subsequent formal validation during the reporting period.</t>
  </si>
  <si>
    <t>Draft land-use plans; GIS zoning maps; project technical reports</t>
  </si>
  <si>
    <t>Document review checklist and spatial database</t>
  </si>
  <si>
    <t>Administrative desk review to tally the number of draft land-use plans containing fully delineated zoning maps that have been completed by the technical team and prepared for stakeholder review.</t>
  </si>
  <si>
    <t>Risk: Conflicting land claims or lack of government recognition renders the plans 'paper tigers' with no enforcement. Mitigation: Ensure rigorous Free, Prior, and Informed Consent (FPIC) during the participatory mapping process and secure formal endorsement from municipal and regional administrative authorities before finalization.</t>
  </si>
  <si>
    <t>6.3 Land/Water Use Zoning &amp; Designation</t>
  </si>
  <si>
    <t>5.2.3</t>
  </si>
  <si>
    <t>Farmers are trained on climate-smart farming practices, including agroforestry, composting, and soil management.</t>
  </si>
  <si>
    <t>Number of farmers trained on climate-smart farming practices</t>
  </si>
  <si>
    <t>The total count of unique individual farmers who have successfully completed the formalized training curriculum on climate-smart farming practices (e.g., agroforestry, composting, soil management) during the reporting period.</t>
  </si>
  <si>
    <t>Training attendance records; training activity reports</t>
  </si>
  <si>
    <t>Conduct an administrative tally of unique farmers from signed or thumb-printed training attendance registers. De-duplicate participants using unique identifiers to prevent double-counting individuals who attend multiple modules.</t>
  </si>
  <si>
    <t>Risk: Farmers are counted as trained without actually attending or completing the training sessions, or the same farmers are double-counted across different modules. Mitigation: Verify training participation using signed attendance lists for every session, enforce unique participant IDs, and implement a basic post-training practical assessment to confirm skill acquisition.</t>
  </si>
  <si>
    <t>Food</t>
  </si>
  <si>
    <t>TARGET 10: Enhance Biodiversity and Sustainability in Agriculture, Aquaculture, Fisheries, and Forestry</t>
  </si>
  <si>
    <t>13. Climate Action: Take urgent action to combat climate change and its impacts</t>
  </si>
  <si>
    <t>5.2.4</t>
  </si>
  <si>
    <t>Livelihood diversification programs supported (e.g., beekeeping, fish farming, NTFPs) by June 2027.</t>
  </si>
  <si>
    <t>Number of alternative livelihood programs receiving technical or material support</t>
  </si>
  <si>
    <t>The total count of distinct livelihood diversification programs (e.g., beekeeping, fish farming, NTFPs) that have physically received verifiable technical training, financial grants, or material inputs from the project during the reporting period.</t>
  </si>
  <si>
    <t>Project activity reports; distribution logs; training attendance sheets</t>
  </si>
  <si>
    <t>Administrative tally of distinct livelihood programs supported, verified through signed material distribution logs, training attendance sheets, or formal financial disbursement records.</t>
  </si>
  <si>
    <t>Risk: Elite capture of livelihood inputs. Project assets (e.g., beehives, fish fry, processing machines) are distributed but are immediately seized by the village chief or local elites, excluding the intended vulnerable beneficiaries. Mitigation: Ensure transparent, community-validated beneficiary selection criteria, register assets directly to formalized cooperative groups rather than individuals, and conduct unannounced field verifications to confirm equitable access.</t>
  </si>
  <si>
    <t>Jengi-TRIDOM:5
Jengi-TNS: 0
CFP: 0
KZP: 0</t>
  </si>
  <si>
    <t>5.2.5</t>
  </si>
  <si>
    <t>Coordination among sectors (agriculture, environment, IP&amp;LC) improved annually through Multi-Stakeholder Platforms (MSP) in CCO landscapes.</t>
  </si>
  <si>
    <t>Number of joint decisions or actions formally implemented by landscape Multi-Stakeholder Platforms</t>
  </si>
  <si>
    <t>The total count of specific, documented decisions, policies, or collaborative field actions (e.g., joint patrols, shared zoning decrees) that were proposed within the Multi-Stakeholder Platform (MSP) and subsequently fully executed by the participating sectors (agriculture, environment, local communities) during the reporting period.</t>
  </si>
  <si>
    <t>MSP secretariat archives; sectoral implementation reports; field action logs</t>
  </si>
  <si>
    <t>Meeting minutes and joint action tracking matrix</t>
  </si>
  <si>
    <t>Conduct a desk review tracing formal resolutions recorded in MSP meeting minutes to verifiable proof of their execution in the field (e.g., signed joint decrees, field reports of joint missions) to count completed actions.</t>
  </si>
  <si>
    <t>Risk: 'Talk Shops.' MSPs meet frequently, consume catering and per-diems, and generate long lists of ambitious joint resolutions that are never actually funded or executed by the participating sectors. Mitigation: Do not count resolutions or action plans alone; mandate that an action is only counted when there is verifiable, documented proof of field-level implementation and budget execution by the respective sector.</t>
  </si>
  <si>
    <t>5.2.6</t>
  </si>
  <si>
    <t>Local forest surveillance groups are actively supported to conduct real-time monitoring of forest clearance for agriculture in CCO targeted landscapes.</t>
  </si>
  <si>
    <t>Number of forest surveillance groups supported to conduct real-time monitoring of forest clearance</t>
  </si>
  <si>
    <t>The total count of distinct community-based forest surveillance groups that receive active project support (e.g., training, mobile reporting tools) and are verified to be actively conducting real-time monitoring of agricultural forest clearance, evidenced by the regular submission of GPS-tagged alerts or patrol reports during the reporting period.</t>
  </si>
  <si>
    <t>Project support registers; mobile alert logs; GPS-tagged incident reports</t>
  </si>
  <si>
    <t>Surveillance group tracking register and mobile alert database</t>
  </si>
  <si>
    <t>Conduct an administrative desk review to tally the number of unique community surveillance groups that have received verified project support and have actively submitted real-time forest clearance alerts or patrol data to the central database during the reporting year.</t>
  </si>
  <si>
    <t>Risk: Groups receive smartphones and support but remain inactive due to poor connectivity, fear of reprisal, or lack of enforcement follow-up ('ghost groups'). Mitigation: Do not count groups based solely on equipment receipt; mandate that the group must have submitted verified, GPS-tagged incident reports to be counted as active. Provide offline-capable reporting tools and secure reporting channels.</t>
  </si>
  <si>
    <t>5.2.7</t>
  </si>
  <si>
    <t>Independent verification of forest cover change and tracking of hectares cleared vs. 2025 baseline and adaptive planning adjustments.</t>
  </si>
  <si>
    <t>Number of independent forest cover verification reports produced and used for adaptive planning</t>
  </si>
  <si>
    <t>The total count of finalized independent verification reports detailing forest cover change and tracking cleared hectares against the 2025 baseline, formally submitted to management to inform adaptive planning adjustments during the reporting period.</t>
  </si>
  <si>
    <t>Independent satellite analysis reports; adaptive planning meeting minutes</t>
  </si>
  <si>
    <t>Document transmittal logs and meeting minutes</t>
  </si>
  <si>
    <t>Administrative desk review confirming the completion and formal delivery of the independent satellite verification reports, verified against management meeting minutes showing adaptive planning reviews.</t>
  </si>
  <si>
    <t>Risk: Bias in verification, poor satellite image quality due to persistent Congo Basin cloud cover, or limited uptake of recommendations in planning. Mitigation: Mandate the use of combined optical and radar (e.g., Sentinel-1) imagery to overcome cloud cover, ensure strict third-party independence for audits, and require formal management responses to audit findings in annual planning sessions.</t>
  </si>
  <si>
    <t>Forest landscapes and decision-makers using independently verified forest loss evidence</t>
  </si>
  <si>
    <t>5.2.8</t>
  </si>
  <si>
    <t>A detailed survey conducted to document existing agricultural practices and challenges by June 2026.</t>
  </si>
  <si>
    <t>Existence of a validated report documenting agricultural practices and challenges</t>
  </si>
  <si>
    <t>Confirms whether a formal, validated baseline survey report documenting prevailing agricultural practices and challenges in the targeted landscapes has been completed, peer-reviewed, and archived in the knowledge management system during the reporting period.</t>
  </si>
  <si>
    <t>Project document repository; finalized survey report; validation meeting minutes</t>
  </si>
  <si>
    <t>Conduct an administrative desk review to verify the presence of the finalized, peer-reviewed assessment document in the central knowledge management system, accompanied by formal stakeholder validation meeting minutes.</t>
  </si>
  <si>
    <t>Risk: Inaccurate field responses due to enumerator error, or the final report is never formally validated and remains a draft. Mitigation: Train enumerators to use standardized digital questionnaires (e.g., KoboCollect) with built-in validation checks, and mandate a formal stakeholder validation workshop before officially signing off on the report.</t>
  </si>
  <si>
    <t>21. Sustainable food production</t>
  </si>
  <si>
    <t>Farmers and farmer cooperatives in CCO landscapes</t>
  </si>
  <si>
    <t>2. Zero Hunger: End hunger, achieve food security and improved nutrition, and promote sustainable agriculture</t>
  </si>
  <si>
    <t>5.3.1</t>
  </si>
  <si>
    <t>Annual training provided on best agricultural practices (e.g., agroforestry, soil conservation, composting).</t>
  </si>
  <si>
    <t>Number of farmers  trained in sustainable agricultural best practices</t>
  </si>
  <si>
    <t>The total count of unique farmers who have attended and successfully completed the full WWF-supported training curriculum covering best agricultural practices (e.g., agroforestry, soil conservation, composting) during the reporting period.</t>
  </si>
  <si>
    <t>Project training database; field activity reports</t>
  </si>
  <si>
    <t>Conduct an administrative tally of unique farmers from signed attendance registers who completed the curriculum, de-duplicated using unique participant IDs to prevent double-counting across different training sessions.</t>
  </si>
  <si>
    <t>Risk: 'Per-diem hunting.' Individuals who are not active farmers attend the training strictly to collect daily transport and meal allowances, inflating capacity-building metrics without generating real conservation impact. Mitigation: Pre-validate participant lists with recognized local farmer cooperatives or village chiefs, and consider substituting cash per-diems with in-kind agricultural starter kits distributed only upon successful course completion.</t>
  </si>
  <si>
    <t>5.3.2</t>
  </si>
  <si>
    <t>Functional demonstration plots on improved, climate-smart agricultural practices are established to showcase and test techniques.</t>
  </si>
  <si>
    <t>Number of demo plots on improved agricultural practice established</t>
  </si>
  <si>
    <t>The total count of functional demonstration plots established by the project to showcase and test improved, climate-smart agricultural practices (e.g., agroforestry, zero-tillage) during the reporting period.</t>
  </si>
  <si>
    <t>Field visit logs; geo-tagged photos; yield measurements</t>
  </si>
  <si>
    <t>Demo plot monitoring sheet and GPS logs</t>
  </si>
  <si>
    <t>Conduct ground surveys where technical staff record GPS locations, take verifiable geo-tagged photos, and collect baseline and endline yield data for comparison against control plots.</t>
  </si>
  <si>
    <t>Risk: Plot mismanagement or abandonment after initial inputs are provided, leading to 'paper plots' that fail to demonstrate actual results. Mitigation: Require signed maintenance agreements with lead model farmers, conduct regular spot-checks, and mandate routine uploads of geo-tagged photographic evidence to verify ongoing maintenance.</t>
  </si>
  <si>
    <t>Farmers and extension actors</t>
  </si>
  <si>
    <t>5.2 Better Products &amp; Management Practices</t>
  </si>
  <si>
    <t>5.3.3</t>
  </si>
  <si>
    <t>A network of local trainers, model farmers, or community facilitators trained by June 2027 to mentor others.</t>
  </si>
  <si>
    <t>Number of local trainers, model farmers, or community facilitators trained</t>
  </si>
  <si>
    <t>The total count of unique individuals who have successfully completed the project's formalized training program designed for local trainers, model farmers, or community facilitators during the reporting period.</t>
  </si>
  <si>
    <t>Administrative tally of unique individuals from verified, signed attendance registers and completion certificates for the facilitator training program.</t>
  </si>
  <si>
    <t>Risk: 'Ghost participants' or high dropout rates. Mitigation: Verify attendance using daily sign-in sheets and issue completion certificates only after passing a final competency test.</t>
  </si>
  <si>
    <t>4. Quality Education: Ensure inclusive and equitable quality education and promote lifelong learning opportunities for all</t>
  </si>
  <si>
    <t>5.3.4</t>
  </si>
  <si>
    <t>Farmers are provided with packages of agricultural inputs, materials, and tools through direct distribution or subsidized access.</t>
  </si>
  <si>
    <t>Number of farmers provided with agricultural inputs with WWF support</t>
  </si>
  <si>
    <t>The total count of unique farmers who physically receive a complete, defined package of agricultural inputs (e.g., quality seeds, organic fertilizers, farming tools) distributed or subsidized by WWF or its partners during the reporting period.</t>
  </si>
  <si>
    <t>Input distribution logs; beneficiary receipts; partner activity reports</t>
  </si>
  <si>
    <t>Input distribution register and signed receipts</t>
  </si>
  <si>
    <t>Conduct an administrative tally of unique farmers from signed or thumb-printed distribution logs and beneficiary receipts. De-duplicate the lists to ensure each farmer is only counted once per distribution cycle.</t>
  </si>
  <si>
    <t>Risk: Supply chain leakage, elite capture, or inputs being immediately resold in local markets rather than used. Mitigation: Utilize community-validated beneficiary targeting lists, require signed/thumb-printed physical receipts upon delivery, and conduct random post-distribution spot checks to confirm the inputs reached the intended households.</t>
  </si>
  <si>
    <t>Farmers and Local Communities</t>
  </si>
  <si>
    <t>Formal links between suppliers and farmer cooperatives facilitated annually.</t>
  </si>
  <si>
    <t>Number of formal supplier-cooperative agreements established to link farmers with suppliers</t>
  </si>
  <si>
    <t>The total count of formal, documented supply or service agreements (e.g., Memoranda of Understanding, purchasing contracts) successfully signed and operationalized between agricultural suppliers and farmer cooperatives during the reporting period.</t>
  </si>
  <si>
    <t>Signed MOUs; transaction receipts; invoices; delivery logs</t>
  </si>
  <si>
    <t>Supplier-cooperative agreement tracker and document review checklist</t>
  </si>
  <si>
    <t>Conduct an administrative desk review of signed agreements (MoUs or contracts), cross-referenced with transaction evidence (receipts or invoices) to confirm the formal market linkages are active.</t>
  </si>
  <si>
    <t>Risk: 'Paper agreements' where MoUs are signed to appease project staff but result in no actual market transactions due to supplier unreliability or low demand. Mitigation: Do not count mere signatures; mandate the collection of documented transaction receipts or verified invoices to confirm the agreements are actively utilized and honored by both parties.</t>
  </si>
  <si>
    <t>Farmer Cooperatives and Suppliers</t>
  </si>
  <si>
    <t>5.3.5</t>
  </si>
  <si>
    <t>Awareness and behaviour change campaigns on sustainable agricultural practices are conducted annually.</t>
  </si>
  <si>
    <t>Number of target audience reached with campaigns and messages on sustainable agricultural practices</t>
  </si>
  <si>
    <t>The estimated total number of unique individuals (farmers, youth, local community members) exposed to project-supported awareness campaigns and messages promoting sustainable agricultural practices (e.g., via radio broadcasts, SMS, posters, or community meetings) during the reporting period.</t>
  </si>
  <si>
    <t>Radio broadcast logs; poster distribution records; SMS delivery logs; event attendance sheets</t>
  </si>
  <si>
    <t>Campaign activity tracking register and media logs</t>
  </si>
  <si>
    <t>Aggregate audience estimates from radio station broadcast logs, SMS delivery receipts, and verified physical attendance sheets from community awareness events. Note and document potential double-counting across different media channels.</t>
  </si>
  <si>
    <t>Risk: Campaigns are reported but not effectively implemented, or audience numbers are heavily inflated due to double-counting across multiple media channels. Mitigation: Verify campaigns through signed radio broadcast logs, photographic evidence of poster distribution, and event attendance sheets. Report mass media estimates conservatively and separately from verified physical attendance.</t>
  </si>
  <si>
    <t>Local Communities and Farmers</t>
  </si>
  <si>
    <t>5.3.6</t>
  </si>
  <si>
    <t>A functional digital or manual tracking system to monitor farmer adoption of sustainable agricultural practices is established and operational.</t>
  </si>
  <si>
    <t>Existence of a functional farmer adoption tracking system</t>
  </si>
  <si>
    <t>The formal availability of an operational digital or manual tracking database that routinely records, updates, and analyzes agricultural practice adoption data from supported farmers to directly inform adaptive management decisions during the reporting period.</t>
  </si>
  <si>
    <t>Central PMEL database; digital field entries; system audit logs</t>
  </si>
  <si>
    <t>System audit checklist</t>
  </si>
  <si>
    <t>Conduct an administrative M&amp;E system audit to verify that the farmer adoption tracking database exists, contains recent offline/online data entries (e.g., KoboToolbox submissions), and generates documented uptake trend reports used in annual management reviews. Recorded as 'Yes' if functional and utilized, and 'No' otherwise.</t>
  </si>
  <si>
    <t>Risk: The tracking system is established but abandoned due to poor field internet connectivity, broken tablets, or enumerator fatigue, resulting in outdated or 'ghost' data. Mitigation: Design an offline-first mobile data collection workflow, provide solar power banks to field extension agents, and mandate regular system audits linking data uploads to staff performance reviews.</t>
  </si>
  <si>
    <t>Project Teams and Farmers</t>
  </si>
  <si>
    <t>5.3.7</t>
  </si>
  <si>
    <t>Farmers’ uptake and impact reviewed to facilitate re-training or adaptation of approaches based on farmer feedback and observed challenges.</t>
  </si>
  <si>
    <t>Number of farmer uptake and impact review reports produced to inform adaptive management</t>
  </si>
  <si>
    <t>The total count of finalized review reports analyzing farmer uptake, feedback, and observed challenges regarding promoted agricultural approaches, formally submitted to facilitate re-training or adaptation during the reporting period.</t>
  </si>
  <si>
    <t>M&amp;E review reports; adaptive management meeting minutes</t>
  </si>
  <si>
    <t>Document review and meeting minutes</t>
  </si>
  <si>
    <t>Administrative desk review to tally the number of finalized farmer uptake review reports formally submitted and discussed in adaptive management planning meetings.</t>
  </si>
  <si>
    <t>Risk: Reviews are conducted but findings are ignored by project managers. Mitigation: Require review reports to include a dedicated section on actionable recommendations and track their integration into subsequent training plans in meeting minutes.</t>
  </si>
  <si>
    <t>5.3.8</t>
  </si>
  <si>
    <t>Local Agricultural Platforms and Cooperatives strengthened annually.</t>
  </si>
  <si>
    <t xml:space="preserve">Number of Local Agricultural Platforms and Cooperatives supported </t>
  </si>
  <si>
    <t>The total count of distinct Local Agricultural Platforms and Cooperatives that have received verified technical, material, or financial strengthening support from the project during the reporting period.</t>
  </si>
  <si>
    <t>Project activity reports; support distribution logs; training attendance sheets</t>
  </si>
  <si>
    <t>Administrative tally of distinct platforms or cooperatives that have documented evidence of receiving project support, such as verified training registers for board members or signed material handover certificates.</t>
  </si>
  <si>
    <t>Risk: Support is directed to 'Paper Cooperatives' established solely to capture NGO inputs. Mitigation: Validate the legal existence and active operational status of the cooperative prior to delivering and counting the strengthening support.</t>
  </si>
  <si>
    <t>Jengi-TRIDOM: 5
Jengi-TNS: 0
CFP: 0
KZP: 0</t>
  </si>
  <si>
    <t>5.4.1</t>
  </si>
  <si>
    <t>Comprehensive baseline assessments documenting governance structures, harvesting practices, and forest conditions are completed and community-validated for supported community forests.</t>
  </si>
  <si>
    <t>Number of supported community forests with completed and community-validated baseline assessments</t>
  </si>
  <si>
    <t>The total count of distinct WWF-supported community forests that have a formalized, comprehensive baseline assessment report completed, documenting current governance structures, harvesting practices, and forest conditions during the reporting period.</t>
  </si>
  <si>
    <t>PMEL document repository; baseline database</t>
  </si>
  <si>
    <t>Baseline assessment reports and validation minutes</t>
  </si>
  <si>
    <t>Administrative tally of finalized baseline reports that contain verifiable data on governance and forest conditions, explicitly cross-referenced with community validation minutes.</t>
  </si>
  <si>
    <t>Risk: 'Consultant Helicoptering,' where baseline assessments are drafted in urban centers using outdated secondary data or remote sensing without engaging the actual forest communities. Mitigation: Mandate that consultant payments are tied to verified field visit logs and formal community validation workshops, documented by signed minutes and participant photos.</t>
  </si>
  <si>
    <t>5.4.2</t>
  </si>
  <si>
    <t>Legally approved Sustainable Management Plans (SMPs) aligned with national forest regulations are secured for supported community forests.</t>
  </si>
  <si>
    <t>Number of supported community forests with legally approved Sustainable Management Plans</t>
  </si>
  <si>
    <t>The total count of WWF-supported community forests that possess a formal Sustainable Management Plan (SMP) that is up-to-date and explicitly approved and signed by the Ministry of Forestry and Wildlife (MINFOF) during the reporting period.</t>
  </si>
  <si>
    <t>MINFOF legal archives; project document repository</t>
  </si>
  <si>
    <t>Approved SMP documents and MINFOF signature logs</t>
  </si>
  <si>
    <t>Administrative tally of community forests that hold a finalized SMP document bearing the official stamp and signature of the relevant MINFOF authority.</t>
  </si>
  <si>
    <t>Risk: 'Bureaucratic Limbo.' SMPs are drafted by communities and NGOs, but sit unapproved on ministry desks for years. Claiming a plan is 'submitted' offers the community zero legal protection. Mitigation: Do not count submitted plans; only count SMPs that hold the final, official signature and stamp of the MINFOF authority. Allocate project support for continuous administrative follow-up.</t>
  </si>
  <si>
    <t>TARGET 1: Plan and Manage all Areas To Reduce Biodiversity Loss </t>
  </si>
  <si>
    <t>5.4.3</t>
  </si>
  <si>
    <t>Annual training &amp; tailored guides provided to CF management committees on best practices.</t>
  </si>
  <si>
    <t>Number of community forest management committee members trained and provided with tailored guides on best practices</t>
  </si>
  <si>
    <t>The total count of unique individuals from community forest management committees who have successfully completed the annual training curriculum and received tailored guides on sustainable forest management best practices during the reporting period.</t>
  </si>
  <si>
    <t>Training attendance registers; guide distribution logs</t>
  </si>
  <si>
    <t>Training attendance sheets and distribution logs</t>
  </si>
  <si>
    <t>Administrative tally of unique committee members from signed attendance registers who completed the training and received the guides, strictly de-duplicated using unique participant IDs.</t>
  </si>
  <si>
    <t>Risk: 'Per-diem hunting' where non-members attend solely for daily allowances. Mitigation: Pre-validate participant lists against official community forest management committee rosters to ensure only active members are trained and counted.</t>
  </si>
  <si>
    <t>Community forest management committees and local communities</t>
  </si>
  <si>
    <t>Jengi-TRIDOM: 21
Jengi-TNS: 0
CFP: 0
KZP: 0</t>
  </si>
  <si>
    <t>5.4.4</t>
  </si>
  <si>
    <t>An independent and transparent monitoring system to assess compliance with Sustainable Management Plans (SMPs) implemented by June 2026.</t>
  </si>
  <si>
    <t>Number of independent monitoring assessments conducted to verify Sustainable Management Plan (SMP) compliance</t>
  </si>
  <si>
    <t>The total count of formal, independent monitoring audits or field assessments conducted to evaluate community forest compliance with their approved Sustainable Management Plans (SMPs) during the reporting period.</t>
  </si>
  <si>
    <t>Independent monitoring reports; field audit logs</t>
  </si>
  <si>
    <t>Independent monitoring reports and audit logs</t>
  </si>
  <si>
    <t>Administrative desk review tallying the number of finalized independent monitoring reports officially submitted that assess community forest compliance with SMPs.</t>
  </si>
  <si>
    <t>Risk: Monitoring is conducted but reports are suppressed or delayed, negating transparency. Mitigation: Mandate that independent monitors publish their finalized audit findings to a central, accessible repository within a strict timeframe to be counted as completed.</t>
  </si>
  <si>
    <t>Government agencies, conservation partners, IP&amp;LCs, and stakeholders relying on transparent forest governance</t>
  </si>
  <si>
    <t>5.4.5</t>
  </si>
  <si>
    <t>Revenue management and benefit-sharing systems operational by June 2026.</t>
  </si>
  <si>
    <t>Number of functional benefit-sharing mechanisms actively distributing conservation revenues to IP&amp;LCs</t>
  </si>
  <si>
    <t>The total count of formalized revenue management and benefit-sharing systems that are actively operational, evidenced by documented, transparent financial transfers of conservation-related revenues (e.g., from eco-tourism, sustainable forestry) to Indigenous Peoples and Local Communities (IP&amp;LCs) during the reporting period.</t>
  </si>
  <si>
    <t>Cooperative financial ledgers; community bank records</t>
  </si>
  <si>
    <t>Financial audit and participatory budget tracking</t>
  </si>
  <si>
    <t>Conduct a desk audit of official financial ledgers and community bank statements to verify that revenues were disbursed to the agreed-upon community beneficiaries in strict accordance with the mechanism's distribution rules.</t>
  </si>
  <si>
    <t>Risk: 'Elite Capture.' Revenues are technically distributed to the community bank account, but are immediately siphoned off by the village chief or committee president for personal use. Mitigation: Mandate that funds are deposited into transparently managed cooperative accounts requiring multiple non-elite signatories, and institute participatory budget tracking to ensure the wider community oversees expenditure.</t>
  </si>
  <si>
    <t>5.4.6</t>
  </si>
  <si>
    <t>Community Forest (CF) members participate in peer-to-peer learning and exchange events on sustainable forest management.</t>
  </si>
  <si>
    <t>Number of Community Forest (CF) members participating in peer-to-peer learning and exchange events</t>
  </si>
  <si>
    <t>The total count of unique Community Forest (CF) management committee members and local practitioners who have attended WWF-facilitated exchange visits to observe and learn sustainable forest management best practices from peer communities during the reporting period.</t>
  </si>
  <si>
    <t>Project training database; event archives</t>
  </si>
  <si>
    <t>Attendance registers and exchange visit logs</t>
  </si>
  <si>
    <t>Administrative tally of unique individuals from signed attendance sheets and travel logs of the exchange visits, strictly de-duplicated using unique participant IDs to prevent double-counting across multiple events.</t>
  </si>
  <si>
    <t>Risk: 'Tourism over Training' (Per-diem hunting). Exchange visits become paid vacations for CF presidents and local elites who have no intention of applying the lessons, while actual field practitioners stay behind. Mitigation: Implement strict, transparent selection criteria targeting active practitioners, substitute cash per-diems with direct provision of logistics, and require participants to submit and execute a post-visit replication plan to share learnings.</t>
  </si>
  <si>
    <t>5.5.1</t>
  </si>
  <si>
    <t>Targeted private sector companies operating in CCO landscapes are assessed for baseline legal and environmental compliance.</t>
  </si>
  <si>
    <t>Number of private sector companies assessed for baseline legal and environmental compliance</t>
  </si>
  <si>
    <t>The total count of distinct forestry, mining, and agricultural companies operating in targeted landscapes that have undergone a comprehensive baseline audit to assess their compliance with national environmental regulations and social safeguards.</t>
  </si>
  <si>
    <t>PMEL document repository; baseline audit database</t>
  </si>
  <si>
    <t>Baseline audit checklist and document review</t>
  </si>
  <si>
    <t>Administrative tally of finalized baseline assessment files per targeted company, verifying the inclusion of both field audits and document reviews of corporate environmental management plans.</t>
  </si>
  <si>
    <t>Risk: 'Corporate Greenwashing.' Companies provide sanitized or falsified documents to assessors, hiding illegal logging outside concessions, pollution spills, or labor abuses. Mitigation: Do not rely solely on desk-based document reviews provided by the companies. Mandate that the baseline assessment includes unannounced physical field audits and triangulates findings with confidential interviews of local communities and civil society observers.</t>
  </si>
  <si>
    <t>Forest ecosystems and Local Communities</t>
  </si>
  <si>
    <t>5.5.2</t>
  </si>
  <si>
    <t>Targeted training and capacity building for private sector companies on environmental law and social safeguards conducted by June 2026.</t>
  </si>
  <si>
    <t>Number of individuals from private sector companies trained on environmental law and social safeguards</t>
  </si>
  <si>
    <t>The total count of unique individuals representing private sector companies (e.g., logging, mining, or agribusiness) who have successfully completed the formalized WWF-supported training curriculum on national environmental law compliance and social safeguards during the reporting period.</t>
  </si>
  <si>
    <t>Training attendance lists; pre/post knowledge assessments; feedback forms</t>
  </si>
  <si>
    <t>Training attendance sheets and training register</t>
  </si>
  <si>
    <t>Conduct an administrative tally of unique participants from signed training attendance registers who successfully completed the curriculum. Verify successful knowledge transfer through pre- and post-training assessments, and de-duplicate participants using unique IDs.</t>
  </si>
  <si>
    <t>Risk: Double counting of participants or incomplete training attendance records, leading to inflated training numbers. Mitigation: Maintain a centralized digital training register, verify participant lists using signed or thumb-printed attendance sheets for every module, and issue personalized certificates only upon verified completion of the course.</t>
  </si>
  <si>
    <t>Private Sector Employees</t>
  </si>
  <si>
    <t>5.5.3</t>
  </si>
  <si>
    <t>Targeted private sector companies operating in CCO supported landscapes undergo formal, independent environmental compliance audits.</t>
  </si>
  <si>
    <t>Number of targeted companies undergoing annual independent environmental compliance audits</t>
  </si>
  <si>
    <t>The total count of distinct private sector companies operating in the targeted landscapes that undergo a formal, independent third-party audit of their compliance with national forest protection laws and environmental management standards during the reporting period.</t>
  </si>
  <si>
    <t>Published audit reports; project document repository</t>
  </si>
  <si>
    <t>Independent compliance audit tracker and document review checklist</t>
  </si>
  <si>
    <t>Administrative tally of unique companies for which a finalized, independent compliance audit report has been published and formally submitted to project management.</t>
  </si>
  <si>
    <t>Risk: 'Financial Greenwashing' or captured auditors, where audits are paid for directly by the logging or agri-business companies being audited, compromising their independence and suppressing critical findings. Mitigation: Ensure audits are conducted by independent, internationally accredited third parties (e.g., FSC/RSPO bodies) and require that WWF or a neutral steering committee manages the auditor contracts rather than the audited companies.</t>
  </si>
  <si>
    <t>Companies, Regulators, and Forest Ecosystems</t>
  </si>
  <si>
    <t>5.5.4</t>
  </si>
  <si>
    <t>Grievance Redress Mechanisms (GRM) and Whistleblower systems are established and operational to track violations or illegal activities of private sector companies by December 2027.</t>
  </si>
  <si>
    <t>Percentage of established Grievance Redress Mechanisms (GRM) or Whistleblower systems that are actively operational</t>
  </si>
  <si>
    <t>The proportion of established Grievance Redress Mechanisms (GRM) or Whistleblower systems targeting private sector compliance that are actively operational during the reporting period, defined by their verified ability to receive, process, and resolve complaints. Numerator: Number of established GRMs or Whistleblower systems that are actively operational. Denominator: Total number of established GRMs or Whistleblower systems.</t>
  </si>
  <si>
    <t>Grievance logs; resolution reports; hotline and email records</t>
  </si>
  <si>
    <t>GRM and whistleblower case management system</t>
  </si>
  <si>
    <t>Conduct a grievance database analysis, including resolution time tracking and trend analysis. Calculate the indicator by dividing the count of established GRM or Whistleblower systems that meet the agreed operational criteria for receiving and resolving complaints (numerator) by the total number of GRM or Whistleblower systems established (denominator).</t>
  </si>
  <si>
    <t>Risk: Lack of trust or fear of retaliation leads to underreporting, rendering the GRM an empty 'paper mechanism'. Mitigation: Provide secure, anonymous whistleblowing channels (e.g., secure hotlines, third-party managed email), ensure the mechanism is widely publicized in local languages, and protect the identity of complainants through strict data security and confidentiality protocols.</t>
  </si>
  <si>
    <t>Local Communities and Workers</t>
  </si>
  <si>
    <t>4.3 Non-Criminal Legal Action</t>
  </si>
  <si>
    <t>5.5.5</t>
  </si>
  <si>
    <t>Multi-Stakeholder Platforms (MSPs) are functional for dialogue between companies, government agencies, and IP&amp;LCs.</t>
  </si>
  <si>
    <t>Number of formal Multi-Stakeholder Platform (MSP) meetings convened with verified IP&amp;LC representation</t>
  </si>
  <si>
    <t>The total count of official Multi-Stakeholder Platform (MSP) sessions convened to facilitate dialogue on natural resource management between private sector companies, government agencies, and Indigenous Peoples and Local Communities (IP&amp;LCs), where verifiable IP&amp;LC representation and active participation are documented during the reporting period.</t>
  </si>
  <si>
    <t>MSP secretariat archives; project governance logs</t>
  </si>
  <si>
    <t>Administrative tally of convened MSP meetings, explicitly verified by reviewing signed attendance sheets and official minutes to ensure that representatives from all three target groups (Private Sector, State, IP&amp;LCs) were physically present.</t>
  </si>
  <si>
    <t>Risk: 'Power Asymmetry' and cosmetic representation. Private sector and government actors dominate MSP dialogue using complex technical jargon (French/English), silencing IP&amp;LC representatives. Mitigation: Mandate local language translation during MSP sessions, organize preparatory 'pre-meetings' specifically for IP&amp;LCs to align their advocacy positions before engaging other sectors, and ensure meeting minutes explicitly record IP&amp;LC interventions and recommendations.</t>
  </si>
  <si>
    <t>Local Communities, Government Entities, and Private Sector</t>
  </si>
  <si>
    <t>5.5.6</t>
  </si>
  <si>
    <t>WWF partner CSOs are working with the private sector to operationalise a forest compliance monitoring and reporting system annually.</t>
  </si>
  <si>
    <t>Number of forest compliance monitoring reports generated by CSO and private sector partnerships</t>
  </si>
  <si>
    <t>The total count of formal forest compliance monitoring reports successfully generated and submitted by WWF partner CSOs in collaboration with private sector companies during the reporting period.</t>
  </si>
  <si>
    <t>CSO compliance reporting logs; submitted monitoring reports</t>
  </si>
  <si>
    <t>Compliance monitoring reporting logs and submitted reports</t>
  </si>
  <si>
    <t>Administrative tally of verified compliance monitoring reports officially produced and submitted by partner CSOs engaging with the private sector.</t>
  </si>
  <si>
    <t>Risk: CSOs lack the technical capacity or private sector cooperation to actually produce reports, leading to an inactive system. Mitigation: Provide dedicated technical reporting templates and facilitate formalized data-sharing MoUs between CSOs and companies to ensure regular report generation.</t>
  </si>
  <si>
    <t>CSOs, private sector companies, and local oversight actors</t>
  </si>
  <si>
    <t>5.6.1</t>
  </si>
  <si>
    <t>Degraded areas in CCO landscapes are identified, classified, and georeferenced by June 2026.</t>
  </si>
  <si>
    <t>Percentage of targeted landscapes with a georeferenced baseline on degraded areas</t>
  </si>
  <si>
    <t>The proportion of targeted CCO landscapes that have been fully identified, classified, and georeferenced to establish a spatial baseline for future monitoring of restoration progress during the reporting period. Numerator: Number of targeted landscapes with a fully georeferenced and community-validated baseline on degraded areas. Denominator: Total number of targeted CCO landscapes.</t>
  </si>
  <si>
    <t>GIS maps; remote sensing datasets; field survey reports; classification records</t>
  </si>
  <si>
    <t>Satellite Imagery</t>
  </si>
  <si>
    <t>GIS mapping tools and field assessment forms</t>
  </si>
  <si>
    <t>Conduct remote sensing analysis and participatory field mapping with GPS tagging to assess habitat conditions. Calculate the indicator by dividing the number of targeted landscapes with completed baseline maps (numerator) by the total number of targeted landscapes (denominator).</t>
  </si>
  <si>
    <t>Risk: Incorrect identification or classification of degraded areas due to limitations in spatial data or lack of field verification, leading to flawed restoration plans. Mitigation: Validate spatial analysis using high-resolution satellite imagery and mandate participatory ground-truthing with local communities and technical experts to confirm actual degradation status.</t>
  </si>
  <si>
    <t>Local communities and restoration practitioners</t>
  </si>
  <si>
    <t>5.6.2</t>
  </si>
  <si>
    <t>Site-specific ecological restoration plans are participatorily developed by June 2026 in consultation with communities and technical experts to ensure they include native species selection, planting design, soil stabilization, and fire prevention strategies.</t>
  </si>
  <si>
    <t>Number of site-specific ecological restoration plans developed and approved</t>
  </si>
  <si>
    <t>The total count of formal, site-specific ecological restoration plans that have been collaboratively developed, technically validated by ecological experts, and officially approved by the relevant community and government stakeholders during the reporting period.</t>
  </si>
  <si>
    <t>Approved restoration plans; community validation meeting minutes; expert technical reviews</t>
  </si>
  <si>
    <t>Document review checklist and participatory consultation records</t>
  </si>
  <si>
    <t>Conduct an administrative desk review to tally the number of finalized, site-specific restoration plans. Verify that each counted plan includes documented evidence of both community validation (e.g., signed meeting minutes) and expert technical review.</t>
  </si>
  <si>
    <t>Risk: Restoration plans are developed by external consultants without adequate technical ground-truthing or community consultation, resulting in 'paper plans' that fail in practice. Mitigation: Require documented community consultation records (e.g., signed attendance sheets, meeting minutes) and formal technical validation by qualified ecological experts before any restoration plan is counted as approved.</t>
  </si>
  <si>
    <t>5.6.3</t>
  </si>
  <si>
    <t>Annual support provided for the creation and use of community tree nurseries and seed banks.</t>
  </si>
  <si>
    <t>Number of community tree nurseries and seed banks receiving technical or material support</t>
  </si>
  <si>
    <t>The total count of distinct community-managed tree nurseries and seed banks that have physically received verifiable technical training, financial grants, or material inputs (e.g., seeds, tools) from the project during the reporting period.</t>
  </si>
  <si>
    <t>Project activity reports; input distribution logs; training attendance sheets</t>
  </si>
  <si>
    <t>Project support tracking register and distribution logs</t>
  </si>
  <si>
    <t>Administrative tally of distinct nurseries and seed banks supported, verified through signed material distribution waybills, training attendance sheets, or formal financial disbursement records.</t>
  </si>
  <si>
    <t>Risk: Inputs are distributed but left unused due to lack of local capacity or water access. Mitigation: Ensure material distributions are paired with necessary technical extension support and require signed handover receipts from the designated community management committee.</t>
  </si>
  <si>
    <t>Jengi-TRIDOM: 12
Jengi-TNS: 0
CFP: 0
KZP: 0</t>
  </si>
  <si>
    <t>5.6.4</t>
  </si>
  <si>
    <t>Annual FLR activities implemented by local actors in all CCO targeted landscapes.</t>
  </si>
  <si>
    <t>Area (ha) of targeted degraded areas under restoration</t>
  </si>
  <si>
    <t>The total surface area (in hectares) where active Forest Landscape Restoration (FLR) activities (e.g., tree planting, assisted natural regeneration) have been implemented by local actors on the ground during the reporting period.</t>
  </si>
  <si>
    <t>Field activity reports; planting logs; site photos; contracts with local actors</t>
  </si>
  <si>
    <t>GIS mapping and field monitoring forms</t>
  </si>
  <si>
    <t>Conduct GPS mapping of restoration sites during field observations. Aggregate data from community reporting logs and verify the extent of the restoration activities using time-series photo documentation and ground-truthing.</t>
  </si>
  <si>
    <t>Risk: FLR activities reported but not actually implemented or completed in the field. Mitigation: Verify activities through routine field monitoring reports, GPS-tagged site photos, and direct physical inspections of the restored plots to confirm seedling planting and active maintenance.</t>
  </si>
  <si>
    <t>Local communities, farmer groups, and ecosystems benefiting from forest landscape restoration</t>
  </si>
  <si>
    <t>5.6.5</t>
  </si>
  <si>
    <t>IP&amp;LC members and targeted stakeholders are trained on Forest Landscape Restoration (FLR) practices, such as nursery management and tree planting.</t>
  </si>
  <si>
    <t>Number of IP&amp;LC members and stakeholders trained on Forest Landscape Restoration (FLR) practices (e.g., nursery management, tree planting)</t>
  </si>
  <si>
    <t>The total count of unique individuals from Indigenous Peoples, Local Communities (IP&amp;LCs), and targeted stakeholders who successfully complete training modules on specific Forest Landscape Restoration (FLR) practices (e.g., nursery establishment, tree planting, assisted natural regeneration, fire management) during the reporting period.</t>
  </si>
  <si>
    <t>Training attendance records; pre/post-training assessments; training reports</t>
  </si>
  <si>
    <t>Standardized training attendance registers and pre/post-test forms</t>
  </si>
  <si>
    <t>Conduct an administrative tally of unique individuals from signed training attendance sheets. Cross-reference with pre/post-training assessment scores to verify basic knowledge acquisition, strictly de-duplicating names to prevent double-counting across multiple modules.</t>
  </si>
  <si>
    <t>Risk: Double-counting participants across multiple sessions, or counting individuals who signed the attendance sheet but did not engage or learn the material. Mitigation: Mandate the use of unique participant names/IDs across training modules, and require a minimum score on a simple, culturally appropriate post-training assessment to be formally counted as 'trained'.</t>
  </si>
  <si>
    <t>Farmers and community producer groups participating in sustainable forest landscape restoration</t>
  </si>
  <si>
    <t>5.6.6</t>
  </si>
  <si>
    <t>Annual joint monitoring system for areas under active restoration operational.</t>
  </si>
  <si>
    <t>Number of joint ecological monitoring reports produced for areas under active restoration</t>
  </si>
  <si>
    <t>The total count of formalized joint ecological monitoring reports successfully generated, validated, and submitted by the monitoring system, detailing data collected from areas under active restoration during the reporting period.</t>
  </si>
  <si>
    <t>Ecological monitoring database; finalized monitoring reports</t>
  </si>
  <si>
    <t>Document transmittal logs and database records</t>
  </si>
  <si>
    <t>Administrative desk review tallying the number of finalized and submitted joint ecological monitoring reports extracted from the central monitoring database.</t>
  </si>
  <si>
    <t>Risk: 'Data Graveyards' where field data is collected sporadically on paper but never digitized or compiled into a usable report. Mitigation: Mandate a strict reporting schedule and link field team performance evaluations to the timely submission of finalized digital monitoring reports.</t>
  </si>
  <si>
    <t>5.6.7</t>
  </si>
  <si>
    <t>Peer-to-peer exchange visits and policy dialogues on forest conservation and IP&amp;LC rights are formally convened.</t>
  </si>
  <si>
    <t>Number of peer-to-peer exchange visits and policy dialogues on forest conservation and IP&amp;LC rights convened</t>
  </si>
  <si>
    <t>The total count of distinct, formalized exchange events or policy dialogues convened by the project that actively bring together IP&amp;LC representatives, government agencies, and conservation practitioners to share lessons learned and promote successful models regarding forest conservation and IP&amp;LC rights.</t>
  </si>
  <si>
    <t>Project event archives; knowledge management system</t>
  </si>
  <si>
    <t>Event reports and signed attendance registers</t>
  </si>
  <si>
    <t>Administrative tally of distinct events, verified through signed attendance registers and the existence of formalized 'lessons learned' outputs or policy briefs attached to the event report.</t>
  </si>
  <si>
    <t>Risk: 'Workshop Tourism' and 'per-diem hunting.' Exchange visits become paid vacations for community presidents and local elites who have no intention of sharing or applying the knowledge. Mitigation: Mandate that delegates are democratically selected by the community, rather than self-appointed elites, and require them to hold a formal feedback session in their village upon return to share the lessons learned.</t>
  </si>
  <si>
    <t>Local Communities and Policy Makers</t>
  </si>
  <si>
    <t>5.7.1</t>
  </si>
  <si>
    <t>Comprehensive reviews and analytical reports assessing biodiversity policies and legal instruments are completed and formally validated.</t>
  </si>
  <si>
    <t>Number of comprehensive reviews on biodiversity policies and legal instruments completed and validated</t>
  </si>
  <si>
    <t>The total count of finalized, peer-reviewed analytical reports that comprehensively assess existing national environmental policies and laws against international commitments (e.g., CBD, Paris Agreement) to explicitly identify implementation bottlenecks and prioritize areas for reform during the reporting period.</t>
  </si>
  <si>
    <t>PMEL document repository; policy archives</t>
  </si>
  <si>
    <t>Policy review matrix and document review checklist</t>
  </si>
  <si>
    <t>Administrative tally of finalized legal review reports that have been formally accepted by project management, explicitly verifying the inclusion of sections detailing 'implementation bottlenecks' and 'priority areas for reform'.</t>
  </si>
  <si>
    <t>Risk: 'Consultant Copy-Paste' and 'Academic Isolation.' Legal reviews are drafted by external consultants in Yaoundé who exclusively summarize laws on paper without consulting field practitioners or affected communities. Mitigation: Require the review methodology to include key informant interviews with field staff, local authorities, and IP&amp;LC representatives, and mandate a formal multi-stakeholder validation workshop before final report acceptance.</t>
  </si>
  <si>
    <t>Policy Makers and Reform Actors</t>
  </si>
  <si>
    <t>7.1 Laws, Regulations &amp; Codes</t>
  </si>
  <si>
    <t>5.7.2</t>
  </si>
  <si>
    <t>CCO is fully engaged annually in all policies making platforms to table concerns related inclusive conservation.</t>
  </si>
  <si>
    <t>Number of national or sub-national policy platforms where CCO actively participates</t>
  </si>
  <si>
    <t>The total count of formal policy-making or reform platforms (e.g., inter-ministerial commissions, legislative working groups) where WWF CCO holds a documented seat and actively tables technical inputs or advocacy recommendations regarding inclusive conservation during the reporting period.</t>
  </si>
  <si>
    <t>Platform secretariats; project policy logs; meeting archives</t>
  </si>
  <si>
    <t>Meeting minutes and submitted policy briefs</t>
  </si>
  <si>
    <t>Administrative tally of distinct platforms, verified by cross-referencing official platform meeting minutes showing WWF attendance with records of formal technical inputs or position papers submitted by CCO to the platform.</t>
  </si>
  <si>
    <t>Risk: 'Tokenistic Observation.' CCO is invited to the platform simply to lend NGO legitimacy to predetermined government decisions, but is relegated to 'observer' status without real influence. Mitigation: Do not count mere attendance; mandate that CCO must have documented proof of submitting formal technical inputs, position papers, or policy recommendations that are officially recorded in the platform's proceedings.</t>
  </si>
  <si>
    <t>Policy Makers and Government Entities</t>
  </si>
  <si>
    <t>5.7.3</t>
  </si>
  <si>
    <t>CCO partners annually with CSOs, networks and  related partners  for a  coalition and synergy in policy influencing.</t>
  </si>
  <si>
    <t>Number of formal partnership agreements signed with CSOs and networks for policy influencing</t>
  </si>
  <si>
    <t>The total count of formal agreements (e.g., MoUs, letters of collaboration, joint charters) successfully signed between WWF CCO and Civil Society Organizations (CSOs) or networks to establish coalitions for forest policy advocacy during the reporting period.</t>
  </si>
  <si>
    <t>Signed MoUs; partnership database; collaboration agreements</t>
  </si>
  <si>
    <t>Partnership agreement tracking register</t>
  </si>
  <si>
    <t>Administrative tally of newly executed or actively maintained formal partnership agreements (MoUs) with CSOs and networks specifically dedicated to policy influencing and synergy.</t>
  </si>
  <si>
    <t>Risk: 'Paper Partnerships' where agreements are signed purely for visibility but lack concrete collaborative planning. Mitigation: Require that all signed MoUs include a specific, time-bound joint advocacy action plan or terms of reference to be counted as fully established.</t>
  </si>
  <si>
    <t>CSOs and Advocacy Partners</t>
  </si>
  <si>
    <t>5.7.4</t>
  </si>
  <si>
    <t>Drafted or revised legal and policy instruments on biodiversity protection are officially submitted to relevant government authorities.</t>
  </si>
  <si>
    <t>Number of drafted or revised legal and policy instruments on biodiversity protection officially submitted to government authorities</t>
  </si>
  <si>
    <t>The total count of formalized legal texts, policy frameworks, or strategic biodiversity instruments (e.g., forest laws, NBSAPs) that WWF has provided direct technical/financial support to draft or revise, and which have been officially submitted to the relevant government authorities during the reporting period.</t>
  </si>
  <si>
    <t>Ministry archives; project document repository</t>
  </si>
  <si>
    <t>Official submission receipts</t>
  </si>
  <si>
    <t>Administrative tally of finalized legal/policy drafts, strictly verified against the stamped 'Acknowledgement of Receipt' (Accusé de réception) from the target Ministry or Parliament.</t>
  </si>
  <si>
    <t>Risk: 'The Bureaucratic Black Hole.' Draft policies are technically submitted to low-level ministry clerks and receive an acknowledgment stamp (satisfying the output metric), but never advance to a vote or implementation. Mitigation: Ensure submissions are made directly to high-level decision-makers, accompanied by a targeted advocacy follow-up plan to track the draft's progression beyond mere submission.</t>
  </si>
  <si>
    <t>Government Entities and Policy Makers</t>
  </si>
  <si>
    <t>5.7.5</t>
  </si>
  <si>
    <t>High-level advocacy and policy dialogue facilitated annually through engagement with related ministries, parliament, inter-ministerial commissions, and the Prime Minister’s office to secure buy-in for conservation policies.</t>
  </si>
  <si>
    <t>Number of high-level meetings and dialogues held with government representatives to advocate for natural resources conservation and protection policies</t>
  </si>
  <si>
    <t>The total count of formal, documented meetings, policy dialogues, or advocacy sessions held between WWF (or partners) and high-level government representatives (e.g., ministers, parliamentarians, directors) explicitly aimed at advancing or securing approval for natural resources conservation policies during the reporting period.</t>
  </si>
  <si>
    <t>Meeting agendas; official minutes; commitment letters; policy statements</t>
  </si>
  <si>
    <t>Advocacy and policy dialogue meeting register</t>
  </si>
  <si>
    <t>Conduct an administrative count of official meetings logged in the advocacy register. Verification requires cross-referencing entries with formal meeting agendas, signed minutes, or official correspondence confirming the attendance of the targeted decision-makers.</t>
  </si>
  <si>
    <t>Risk: Meetings are reported but not formally documented, or they are delegated to junior staff without actual decision-making authority. Mitigation: Verify meetings by requiring official invitations, signed attendance lists, and formal minutes that confirm the actual presence and engagement of high-level decision-makers.</t>
  </si>
  <si>
    <t>Government institutions, policymakers, and stakeholders involved in biodiversity governance</t>
  </si>
  <si>
    <t>5.7.6</t>
  </si>
  <si>
    <t>Technical briefs, policy notes, and strategic documents produced annually.</t>
  </si>
  <si>
    <t>Number of technical briefs or strategic policy documents officially published and disseminated on natural resources conservation/protection</t>
  </si>
  <si>
    <t>The total count of formalized, evidence-based technical documents (e.g., policy briefs, legal analyses, position papers) produced by WWF or its partners that have been officially published and disseminated to targeted policymakers and stakeholders to influence conservation practices and natural resource governance during the reporting period.</t>
  </si>
  <si>
    <t>Project document repository; advocacy archives; dissemination logs</t>
  </si>
  <si>
    <t>Document review and dissemination tracking matrix</t>
  </si>
  <si>
    <t>Conduct an administrative tally of finalized technical documents, explicitly cross-referenced with verified distribution lists, event attendance sheets, or transmittal emails to confirm successful dissemination to the target audience.</t>
  </si>
  <si>
    <t>Risk: The 'Echo Chamber.' Highly technical documents are produced in French/English, printed in glossy formats, and distributed exclusively at high-end Yaoundé workshops, failing to reach local stakeholders, decentralized authorities, or field implementers. Mitigation: Require that technical briefs include accessible summaries, mandate distribution targets that include decentralized local councils and community platforms, and verify dissemination beyond central ministries.</t>
  </si>
  <si>
    <t>5.7.7</t>
  </si>
  <si>
    <t>Communication and awareness campaign on policy reform annually carried out.</t>
  </si>
  <si>
    <t>Number of communication materials and events produced and shared on natural resources conservation and protection</t>
  </si>
  <si>
    <t>The total count of distinct communication materials (e.g., radio spots, posters, social media campaigns, policy briefs) and formal events (e.g., community workshops, town halls) produced and verifiably disseminated to target audiences regarding natural resources conservation and policy reform during the reporting period.</t>
  </si>
  <si>
    <t>Campaign media (radio, TV, social media); event reports; media tracking logs</t>
  </si>
  <si>
    <t>Campaign activity tracking register and attendance lists</t>
  </si>
  <si>
    <t>Conduct an administrative tally of produced communication materials and executed events using the campaign activity tracking register. Verification requires cross-referencing with media broadcast logs, event attendance sheets, and digital engagement analytics.</t>
  </si>
  <si>
    <t>Risk: Campaigns are reported as 'produced' but are not effectively implemented or fail to reach the intended audience. Mitigation: Verify campaigns not just by production, but through verifiable dissemination evidence such as radio airing logs, signed event attendance lists, and distribution receipts to confirm actual audience reach.</t>
  </si>
  <si>
    <t>Policymakers, local communities, civil society organizations, and other stakeholders involved in conservation policy processes</t>
  </si>
  <si>
    <t>5.7.8</t>
  </si>
  <si>
    <t>Tools and indicators developed to track post-enactment implementation, enforcement, and alignment with biodiversity and climate goals by June 2027.</t>
  </si>
  <si>
    <t>Number of post-enactment policy monitoring tools and indicators developed</t>
  </si>
  <si>
    <t>The total count of distinct, formalized monitoring frameworks, digital tools, or standardized indicator matrices developed by WWF and its partners to track post-enactment implementation, enforcement, and alignment with biodiversity goals during the reporting period.</t>
  </si>
  <si>
    <t>Project IT/PMEL archives; formal tool design documents</t>
  </si>
  <si>
    <t>Administrative tally of finalized tool design documents and indicator matrices formally completed and archived by the project team.</t>
  </si>
  <si>
    <t>Risk: Tools are developed but are inappropriate for the local technological context. Mitigation: Ensure tool development includes consultation workshops with intended end-users to validate technical feasibility before finalization.</t>
  </si>
  <si>
    <t>Government Entities and Civil Society</t>
  </si>
  <si>
    <t>1. CCO staff awareness and use of the different channels and tools have increased by at least 75% by 2027.</t>
  </si>
  <si>
    <t>Percentage of staff actively using approved internal communication channels</t>
  </si>
  <si>
    <t>The proportion of WWF CCO staff who report routinely accessing and utilizing formal internal communication tools (e.g., intranet, official newsletters) during the reporting period, cross-verified by IT system usage analytics. Numerator: Number of staff who verifiably use approved internal communication channels. Denominator: Total number of WWF CCO staff.</t>
  </si>
  <si>
    <t>IT system analytics; annual staff survey</t>
  </si>
  <si>
    <t>Usage dashboards and survey forms</t>
  </si>
  <si>
    <t>Triangulation of self-reported usage from the annual staff survey with raw login and engagement data extracted from the IT department's communication dashboards. Calculate the percentage by dividing the number of staff with verified active use of approved internal channels (numerator) by the total number of staff (denominator).</t>
  </si>
  <si>
    <t>Risk: 'Tool Fatigue' and Shadow Communications. Staff are overwhelmed by multiple formal platforms (Teams, Email, Intranet) and revert to informal, untracked WhatsApp groups. Mitigation: Consolidate formal communications into fewer, user-friendly platforms and ensure field staff with low bandwidth have offline-capable or low-data alternatives to stay informed.</t>
  </si>
  <si>
    <t>60. Inclusive Conservation Capacity development in WWF and partner organization</t>
  </si>
  <si>
    <t>Cross-cutting</t>
  </si>
  <si>
    <t>WWF CCO Staff</t>
  </si>
  <si>
    <t>10.1 Internal Organizational Management &amp; Administration</t>
  </si>
  <si>
    <t>2. Staff knowledge on use of internal and external communications tools, and clearance procedure enhanced by at least 75% by 2027.</t>
  </si>
  <si>
    <t>Percentage of staff demonstrating proficiency in WWF communication and clearance procedures</t>
  </si>
  <si>
    <t>The proportion of staff members (particularly those in programmatic or external-facing roles) who have successfully completed training on WWF communication protocols and achieved a passing score on the associated knowledge assessment regarding content clearance procedures. Numerator: Number of staff who achieve a passing score on the communications protocol assessment. Denominator: Total number of staff required to take the training.</t>
  </si>
  <si>
    <t>HR training database; Learning Management System (LMS)</t>
  </si>
  <si>
    <t>Knowledge assessments (post-tests)</t>
  </si>
  <si>
    <t>Administrative analysis calculating the percentage by dividing the number of staff who achieve a passing score on the communications protocol assessment (numerator) by the total number of staff required to complete the training (denominator).</t>
  </si>
  <si>
    <t>Risk: 'Paper Compliance.' Staff pass the theoretical test but bypass the lengthy clearance procedures in reality when facing tight deadlines for external publications or donor reports. Mitigation: Integrate mandatory clearance checks into the final submission workflow for all public documents, and establish a fast-track clearance option for urgent, low-risk communications.</t>
  </si>
  <si>
    <t>3. CCO staff effectively receiving information and communication through the internal and external communications channels have increased by at least 75% by 2027.</t>
  </si>
  <si>
    <t>Percentage of staff reached by internal and external communication channels</t>
  </si>
  <si>
    <t>The proportion of WWF CCO staff who are verifiably reached by or actively registered on the designated internal and external communication channels (e.g., mailing lists, intranet portals, newsletters) during the reporting period. Numerator: Number of staff verifiably reached by the communication channels. Denominator: Total number of WWF CCO staff.</t>
  </si>
  <si>
    <t>IT system analytics; mailing list distribution logs; intranet access logs</t>
  </si>
  <si>
    <t>Usage dashboards and distribution logs</t>
  </si>
  <si>
    <t>Administrative calculation dividing the number of staff actively registered on and receiving distributions from official communication channels (numerator) by the total number of WWF CCO staff (denominator).</t>
  </si>
  <si>
    <t>Risk: Staff are on the mailing lists but do not actually open or access the communications. Mitigation: Supplement distribution logs with read-receipt tracking or system analytics (e.g., intranet unique logins) to verify actual delivery and access.</t>
  </si>
  <si>
    <t>4. CCO staff are writing and publishing quality reports, articles, position papers, etc.</t>
  </si>
  <si>
    <t>Number of staff-authored technical and communication products officially published</t>
  </si>
  <si>
    <t>The total count of distinct knowledge products (e.g., technical reports, peer-reviewed articles, position papers) solely or co-authored by WWF CCO staff that have successfully passed the internal editorial review process and have been officially published during the reporting period.</t>
  </si>
  <si>
    <t>Publication repository; editorial logs</t>
  </si>
  <si>
    <t>Publication repository review</t>
  </si>
  <si>
    <t>Administrative tally of finalized publications housed in the central repository, explicitly verifying the inclusion of CCO staff names in the authorship credits.</t>
  </si>
  <si>
    <t>Risk: 'HQ Authorship Monopoly.' Busy field staff collect the raw conservation data, but publications are written almost exclusively by HQ staff or external consultants in the capital. Mitigation: Ensure that field staff are explicitly credited as co-authors and provide them with scientific writing support and dedicated time to participate in the drafting process.</t>
  </si>
  <si>
    <t>No alignment</t>
  </si>
  <si>
    <t>WWF CCO Staff and the broader conservation community</t>
  </si>
  <si>
    <t>1.1.5</t>
  </si>
  <si>
    <t>5. Staff perception of WWF external communications has improved by at least 75% by 2027</t>
  </si>
  <si>
    <t>Percentage of staff reporting a positive perception of WWF’s external communications and visibility</t>
  </si>
  <si>
    <t>The proportion of staff respondents who rate WWF CCO's public messaging, brand visibility, and external campaigns as 'Positive' or 'Highly Positive' in the annual internal staff satisfaction survey. Numerator: Number of staff respondents reporting a positive or highly positive perception. Denominator: Total number of staff responding to the survey.</t>
  </si>
  <si>
    <t>Annual staff satisfaction survey</t>
  </si>
  <si>
    <t>Surveys</t>
  </si>
  <si>
    <t>Digital survey forms</t>
  </si>
  <si>
    <t>Statistical extraction of Likert-scale responses from the annual staff survey. Calculate the percentage by dividing the number of staff responding 'Positive' or 'Highly Positive' to questions related to external communications (numerator) by the total number of survey respondents (denominator).</t>
  </si>
  <si>
    <t>Risk: 'The Reality Disconnect.' Polished external PR materials portray massive conservation successes to international donors, causing cynicism and low morale among field staff who face daily operational struggles. Mitigation: Ensure external communications accurately reflect field realities and challenges, and involve field staff in the review of major PR materials prior to publication.</t>
  </si>
  <si>
    <t>6. At least 75% of senior staff members are equipped with crisis communications and media interview skills</t>
  </si>
  <si>
    <t>Percentage of senior staff completing crisis communications and media interview training</t>
  </si>
  <si>
    <t>The proportion of designated senior leadership and landscape managers who have successfully attended and completed the formal crisis communication and media interview training module during the reporting period. Numerator: Number of senior staff and landscape managers completing the training. Denominator: Total number of designated senior staff and landscape managers required to take the training.</t>
  </si>
  <si>
    <t>HR training database; training attendance registers</t>
  </si>
  <si>
    <t>Signed training attendance sheets</t>
  </si>
  <si>
    <t>Administrative calculation dividing the number of senior staff who completed the media training module (numerator) by the total number of staff required to take the training (denominator), verified through signed attendance registers.</t>
  </si>
  <si>
    <t>Risk: Staff attend the training but remain unequipped to handle real Congo Basin crisis scenarios. Mitigation: Ensure the training curriculum is specifically tailored to regional realities (e.g., human-wildlife conflict, poaching incidents) rather than generic PR theory.</t>
  </si>
  <si>
    <t>WWF CCO Senior Staff and Landscape Managers</t>
  </si>
  <si>
    <t>1. Logistics department is 100% equipped with an interactive tool to facilitate operations by January 2024</t>
  </si>
  <si>
    <t>Existence of an operational logistics tool fully deployed and used by staff</t>
  </si>
  <si>
    <t>Confirms whether a functional, interactive logistics management tool has been fully deployed across the department and is actively utilized by staff to facilitate operations during the reporting period.</t>
  </si>
  <si>
    <t>Tool implementation reports; system usage analytics</t>
  </si>
  <si>
    <t>Deployment checklist and system usage logs</t>
  </si>
  <si>
    <t>Administrative verification of the deployment checklists and system backend usage logs to confirm the tool's existence, office-wide availability, and active operational utility.</t>
  </si>
  <si>
    <t>Risk: Technical issues or staff resistance to change limit the tool's actual utility, turning it into an unused system. Mitigation: Ensure the selected tool is user-friendly, mandate hands-on staff training during rollout, and provide dedicated, ongoing IT and procurement support.</t>
  </si>
  <si>
    <t>WWF CCO Staff and Logistics Department</t>
  </si>
  <si>
    <t>9. Industry, Innovation, and Infrastructure: Build resilient infrastructure, promote inclusive and sustainable industrialization, and foster innovation</t>
  </si>
  <si>
    <t>CCO is 100% equipped with an efficient electronic filing system for easy retrieval of information by June 2026.</t>
  </si>
  <si>
    <t>Percentage of mandatory project documents successfully archived in the standardized electronic filing system</t>
  </si>
  <si>
    <t>The proportion of mandatory master records (e.g., signed contracts, technical progress reports, financial audits, MoUs) that are fully digitized, correctly tagged, and securely archived in the central electronic document management system during the reporting period. Numerator: Number of sampled mandatory master records successfully archived and correctly tagged. Denominator: Total number of mandatory master records sampled in the audit.</t>
  </si>
  <si>
    <t>Central electronic filing system (e.g., SharePoint/Google Drive)</t>
  </si>
  <si>
    <t>File system audit checklist</t>
  </si>
  <si>
    <t>Quarterly IT/Admin audit cross-referencing a defined sample of finalized project contracts and technical reports against the electronic repository to verify they are filed, correctly named, and easily retrievable. Calculate the percentage by dividing the number of correctly archived records (numerator) by the total number of sampled records (denominator).</t>
  </si>
  <si>
    <t>Risk: 'The Digital Dumpster.' Staff upload files to the cloud server to comply with the mandate but ignore naming conventions and folder structures, creating a searchable but disorganized mess. Mitigation: Implement mandatory metadata tags in the upload system, conduct strict quarterly IT audits, and include adherence to digital filing protocols in staff annual performance reviews.</t>
  </si>
  <si>
    <t>Staff are at least 90% satisfied with information services based on survey report.</t>
  </si>
  <si>
    <t>Percentage of staff reporting satisfaction with internal IT and Information Services</t>
  </si>
  <si>
    <t>The proportion of WWF staff respondents who score 'Satisfied' or 'Highly Satisfied' on the annual internal operations survey regarding the responsiveness, reliability, and technical support provided by the IT and Information Services department. Numerator: Number of staff respondents scoring 'Satisfied' or 'Highly Satisfied'. Denominator: Total number of staff respondents to the survey.</t>
  </si>
  <si>
    <t>Annual operations and staff satisfaction survey</t>
  </si>
  <si>
    <t>Statistical extraction of Likert-scale responses from the annual staff survey, specifically isolating the block of questions related to IT helpdesk responsiveness and system reliability. Calculate the percentage by dividing the number of satisfied respondents (numerator) by the total number of survey respondents (denominator).</t>
  </si>
  <si>
    <t>Risk: 'Survey Apathy.' Staff facing chronic, unaddressed IT issues (e.g., persistent slow internet, broken network printers) stop filling out the annual survey because previous feedback led to no visible improvements. Mitigation: Guarantee survey anonymity, and mandate that management publicly share a summary of the feedback along with a concrete, time-bound action plan to address identified IT pain points.</t>
  </si>
  <si>
    <t>4. Staff are at least 90% satisfied with logistics support based on survey report</t>
  </si>
  <si>
    <t>Percentage of staff satisfied with logistic services offered by WWF</t>
  </si>
  <si>
    <t>The proportion of WWF CCO staff respondents who score 'Satisfied' or 'Highly Satisfied' on the annual internal operations survey regarding the responsiveness, quality, and timeliness of logistics support (e.g., travel, procurement, fleet). Numerator: Number of staff respondents scoring 'Satisfied' or 'Highly Satisfied'. Denominator: Total number of staff respondents to the survey.</t>
  </si>
  <si>
    <t>Annual staff satisfaction survey; service usage records</t>
  </si>
  <si>
    <t>Annual satisfaction survey and digital feedback forms</t>
  </si>
  <si>
    <t>Statistical extraction of Likert-scale responses from the annual staff survey, specifically isolating questions related to logistics support. Calculate the percentage by dividing the number of satisfied respondents (numerator) by the total number of survey respondents (denominator).</t>
  </si>
  <si>
    <t>Risk: 'Survey Apathy.' Staff facing chronic, unaddressed logistics delays stop filling out the annual survey because previous feedback led to no visible improvements. Mitigation: Guarantee survey anonymity, and mandate that management publicly share a summary of the feedback along with a concrete, time-bound action plan to address identified logistics bottlenecks.</t>
  </si>
  <si>
    <t>5. Green and sustainable energy is 100% installed in Yaoundé and field offices to solve power outages.</t>
  </si>
  <si>
    <t>Percentage of CCO offices fully powered by operational renewable energy systems</t>
  </si>
  <si>
    <t>The proportion of WWF CCO physical office facilities (both Yaoundé HQ and deep-forest field bases) that have fully installed and operational renewable energy systems (e.g., solar arrays, inverters, battery banks) capable of sustaining core operational needs during the reporting period. Numerator: Number of CCO offices fully powered by verified operational renewable energy systems. Denominator: Total number of CCO offices.</t>
  </si>
  <si>
    <t>Operations and logistics database; technical commissioning reports; maintenance logs</t>
  </si>
  <si>
    <t>Site inspection checklist and maintenance logs</t>
  </si>
  <si>
    <t>Administrative calculation dividing the number of offices with verified operational renewable energy systems (numerator) by the total number of WWF CCO offices (denominator). Verification must include reviewing signed technical commissioning reports, active maintenance logs, and physical site inspection checklists.</t>
  </si>
  <si>
    <t>Risk: 'The Solar Graveyard.' Solar panels are purchased and installed at great expense in remote field offices, but fail completely within 12-18 months because no local staff are trained to maintain them, and replacement batteries are unavailable. Mitigation: Mandate that all solar procurement contracts include a multi-year maintenance agreement, a critical spare parts inventory, and hands-on technical training for local field logistics staff.</t>
  </si>
  <si>
    <t>7. Affordable and Clean Energy: Ensure access to affordable, reliable, sustainable, and modern energy for all</t>
  </si>
  <si>
    <t>6. Internet Connectivity reliable in Yaoundé Office</t>
  </si>
  <si>
    <t>Percentage of monthly internet connection uptime in the Yaoundé office</t>
  </si>
  <si>
    <t>The proportion of total operational hours during the month that the primary internet connection in the Yaoundé HQ office is active, stable, and functional. Numerator: Total hours of active internet connectivity. Denominator: Total expected operational hours in the month.</t>
  </si>
  <si>
    <t>Network performance logs; IT incident reports</t>
  </si>
  <si>
    <t>Internet uptime monitoring software and dashboard</t>
  </si>
  <si>
    <t>Administrative calculation dividing the total hours of active internet connectivity logged by the monitoring software (numerator) by the total expected operational hours in the month (denominator). Validate any service interruptions against formal IT incident tickets.</t>
  </si>
  <si>
    <t>Risk: Provider outages, fiber cable cuts, or local equipment failure cause prolonged internet downtime, paralyzing office operations and reporting. Mitigation: Contract a reliable primary internet service provider with a strict Service Level Agreement (SLA), and maintain an active, independent backup connection (e.g., VSAT or 4G/5G router) with an automatic failover setup.</t>
  </si>
  <si>
    <t>7. Local Infrastructure in Yaoundé and field offices are upgraded to enterprise-based standard</t>
  </si>
  <si>
    <t>Percentage of WWF office sites meeting the approved enterprise infrastructure standard</t>
  </si>
  <si>
    <t>The proportion of physical WWF CCO office locations (Yaoundé HQ and all field sites) that successfully pass the annual facilities audit, verifying full compliance with WWF's global enterprise infrastructure, connectivity, and safety standards during the reporting period. Numerator: Number of office sites successfully passing the enterprise infrastructure audit. Denominator: Total number of official WWF CCO sites.</t>
  </si>
  <si>
    <t>Facilities and operations database; annual audit reports</t>
  </si>
  <si>
    <t>Infrastructure audit checklist</t>
  </si>
  <si>
    <t>Administrative calculation: Divide the number of office sites passing the enterprise infrastructure audit (verified by signed inspection reports) (numerator) by the total number of official WWF CCO sites (denominator).</t>
  </si>
  <si>
    <t>Risk: 'The Last Mile Delivery Trap.' Construction materials and IT hardware destined for deep-forest offices (e.g., Jengi-TRIDOM, Lobéké) are delayed by months due to poor road networks and rainy seasons. Mitigation: Procure materials locally where possible, and schedule all major infrastructure upgrades and hardware deliveries strictly during the dry season.</t>
  </si>
  <si>
    <t>8. Digital dexterity of the staff ensured</t>
  </si>
  <si>
    <t>Percentage of staff completing training on core digital tools and enterprise platforms</t>
  </si>
  <si>
    <t>The proportion of WWF CCO staff who have successfully completed the mandatory IT digital literacy training or enterprise platform onboarding modules during the reporting period. Numerator: Number of staff completing digital tools training. Denominator: Total number of staff required to take the training.</t>
  </si>
  <si>
    <t>HR/IT training database; LMS records</t>
  </si>
  <si>
    <t>Training attendance sheets and LMS completion logs</t>
  </si>
  <si>
    <t>Administrative calculation dividing the number of staff who completed the digital tools training (numerator) by the total number of staff required to take it (denominator), verified through LMS logs and attendance sheets.</t>
  </si>
  <si>
    <t>Risk: Staff click through online training without paying attention. Mitigation: Provide offline, localized orientation sessions where necessary and ensure training modules include interactive elements required for completion.</t>
  </si>
  <si>
    <t>Donor reports are prepared and submitted to external donors on or before agreed deadlines.</t>
  </si>
  <si>
    <t>Percentage of donor reports submitted on time</t>
  </si>
  <si>
    <t>The proportion of donor reports due during the reporting period that were submitted on or before the agreed external deadline. Numerator: Number of donor reports submitted on time. Denominator: Total number of donor reports due during the period.</t>
  </si>
  <si>
    <t>Donor reporting tracker; submission records; acknowledgement logs</t>
  </si>
  <si>
    <t>Consolidated reporting tracker and submission logs</t>
  </si>
  <si>
    <t>Review the centralized donor reporting tracker and submission records for the reporting period. Calculate the percentage by dividing the number of donor reports submitted on or before the agreed deadline (numerator) by the total number of donor reports due during the period (denominator).</t>
  </si>
  <si>
    <t>Risk: 'The Last-Minute Scramble.' Reports miss deadlines or lack quality because field teams delay submitting raw technical and financial data due to poor internet or competing priorities. Mitigation: Enforce an internal reporting calendar with hard deadlines set at least 15 days before the external donor deadline, and hold landscape managers accountable for timely field data submission.</t>
  </si>
  <si>
    <t>WWF Donors and CCO Staff</t>
  </si>
  <si>
    <t>Formal accountability and transparency reports are regularly distributed to and received by targeted staff and partners.</t>
  </si>
  <si>
    <t>Percentage of staff and partners receiving regular accountability and transparency reports</t>
  </si>
  <si>
    <t>The proportion of targeted staff and partners who received at least one formal accountability and transparency report during the reporting period. Numerator: Number of targeted staff and partners who verifiably received the report. Denominator: Total number of targeted staff and partners.</t>
  </si>
  <si>
    <t>Consolidated reporting tracker; distribution logs</t>
  </si>
  <si>
    <t>Consolidated reporting tracker and email/digital logs</t>
  </si>
  <si>
    <t>Review the accountability reporting tracker and distribution logs for the reporting period. Calculate the percentage by dividing the number of targeted staff and partners who received at least one formal accountability and transparency report (numerator) by the total number of targeted staff and partners (denominator).</t>
  </si>
  <si>
    <t>Risk: Incomplete distribution records, inconsistent circulation lists, or reports are sent but never accessed. Mitigation: Maintain a centralized, up-to-date stakeholder contact registry and utilize digital distribution tools with read-receipt tracking or signed handover forms to verify actual delivery and engagement.</t>
  </si>
  <si>
    <t>WWF CCO Staff, External Donors, and Institutional Partners</t>
  </si>
  <si>
    <t>2. Ownership of the work by staff, partners, and stakeholders, and therefore sustainability of the work for the future strengthened</t>
  </si>
  <si>
    <t>Percentage of conservation projects featuring documented IP&amp;LC or local partner co-design and joint implementation</t>
  </si>
  <si>
    <t>The proportion of active WWF CCO projects that possess verified documentation proving local partners or IP&amp;LCs were formally involved in the project design phase (e.g., signed consultation minutes) and hold a formal role or budget allocation in the implementation phase. Numerator: Number of active projects with verified co-design and joint implementation. Denominator: Total number of active projects in the portfolio.</t>
  </si>
  <si>
    <t>Project portfolio database (e.g., Panda Impact / Miradi); project core documents</t>
  </si>
  <si>
    <t>Portfolio audit checklist</t>
  </si>
  <si>
    <t>Annual administrative audit of the active project portfolio. Calculate the percentage by dividing the number of projects that have formal co-management MoUs, joint steering committee minutes, or sub-grant agreements with local partners attached to their core documentation (numerator) by the total number of active projects in the portfolio (denominator).</t>
  </si>
  <si>
    <t>Risk: 'Tokenistic Co-design.' Local CSOs or IP&amp;LCs are invited to a project validation workshop purely to sign an attendance sheet to satisfy donor requirements, but have zero influence over the actual budget or activities. Mitigation: Require verifiable proof of joint budget management, sub-grant disbursements, or formalized MoUs detailing specific implementation decision-making roles, rather than relying solely on workshop attendance sheets.</t>
  </si>
  <si>
    <t>Local Communities and Civil Society Partners</t>
  </si>
  <si>
    <t>4. OD support is contributing effectively to achieving the CCO strategic plan</t>
  </si>
  <si>
    <t>Percentage of Office Strategic Plan (OSP) objectives fully achieved or officially on-track</t>
  </si>
  <si>
    <t>The proportion of formalized conservation and operational goals defined within the WWF Cameroon Office Strategic Plan (OSP) that are evaluated as 'Achieved' or 'On-Track' (Green status) during the annual network performance review. Numerator: Number of OSP objectives officially scored as 'Achieved' or 'On-Track'. Denominator: Total number of OSP objectives.</t>
  </si>
  <si>
    <t>Annual Technical Progress Reports (TPR); network performance dashboards</t>
  </si>
  <si>
    <t>OSP performance scorecard</t>
  </si>
  <si>
    <t>Administrative calculation dividing the number of OSP objectives officially scored as 'Achieved' or 'On-Track' (numerator) in the annual performance review by the total number of objectives listed in the Country Strategy (denominator).</t>
  </si>
  <si>
    <t>Risk: 'The Paper Strategy.' The OSP is beautifully designed and funded via OD interventions at the national level, but landscape-level field projects operate in complete silos, ignoring the central targets. Mitigation: Tie annual staff and landscape manager performance evaluations directly to the achievement of specific OSP milestones, ensuring vertical alignment across all offices.</t>
  </si>
  <si>
    <t>WWF CCO Staff and Conservation Landscapes</t>
  </si>
  <si>
    <t>5. Lessons learned are used to inform decision-making, facilitate improved performance, to track changes, risks, and assumptions, and for adaptive management</t>
  </si>
  <si>
    <t>Percentage of active projects formally applying documented lessons learned to adapt work plans or reporting cycles</t>
  </si>
  <si>
    <t>The proportion of active conservation projects that have formally recorded a change in strategy, annual work plan activities, or budget allocation, explicitly citing M&amp;E data or documented 'lessons learned' reports as the justification for the adaptation during the reporting period. Numerator: Number of active projects formally applying documented lessons learned to adapt plans. Denominator: Total number of active conservation projects.</t>
  </si>
  <si>
    <t>Project Management System (e.g., Miradi / Panda Impact); Annual Technical Reports</t>
  </si>
  <si>
    <t>Document review (work plan amendment requests and TPRs)</t>
  </si>
  <si>
    <t>Administrative audit of Annual Technical Progress Reports (TPRs) and work plan amendment requests in the Project Management System. Calculate the percentage by dividing the number of projects with modifications explicitly cross-referenced to evaluation findings or after-action reviews (numerator) by the total number of active projects (denominator).</t>
  </si>
  <si>
    <t>Risk: 'Data Graveyards' and Tick-Box Learning. High-quality evaluation reports are produced to satisfy donors but are archived in Yaoundé, while field teams continue executing flawed, outdated strategies. Mitigation: Mandate a dedicated 'Adaptive Management' section in all annual technical reports where project managers must cite specific M&amp;E data or learning events that informed their current year's planning adjustments.</t>
  </si>
  <si>
    <t>WWF CCO Staff and Project Teams</t>
  </si>
  <si>
    <t>All staff trained (including refreshers) on WWF core values, ethics, and code of conduct by June 2026 and annual refreshers done</t>
  </si>
  <si>
    <t>Percentage of active staff completing mandatory annual training on WWF core values, ethics, and code of conduct</t>
  </si>
  <si>
    <t>The proportion of currently employed WWF CCO staff (permanent and fixed-term) who have successfully completed the mandatory e-learning modules or in-person workshops on WWF Core Values, Ethics, and Code of Conduct (including annual refreshers) during the reporting period. Numerator: Number of active staff completing the mandatory training. Denominator: Total number of active staff on the HR payroll.</t>
  </si>
  <si>
    <t>E-learning logs and signed attendance registers</t>
  </si>
  <si>
    <t>Administrative analysis extracting completion data from the LMS and physical attendance sheets. Calculate the percentage by dividing the number of active staff who successfully completed the mandatory training (numerator) by the total number of staff on the active HR payroll required to take it (denominator).</t>
  </si>
  <si>
    <t>Risk: 'Compliance Clicking.' Staff facing heavy workloads, or field staff dealing with terrible VSAT internet connections in the deep forest, simply click through the mandatory e-learning modules without retaining the material. Mitigation: Provide downloaded offline versions or localized, in-person induction sessions for deep-forest field sites, and incorporate practical ethics scenarios into regular staff meetings rather than relying solely on the LMS.</t>
  </si>
  <si>
    <t>2.1.3</t>
  </si>
  <si>
    <t>Staff members are formally recognized and rewarded for exemplary value-based behavior and compliance with WWF policies.</t>
  </si>
  <si>
    <t>Number of staff formally recognized and rewarded for exemplary value-based behavior</t>
  </si>
  <si>
    <t>The total count of WWF CCO staff members who receive formal organizational recognition (e.g., 'Employee of the Year', core value awards) through the official peer-nomination or management-selection program during the reporting period.</t>
  </si>
  <si>
    <t>HR department records; award program archives</t>
  </si>
  <si>
    <t>Official award logs and internal communications bulletins</t>
  </si>
  <si>
    <t>Administrative tally of unique staff members listed as final award recipients in official HR recognition logs or internal organizational announcements.</t>
  </si>
  <si>
    <t>Risk: 'HQ Visibility Bias.' Staff in the Yaoundé capital office are highly visible to senior management and dominate the awards, while eco-guards, community mobilizers, and deep-forest conservation staff are overlooked. Mitigation: Decentralize the nomination process to allow field offices to nominate their peers, and establish specific award categories that recognize field-based conservation heroism and community engagement.</t>
  </si>
  <si>
    <t>2.1.4</t>
  </si>
  <si>
    <t>Biannual internal audits on policy compliance and staff conduct conducted with 100% response rate annually</t>
  </si>
  <si>
    <t>Number of internal audits on policy compliance and staff conduct completed</t>
  </si>
  <si>
    <t>The total count of formal internal audits focusing on policy compliance and staff conduct that are successfully conducted and finalized with official reports submitted to management during the reporting period.</t>
  </si>
  <si>
    <t>Internal audit reports</t>
  </si>
  <si>
    <t>Audit tracking dashboards and submitted reports</t>
  </si>
  <si>
    <t>Administrative tally of finalized internal audit reports officially submitted to management during the reporting period.</t>
  </si>
  <si>
    <t>Risk: Audits are conducted but reports are delayed or not formally submitted. Mitigation: Enforce strict deadlines for audit report finalization and require formal sign-off by the compliance officer to count the audit as completed.</t>
  </si>
  <si>
    <t>WWF CCO Staff and Management</t>
  </si>
  <si>
    <t>Leadership and line managers trained to model and reinforce WWF core values in their teams by December 2027</t>
  </si>
  <si>
    <t>Percentage of leadership and line managers completing training on WWF core values</t>
  </si>
  <si>
    <t>The proportion of WWF CCO leadership and line managers who have successfully completed formal training programs designed to model and reinforce WWF core values in their teams during the reporting period. Numerator: Number of leadership and line managers completing the values training. Denominator: Total number of leadership and line managers required to take the training.</t>
  </si>
  <si>
    <t>HR training database; training attendance records</t>
  </si>
  <si>
    <t>Administrative calculation dividing the number of managers who completed the training (numerator) by the total number of managers required to attend (denominator), verified via signed attendance registers.</t>
  </si>
  <si>
    <t>Risk: Managers skip the training due to busy schedules. Mitigation: Make the training a mandatory prerequisite for annual performance evaluations and require formal sign-in sheets for all sessions.</t>
  </si>
  <si>
    <t>WWF CCO Leadership and Staff</t>
  </si>
  <si>
    <t>1. Organisational design completed (org chart, functions and roles) by December 2025.</t>
  </si>
  <si>
    <t>Existence of an approved organizational structure</t>
  </si>
  <si>
    <t>Verifies whether a formal organizational design package—including an updated organogram, defined department functions, and standardized job roles—has been completed, approved by the Senior Management Team (SMT), and officially adopted by the Country Office during the reporting period.</t>
  </si>
  <si>
    <t>Final organizational chart; HR records; Board or SMT approval minutes</t>
  </si>
  <si>
    <t>Review of HR and governance records</t>
  </si>
  <si>
    <t>Administrative verification of SMT meeting minutes and HR files to confirm the formal approval, documentation, and institutional dissemination of the new organizational structure.</t>
  </si>
  <si>
    <t>Risk: Resistance to change, delays in SMT approval, or scope creep during the design process limit actual adoption, resulting in a 'paper structure.' Mitigation: Secure early buy-in from staff through participatory design workshops, closely manage external consultants (if used) to deliver context-appropriate outputs, and mandate a strict timeline for SMT validation.</t>
  </si>
  <si>
    <t>1. Organisational design completed (org chart, functions and roles) by December 2025</t>
  </si>
  <si>
    <t>Existence of a developed and published finalized organogram</t>
  </si>
  <si>
    <t>Confirms whether a finalized organigram that details the approved organizational structure, functions, and reporting lines has been formally approved, published, and put into active use across the office during the reporting period.</t>
  </si>
  <si>
    <t>HR records; SMT approval minutes; published organigram</t>
  </si>
  <si>
    <t>Organisational capacity assessment and HR records review</t>
  </si>
  <si>
    <t>Administrative review of HR records, SMT approval minutes, and the officially published organigram to confirm that the finalized structure exists, has formal approval, and is in active use by management.</t>
  </si>
  <si>
    <t>Risk: Approval delays or the use of outdated organigram versions by different departments leading to reporting confusion. Mitigation: Mandate a centralized HR digital repository where only the latest SMT-approved organigram is hosted, and require its explicit use in all new project designs and recruitment workflows.</t>
  </si>
  <si>
    <t>Percentage of existing roles with updated job descriptions in use</t>
  </si>
  <si>
    <t>The proportion of active roles in the approved organogram that have updated, formally approved job descriptions currently in use. Numerator: Number of active roles with updated and formally approved job descriptions. Denominator: Total number of active roles in the approved organogram.</t>
  </si>
  <si>
    <t>HR records; staff personnel files; approved organogram</t>
  </si>
  <si>
    <t>Standardized job justification template and HR file audit</t>
  </si>
  <si>
    <t>Conduct an HR audit of the approved organogram and staff personnel files for the reporting period. Calculate the percentage by dividing the number of active roles with updated and signed job descriptions (numerator) by the total number of active roles in the approved organogram (denominator).</t>
  </si>
  <si>
    <t>Risk: 'Ghost' JDs. Staff operate based on outdated or unsigned job descriptions, leading to misaligned performance expectations and disputes. Mitigation: Mandate that HR conducts an annual audit of all personnel files, ensuring every active staff member has a JD updated to the new standard and signed by both the employee and their line manager.</t>
  </si>
  <si>
    <t>2.2.2</t>
  </si>
  <si>
    <t>2. Key vacancies filled by December 2025</t>
  </si>
  <si>
    <t>Percentage of targeted key vacancies successfully filled</t>
  </si>
  <si>
    <t>The proportion of designated key vacancies within the approved organogram that were successfully filled with signed personnel contracts during the reporting period. Numerator: Number of key vacancies successfully filled. Denominator: Total number of key vacancies targeted for recruitment.</t>
  </si>
  <si>
    <t>HR masterfile; payroll system</t>
  </si>
  <si>
    <t>Vacancy tracker and signed employment contracts</t>
  </si>
  <si>
    <t>Administrative calculation dividing the number of key vacancies successfully filled (verified via signed employment contracts) (numerator) by the total number of key vacancies targeted for recruitment (denominator).</t>
  </si>
  <si>
    <t>Risk: 'Bureaucratic Talent Drain.' Highly qualified national or regional candidates apply, but the internal WWF recruitment, background check, and salary approval processes take so long that top candidates accept other offers. Mitigation: Streamline internal HR recruitment workflows with strict turnaround Service Level Agreements (SLAs) for shortlisting, interviewing, and contracting, and maintain a proactive talent pool for anticipated critical vacancies.</t>
  </si>
  <si>
    <t>3. Improved organizational culture and enabling environment at CCO for enhanced staff performance and retention by Dec 2026.</t>
  </si>
  <si>
    <t>Annual staff turnover rate</t>
  </si>
  <si>
    <t>The proportion of WWF CCO staff who leave the organization (voluntarily or involuntarily) during the reporting period. Numerator: Total number of staff separations during the year. Denominator: Average total staff headcount during the year.</t>
  </si>
  <si>
    <t>HR retention reports; exit interviews; staff payroll records</t>
  </si>
  <si>
    <t>HR MIS reports and personnel files</t>
  </si>
  <si>
    <t>Administrative HR calculation dividing the total number of staff separations (voluntary and involuntary) during the reporting period (numerator) by the average total staff headcount for that same period (denominator).</t>
  </si>
  <si>
    <t>Risk: Exit interviews are not consistently conducted or fail to capture the true reasons for departure due to departing staff's fear of burning bridges, masking underlying cultural toxicity. Mitigation: Ensure exit interviews are mandatory, strictly confidential, conducted by a neutral HR representative, and triangulated with anonymous annual staff climate surveys.</t>
  </si>
  <si>
    <t>2.2.4</t>
  </si>
  <si>
    <t>Formal disaster preparedness, health, and security response plans are developed and practically tested.</t>
  </si>
  <si>
    <t>Number of formal disaster preparedness plans developed and practically tested</t>
  </si>
  <si>
    <t>The total count of formal disaster preparedness, health, and security response plans (e.g., medevac protocols, site evacuation plans) that have been developed for WWF CCO offices/landscapes and subsequently tested through a documented simulation drill during the reporting period.</t>
  </si>
  <si>
    <t>Disaster response plan documents; simulation drill evaluation reports; safety audit results</t>
  </si>
  <si>
    <t>Risk management plans and simulation drill reports</t>
  </si>
  <si>
    <t>Administrative verification counting the number of disaster preparedness plans that have been both formally approved by management and subjected to a practical simulation drill, evidenced by a signed drill evaluation or post-mortem report.</t>
  </si>
  <si>
    <t>Risk: 'Paper Plans.' Disaster plans are beautifully drafted to meet audit requirements but fail during actual crises (e.g., deep forest medical evacuations, civil unrest, or floods) because they were never tested in realistic scenarios. Mitigation: Mandate that every drafted plan undergoes at least one practical, scenario-based simulation drill annually, involving local safety experts and relevant field staff.</t>
  </si>
  <si>
    <t>Annual compliance audits conducted with corrective actions implemented</t>
  </si>
  <si>
    <t>Number of annual compliance audits conducted and corrective action plans issued</t>
  </si>
  <si>
    <t>The total count of formal annual compliance audits that have been successfully conducted and finalized with official corrective action plans issued to management during the reporting period.</t>
  </si>
  <si>
    <t>Internal audit database; management response tracker</t>
  </si>
  <si>
    <t>Administrative tally of finalized annual compliance audit reports and formally issued corrective action plans submitted to the Country Office management.</t>
  </si>
  <si>
    <t>Risk: Audits are conducted but formal corrective action plans are delayed or never officially issued to management. Mitigation: Enforce strict deadlines for audit report finalization and require formal sign-off by the compliance officer to count the audit and its action plan as completed.</t>
  </si>
  <si>
    <t>A functional digital compliance tracking system (dashboard) is developed, deployed, and actively utilized by staff.</t>
  </si>
  <si>
    <t>Existence of a functional digital compliance tracking system</t>
  </si>
  <si>
    <t>Confirms whether the digital compliance tracking dashboard has been fully developed, deployed, and is in routine operational use by staff to monitor compliance issues during the reporting period.</t>
  </si>
  <si>
    <t>System logs; usage data; compliance issue resolution reports</t>
  </si>
  <si>
    <t>System analytics dashboard</t>
  </si>
  <si>
    <t>Administrative verification by reviewing system analytics and backend usage logs to confirm that the compliance dashboard is active and routinely utilized by staff.</t>
  </si>
  <si>
    <t>Risk: Technical glitches or a poor user interface lead to low staff adoption, resulting in an unused, 'paper-only' system. Mitigation: Ensure reliable IT infrastructure is in place, provide comprehensive user training during deployment, and incorporate a continuous user feedback loop to improve the dashboard's usability.</t>
  </si>
  <si>
    <t>Quarterly management reviews and compliance oversight reports produced and acted upon</t>
  </si>
  <si>
    <t>Number of quarterly management reviews conducted and compliance oversight reports produced</t>
  </si>
  <si>
    <t>The total count of formal quarterly management review meetings successfully convened by senior management and accompanied by officially produced compliance oversight reports during the reporting period.</t>
  </si>
  <si>
    <t>Meeting minutes; follow-up action trackers; compliance reports</t>
  </si>
  <si>
    <t>Meeting minutes and compliance reports</t>
  </si>
  <si>
    <t>Administrative desk review tallying the number of documented quarterly management review meeting minutes and finalized compliance oversight reports officially produced during the period.</t>
  </si>
  <si>
    <t>Risk: Reviews are held informally without proper documentation or official oversight reports being produced. Mitigation: Pre-schedule quarterly reviews in the annual calendar and mandate formal minute-taking accompanied by the submission of a finalized compliance oversight report.</t>
  </si>
  <si>
    <t>WWF CCO Management and Staff</t>
  </si>
  <si>
    <t>Jengi-TRIDOM:</t>
  </si>
  <si>
    <t>Formal partner compliance reports are submitted in accordance with mandatory compliance, ethics, and safeguarding clauses.</t>
  </si>
  <si>
    <t>Number of partner compliance reports submitted</t>
  </si>
  <si>
    <t>The total count of formal compliance reports submitted by partners in accordance with the mandatory compliance, ethics, and safeguarding clauses integrated into their agreements during the reporting period.</t>
  </si>
  <si>
    <t>Partner monitoring records; submitted reports</t>
  </si>
  <si>
    <t>Partner compliance reporting templates</t>
  </si>
  <si>
    <t>Conduct an administrative count of all formal partner compliance reports successfully submitted and verified during the reporting period in line with the compliance clauses embedded in signed partner agreements.</t>
  </si>
  <si>
    <t>Risk: Delayed or incomplete partner submissions due to weak partner capacity or poor internet connectivity in remote field sites. Mitigation: Clearly communicate reporting timelines and standardized templates during the partner onboarding process, and require the WWF partnership manager to conduct proactive follow-ups at least two weeks before deadlines.</t>
  </si>
  <si>
    <t>Implementing Partners and WWF CCO</t>
  </si>
  <si>
    <t>Enhanced and effective donor stewardship resulting in significant long-term funding.</t>
  </si>
  <si>
    <t xml:space="preserve">Number of donor engagement plans being implemented </t>
  </si>
  <si>
    <t>Number of donor engagement plans under active implementation by WWF CCO during the reporting period.</t>
  </si>
  <si>
    <t>Bi-annual</t>
  </si>
  <si>
    <t>Donor engagement plans, CRM/donor database, partnership records</t>
  </si>
  <si>
    <t>Meeting minutes, correspondence, and signed endorsement letters</t>
  </si>
  <si>
    <t>Data will be collected from documented donor engagement plans and donor tracking systems to identify plans that are actively being implemented. Implementation will be verified based on evidence of engagement actions such as meetings, follow-ups, proposal submissions, and reporting.
Analysis will involve counting the number of donor engagement plans under implementation during the reporting period, with possible disaggregation by donor type or programme.</t>
  </si>
  <si>
    <t>Risk: Resistance from the QAC or delays in approval due to changes in QAC leadership or misaligned strategic priorities. Mitigation: Engage QAC members early in the drafting process of the private sector engagement plan to ensure their feedback is incorporated proactively, guaranteeing a smoother formal submission process.</t>
  </si>
  <si>
    <t>61. Sustainable investments</t>
  </si>
  <si>
    <t>WWF CCO Management</t>
  </si>
  <si>
    <t>Number of long-term funding donors with at least 5 years funding</t>
  </si>
  <si>
    <t>Number of donors providing funding commitments to WWF CCO with a duration of at least five (5) years.</t>
  </si>
  <si>
    <t>Signed funding agreements, donor database, finance system records</t>
  </si>
  <si>
    <t>Data will be collected from signed funding agreements, donor records, and finance system reports to identify donors with funding commitments of at least five years. Verification will be based on contract duration and funding terms.
Analysis will involve counting the number of donors meeting the ≥5-year funding criterion during the reporting period, with optional disaggregation by donor type.</t>
  </si>
  <si>
    <t xml:space="preserve">Number of landscape with sustainable long-term funding  </t>
  </si>
  <si>
    <t>Number of WWF CCO-supported landscapes that have secured sustainable long-term funding (i.e., diversified and predictable funding mechanisms sufficient to support core conservation activities over time).</t>
  </si>
  <si>
    <t>Landscape funding strategies, financial reports, donor agreements, programme reports</t>
  </si>
  <si>
    <t>Data will be collected from landscape-level financial records, funding agreements, and programme reports to identify landscapes with secured long-term funding. A landscape will be considered as having sustainable funding if it demonstrates multi-year financial commitments and/or diversified funding sources supporting core activities.
Analysis will involve counting the number of landscapes meeting the defined sustainability criteria during the reporting period, with verification against funding duration and diversity.</t>
  </si>
  <si>
    <t>WWF CCO-supported landscapes and ecosystems</t>
  </si>
  <si>
    <t xml:space="preserve">Percentage reduction in criticisms regarding deliverables (reports, results, burn rate, etc.) sent to donors </t>
  </si>
  <si>
    <t>Percentage reduction in the number of donor criticisms related to deliverables (e.g., reports, results, burn rate, compliance issues) compared to a defined baseline period.</t>
  </si>
  <si>
    <t>Donor feedback records, correspondence (emails/letters), review comments, project reports</t>
  </si>
  <si>
    <t>Data will be collected from documented donor feedback, including emails, formal review comments, and reporting assessments, to identify and record instances of criticism related to deliverables. A baseline will be established using data from a defined reference period.
Analysis will involve counting the number of recorded criticisms per period and calculating the percentage reduction compared to the baseline. Trends will be tracked over time to assess improvements in reporting quality, results delivery, and financial management.</t>
  </si>
  <si>
    <t>WWF CCO and its donors/partners</t>
  </si>
  <si>
    <t>Diversified donor base with a reduced reliance on PSPs and NOs, including increased mobilization from climate financing mechanisms.</t>
  </si>
  <si>
    <t>Number of new potential donors (in particular foundations, corporates and HNWI) identified and engaged/cultivated.</t>
  </si>
  <si>
    <t>Number of new potential donors (foundations, corporates and high-net-worth individuals) identified and actively engaged or cultivated by WWF CCO during the reporting period</t>
  </si>
  <si>
    <t>Donor database, CRM, engagement records</t>
  </si>
  <si>
    <t>Donor engagement tracker</t>
  </si>
  <si>
    <t>Data collected from donor pipeline and engagement records; count of new prospects identified and engaged (meetings, follow-ups, proposals)</t>
  </si>
  <si>
    <t>WWF CCO</t>
  </si>
  <si>
    <t xml:space="preserve">Number of approved proposals submitted to Foundations </t>
  </si>
  <si>
    <t>Number of funding proposals submitted to foundations that have been formally approved during the reporting period</t>
  </si>
  <si>
    <t>Donor agreements</t>
  </si>
  <si>
    <t>Data collected from proposal tracking systems; count proposals approved by foundations within the period</t>
  </si>
  <si>
    <t>Number of new donors (PSP, foundations, corporates and HNWI)  committing 500.000 US$ per year.</t>
  </si>
  <si>
    <t>Number of new donors (PSP, foundations, corporates, HNWI) providing annual funding commitments of at least USD 500,000</t>
  </si>
  <si>
    <t>Donor database</t>
  </si>
  <si>
    <t>Data collected from signed agreements and finance records; count new donors meeting ≥500,000 USD/year threshold</t>
  </si>
  <si>
    <t>Amount of climate financing mechanisms (GCF, GEF, CAFI, Adaptation Fund, Climate Private Funds, Voluntary Carbon Market, etc.) mobilized for climate change adaptation and mitigation</t>
  </si>
  <si>
    <t>Total amount of funding mobilized from climate finance mechanisms (e.g., GCF, GEF, CAFI, Adaptation Fund, carbon markets) to support climate adaptation and mitigation interventions</t>
  </si>
  <si>
    <t>Financial Tracking</t>
  </si>
  <si>
    <t>Data collected from finance and project records; aggregate total funding mobilized from climate finance sources and analyse trends over time</t>
  </si>
  <si>
    <t>TARGET 19: Mobilize $200 Billion per Year for Biodiversity From all Sources, Including $30 Billion Through International Finance and Target 8</t>
  </si>
  <si>
    <t>13. Climate Action:Take urgent action to combat climate change and its impacts.
17. Partnerships for the Goals: Strengthen the means of implementation and revitalize the Global Partnership for Sustainable Development</t>
  </si>
  <si>
    <t>Established partnership agreements with local communities, governments, corporates and other stakeholders, enhancing attractiveness to (new) donors.</t>
  </si>
  <si>
    <t xml:space="preserve">Number of new jointly developed projects implemented with credible (with signed MOU) partners  </t>
  </si>
  <si>
    <t>Number of new projects jointly developed and implemented with partners having formal agreements (e.g., signed MoUs) during the reporting period</t>
  </si>
  <si>
    <t>Signed MoUs; partnership tracker; official approval correspondence</t>
  </si>
  <si>
    <t>Partnership agreement tracker</t>
  </si>
  <si>
    <t>Administrative count of all newly signed strategic agreements. Verify each agreement by reviewing the executed MoU documents and official approval records to ensure they explicitly align with funding or implementing the OSP.</t>
  </si>
  <si>
    <t>Risk: 'Paper Partnerships' where MoUs are announced and signed for PR purposes but contain no actual financial commitments or actionable implementation plans. Mitigation: Only count agreements that have fully signed documents, recorded start dates, and include a specific joint action plan or a documented financial commitment annex.</t>
  </si>
  <si>
    <t xml:space="preserve">Number of  joint proposal submitted to PSPs that is  approved </t>
  </si>
  <si>
    <t>Number of joint funding proposals submitted to PSPs that receive formal approval during the reporting period</t>
  </si>
  <si>
    <t>Partnership database; project event archives</t>
  </si>
  <si>
    <t>Joint agendas and co-branded event reports</t>
  </si>
  <si>
    <t>Administrative tally of qualifying events, strictly verified by reviewing the event documentation (agendas, banners, reports) to ensure the strategic partner's logo and official representatives are prominently featured as co-hosts, not just as passive attendees.</t>
  </si>
  <si>
    <t>Risk: 'Logo Slapping' and Financial Dependency. WWF executes 100% of the logistical work, agenda design, and funding for the event, and a local partner simply allows WWF to put their logo on the banner to satisfy donor requirements. Mitigation: Require verifiable proof of joint financial contribution or shared technical agenda development (e.g., joint steering committee minutes) before counting the event.</t>
  </si>
  <si>
    <t>Strategic Partners and WWF CCO</t>
  </si>
  <si>
    <t xml:space="preserve">Number of new strategic partnership agreements that are functional (yielding results on policy influencing, change in practices, fundraising, …) and contributing to WWF CCO’s OSP delivery </t>
  </si>
  <si>
    <t>Number of new strategic partnership agreements that are operational and demonstrably contributing to policy influence, practice change, fundraising, or OSP delivery outcomes</t>
  </si>
  <si>
    <t>Document review and submission receipts</t>
  </si>
  <si>
    <t>Administrative tally of finalized documents, explicitly checking the authorship credits/cover pages for the presence of both WWF and the strategic partner, accompanied by verification of a formal submission or publication receipt.</t>
  </si>
  <si>
    <t>Risk: 'Ghost Authorship' and Capacity Stagnation. Facing tight donor deadlines, WWF HQ staff or external consultants write the entire proposal or publication in English/French, and simply add the local partner's name at the end without building their capacity. Mitigation: Establish a joint drafting process requiring formal partner input, documented co-design workshops, and partner validation meetings prior to submission.</t>
  </si>
  <si>
    <t>Number of conservation event/fora/discourse organised by WWF CCO with strategic partners annually.</t>
  </si>
  <si>
    <t>Number of conservation-related events, forums, or policy dialogues co-organised by WWF CCO and strategic partners during the reporting period</t>
  </si>
  <si>
    <t>Signed grant agreements and bank receipts</t>
  </si>
  <si>
    <t>Financial audit extracting the total value of newly signed joint corporate agreements in the current fiscal year. Calculate the percentage change by subtracting the predefined baseline value from the current year value (numerator), and dividing the result by the baseline value (denominator).</t>
  </si>
  <si>
    <t>Risk: 'Greenwashing' and ESSF Violations. Extractive corporate entities (e.g., logging or mining companies operating in the Congo Basin) offer joint funding to WWF to purchase social license or greenwash their reputation while violating environmental safeguards. Mitigation: Mandate rigorous corporate due diligence and ESSF risk screening before engaging in any joint proposal or accepting corporate funds.</t>
  </si>
  <si>
    <t>WWF CCO Conservation Programs</t>
  </si>
  <si>
    <t xml:space="preserve">TARGET 21:Ensure That Knowledge Is Available and Accessible To Guide Biodiversity Action
</t>
  </si>
  <si>
    <t>Number of position papers, publications jointly developed and shared with the right audience annually.</t>
  </si>
  <si>
    <t>Number of position papers, policy briefs, and publications jointly developed with partners and disseminated to relevant audiences during the reporting period</t>
  </si>
  <si>
    <t>Knowledge Management System</t>
  </si>
  <si>
    <t>Signed grant agreements and donor award letters</t>
  </si>
  <si>
    <t>Administrative tally of newly executed PSP grant agreements, verified by cross-referencing the donor approval letters with the finance department's ledger of secured incoming funds.</t>
  </si>
  <si>
    <t>Risk: 'The Absorptive Capacity Trap.' WWF secures massive multi-million dollar PSP grants (e.g., GEF, EU), but the local government or CSO partners required for 'joint' implementation lack the administrative capacity to manage the funds, causing severe delivery delays. Mitigation: Conduct robust prior capacity assessments of joint partners and build dedicated capacity-building and operational support budget lines directly into the proposal.</t>
  </si>
  <si>
    <t>Enhanced in-country fundraising capacity with demonstrated increase of funding.</t>
  </si>
  <si>
    <t xml:space="preserve">Number of a dedicated fundraising staff </t>
  </si>
  <si>
    <t>Number of staff within WWF CCO assigned primarily to fundraising and resource mobilization functions during the reporting period</t>
  </si>
  <si>
    <t>HR records, contracts</t>
  </si>
  <si>
    <t>Proposal submission and outcome tracker</t>
  </si>
  <si>
    <t>Data collected from HR records and organograms; count staff with defined fundraising roles or responsibilities</t>
  </si>
  <si>
    <t>Risk: High competition for foundation funding or shifting foundation priorities away from traditional conservation. Mitigation: Maintain continuous donor stewardship, ensure strict compliance with specific donor guidelines, and proactively align proposals with emerging foundation interests such as climate resilience and community livelihoods.</t>
  </si>
  <si>
    <t xml:space="preserve">WWF CCO </t>
  </si>
  <si>
    <t>Number of  training provided per year on resource acquisition and proposal development for CCO staff.</t>
  </si>
  <si>
    <t>Number of training sessions conducted annually to build staff capacity in resource mobilization, fundraising, and proposal development</t>
  </si>
  <si>
    <t>Training reports, HR records, programme reports</t>
  </si>
  <si>
    <t>Signed donor agreements and bank receipts</t>
  </si>
  <si>
    <t>Data collected from training records; count number of trainings delivered during the reporting period</t>
  </si>
  <si>
    <t>Risk: 'Restricted Funding Starvation.' New major donors are successfully recruited, but they provide large grants that are 100% restricted to specific, narrow field activities, leaving the CCO unable to cover core operational overheads. Mitigation: Negotiate maximum allowable indirect cost recovery (ICR) rates during the proposal phase, and consistently embed core staff time and operational costs directly into the project activity budgets.</t>
  </si>
  <si>
    <t>The endorsement of the CCO private sector engagement plan by QAC facilitated</t>
  </si>
  <si>
    <t>Number of private sector engagement plan endorsed and officially documented by QAC</t>
  </si>
  <si>
    <t>Number of private sector engagement plans formally endorsed and documented by the QAC during the reporting period</t>
  </si>
  <si>
    <t>QAC records, engagement plans, programme reports</t>
  </si>
  <si>
    <t>Signed funding agreements and bank receipts</t>
  </si>
  <si>
    <t>Data collected from QAC records and official documents; count endorsed and documented private sector engagement plans</t>
  </si>
  <si>
    <t>Risk: 'The Network Dependency Trap.' Over-reliance on internal WWF Network funding (e.g., WWF-US, WWF-NL) creates severe organizational vulnerability. If headquarters shifts geographical priorities, the Country Office faces sudden, catastrophic funding cliffs. Mitigation: Cap the acceptable ratio of network vs. non-network funding in the strategic plan and actively diversify the donor portfolio towards external bilateral and philanthropic partners.</t>
  </si>
  <si>
    <t>At least 4 new strategic partnership agreements signed with CCO</t>
  </si>
  <si>
    <t>Number of signed partnership MOUs/agreements</t>
  </si>
  <si>
    <t>Number of partnership agreements or Memoranda of Understanding formally signed between WWF CCO and partners during the reporting period</t>
  </si>
  <si>
    <t>Signed agreements, partnership records</t>
  </si>
  <si>
    <t>Network fundraising dashboard and ERP income analysis tools</t>
  </si>
  <si>
    <t>Data collected from signed agreements; count total MOUs/agreements formalized within the period</t>
  </si>
  <si>
    <t>Risk: Failure to deliver on program quality or reporting deadlines causes donors to withhold subsequent tranches or decline renewals, stalling cumulative financial progress. Mitigation: Maintain high program delivery and compliance standards, enforce rigorous technical reporting quality control, and leverage dedicated donor stewardship to maintain trust and secure multi-year commitments.</t>
  </si>
  <si>
    <t>At least 2 conservation events/fora/discourse co-organized with strategic partners annually</t>
  </si>
  <si>
    <t>Number of co-organized events per year</t>
  </si>
  <si>
    <t>Number of events jointly organized by WWF CCO and partners during the reporting period</t>
  </si>
  <si>
    <t>Event reports, programme records</t>
  </si>
  <si>
    <t>Data collected from event documentation; count co-organized events held annually</t>
  </si>
  <si>
    <t>WWF CCO &amp; Stakeholders</t>
  </si>
  <si>
    <t>At least one proposal, one position paper, one publication jointly developed and shared with the right audience annually</t>
  </si>
  <si>
    <t>Number of joint documents developed and disseminated</t>
  </si>
  <si>
    <t>Number of documents (e.g., reports, briefs, publications) jointly developed with partners and disseminated to relevant audiences during the reporting period</t>
  </si>
  <si>
    <t>Publications, dissemination records, programme reports</t>
  </si>
  <si>
    <t>Data collected from publication records; count jointly developed and disseminated documents</t>
  </si>
  <si>
    <t>Roadmap Indicator</t>
  </si>
  <si>
    <t>Ind #</t>
  </si>
  <si>
    <t>CO Indicators Contributing to RM2030</t>
  </si>
  <si>
    <t>Target</t>
  </si>
  <si>
    <t>Program</t>
  </si>
  <si>
    <t>Adopted RM Indicator to go to OSP MEL Plan</t>
  </si>
  <si>
    <t>Obj 1</t>
  </si>
  <si>
    <t>Indicator 1.1 - Number of new, targeted decisions, policies, and commitments prioritizing biodiversity that are approved or adopted in the private or public sectors, and the proportion of which was shaped by the participation of local people (with WWF support)</t>
  </si>
  <si>
    <t>Indicator 1.2 -  Number of targeted decisions prioritizing biodiversity across sectors that are being implemented</t>
  </si>
  <si>
    <t>Obj 2</t>
  </si>
  <si>
    <t>Indicator 2.1 - Areas (ha, km) newly protected, recognized, under sustained or improved management, or restoration with WWF support</t>
  </si>
  <si>
    <t>Indicator 2.1a - Proportion of areas (%) contributing to improved connectivity</t>
  </si>
  <si>
    <t>Indicator 2.2 - Number of populations of WWF focal species that show maintained or positive change in status (from the most recent baseline from 2024)</t>
  </si>
  <si>
    <t>Obj 3</t>
  </si>
  <si>
    <t>Indicator 3.1a - GHG emissions reduced or removed through WWF’s place-based activities (including high integrity nature-based solutions)</t>
  </si>
  <si>
    <t>Indicator 3.1b - GHG emissions reduced or removed through WWF’s sectoral transformation initiatives</t>
  </si>
  <si>
    <t>Indicator 3.1c - Annual total carbon stored in aboveground and belowground biomass in areas where WWF supports carbon storage or sequestration activities</t>
  </si>
  <si>
    <t>Indicator 3.2 -  Number of hectares of nature-based solutions (NBS) (Disaggregated by high-integrity NBS), that support resilience for ecosystems and people exposed to climate risk</t>
  </si>
  <si>
    <t>Obj 4</t>
  </si>
  <si>
    <t>Indicator 4.1a - Number of hectares of natural habitat converted to agricultural production in places where WWF works</t>
  </si>
  <si>
    <t>Obj 5</t>
  </si>
  <si>
    <t>Indicator 4.1b - Number of hectares of natural habitat degraded by agricultural production in places where WWF works</t>
  </si>
  <si>
    <t>Obj 6</t>
  </si>
  <si>
    <t>Indicator 4.2 -  Number of hectares of land under nature-positive production practices</t>
  </si>
  <si>
    <t>Obj 7</t>
  </si>
  <si>
    <t>Indicator 4.3 - Proportion of WWF-supported fish stocks that are maintained at or progressing toward biologically sustainable levels</t>
  </si>
  <si>
    <t>Indicator 5.1 -  Amount of USD of Asset under Management (AUM) from financial institutions that integrates sustainability considerations (Greening Finance)</t>
  </si>
  <si>
    <t>Indicator 5.2 - Amount of USD of financial flows invested in nature with WWF support (Financing Green) (disaggregated by location and recipient of flows)</t>
  </si>
  <si>
    <t>Indicator 6.1 - Number of people engaged in local action for the environment supported by WWF</t>
  </si>
  <si>
    <t>Indicator 6.2 - Number of WWF offices demonstrating increases in inclusivity in governance and projects</t>
  </si>
  <si>
    <t>Indicator 6.3a - Number of people whose well-being is supported directly (livelihoods, adaptive capacity) by conservation work</t>
  </si>
  <si>
    <t>Indicator 6.3b - Number of people whose well-being is supported indirectly (ecosystem services, reduced exposure to climate hazards) by conservation work</t>
  </si>
  <si>
    <t>OM M&amp;E plan</t>
  </si>
  <si>
    <t>#</t>
  </si>
  <si>
    <t>Description</t>
  </si>
  <si>
    <t>Indicator</t>
  </si>
  <si>
    <t>Year 1
Target</t>
  </si>
  <si>
    <t>Year 2
Target</t>
  </si>
  <si>
    <t>Year 3
Target</t>
  </si>
  <si>
    <t>Year 4
Target</t>
  </si>
  <si>
    <t xml:space="preserve">End-line Target </t>
  </si>
  <si>
    <t>Assumptions</t>
  </si>
  <si>
    <t>Means of Verification</t>
  </si>
  <si>
    <t>Frequency of Measurement</t>
  </si>
  <si>
    <t>Risks</t>
  </si>
  <si>
    <t>Location</t>
  </si>
  <si>
    <t>Responsible</t>
  </si>
  <si>
    <t>OM Goals</t>
  </si>
  <si>
    <t>Operational Excellence Demonstrated</t>
  </si>
  <si>
    <t>By 2030, WWF CCO demonstrates operational excellence by achieving at least 75% of its strategic plan goals</t>
  </si>
  <si>
    <t>Strategic plan is well-designed and aligned with capacity and context; leadership and staff are committed to implementation; adequate funding is available</t>
  </si>
  <si>
    <t>Inadequate resource mobilization, misalignment between operations and strategy, external shocks (e.g., political/economic instability)</t>
  </si>
  <si>
    <t>National &amp; Landscape levels</t>
  </si>
  <si>
    <t>Staff feel safe to express honest feedback; leadership engages meaningfully with feedback
Core values and policies are well communicated and enforced</t>
  </si>
  <si>
    <t>Low participation rates; perception of survey ineffectiveness</t>
  </si>
  <si>
    <t>Staff performance, satisfaction, and retention</t>
  </si>
  <si>
    <t>•	Sufficient financial resources are available for staff capacity-building, incentives, and retention programs
•	Leadership remains committed to staff development
•	External factors (e.g., political, economic) remain stable</t>
  </si>
  <si>
    <t>•	High staff turnover due to external opportunities
•	Burnout or poor morale due to workload or unmet expectations
•	Budget constraints reducing investment in staff welfare</t>
  </si>
  <si>
    <t>Full compliance with Policies and procedures</t>
  </si>
  <si>
    <t>Adequate staff capacity and leadership commitment to enforce compliance</t>
  </si>
  <si>
    <t>Inadequate funding, staff turnover, resistance to accountability mechanisms</t>
  </si>
  <si>
    <t>OM Priorities outcomes</t>
  </si>
  <si>
    <t>Institutionalized management decision-making</t>
  </si>
  <si>
    <t>Evidence of functional decision-making and internal communication systems; improved decision turnaround times</t>
  </si>
  <si>
    <t>Leadership is committed; systems are adopted organization-wide; training is effective</t>
  </si>
  <si>
    <t>Resistance to change, staff turnover, weak IT infrastructure</t>
  </si>
  <si>
    <t>Technical and operational Deivery Improved</t>
  </si>
  <si>
    <r>
      <t xml:space="preserve">
</t>
    </r>
    <r>
      <rPr>
        <b/>
        <sz val="10"/>
        <color rgb="FFFF0000"/>
        <rFont val="Arial"/>
        <family val="2"/>
      </rPr>
      <t>By 2028,  technical and operational delivery is improved compared to 2023 baseline.</t>
    </r>
  </si>
  <si>
    <t>Digital literacy is sufficient across teams; systems are interoperable; staff are willing to share knowledge</t>
  </si>
  <si>
    <t>Low usage by staff, poor data quality, siloed departments</t>
  </si>
  <si>
    <t>Integrated PMEL</t>
  </si>
  <si>
    <t>% of programmes using integrated MELIKM data for decision-making and reporting; quality of data collected and used</t>
  </si>
  <si>
    <t>Sufficient capacity and tools; commitment to learning and adaptation; resources for implementation</t>
  </si>
  <si>
    <t>Inadequate data use, fragmented systems, MEL fatigue</t>
  </si>
  <si>
    <t>Core Values implemented</t>
  </si>
  <si>
    <t>Core values and policies are well communicated and enforced</t>
  </si>
  <si>
    <t>Inconsistent enforcement; fear of reporting violations</t>
  </si>
  <si>
    <t>Estbalished Organizational Structure</t>
  </si>
  <si>
    <t>Country Strategy developed, approved and operationalized in priority landscapes</t>
  </si>
  <si>
    <t>Stakeholder engagement is effective; adequate scientific data and expertise are available; political environment remains supportive</t>
  </si>
  <si>
    <t>Approved strategy document, implementation plans, evidence of activities in landscapes</t>
  </si>
  <si>
    <t>Political interference, limited stakeholder buy-in, lack of resources</t>
  </si>
  <si>
    <t>Institutionalized compliance framework</t>
  </si>
  <si>
    <t>External standards remain stable and achievable; external partners cooperate</t>
  </si>
  <si>
    <t>Regulatory changes, low partner compliance, operational disruptions</t>
  </si>
  <si>
    <t>OM Priorities Outputs</t>
  </si>
  <si>
    <t>1. CCO staff awareness and use of the different channels and tools have increased by at least 75% by 2027</t>
  </si>
  <si>
    <t>% of staff reporting increased awareness and use of communications tools (email, intranet, newsletter, Teams, etc.)</t>
  </si>
  <si>
    <t>Tools are accessible and user-friendly; communications team provides training; leadership encourages use</t>
  </si>
  <si>
    <t>Staff surveys, internal communication reports</t>
  </si>
  <si>
    <t>Staff feedback forms, system usage analytics</t>
  </si>
  <si>
    <t>Low digital literacy; tool fatigue; inconsistent rollout</t>
  </si>
  <si>
    <t>2. Staff knowledge on use of internal and external communications tools, and clearance procedure enhanced by at least 75% by 2027</t>
  </si>
  <si>
    <t>% of staff demonstrating correct use of tools and procedures in practice and feedback</t>
  </si>
  <si>
    <t>Communication protocols are well documented; staff are trained and supported</t>
  </si>
  <si>
    <t>Post-training evaluations, content review logs</t>
  </si>
  <si>
    <t>Training attendance sheets, knowledge assessments</t>
  </si>
  <si>
    <t>Lack of follow-up support; unclear procedures; staff turnover</t>
  </si>
  <si>
    <t>3. CCO staff effectively receiving information and communication through the internal and external communications channels have increased by at least 75% by 2027</t>
  </si>
  <si>
    <t>% of staff who feel well-informed through internal channels (newsletters, intranet, email, meetings, etc.)</t>
  </si>
  <si>
    <t>Messages are relevant, timely, and accessible; channels are functioning well</t>
  </si>
  <si>
    <t>Annual staff surveys, feedback sessions</t>
  </si>
  <si>
    <t>Survey data, internal communications metrics</t>
  </si>
  <si>
    <t>Communication overload; inconsistent messaging</t>
  </si>
  <si>
    <t>Number of staff-authored publications produced and shared annually</t>
  </si>
  <si>
    <t>Staff have writing skills, time, and institutional support; editorial process is in place</t>
  </si>
  <si>
    <t>Publication records, editorial reviews, online analytics</t>
  </si>
  <si>
    <t>Publication repository, web stats, citation tracking</t>
  </si>
  <si>
    <t>Poor writing capacity; lack of editorial support; unclear guidance</t>
  </si>
  <si>
    <t>% of staff expressing positive perception of WWF’s public messaging and visibility</t>
  </si>
  <si>
    <t>External communication aligns with brand values; internal communications promote it effectively</t>
  </si>
  <si>
    <t>Staff perception surveys, communications audit</t>
  </si>
  <si>
    <t>Annual perception survey, social media engagement review</t>
  </si>
  <si>
    <t>Disconnection between internal and external messages; external missteps</t>
  </si>
  <si>
    <t>% of senior staff trained and confident in crisis response and media engagement</t>
  </si>
  <si>
    <t>Senior staff availability and willingness to participate; practical, scenario-based training delivered</t>
  </si>
  <si>
    <t>Training records, post-training evaluations</t>
  </si>
  <si>
    <t>Media training sessions, simulation exercises</t>
  </si>
  <si>
    <t>Lack of senior staff buy-in; insufficient follow-up practice</t>
  </si>
  <si>
    <r>
      <rPr>
        <b/>
        <sz val="10"/>
        <color rgb="FFFF0000"/>
        <rFont val="Arial"/>
        <family val="2"/>
      </rPr>
      <t>By 2028,  technical and operational delivery is improved compared to 2023 baseline</t>
    </r>
    <r>
      <rPr>
        <b/>
        <u/>
        <sz val="10"/>
        <color rgb="FFFF0000"/>
        <rFont val="Arial"/>
        <family val="2"/>
      </rPr>
      <t>.</t>
    </r>
  </si>
  <si>
    <t>% use of operational logistics tool fully deployed by staff (target: 100%)</t>
  </si>
  <si>
    <t>Tool is user-friendly; staff are trained; procurement and IT support available</t>
  </si>
  <si>
    <t>Tool implementation reports, usage analytics</t>
  </si>
  <si>
    <t>Deployment checklist, user feedback surveys</t>
  </si>
  <si>
    <t>Resistance to change, technical issues</t>
  </si>
  <si>
    <t>2. CCO is 100% equipped with an efficient electronic filing system for easy retrieval of information by June 2026</t>
  </si>
  <si>
    <t>Number of departments out of the 7 departments (Conservation, Finance, P&amp;C, Logistics, IT, Communication, PMEL) using standardized electronic filing system; retrieval time reduced</t>
  </si>
  <si>
    <t>Adequate IT infrastructure; staff follow protocols; system maintained</t>
  </si>
  <si>
    <t>Internal audits, user satisfaction reports</t>
  </si>
  <si>
    <t>File system audit logs, document access logs</t>
  </si>
  <si>
    <t>Inconsistent use; technical breakdown; poor archiving discipline</t>
  </si>
  <si>
    <t>3. Staff are at least 90% satisfied with information services based on survey report</t>
  </si>
  <si>
    <t>% of staff report satisfaction in annual survey</t>
  </si>
  <si>
    <t>Information needs are well understood; services are responsive; feedback loop in place</t>
  </si>
  <si>
    <t>Staff satisfaction survey report</t>
  </si>
  <si>
    <t>Online/physical surveys, focus group discussions</t>
  </si>
  <si>
    <t>Lack of responsiveness from info services; survey bias</t>
  </si>
  <si>
    <t>% of staff satisfied with travel, procurement, fleet, and event support services</t>
  </si>
  <si>
    <t>Logistics services are timely, responsive, and adequately resourced</t>
  </si>
  <si>
    <t>Survey reports, service usage records</t>
  </si>
  <si>
    <t>Annual satisfaction survey, suggestion boxes</t>
  </si>
  <si>
    <t>Delays in procurement; poor communication</t>
  </si>
  <si>
    <t>5. Green and sustainable energy is 100% installed in Yaoundé and field offices to solve power outages</t>
  </si>
  <si>
    <t>% of offices fully powered by solar/renewable systems (target: 100%)</t>
  </si>
  <si>
    <t>Technical assessments support feasibility; budget available; local suppliers engaged</t>
  </si>
  <si>
    <t>Technical installation reports, energy audit</t>
  </si>
  <si>
    <t>Energy bills, backup power use reports, system maintenance logs</t>
  </si>
  <si>
    <t>Installation delays; poor maintenance; high upfront costs</t>
  </si>
  <si>
    <t>% uptime of internet connection measured monthly</t>
  </si>
  <si>
    <t>Reliable service provider; backup options available</t>
  </si>
  <si>
    <t>Network performance logs, IT reports</t>
  </si>
  <si>
    <t>Internet uptime monitoring software</t>
  </si>
  <si>
    <t>Provider outages; equipment failure</t>
  </si>
  <si>
    <t>% of sites meeting infrastructure checklist aligned with enterprise standard (target: 100%)</t>
  </si>
  <si>
    <t>Clear standard defined; budget available; renovations implemented in phases</t>
  </si>
  <si>
    <t>Infrastructure audit report</t>
  </si>
  <si>
    <t>Facilities checklist, procurement and renovation reports</t>
  </si>
  <si>
    <t>Funding gaps; supply chain delays; remote site challenges</t>
  </si>
  <si>
    <t>1. Accountability, credibility, and transparency with both internal staff, external donors, and other accountability bodies/stakeholders enhanced</t>
  </si>
  <si>
    <t xml:space="preserve"> % of partners reporting increased trust</t>
  </si>
  <si>
    <t>Leadership commitment to transparency; adequate systems for reporting and feedback</t>
  </si>
  <si>
    <t>Internal audit reports, donor reports, stakeholder feedback reports</t>
  </si>
  <si>
    <t>Annual surveys, audit tools, partner/stakeholder consultations</t>
  </si>
  <si>
    <t>Misalignment between reporting tools and donor/stakeholder expectations; weak internal controls</t>
  </si>
  <si>
    <t>% of projects with active partner/stakeholder engagement in design and implementation phases</t>
  </si>
  <si>
    <t>Stakeholders are genuinely involved and empowered; staff understand value of co-creation</t>
  </si>
  <si>
    <t>Project documentation, partnership agreements, feedback forms</t>
  </si>
  <si>
    <t>Engagement logs, co-creation workshop reports</t>
  </si>
  <si>
    <t>Tokenistic participation; time constraints; weak communication</t>
  </si>
  <si>
    <t>OD support is contributing effectively to achieving the CCO strategic plan</t>
  </si>
  <si>
    <t>% of strategic plan goals positively impacted by OD interventions (target: ≥75%)</t>
  </si>
  <si>
    <t>OD initiatives aligned with strategic goals; leadership provides resources and support</t>
  </si>
  <si>
    <t>Strategic plan progress reports, OD activity reports</t>
  </si>
  <si>
    <t>Monitoring matrix, strategic KPIs, staff feedback</t>
  </si>
  <si>
    <t>Fragmented OD efforts; weak linkage with strategy implementation</t>
  </si>
  <si>
    <t>Number of documented learning products</t>
  </si>
  <si>
    <t>A learning culture is promoted; systems exist to capture and use lessons</t>
  </si>
  <si>
    <t>After-action reviews, learning reports, adaptive action plans</t>
  </si>
  <si>
    <t>Knowledge management tools, MEL reports, learning workshop outputs</t>
  </si>
  <si>
    <t>Lessons not documented or revisited; low staff engagement in learning</t>
  </si>
  <si>
    <t>% of staff completing initial and refresher trainings annually</t>
  </si>
  <si>
    <t>Training resources and schedules are available; staff are motivated to attend</t>
  </si>
  <si>
    <t>Training attendance records; post-training assessments</t>
  </si>
  <si>
    <t>E-learning modules, attendance registers, feedback forms</t>
  </si>
  <si>
    <t>Competing priorities; limited trainer availability</t>
  </si>
  <si>
    <t>Staff recognition program established to reward compliance with WWF values and policies</t>
  </si>
  <si>
    <t># of staff recognized annually for exemplary value-based behavior</t>
  </si>
  <si>
    <t>Recognition is seen as meaningful; nominations are fairly evaluated</t>
  </si>
  <si>
    <t>Award records; internal communication showcasing awardees</t>
  </si>
  <si>
    <t>Nomination forms, recognition logs</t>
  </si>
  <si>
    <t>Perceived favoritism; low participation</t>
  </si>
  <si>
    <t>% of audit recommendations addressed and compliance gaps closed</t>
  </si>
  <si>
    <t>Audit teams have capacity and independence; findings are acted upon</t>
  </si>
  <si>
    <t>Audit reports; management response matrices</t>
  </si>
  <si>
    <t>Audit checklists, F&amp;C tracking sheets</t>
  </si>
  <si>
    <t>Audit fatigue; poor management follow-through</t>
  </si>
  <si>
    <t>% of managers trained and applying values-based leadership practices</t>
  </si>
  <si>
    <t>Leadership is committed to role-modelling; training is tailored and practical</t>
  </si>
  <si>
    <t>Training reports; 360° feedback; team climate assessments</t>
  </si>
  <si>
    <t>Training rosters, pre/post assessments</t>
  </si>
  <si>
    <t>Resistance to change; unclear expectations</t>
  </si>
  <si>
    <t>By 2026, the CCO has a well-structured, adequately staffed, and supportive work environment</t>
  </si>
  <si>
    <t>Key vacancies filled by December 2025</t>
  </si>
  <si>
    <t>% of critical positions filled (target: 100%)</t>
  </si>
  <si>
    <t>Qualified candidates are available and willing to join; recruitment process is timely and well-resourced</t>
  </si>
  <si>
    <t>HR recruitment records; Contracts signed; Onboarding reports</t>
  </si>
  <si>
    <t>Vacancy tracker, interview records, recruitment reports</t>
  </si>
  <si>
    <t>Talent scarcity; competition from other organizations; lengthy recruitment process</t>
  </si>
  <si>
    <t xml:space="preserve"> Improved health and security conditions (program disaster plans) for CCO staff by June 2026</t>
  </si>
  <si>
    <t>% of staff trained in safety protocols</t>
  </si>
  <si>
    <t>Sufficient budget and expertise; collaboration with safety/security experts; staff participation in drills</t>
  </si>
  <si>
    <t>Disaster response plan document, training reports, audit results</t>
  </si>
  <si>
    <t>Risk management plans, security incident reports, training attendance sheets</t>
  </si>
  <si>
    <t>Unpredictable crises; low staff engagement in training; inadequate infrastructure</t>
  </si>
  <si>
    <t>By 2030, WWF CCO has an institutionalized compliance framework and systems that ensure consistent adherence to policies, procedures, partner agreements, and OSP standards.</t>
  </si>
  <si>
    <t>% of corrective actions implemented as per audit recommendations</t>
  </si>
  <si>
    <t>Audit team capacity; cooperation of departments</t>
  </si>
  <si>
    <t>Audit reports; corrective action logs; follow-up review reports</t>
  </si>
  <si>
    <t>Audit checklists; corrective action tracking sheets</t>
  </si>
  <si>
    <t>Low compliance response; audit fatigue</t>
  </si>
  <si>
    <t>Digital compliance tracking system (dashboard) designed, deployed, and updated quarterly</t>
  </si>
  <si>
    <t># of updates per year</t>
  </si>
  <si>
    <t>IT infrastructure in place; staff use the system</t>
  </si>
  <si>
    <t>System analytics dashboard; user feedback tools</t>
  </si>
  <si>
    <t>Technical glitches; low adoption</t>
  </si>
  <si>
    <t>% of action items addressed</t>
  </si>
  <si>
    <t>Leadership commitment; effective data collection</t>
  </si>
  <si>
    <t>Review templates; action tracking matrices</t>
  </si>
  <si>
    <t>Low participation or follow-through; competing priorities</t>
  </si>
  <si>
    <t>Compliance clauses and reporting mechanisms integrated into all partner agreements and monitored annually</t>
  </si>
  <si>
    <t>% of partner compliance reports submitted annually</t>
  </si>
  <si>
    <t>Procurement/legal teams follow policy; partners accept terms</t>
  </si>
  <si>
    <t>Signed contracts; partner monitoring reports</t>
  </si>
  <si>
    <t>Compliance checklist for contracts; partner reporting templates</t>
  </si>
  <si>
    <t>Partner resistance; poor follow-up from WWF teams</t>
  </si>
  <si>
    <t>General Guidelines:</t>
  </si>
  <si>
    <t>● Completeness and Specificity: Indicator definitions must be comprehensive and specific. Ensure the inclusion of all key categories mentioned within the indicator name and definition, to provide a clear and comprehensive understanding of what is being measured.</t>
  </si>
  <si>
    <t>● Neutral Indicators: Indicators should not imply a specific direction of change, specific targets or locations.  Indicators should focus solely on what is being measured to enable monitoring and reporting at scale. Information like targets and locations will be set in the monitoring and evaluation plans.</t>
  </si>
  <si>
    <t>● Harmonization of Units and Value Formats: Ensure to select the appropriate units of measurement and/or value format to ensure consistency across all indicators.</t>
  </si>
  <si>
    <t>Category</t>
  </si>
  <si>
    <t>Description and Example</t>
  </si>
  <si>
    <t>Data Type</t>
  </si>
  <si>
    <t>Completion</t>
  </si>
  <si>
    <t>Data Type Categories</t>
  </si>
  <si>
    <t>The "Indicator Name" refers to the specific label or title given to a measurement used in monitoring and evaluation. It's like a headline that succinctly describes what is being measured. 
Let's use the example, "Number of hectares of forest under formal protection" as the indicator name. This name tells us that the measurement focuses on the amount of forest land (measured in hectares) that has been officially safeguarded or preserved through formal legal or other official means.</t>
  </si>
  <si>
    <t>Textual</t>
  </si>
  <si>
    <t>Mandatory</t>
  </si>
  <si>
    <t>Open text</t>
  </si>
  <si>
    <t>The "Indicator Definition" provides a detailed explanation of what the indicator is and what it measures. It goes beyond the title, offering clarity on the scope and focus of the indicator. 
For "Number of hectares of forest under formal protection", the definition would clarify what exactly counts as a "hectare of forest" (for instance, it might specify a minimum tree density or type of vegetation) and what is meant by "formal protection" (such as legal protection status, conservation measures, or specific environmental policies). This definition ensures that everyone understands exactly what is being measured and can uniformly apply the indicator in different contexts or comparisons.</t>
  </si>
  <si>
    <t>The "Measuring Unit" is the standard unit of measurement used to quantify the indicator. It defines how the data is recorded and reported. 
In the case of our example, "Number of hectares of forest under formal protection," the measuring unit is 'hectares'. This unit is used to quantify the area of forest land. By using hectares, a universally recognized unit for measuring large areas of land, it allows for consistent measurement and comparison across different regions or countries. This consistency is crucial for accurate monitoring and evaluation, especially when comparing data over time or between different geographical areas.</t>
  </si>
  <si>
    <t>Categorical</t>
  </si>
  <si>
    <t xml:space="preserve">Square Kilometres, Hectares, Acres, Numerical, Tons, Kilograms, Cubic meters,  Currency, 
(single selection)
</t>
  </si>
  <si>
    <t>"Value Format" refers to how the data for the indicator is presented or structured. It dictates the form in which the numerical or categorical values are reported, ensuring consistency and clarity in data representation.
For our example indicator, "Number of hectares of forest under formal protection," the value format would be a numerical one, representing the total area in hectares. This could be expressed in whole numbers or decimals, depending on the level of precision required. For instance, it might be reported as 1,500 hectares (a whole number) or as 1,537.5 hectares (a decimal), indicating either a rounded or more precise measurement of the forest area under formal protection. This standardized format helps in understanding, comparing, and analysing the data effectively.</t>
  </si>
  <si>
    <t>Whole number, Percentage, Decimal, Text, Numerator/Denominator,
(single selection)</t>
  </si>
  <si>
    <t>Process Indicators:
Process indicators track the implementation of the program activities. They measure the efficiency and quality of the processes involved in delivering program outputs.
Examples of Process Indicators:
Speed of legal designation for protected forest areas: This measures how quickly a forest area is given legal protection after being identified as a candidate.
Percentage of community health workers who complete training on schedule: This tracks the efficiency of the training process within the health program.
Output Indicators:
Output indicators measure the immediate products or services generated by the program. They are typically quantifiable and can be directly linked to the program's activities.
Examples of Output Indicators:
Number of hectares of forest under formal protection: As mentioned before, this measures the direct result of conservation efforts.
Number of immunizations given by community health workers: This quantifies the immediate results of the health workers' activities.
Outcome Indicators:
Outcome indicators assess the effects of the program outputs on the overall objectives. They are focused on the impact and changes that occur as a result of the program.
Examples of Outcome Indicators:
Improvement in the biodiversity of protected areas: This looks at the ecological impact of the protected forests.
Reduction in the incidence of diseases targeted by the immunization program: This measures the health impact of the vaccinations administered by the health workers.
Impact Indicators:
Impact indicators measure the long-term effects and significant changes resulting from the program’s activities. They reflect broader societal or environmental changes, assessing the enduring impacts and sustainability of the program’s efforts.
Examples of impact Indicators:
Increase in population size of endangered species: This indicator measures the long-term recovery and growth of populations of endangered species within protected areas. It reflects the sustained impact of conservation efforts on biodiversity and the success of strategies aimed at habitat protection, anti-poaching measures, and restoration initiatives.</t>
  </si>
  <si>
    <t>Process, Output, Outcome, Impact
(single selection)</t>
  </si>
  <si>
    <t>"Minimum Expected Monitoring Frequency" refers to the lowest frequency at which data for the indicator should be collected and reviewed to ensure effective monitoring, meaning, resources are not wasted into more frequency monitoring when it is not possible to track any change. This frequency can vary based on the nature of the indicator and the dynamics of what it's measuring. The key is to choose a frequency that provides timely and relevant data without overburdening the monitoring process.
For the indicator "Number of hectares of forest under formal protection," the minimum expected monitoring frequency is (to be determined) because this is the average rate of change in forest conservation status.</t>
  </si>
  <si>
    <t>Monthly, Quarterly, Every six months, Annual, Baseline/Endline
(single selection)</t>
  </si>
  <si>
    <t>"Direction of Desired Change" refers to the expected movement in the indicator's value over time to achieve positive change. This concept is crucial for interpreting the data correctly and understanding whether changes in the indicator are signs of progress or regression.
In the context of our example, "Number of hectares of forest under formal protection," the direction of change would typically be positive if the number of hectares is increasing. An increase in the area of forest under formal protection would generally be seen as a positive outcome, reflecting successful conservation efforts and a stronger commitment to environmental protection. On the other hand, a decrease in this indicator would typically be viewed negatively, suggesting a loss of protected forest area, which could be due to deforestation, policy changes, or other environmental challenges. Understanding the desired direction of change helps stakeholders assess whether their efforts are effective and moving in the right direction.</t>
  </si>
  <si>
    <t>Positive, Negative
(single selection)</t>
  </si>
  <si>
    <t>"Data Source" refers to the origin or provider of the data used for the indicator. It's where the information comes from. For the indicator "Number of hectares of forest under formal protection," data sources could be varied, each offering different kinds of information. Here are some common examples:
Government Records and Reports: Ministries or departments of environment, forestry, and land use often maintain records of land designated as protected. These records could include legal documentation of protected areas, maps, and management plans.
Satellite Imagery and Aerial Photography: Space agencies or private satellite companies provide imagery that can be analysed to determine the extent and condition of forest areas. This source is particularly useful for large-scale, continuous monitoring of land cover.
GIS Databases: Geographic Information Systems (GIS) store and analyse spatial or geographical data. Various organizations maintain GIS databases that include information on forest cover and protected areas.
Environmental NGOs and Research Institutions: These organizations often conduct studies and surveys related to forest conservation and might have extensive data on protected areas.
International Organizations: Bodies like the United Nations Food and Agriculture Organization (FAO), the World Bank, or the World Conservation Monitoring Centre (WCMC) often collect and disseminate data on global environmental indicators, including forest protection.
Local Communities and Indigenous Groups: In many regions, local communities and indigenous groups have valuable knowledge about the forests and their conservation status. This information can be gathered through participatory surveys or community mapping initiatives.
Each of these data sources can provide valuable insights, and often, a combination of sources is used to obtain the most accurate and comprehensive view of the situation. The choice of data sources depends on factors like the availability, reliability, and relevance of the data they provide, as well as the geographical scope and specific objectives of the monitoring effort.</t>
  </si>
  <si>
    <t xml:space="preserve">"Data Collection Tool" refers to the specific method or instrument used to gather and record data for the indicator. This tool is crucial for ensuring that the data collected is accurate, reliable, and consistent.
For the indicator "Number of hectares of forest under formal protection," the data collection tool is &lt;satellite imagery, official government records, or surveys conducted by environmental agencies&gt;. These tools can provide precise measurements of land area and can track changes in forest coverage over time. 
It is recognised that sometimes different data collection tools can be used to measure the same indicator. For the purposes of completing the ISS, each indicator must be assigned a unique data collection tool and if required multiple indicators can be used to reflect the different data collection tools.
</t>
  </si>
  <si>
    <t>Satellite Imagery, Aerial Photography, Ground Surveys, Government Records
(single selection)</t>
  </si>
  <si>
    <t xml:space="preserve">The "Data Collection &amp; Analysis Methodology" refers to the systematic process used to gather, verify, and analyse data for the indicator. It encompasses the strategies, techniques, and procedures to ensure that the data collected is accurate, reliable, and suitable for making informed decisions or evaluations.
For the indicator "Number of hectares of forest under formal protection," the data collection and analysis methodology might involve several steps:
Identification of Data Sources: Determine where and how the data will be gathered. This could include satellite imagery, government land records, forest management databases, or direct field observations.
Data Gathering Techniques: Choose the appropriate techniques for collecting data. For example, using satellite imagery to measure the area of protected forests, or analysing legal documents to identify formally protected areas.
Data Analysis: Describe the appropriate method to analyse the data to extract meaningful insights and trends and generate the value required for the indicator. This may involve using statistical methods or spatial analysis techniques to interpret the data in the indicator's context.
Verification: In some cases, indicators may require field visits or surveys to verify the data obtained from secondary sources. This step can be crucial for ensuring the accuracy of the data, especially in areas where satellite imagery might be insufficient or misleading due to canopy cover or seasonal changes. This step could also include cross-referencing data from different sources, conducting periodic audits, or having data reviewed by experts.
</t>
  </si>
  <si>
    <t>Data Quality Risks and Mitigation strategies</t>
  </si>
  <si>
    <t>"Data quality risks and mitigation strategies" are critical aspects to consider during the monitoring and evaluation process. They shape the interpretation and understanding of the data and its implications.
For the indicator "Number of hectares of forest under formal protection, "specific risks and mitigation might include:
Data Quality Risks:
Resolution Limitations of Satellite Imagery: Satellite data might not accurately capture small or fragmented forested areas, leading to an underestimation of protected areas.
Temporal Delays in Data Updates: Protected area statuses can change, but these changes might not be immediately reflected in databases or satellite imagery, leading to outdated information.
Inconsistent Definitions of 'Formal Protection': Different regions or countries may have varying criteria for what constitutes 'formal protection', affecting uniformity in data.
Accessibility Challenges for Field Verification: Some protected areas might be inaccessible for field surveys due to geographic, political, or social reasons, impacting data accuracy.
Human Error in Data Collection and Entry: Errors can occur during the manual recording of data from surveys or interpretation of legal documents related to forest protection.
Mitigation Strategies:
Utilizing High-Resolution Imagery and Multiple Data Sources: Supplement satellite data with high-resolution aerial photography or drone imagery. Cross-reference with multiple data sources, such as government records and NGO reports, for accuracy.
Regular Data Updating and Validation: Establish a schedule for regular updates of the database to reflect the latest changes in protection statuses. Validate these updates with recent field reports or official documents.
Harmonization of Protection Criteria: Ensure the use of a consistent definition of 'formal protection' across different regions or develop a system to categorize varying levels of protection.
Innovative Approaches for Inaccessible Areas: Use technology like drones for inaccessible areas. Collaborate with local communities or organizations present in those areas for ground-truthing.
Rigorous Training and Quality Control Processes: Implement comprehensive training for data collectors and establish strict quality control processes to minimize human error. This includes double-checking data entries and using software tools to detect inconsistencies or outliers.
By proactively addressing these risks and implementing robust mitigation strategies, M&amp;E staff can significantly enhance the quality and reliability of the data for the indicator, leading to more effective monitoring and decision-making.</t>
  </si>
  <si>
    <t>"Cost Estimate" refers to the projected financial requirement for carrying out the monitoring and evaluation of an indicator. It includes all expenses related to data collection, processing, analysis, and reporting. For the indicator "Number of hectares of forest under formal protection," the cost estimate would encompass various components such as:
Data Collection Costs: This can include the expense of acquiring satellite imagery or GIS data, costs related to field surveys (like travel, equipment, and personnel), and fees for accessing government or private databases.
Technology and Software: Costs for specialized software for data analysis, like GIS software, and for storing and processing the data.
Personnel Expenses: Salaries or fees for the analysts, surveyors, data managers, and other staff involved in the data collection, processing, and analysis.
Training and Capacity Building: If the project involves training personnel in data collection methods or the use of specific technologies, this cost should be factored in.
Quality Control and Audit: Expenses related to ensuring data accuracy and reliability, which might include external audits or validation studies.
The cost estimate should be realistic and comprehensive, accounting for all potential expenses to ensure the successful monitoring of the indicator. It also helps in securing funding and resources necessary for the monitoring activities. For large-scale projects, like monitoring forest protection over a wide area, costs can be substantial due to the need for sophisticated technology and extensive fieldwork. 
Recognising it may not be possible to have an exact cost estimate, select a cost category that best describes the estimated cost for the monitoring of the indicator at one interval (Free, Low cost (up to 10,000 USD), Medium cost (up to 100,000 USD) , High cost (up to 500,000 USD), Very high (&gt; 500,000 USD).</t>
  </si>
  <si>
    <t>Free, Low cost, Medium cost, High cost, Very High cost
(single selection)</t>
  </si>
  <si>
    <t>The "WWF 2025 Targets" refers to how an indicator aligns with the targets of the WWF Global Targets framework. For the indicator "Number of hectares of forest under formal protection," alignment with the WWF 2025 Targets would involve:
Forest PCA Expansion (Target 1): This target is met directly by the indicator as it quantifies the expansion of forest areas under formal protection, which is the core objective of the target.
Deforestation Halted (Target 12): The indicator directly supports this target by measuring the areas where deforestation has been halted due to formal protection status.</t>
  </si>
  <si>
    <t>List of Global Outcome Targets
(multiple selection)</t>
  </si>
  <si>
    <t>The "Practice" field refers to the global Practice group the indicator mostly relates to. For the indicator "Number of hectares of forest under formal protection," alignment would be with the Practice "Forests".</t>
  </si>
  <si>
    <t>List of WWF Practices
(single selection)</t>
  </si>
  <si>
    <t>Target Beneficiary</t>
  </si>
  <si>
    <t>"Target Beneficiary" refers to the specific group or entity that is intended to be measured from the monitoring and evaluation of the indicator. This concept helps to focus the monitoring efforts and to assess the impact of the initiatives being measured.
For the indicator "Number of hectares of forest under formal protection, the target beneficiary is "Forest".
Other target beneficiary categories may include:
Local Communities, Indigenous Populations, Wildlife, Rivers, Policy Makers and Government Entities, etc</t>
  </si>
  <si>
    <t>Local Communities, Indigenous Populations, Wildlife, Rivers, Policy Makers and Government Entities, Other
(single selection)</t>
  </si>
  <si>
    <t>Select the CMP Action Classification to which this indicator is most relevant</t>
  </si>
  <si>
    <t>List of CMP Classifications
(multiple selection)</t>
  </si>
  <si>
    <t>"International Thresholds" refer to globally recognized standards, benchmarks, or limits used to evaluate or compare the status of an indicator across different regions or countries. These thresholds are often established by international bodies or agreements and serve as a point of reference to assess performance, progress, or compliance in a specific area.
For the indicator "Number of hectares of forest under formal protection," international thresholds could include:
United Nations Sustainable Development Goals (SDGs): The SDGs might set specific targets related to forest conservation and protection. For instance, under SDG 15 (Life on Land), there could be a target percentage of land area that should be under protection to maintain biodiversity and ecosystem services.
Biodiversity Targets: Agreements like the Convention on Biological Diversity (CBD) often set targets for the protection of biodiversity, which can include specific goals for the percentage of forest area that needs to be conserved.
Climate Change Commitments: Under agreements like the Paris Agreement, countries might have committed to certain land conservation standards as part of their strategy to mitigate climate change, which could include maintaining or increasing the area of protected forests.
World Conservation Union (IUCN) Protected Area Categories: The IUCN categorizes protected areas in different levels based on their conservation objectives. The proportion of forest in each category could be used as a threshold to assess conservation effectiveness.
Forest Management Certifications: Standards set by international forest certification systems, like the Forest Stewardship Council (FSC), can serve as benchmarks for sustainable forest management and protection.
These international thresholds are important as they provide a common framework for measuring and comparing the efforts of different countries or regions in forest conservation. They also help to align national policies with global environmental and sustainability goals.</t>
  </si>
  <si>
    <t>Optional</t>
  </si>
  <si>
    <t>The "GBF Alignment" refers to how an indicator aligns with the objectives and targets of the Global Biodiversity Framework (GBF). The GBF, established under the Convention on Biological Diversity (CBD), sets out a strategic plan to guide effective and urgent action worldwide for biodiversity conservation and sustainable use. For more information, go here: https://www.cbd.int/gbf/targets.
For the indicator "Number of hectares of forest under formal protection," alignment with the GBF would involve:
TARGET 3 - Conserve 30% of Land, Waters and Seas: This target is directly measured by the indicator, as it quantifies the actual area of forest land under formal protection, contributing to the goal of conserving a specific percentage of the Earth’s surface.
TARGET 11 - Restore, Maintain and Enhance Nature’s Contributions to People: Protected forests are critical in maintaining ecosystem services that contribute to human well-being. This indicator can directly show enhancements in ecosystem services by measuring the expansion of protected areas.
The indicator's direct contribution to these targets is clear: as the number of hectares under formal protection increases, it signifies progress toward conserving 30% of the planet’s land and enhancing the benefits that protected ecosystems provide to people. The other targets, while important and potentially influenced by forest protection, do not meet the stricter criterion for direct contribution as they involve broader biodiversity and sustainability actions beyond forest protection alone.</t>
  </si>
  <si>
    <t>List of GBF targets from 1 to 23
(multiple selection)</t>
  </si>
  <si>
    <t>"SDG Alignment" refers to how the indicator aligns with the United Nations Sustainable Development Goals (SDGs).
For the indicator "Number of hectares of forest under formal protection," the alignment with SDGs might particularly involve:
SDG 15 (Life on Land): This goal focuses on managing forests sustainably, combating desertification, halting and reversing land degradation, and halting biodiversity loss. Increasing the number of hectares of forest under formal protection directly contributes to this goal by preserving biodiversity and ensuring sustainable use of ecosystems.
SDG 13 (Climate Action): Protecting forest areas contributes to climate change mitigation by preserving or increasing carbon sinks. Forests play a crucial role in absorbing carbon dioxide, one of the greenhouse gases.
SDG 6 (Clean Water and Sanitation): Forests are vital for maintaining the water cycle and ensuring the availability of clean water. Protecting forested areas can help in maintaining water quality and availability.
SDG 1 (No Poverty) &amp; SDG 8 (Decent Work and Economic Growth): Sustainable forest management under protection initiatives can contribute to poverty alleviation and economic growth by providing resources and jobs for local communities.
Aligning with these SDGs means that the efforts in increasing and managing the number of hectares under formal protection are contributing towards broader global objectives of sustainability, environmental stewardship, and socio-economic development. This alignment is important for securing international support, ensuring policy coherence, and providing a clear framework for evaluating the impact of conservation efforts.</t>
  </si>
  <si>
    <t>List of SDG goal from 1 to 17
(multiple selection)</t>
  </si>
  <si>
    <t>The "Donor" column is used to capture the name of a donor who requested this indicator or is known to be interested in monitoring this indicator as part of their long-term strategic monitoring.
This field will be used by COs to search the CSI and easily find indicators for new proposals or to prepare tailored reports for specific target audiences.</t>
  </si>
  <si>
    <t>The "Indicator Owner" refers to the person who prepared the information that went into the ISS template for the indicators and who has the technical expertise on the subject matter. The indicator owner is expected to serve as the Subject Matter Expert on the indicator and to help clarify any questions concerning the indicator e.g., data collection, analysis etc.</t>
  </si>
  <si>
    <t>Version</t>
  </si>
  <si>
    <t>Date</t>
  </si>
  <si>
    <t>Changes</t>
  </si>
  <si>
    <t>V2</t>
  </si>
  <si>
    <t>19.01.2023</t>
  </si>
  <si>
    <t>Significant changes were made in the ISS template, namely, new categories were added in the ISS tab and a new tab "Guidelines" was added, providing more detailed information about how to complete the template.</t>
  </si>
  <si>
    <t>V2.1</t>
  </si>
  <si>
    <t>23.01.2024</t>
  </si>
  <si>
    <t>Made some changes to the VBA code to adress crashing problem when editing existing data.</t>
  </si>
  <si>
    <t>V2.5</t>
  </si>
  <si>
    <t>24.01.2024</t>
  </si>
  <si>
    <t>Made some changes to the field categores e.g., removed acres, as well as merged the columns data collection methodology with data analysis and validation.</t>
  </si>
  <si>
    <t>V3.0</t>
  </si>
  <si>
    <t>28.03.2024</t>
  </si>
  <si>
    <t>Make the columns practice, CMP Action Classification (Primary), International Thresholds, GBF Targets alignmen and SDG Alignment multiple-selection.
Revised the donor category description
Included indicator owner as a new column</t>
  </si>
  <si>
    <t>V3.1</t>
  </si>
  <si>
    <t>08.04.2024</t>
  </si>
  <si>
    <t>Added Mandatory and Optional columns. Also updated some lists to include "Not aligned".
Removed input indicators, as a type.</t>
  </si>
  <si>
    <t>V3.5</t>
  </si>
  <si>
    <t>05.06.2024</t>
  </si>
  <si>
    <t>Added Impact type indicators, including the description.</t>
  </si>
  <si>
    <t>https://www.cbd.int/gbf/targets/</t>
  </si>
  <si>
    <t>13.      The Kunming-Montreal Global Biodiversity Framework has 23 action-oriented global targets for urgent action over the decade to 2030. The actions set out in each target need to be initiated immediately and completed by 2030. Together, the results will enable achievement towards the outcome-oriented goals for 2050. Actions to reach these targets should be implemented consistently and in harmony with the Convention on Biological Diversity and its Protocols, and other relevant international obligations, taking into account national circumstances, priorities and socioeconomic conditions.</t>
  </si>
  <si>
    <t>1. Reducing threats to biodiversity</t>
  </si>
  <si>
    <t>Ensure that all areas are under participatory, integrated and biodiversity inclusive spatial planning and/or effective management processes addressing land- and sea‑use change, to bring the loss of areas of high biodiversity importance, including ecosystems of high ecological integrity, close to zero by 2030, while respecting the rights of indigenous peoples and local communities.</t>
  </si>
  <si>
    <t>Ensure that by 2030 at least 30 per cent of areas of degraded terrestrial, inland water, and marine and coastal ecosystems are under effective restoration, in order to enhance biodiversity and ecosystem functions and services, ecological integrity and connectivity.</t>
  </si>
  <si>
    <t>Ensure and enable that by 2030 at least 30 per cent of terrestrial and inland water areas, and of marine and coastal areas, especially areas of particular importance for biodiversity and ecosystem functions and services, are effectively conserved and managed through ecologically representative, well-connected and equitably governed systems of protected areas and other effective area-based conservation measures, recognizing indigenous and traditional territories, where applicable, and integrated into wider landscapes, seascapes and the ocean, while ensuring that any sustainable use, where appropriate in such areas, is fully consistent with conservation outcomes, recognizing and respecting the rights of indigenous peoples and local communities, including over their traditional territories.</t>
  </si>
  <si>
    <t>Ensure urgent management actions to halt human induced extinction of known threatened species and for the recovery and conservation of species, in particular threatened species, to significantly reduce extinction risk, as well as to maintain and restore the genetic diversity within and between populations of native, wild and domesticated species to maintain their adaptive potential, including through in situ and ex situ conservation and sustainable management practices, and effectively manage human-wildlife interactions to minimize human-wildlife conflict for coexistence.</t>
  </si>
  <si>
    <t>Ensure that the use, harvesting and trade of wild species is sustainable, safe and legal, preventing overexploitation, minimizing impacts on non-target species and ecosystems, and reducing the risk of pathogen spillover, applying the ecosystem approach, while respecting and protecting customary sustainable use by indigenous peoples and local communities.</t>
  </si>
  <si>
    <t>TARGET 6: Reduce the Introduction of Invasive Alien Species by 50% and Minimize Their Impact</t>
  </si>
  <si>
    <t>Eliminate, minimize, reduce and or mitigate the impacts of invasive alien species on biodiversity and ecosystem services by identifying and managing pathways of the introduction of alien species, preventing the introduction and establishment of priority invasive alien species, reducing the rates of introduction and establishment of other known or potential invasive alien species by at least 50 per cent by 2030, and eradicating or controlling invasive alien species, especially in priority sites, such as islands. </t>
  </si>
  <si>
    <t>Reduce pollution risks and the negative impact of pollution from all sources by 2030, to levels that are not harmful to biodiversity and ecosystem functions and services, considering cumulative effects, including: (a) by reducing excess nutrients lost to the environment by at least half, including through more efficient nutrient cycling and use; (b) by reducing the overall risk from pesticides and highly hazardous chemicals by at least half, including through integrated pest management, based on science, taking into account food security and livelihoods; and (c) by preventing, reducing, and working towards eliminating plastic pollution.</t>
  </si>
  <si>
    <t>TARGET 8: Minimize the Impacts of Climate Change on Biodiversity and Build Resilience</t>
  </si>
  <si>
    <t>Minimize the impact of climate change and ocean acidification on biodiversity and increase its resilience through mitigation, adaptation, and disaster risk reduction actions, including through nature-based solutions and/or ecosystem-based approaches, while minimizing negative and fostering positive impacts of climate action on biodiversity. </t>
  </si>
  <si>
    <t>2. Meeting people’s needs through sustainable use and benefit-sharing</t>
  </si>
  <si>
    <t>Ensure that the management and use of wild species are sustainable, thereby providing social, economic and environmental benefits for people, especially those in vulnerable situations and those most dependent on biodiversity, including through sustainable biodiversity-based activities, products and services that enhance biodiversity, and protecting and encouraging customary sustainable use by indigenous peoples and local communities.</t>
  </si>
  <si>
    <t>Ensure that areas under agriculture, aquaculture, fisheries and forestry are managed sustainably, in particular through the sustainable use of biodiversity, including through a substantial increase of the application of biodiversity friendly practices, such as sustainable intensification, agroecological and other innovative approaches, contributing to the resilience and long-term efficiency and productivity of these production systems, and to food security, conserving and restoring biodiversity and maintaining nature’s contributions to people, including ecosystem functions and services.</t>
  </si>
  <si>
    <t>Restore, maintain and enhance nature’s contributions to people, including ecosystem functions and services, such as the regulation of air, water and climate, soil health, pollination and reduction of disease risk, as well as protection from natural hazards and disasters, through nature-based solutions and/or ecosystem-based approaches for the benefit of all people and nature. </t>
  </si>
  <si>
    <t>TARGET 12: Enhance Green Spaces and Urban Planning for Human Well-Being and Biodiversity </t>
  </si>
  <si>
    <t>Significantly increase the area and quality, and connectivity of, access to, and benefits from green and blue spaces in urban and densely populated areas sustainably, by mainstreaming the conservation and sustainable use of biodiversity, and ensure biodiversity-inclusive urban planning, enhancing native biodiversity, ecological connectivity and integrity, and improving human health and well-being and connection to nature, and contributing to inclusive and sustainable urbanization and to the provision of ecosystem functions and services.</t>
  </si>
  <si>
    <t>TARGET 13: Increase the Sharing of Benefits From Genetic Resources, Digital Sequence Information and Traditional Knowledge</t>
  </si>
  <si>
    <t>Take effective legal, policy, administrative and capacity-building measures at all levels, as appropriate, to ensure the fair and equitable sharing of benefits that arise from the utilization of genetic resources and from digital sequence information on genetic resources, as well as traditional knowledge associated with genetic resources, and facilitating appropriate access to genetic resources, and by 2030, facilitating a significant increase of the benefits shared, in accordance with applicable international access and benefit-sharing instruments.</t>
  </si>
  <si>
    <t>3. Tools and solutions for implementation and mainstreaming</t>
  </si>
  <si>
    <t>Ensure the full integration of biodiversity and its multiple values into policies, regulations, planning and development processes, poverty eradication strategies, strategic environmental assessments, environmental impact assessments and, as appropriate, national accounting, within and across all levels of government and across all sectors, in particular those with significant impacts on biodiversity, progressively aligning all relevant public and private activities, and fiscal and financial flows with the goals and targets of this framework.</t>
  </si>
  <si>
    <t>Take legal, administrative or policy measures to encourage and enable business, and in particular to ensure that large and transnational companies and financial institutions:</t>
  </si>
  <si>
    <t>(a) Regularly monitor, assess, and transparently disclose their risks, dependencies and impacts on biodiversity, including with requirements for all large as well as transnational companies and financial institutions along their operations, supply and value chains, and portfolios;</t>
  </si>
  <si>
    <t>(b) Provide information needed to consumers to promote sustainable consumption patterns;</t>
  </si>
  <si>
    <t>(c) Report on compliance with access and benefit-sharing regulations and measures, as applicable;</t>
  </si>
  <si>
    <t>in order to progressively reduce negative impacts on biodiversity, increase positive impacts, reduce biodiversity-related risks to business and financial institutions, and promote actions to ensure sustainable patterns of production.</t>
  </si>
  <si>
    <t>TARGET 16: Enable Sustainable Consumption Choices To Reduce Waste and Overconsumption</t>
  </si>
  <si>
    <t>Ensure that people are encouraged and enabled to make sustainable consumption choices, including by establishing supportive policy, legislative or regulatory frameworks, improving education and access to relevant and accurate information and alternatives, and by 2030, reduce the global footprint of consumption in an equitable manner, including through halving global food waste, significantly reducing overconsumption and substantially reducing waste generation, in order for all people to live well in harmony with Mother Earth.</t>
  </si>
  <si>
    <t>TARGET 17: Strengthen Biosafety and Distribute the Benefits of Biotechnology</t>
  </si>
  <si>
    <t>Establish, strengthen capacity for, and implement in all countries, biosafety measures as set out in Article 8(g) of the Convention on Biological Diversity and measures for the handling of biotechnology and distribution of its benefits as set out in Article 19 of the Convention.</t>
  </si>
  <si>
    <t>TARGET 18: Reduce Harmful Incentives by at Least $500 Billion per Year, and Scale Up Positive Incentives for Biodiversity</t>
  </si>
  <si>
    <t>Identify by 2025, and eliminate, phase out or reform incentives, including subsidies, harmful for biodiversity, in a proportionate, just, fair, effective and equitable way, while substantially and progressively reducing them by at least $500 billion per year by 2030, starting with the most harmful incentives, and scale up positive incentives for the conservation and sustainable use of biodiversity.</t>
  </si>
  <si>
    <t>Substantially and progressively increase the level of financial resources from all sources, in an effective, timely and easily accessible manner, including domestic, international, public and private resources, in accordance with Article 20 of the Convention, to implement national biodiversity strategies and action plans, mobilizing at least $200 billion per year by 2030, including by: </t>
  </si>
  <si>
    <t>(a)        Increasing total biodiversity related international financial resources from developed countries, including official development assistance, and from countries that voluntarily assume obligations of developed country Parties, to developing countries, in particular the least developed countries and small island developing States, as well as countries with economies in transition, to at least $20 billion per year by 2025, and to at least $30 billion per year by 2030;</t>
  </si>
  <si>
    <t>(b)        Significantly increasing domestic resource mobilization, facilitated by the preparation and implementation of national biodiversity finance plans or similar instruments according to national needs, priorities and circumstances;</t>
  </si>
  <si>
    <t>(c)        Leveraging private finance, promoting blended finance, implementing strategies for raising new and additional resources, and encouraging the private sector to invest in biodiversity, including through impact funds and other instruments;</t>
  </si>
  <si>
    <t>(d)        Stimulating innovative schemes such as payment for ecosystem services, green bonds, biodiversity offsets and credits, and benefit-sharing mechanisms, with environmental and social safeguards;</t>
  </si>
  <si>
    <t>(e)        Optimizing co-benefits and synergies of finance targeting the biodiversity and climate crises;</t>
  </si>
  <si>
    <t>(f)        Enhancing the role of collective actions, including by indigenous peoples and local communities, Mother Earth centric actions[1] and non-market-based approaches including community based natural resource management and civil society cooperation and solidarity aimed at the conservation of biodiversity;</t>
  </si>
  <si>
    <t>(g)        Enhancing the effectiveness, efficiency and transparency of resource provision and use;</t>
  </si>
  <si>
    <t>Strengthen capacity-building and development, access to and transfer of technology, and promote development of and access to innovation and technical and scientific cooperation, including through South‑South, North-South and triangular cooperation, to meet the needs for effective implementation, particularly in developing countries, fostering joint technology development and joint scientific research programmes for the conservation and sustainable use of biodiversity and strengthening scientific research and monitoring capacities, commensurate with the ambition of the goals and targets of the Framework.</t>
  </si>
  <si>
    <t>Ensure that the best available data, information and knowledge are accessible to decision makers, practitioners and the public to guide effective and equitable governance, integrated and participatory management of biodiversity, and to strengthen communication, awareness-raising, education, monitoring, research and knowledge management and, also in this context, traditional knowledge, innovations, practices and technologies of indigenous peoples and local communities should only be accessed with their free, prior and informed consent,[2] in accordance with national legislation.</t>
  </si>
  <si>
    <t>Ensure the full, equitable, inclusive, effective and gender-responsive representation and participation in decision-making, and access to justice and information related to biodiversity by indigenous peoples and local communities, respecting their cultures and their rights over lands, territories, resources, and traditional knowledge, as well as by women and girls, children and youth, and persons with disabilities and ensure the full protection of environmental human rights defenders.</t>
  </si>
  <si>
    <t>Ensure gender equality in the implementation of the Framework through a gender-responsive approach, where all women and girls have equal opportunity and capacity to contribute to the three objectives of the Convention, including by recognizing their equal rights and access to land and natural resources and their full, equitable, meaningful and informed participation and leadership at all levels of action, engagement, policy and decision-making related to biodiversity.</t>
  </si>
  <si>
    <t>[1] Mother Earth Centric Actions: Ecocentric and rights-based approach enabling the implementation of actions towards harmonic and complementary relationships between peoples and nature, promoting the continuity of all living beings and their communities and ensuring the non-commodification of environmental functions of Mother Earth.</t>
  </si>
  <si>
    <t>[2] Free, prior and informed consent refers to the tripartite terminology of “prior and informed consent” or “free, prior and informed consent” or “approval and involvement.</t>
  </si>
  <si>
    <t>Minimum expected monitoring frequency</t>
  </si>
  <si>
    <t>CMP Action Classification</t>
  </si>
  <si>
    <t>GBF Targets</t>
  </si>
  <si>
    <t>SDG indicators</t>
  </si>
  <si>
    <t xml:space="preserve">Cubic meters </t>
  </si>
  <si>
    <t>Process</t>
  </si>
  <si>
    <t>Free</t>
  </si>
  <si>
    <t>1. Forest PCA expansion</t>
  </si>
  <si>
    <t>Climate &amp; Energy</t>
  </si>
  <si>
    <t>Forests</t>
  </si>
  <si>
    <t>360-degree feedback surveys</t>
  </si>
  <si>
    <t>Aerial Photography</t>
  </si>
  <si>
    <t>A structured checklist</t>
  </si>
  <si>
    <t>Stable</t>
  </si>
  <si>
    <t>Indigenous Populations</t>
  </si>
  <si>
    <t>Acoustic Survey</t>
  </si>
  <si>
    <t>Square Kilometers</t>
  </si>
  <si>
    <t>4. PCA connectivity</t>
  </si>
  <si>
    <t>2.2 Species Re-Introduction &amp; Translocation</t>
  </si>
  <si>
    <t>Activity log</t>
  </si>
  <si>
    <t>Tons</t>
  </si>
  <si>
    <t xml:space="preserve">Very High Cost </t>
  </si>
  <si>
    <t>5. Free-flowing Rivers</t>
  </si>
  <si>
    <t>Freshwater</t>
  </si>
  <si>
    <t>2.3 Ex-Situ Conservation</t>
  </si>
  <si>
    <t>Activity Reports</t>
  </si>
  <si>
    <t>6. Wetlands Protection &amp; Conservation</t>
  </si>
  <si>
    <t>Rivers</t>
  </si>
  <si>
    <t>Adoption Form</t>
  </si>
  <si>
    <t>7. Sustainable Bue Economoy framed Investments</t>
  </si>
  <si>
    <t>3.2 Protests &amp; Civil Disobedience</t>
  </si>
  <si>
    <t>Aerial survey equipment</t>
  </si>
  <si>
    <t>8. High-value River Protection</t>
  </si>
  <si>
    <t>Agreement Tracking Template</t>
  </si>
  <si>
    <t>9. KBA Identification &amp; Coverage</t>
  </si>
  <si>
    <t>4.2 Criminal Prosecution &amp; Conviction</t>
  </si>
  <si>
    <t>Agreements</t>
  </si>
  <si>
    <t>Annual Employee Engagement Survey</t>
  </si>
  <si>
    <t>11. Sustainable Cities and Communities: Make cities and human settlements inclusive, safe, resilient, and sustainable</t>
  </si>
  <si>
    <t>Annual Monitoring Tool</t>
  </si>
  <si>
    <t>Annual Performance Evaluation Forms</t>
  </si>
  <si>
    <t>13. Non-conversion commitments in WWF landscape</t>
  </si>
  <si>
    <t>5.3 Market-Based Incentives</t>
  </si>
  <si>
    <t>Annual TPR Report SMEL/Finance Database</t>
  </si>
  <si>
    <t>14. Conversion-free commodities</t>
  </si>
  <si>
    <t>Anonymous Online Survey Platform</t>
  </si>
  <si>
    <t>15. Deforestation-free financial service/portfolio</t>
  </si>
  <si>
    <t>5.5 Non-Monetary Values</t>
  </si>
  <si>
    <t>Any Source</t>
  </si>
  <si>
    <t>APP submission tracker</t>
  </si>
  <si>
    <t>17. Institutional arrangements for forest restoration committments</t>
  </si>
  <si>
    <t>6.2 Easements &amp; Resource Rights</t>
  </si>
  <si>
    <t>ArcGIS / QGIS</t>
  </si>
  <si>
    <t>18. Improved forest and plantation management</t>
  </si>
  <si>
    <t>Assessment report</t>
  </si>
  <si>
    <t>19. Sustainable management of WWF seascapes</t>
  </si>
  <si>
    <t>Attendance Sheets</t>
  </si>
  <si>
    <t>20. Deep seabed mining and habitat damaging fish gear phase out</t>
  </si>
  <si>
    <t>Audit Reports</t>
  </si>
  <si>
    <t>Automated system reports</t>
  </si>
  <si>
    <t>Awareness assessment</t>
  </si>
  <si>
    <t>23. irrigated agriculture water allocation</t>
  </si>
  <si>
    <t>Beneficiary Registry</t>
  </si>
  <si>
    <t>24. Nature Based Solutions</t>
  </si>
  <si>
    <t>Biodiversity surveys</t>
  </si>
  <si>
    <t>9.1 Formal Education</t>
  </si>
  <si>
    <t>Brand Health Check Survey</t>
  </si>
  <si>
    <t>26. Zero Poaching</t>
  </si>
  <si>
    <t>Brand Recognition Survey Tool</t>
  </si>
  <si>
    <t>27. Ivory and Illegal wildlife markets</t>
  </si>
  <si>
    <t>Bridger Check system</t>
  </si>
  <si>
    <t>28. Bycatch</t>
  </si>
  <si>
    <t>Budget</t>
  </si>
  <si>
    <t>Camera traps</t>
  </si>
  <si>
    <t>Campaign Registry Log</t>
  </si>
  <si>
    <t>31. Food loss &amp; waste reduction reporting by countries</t>
  </si>
  <si>
    <t>Campaign tools, activity reports</t>
  </si>
  <si>
    <t>32. Food loss &amp; waste reduction reporting by food service business</t>
  </si>
  <si>
    <t>Campaigns report</t>
  </si>
  <si>
    <t>33. Awareness of impact of diets</t>
  </si>
  <si>
    <t>Candidate Evaluation Matrix</t>
  </si>
  <si>
    <t xml:space="preserve">34. Fisheries Improvement Project </t>
  </si>
  <si>
    <t>Canopy HRIS</t>
  </si>
  <si>
    <t>35. Seafood traceability commitments</t>
  </si>
  <si>
    <t>Capacity Assessment</t>
  </si>
  <si>
    <t>36. Improved Fisheries policy &amp; capacity</t>
  </si>
  <si>
    <t>Capacity-building tracker</t>
  </si>
  <si>
    <t>37. Fisheries through inclusive conservation</t>
  </si>
  <si>
    <t>Captive animal database (Excel or dedicated system) - Individual animal record sheets - Digital data</t>
  </si>
  <si>
    <t>38. Helsinki Principle 4</t>
  </si>
  <si>
    <t>Career Development Survey</t>
  </si>
  <si>
    <t>39. Enhanced NDCs</t>
  </si>
  <si>
    <t>CBO capacity assessment</t>
  </si>
  <si>
    <t>40. 1.5C compliant targets by Cities</t>
  </si>
  <si>
    <t>CF agreement</t>
  </si>
  <si>
    <t>41. 1.5C compliant targets by Companies and Financial institutions</t>
  </si>
  <si>
    <t>CMG Register</t>
  </si>
  <si>
    <t>42. Net Zero Asset Owners Alliance Commitment</t>
  </si>
  <si>
    <t>Community identification checklist</t>
  </si>
  <si>
    <t>43. UNEPFI's Collective Commitment for Climate Action</t>
  </si>
  <si>
    <t>Community patrols</t>
  </si>
  <si>
    <t>44. Climate and environment-related disclosure by the financial actors</t>
  </si>
  <si>
    <t>45. Kigali-compliant national cooling plans</t>
  </si>
  <si>
    <t>Compilation of all expenditures related to conservation activities from accounting systems Verifica</t>
  </si>
  <si>
    <t>46. Access to electricity and clean cooking</t>
  </si>
  <si>
    <t>Conservation performance assessment</t>
  </si>
  <si>
    <t>47. Non-hydro RE penetration</t>
  </si>
  <si>
    <t>Consolidated Reporting Tracker</t>
  </si>
  <si>
    <t>48. Oil and gas production ban &amp; risk analysis</t>
  </si>
  <si>
    <t>Construction progress checklist</t>
  </si>
  <si>
    <t>49. Plastic Smart City commitment platform</t>
  </si>
  <si>
    <t>Consultation Log/Report Template</t>
  </si>
  <si>
    <t>50. Treaty for marine plastic pollution</t>
  </si>
  <si>
    <t>Consumer Survey</t>
  </si>
  <si>
    <t>51. Business system level approaches for plastic</t>
  </si>
  <si>
    <t>Content tracking spreadsheet</t>
  </si>
  <si>
    <t>52. Sustainable infrastructure development cancelation/modification in and around priority areas</t>
  </si>
  <si>
    <t>COPS Program</t>
  </si>
  <si>
    <t>53. sustainable Infrastructure development planning capacity in landscapes</t>
  </si>
  <si>
    <t>Corporate Decision Tracking or repositories in country and WWF</t>
  </si>
  <si>
    <t>54. Systemic change in infrastructure decision making and increased capacity in countries</t>
  </si>
  <si>
    <t>Counting</t>
  </si>
  <si>
    <t>55. Sand budgets adoptation</t>
  </si>
  <si>
    <t>Cross-Border Group Log</t>
  </si>
  <si>
    <t>56. Tools to address environmental corruption</t>
  </si>
  <si>
    <t>CT competency and compliance assessment form</t>
  </si>
  <si>
    <t>57. Recognition of environmental corruption as critical national security issues</t>
  </si>
  <si>
    <t>Datasheet</t>
  </si>
  <si>
    <t>58. National/local SDG plan implementation</t>
  </si>
  <si>
    <t>Decision Tracking Template</t>
  </si>
  <si>
    <t>59. Improved capacity in countries with constrained civic space</t>
  </si>
  <si>
    <t>Desk Research Tools</t>
  </si>
  <si>
    <t>Desk review</t>
  </si>
  <si>
    <t>Digital Analytics Dashboard</t>
  </si>
  <si>
    <t>62. Task Force on Nature-related Impacts and Financial Risk Disclosures</t>
  </si>
  <si>
    <t>Digital finance system dashboard or export (e.g., ERP reports)</t>
  </si>
  <si>
    <t>Digital monitoring tracker</t>
  </si>
  <si>
    <t>Digital MoU Tracker</t>
  </si>
  <si>
    <t>Digital Process Tracker</t>
  </si>
  <si>
    <t>Distribution form</t>
  </si>
  <si>
    <t>Donor agreements and contracts</t>
  </si>
  <si>
    <t>Donor compliance checklist</t>
  </si>
  <si>
    <t>Donor feedback</t>
  </si>
  <si>
    <t>Due Diligence Checklist</t>
  </si>
  <si>
    <t>EAC Database</t>
  </si>
  <si>
    <t>EbA Best Practice Template</t>
  </si>
  <si>
    <t>E-Campus (Humentum)</t>
  </si>
  <si>
    <t>Ecological Surveys</t>
  </si>
  <si>
    <t>Electricity bills</t>
  </si>
  <si>
    <t>Elinor</t>
  </si>
  <si>
    <t>Employee satisfaction survey</t>
  </si>
  <si>
    <t>Endpoint Protection Platform Console</t>
  </si>
  <si>
    <t>Engagement Log</t>
  </si>
  <si>
    <t>ESG Standards Register</t>
  </si>
  <si>
    <t>ESMF Checklist</t>
  </si>
  <si>
    <t>ESSF Form</t>
  </si>
  <si>
    <t>EU Deforestation Regulation (EUDR) Compliance Checklist</t>
  </si>
  <si>
    <t>Event Report Template</t>
  </si>
  <si>
    <t>Extract data from the procurement system</t>
  </si>
  <si>
    <t>Fecal DNA Sampling</t>
  </si>
  <si>
    <t>Field verification surveys</t>
  </si>
  <si>
    <t>Finance Engagement Log</t>
  </si>
  <si>
    <t>Financial and procurement compliance checklist</t>
  </si>
  <si>
    <t>Financial and project tracking systems</t>
  </si>
  <si>
    <t>Financial Report Submission Tracker</t>
  </si>
  <si>
    <t>Fish stock survey</t>
  </si>
  <si>
    <t>FishPath Tool</t>
  </si>
  <si>
    <t>Fixed staff gauge installed at agreed reference location(s)</t>
  </si>
  <si>
    <t>Forest Foresight</t>
  </si>
  <si>
    <t>Forest management plan</t>
  </si>
  <si>
    <t>FSC Certificates</t>
  </si>
  <si>
    <t>GIS and remote sensing</t>
  </si>
  <si>
    <t>GIS Hub Platform Logs</t>
  </si>
  <si>
    <t>Global Forest Watch (GFW)</t>
  </si>
  <si>
    <t>Global Interactive Map</t>
  </si>
  <si>
    <t>GMD and Project compendium</t>
  </si>
  <si>
    <t>Google Analytics</t>
  </si>
  <si>
    <t>Google Earth Engine</t>
  </si>
  <si>
    <t>Governance assessment checklist</t>
  </si>
  <si>
    <t>Governance Tracker</t>
  </si>
  <si>
    <t>GPS device</t>
  </si>
  <si>
    <t>GPS device or mobile mapping app</t>
  </si>
  <si>
    <t>Ground Survey</t>
  </si>
  <si>
    <t>HCC Assesment</t>
  </si>
  <si>
    <t>HH Farm Establishment Checklist</t>
  </si>
  <si>
    <t>Household Survey</t>
  </si>
  <si>
    <t>ICT and Innovation reports</t>
  </si>
  <si>
    <t>ICT migration tracker</t>
  </si>
  <si>
    <t>ICT usage tracker</t>
  </si>
  <si>
    <t>IDP Tracking Sheet</t>
  </si>
  <si>
    <t>Implementation Tracker</t>
  </si>
  <si>
    <t>Incident Report</t>
  </si>
  <si>
    <t>Individual count</t>
  </si>
  <si>
    <t>Inspection form</t>
  </si>
  <si>
    <t>Integrated Water Resource Management (IWRM) Plan</t>
  </si>
  <si>
    <t>Internal Actions File</t>
  </si>
  <si>
    <t>Interview</t>
  </si>
  <si>
    <t>Intranet</t>
  </si>
  <si>
    <t>Issue log and action tracker spreadsheet</t>
  </si>
  <si>
    <t>IT system logs</t>
  </si>
  <si>
    <t>IT Ticketing System</t>
  </si>
  <si>
    <t>Joint Initiative Reporting Template</t>
  </si>
  <si>
    <t>Joint Monitoring Log</t>
  </si>
  <si>
    <t>Joint Planning Tracker</t>
  </si>
  <si>
    <t>KAP survey</t>
  </si>
  <si>
    <t>Key Informant Interview (KII)</t>
  </si>
  <si>
    <t>KMS Platform Analytics Report</t>
  </si>
  <si>
    <t>Knowledge Product Quality Checklist</t>
  </si>
  <si>
    <t>Kobo / Survey123 / ODK</t>
  </si>
  <si>
    <t>KPI dashboard</t>
  </si>
  <si>
    <t>L&amp;D Training File</t>
  </si>
  <si>
    <t>Land management plan</t>
  </si>
  <si>
    <t>Large mammal census</t>
  </si>
  <si>
    <t>Law enforcement databases</t>
  </si>
  <si>
    <t>Leadership Passport Enrollment and Completion Tracker (Excel/P&amp;CIS)</t>
  </si>
  <si>
    <t>Lessons log</t>
  </si>
  <si>
    <t>Level of Engagement</t>
  </si>
  <si>
    <t>Line transect survey</t>
  </si>
  <si>
    <t>Livestock Census</t>
  </si>
  <si>
    <t>Local ERP</t>
  </si>
  <si>
    <t>Local Governance Index</t>
  </si>
  <si>
    <t>Local Government and official decision</t>
  </si>
  <si>
    <t>M&amp;E reports</t>
  </si>
  <si>
    <t>Management Effectiveness Tracking Tool (METT)</t>
  </si>
  <si>
    <t>Management Oriented Monitoring System (MOMS)</t>
  </si>
  <si>
    <t>Management Plan</t>
  </si>
  <si>
    <t>Marine Spatial Plan</t>
  </si>
  <si>
    <t>Mechanism Register</t>
  </si>
  <si>
    <t>Meeting Log</t>
  </si>
  <si>
    <t>METT Templates and guidance</t>
  </si>
  <si>
    <t>Microsoft Form</t>
  </si>
  <si>
    <t>Microsoft Outlook</t>
  </si>
  <si>
    <t>Monitoring checklist</t>
  </si>
  <si>
    <t>Monitoring Log</t>
  </si>
  <si>
    <t>Monitoring tool</t>
  </si>
  <si>
    <t>Monitoring, Control and Surveillance log</t>
  </si>
  <si>
    <t>MoU Tracker</t>
  </si>
  <si>
    <t>Multimeter</t>
  </si>
  <si>
    <t>National Assessment</t>
  </si>
  <si>
    <t>NBS Initiative Inventory Template</t>
  </si>
  <si>
    <t>NPO/GAR</t>
  </si>
  <si>
    <t>OA Assessment Form</t>
  </si>
  <si>
    <t>Observation</t>
  </si>
  <si>
    <t>Occupancy methods using camera traps</t>
  </si>
  <si>
    <t>Official agreement between PAAs</t>
  </si>
  <si>
    <t>Official data from Provincial Metrological Department</t>
  </si>
  <si>
    <t>Official statistic of government agencies through Environemntal the crime</t>
  </si>
  <si>
    <t>OJT Checklist Template</t>
  </si>
  <si>
    <t>Online bibliographic database</t>
  </si>
  <si>
    <t>Online training platform report (e.g., WWF LMS, SharePoint, or MS Teams Learning)</t>
  </si>
  <si>
    <t>Online wildlife trade monitoring tool</t>
  </si>
  <si>
    <t>Operational Assessments</t>
  </si>
  <si>
    <t>Operational Status Checklist</t>
  </si>
  <si>
    <t>Operations Dashboard/Tracker</t>
  </si>
  <si>
    <t>Oracle / Finance System</t>
  </si>
  <si>
    <t>Organisational Capacity Assessment</t>
  </si>
  <si>
    <t>Organizational Carbon Footprint Calculator</t>
  </si>
  <si>
    <t>Panda Impact (PMEL and GMS)</t>
  </si>
  <si>
    <t>Participation Tracker</t>
  </si>
  <si>
    <t>Partnership Registration</t>
  </si>
  <si>
    <t>Partnership Registry</t>
  </si>
  <si>
    <t>PCMS system database</t>
  </si>
  <si>
    <t>Performance assessment</t>
  </si>
  <si>
    <t>PES Mechanism Review Checklist</t>
  </si>
  <si>
    <t>Phishing Simulation Tools and Security Awareness Program Logs</t>
  </si>
  <si>
    <t>Photo documentation of handover to school and distribution list</t>
  </si>
  <si>
    <t>Policy Brief Log</t>
  </si>
  <si>
    <t>Policy documents</t>
  </si>
  <si>
    <t>Policy tracking databases or repositories maintained by WWF offices, regional units, and global team</t>
  </si>
  <si>
    <t>Policy tracking databases/legislative records</t>
  </si>
  <si>
    <t>Policy tracking matrix (Excel) Legal instrument documentation checklist Consultation and validation</t>
  </si>
  <si>
    <t>Population Assessment</t>
  </si>
  <si>
    <t>Population monitoring database</t>
  </si>
  <si>
    <t>PowerBi Dashboard</t>
  </si>
  <si>
    <t>Pre- and post-training assessments</t>
  </si>
  <si>
    <t>Procurement Tracking system</t>
  </si>
  <si>
    <t>Product Development Log</t>
  </si>
  <si>
    <t>Programme technology adoption tracker</t>
  </si>
  <si>
    <t>Programme workplans and MEL reports</t>
  </si>
  <si>
    <t>Project Development Log</t>
  </si>
  <si>
    <t>Purchase records</t>
  </si>
  <si>
    <t>Quarterly Reporting Tracker</t>
  </si>
  <si>
    <t>Radio Telemetry</t>
  </si>
  <si>
    <t>Rangeland assessments</t>
  </si>
  <si>
    <t>Record in Digital Procurement System – DPS</t>
  </si>
  <si>
    <t>Recruitment Tracker Template (Excel, or P&amp;C IS)</t>
  </si>
  <si>
    <t>Renewable energy adoption logs</t>
  </si>
  <si>
    <t>Renewable-Powered Facility Inventory.</t>
  </si>
  <si>
    <t>Report of CSO</t>
  </si>
  <si>
    <t>Report on the establishment and evaluation of the effectiveness of platform actions</t>
  </si>
  <si>
    <t>Reports</t>
  </si>
  <si>
    <t>Research Completion Checklist</t>
  </si>
  <si>
    <t>Results Scorecard</t>
  </si>
  <si>
    <t>Retention Tracker or HRIS-generated report</t>
  </si>
  <si>
    <t>Security system installation checklist</t>
  </si>
  <si>
    <t>Service access checklist, HH survey</t>
  </si>
  <si>
    <t>SES Gallop Portal</t>
  </si>
  <si>
    <t>SharePoint Site Usage Analytics</t>
  </si>
  <si>
    <t>Signed action plan document</t>
  </si>
  <si>
    <t>Site visit form</t>
  </si>
  <si>
    <t>Social Impact Survey</t>
  </si>
  <si>
    <t>Social Media</t>
  </si>
  <si>
    <t>Spatial Models (e.g. InVEST)</t>
  </si>
  <si>
    <t>Species Management Plans</t>
  </si>
  <si>
    <t>Staff capacity assessment</t>
  </si>
  <si>
    <t>Staff Engagement Survey</t>
  </si>
  <si>
    <t>Staff perceptions survey</t>
  </si>
  <si>
    <t>Staff Satisfaction Survey</t>
  </si>
  <si>
    <t>Staff Turnover Tracker</t>
  </si>
  <si>
    <t>Stakeholder Monitoring Adoption Checklist</t>
  </si>
  <si>
    <t>Stakeholder Surveys</t>
  </si>
  <si>
    <t>Standard agreement tracking sheet/register</t>
  </si>
  <si>
    <t>Standard boundary agreement verification checklist</t>
  </si>
  <si>
    <t>Standard DRR verification checklist</t>
  </si>
  <si>
    <t>Standard minutes template + action tracker</t>
  </si>
  <si>
    <t>Standard Verification Checklist</t>
  </si>
  <si>
    <t>Standard WHI field protocol/checklist</t>
  </si>
  <si>
    <t>Standardized annual competency assessment tool (digital quiz/test + practical case exercise)</t>
  </si>
  <si>
    <t>Standardized annual staff survey or feedback form</t>
  </si>
  <si>
    <t>Standardized attendance and completion tracker</t>
  </si>
  <si>
    <t>Standardized case-tracking database (Excel/Power BI or national IWT database)</t>
  </si>
  <si>
    <t>Standardized cybersecurity incident reporting form</t>
  </si>
  <si>
    <t>Standardized data collection &amp; verification forms</t>
  </si>
  <si>
    <t>Standardized Exit Interview Questionnaire</t>
  </si>
  <si>
    <t>Standardized GEDSI–ESSF implementation tracker</t>
  </si>
  <si>
    <t>Standardized ICT asset tracker</t>
  </si>
  <si>
    <t>Standardized IDP Template</t>
  </si>
  <si>
    <t>Standardized Job Justification Template</t>
  </si>
  <si>
    <t>Standardized MEL reporting template</t>
  </si>
  <si>
    <t>Standardized onboarding satisfaction survey (digital or paper-based)</t>
  </si>
  <si>
    <t>Standardized staff engagement survey (digital)</t>
  </si>
  <si>
    <t>Standardized staff perception survey</t>
  </si>
  <si>
    <t>Standardized staff satisfaction questionnaire</t>
  </si>
  <si>
    <t>Standardized training attendance record</t>
  </si>
  <si>
    <t>Standardized training attendance sheet or Learning Management System (LMS) report</t>
  </si>
  <si>
    <t>Standardized WWF HSS incident reporting form</t>
  </si>
  <si>
    <t>Standardized WWF safety compliance checklist</t>
  </si>
  <si>
    <t>State of the Ranger Report</t>
  </si>
  <si>
    <t>Steering Committee Tracker</t>
  </si>
  <si>
    <t>Subscription numbers</t>
  </si>
  <si>
    <t>Succession Planning Template (Excel or HRIS)</t>
  </si>
  <si>
    <t>Supplier Performance Assessment Tool</t>
  </si>
  <si>
    <t>Survey Log</t>
  </si>
  <si>
    <t>Survey Questionnaire and Performance Metrics Dashboard</t>
  </si>
  <si>
    <t>Survey reports</t>
  </si>
  <si>
    <t>Survey, Interview, Observation</t>
  </si>
  <si>
    <t>SWP Implementation Tracker (Excel or P&amp;CIS-based)</t>
  </si>
  <si>
    <t>System Usage reports</t>
  </si>
  <si>
    <t>Technical Progress Report (TPR)</t>
  </si>
  <si>
    <t>Technology deployment tracker</t>
  </si>
  <si>
    <t>Tool Registry or Inventory Spreadsheet</t>
  </si>
  <si>
    <t>Tracker for plastic reduction</t>
  </si>
  <si>
    <t>training attendance registers, completion certificates</t>
  </si>
  <si>
    <t>Training Attendance Sheet</t>
  </si>
  <si>
    <t>Training Completion records</t>
  </si>
  <si>
    <t>Turnover Tracker</t>
  </si>
  <si>
    <t>User Satisfaction Survey</t>
  </si>
  <si>
    <t>Value Chain Registry</t>
  </si>
  <si>
    <t>Vehicle and fuel Logbook, airplane</t>
  </si>
  <si>
    <t>VENA</t>
  </si>
  <si>
    <t>Verification Checklist</t>
  </si>
  <si>
    <t>Visibility assessment Checklist</t>
  </si>
  <si>
    <t>Waste audit and composition survey forms</t>
  </si>
  <si>
    <t>Waste Collection Register</t>
  </si>
  <si>
    <t>Wellbeing Survey</t>
  </si>
  <si>
    <t>Wetland surveys</t>
  </si>
  <si>
    <t>Whistle B (Navex)</t>
  </si>
  <si>
    <t>Workflow activation tracker</t>
  </si>
  <si>
    <t>Workflow timestamps</t>
  </si>
  <si>
    <t>Workshop</t>
  </si>
  <si>
    <t>World Database on Protected Areas (WDPA) Database</t>
  </si>
  <si>
    <t>WWF Assessment</t>
  </si>
  <si>
    <t>WWF ROA Level of Engagement tool</t>
  </si>
  <si>
    <t>Count of Output</t>
  </si>
  <si>
    <t>(Do Not Modify) Indicator Association</t>
  </si>
  <si>
    <t>(Do Not Modify) Row Checksum</t>
  </si>
  <si>
    <t>(Do Not Modify) Modified On</t>
  </si>
  <si>
    <t>Output Code (Output) (Output)</t>
  </si>
  <si>
    <t>Landscape</t>
  </si>
  <si>
    <t>Baseline value</t>
  </si>
  <si>
    <t>Baseline Value Date</t>
  </si>
  <si>
    <t>157312a8-4a03-f111-8407-7ced8d44800a</t>
  </si>
  <si>
    <t>r5zEEi6JtdqrpndrxZwTXbr+Jc0on2BTB6OhMLipwBMqo64UHaXk66q/eMmx5Of0ITUrRDJA2oRaJDYmY1x5CA==</t>
  </si>
  <si>
    <t>A comprehensive baseline study completed at Campo Ma’an-monitored nesting beaches to assess nest predation rates (species-specific, predator types, and locations) and data used to identify high-risk nesting sites and main predators by December 2026</t>
  </si>
  <si>
    <t># of documented cases related to environmental issues occurring within identified ecosystem hotspots.</t>
  </si>
  <si>
    <t>Annual (Yr 1,2,3,4,5)</t>
  </si>
  <si>
    <t>1.00</t>
  </si>
  <si>
    <t>7d619c3e-8006-f111-8406-7ced8d449252</t>
  </si>
  <si>
    <t>rx5R929nhUGSXAXS77Y3LCHBqaChiAW7ohfwSMsIH8Xdk4oxNPyPxLXm5zQ4dlNkMaEMtI5jM2HbsLpNT3cNOw==</t>
  </si>
  <si>
    <t>A monitoring system to track household income changes, particularly related to WWF-supported activities established and functional by June 2026.</t>
  </si>
  <si>
    <t>Number of PCAs applying integrated monitoring systems and reporting data annually</t>
  </si>
  <si>
    <t>7bc1610f-7406-f111-8406-7ced8d449252</t>
  </si>
  <si>
    <t>CMeUasQgRwqIbA6RYLGnIXdqTMpHNJqanNIn4EyWWoJc8RPvRulNaqJjM7qVCFPqhZp/qOwWaATQlBnrYpB+ew==</t>
  </si>
  <si>
    <t>All CCO supported CHZs local management committees (COVAREFs) trained on related theme ( governance, conflict resolution, wildlife monitoring…) and are functional by December 2026</t>
  </si>
  <si>
    <t># of FPIC trainings conducted for WWF and partner staff</t>
  </si>
  <si>
    <t>Lobeke</t>
  </si>
  <si>
    <t>2.00</t>
  </si>
  <si>
    <t>d264a812-9102-f111-8407-7ced8d44800a</t>
  </si>
  <si>
    <t>VLVlqDhCd6Cruixvt94KedMw1l+AM0JyV4Uw+BLnrpQLFbDjxzTg+JWpLyTlTUHi7s8pT/mfwhVXa+QjIWrgsQ==</t>
  </si>
  <si>
    <t xml:space="preserve"> % of required staff participating in relevant ministry training on requirements for NGOs</t>
  </si>
  <si>
    <t>0.00</t>
  </si>
  <si>
    <t>750b0f7e-8306-f111-8407-7ced8d4489b4</t>
  </si>
  <si>
    <t>MnK3b5tpptqtrt/Ww1kguz9QEIIwmkLaSvnnJMByrfwEyn+62UveJbG5x7pPW6G3PVcnB+J64zo5sz67UpTPKg==</t>
  </si>
  <si>
    <t>An assessment to identify gaps in existing policies regarding the rights of IPLCs, focusing on areas such as land tenure, natural resource use, cultural preservation, and governance conducted by December 2026</t>
  </si>
  <si>
    <t># of policies and strategies influenced by WWF and CSOs to promote environmental security and conflict transformation</t>
  </si>
  <si>
    <t>3.00</t>
  </si>
  <si>
    <t>ab807f8d-7906-f111-8406-7ced8d449252</t>
  </si>
  <si>
    <t>8T/vmOIsxb2Re5wxinTdAMptgQXDB9RBWMN5prTCVyVauVRGQeGhKMqlOvNs0BUjSOJ6jXFS//lLks/JydKjBw==</t>
  </si>
  <si>
    <t>Annual monitoring and learning system for social impact and complaints established based on regular tracking of complaints, response rates, and resolution quality and used for adaptive management.</t>
  </si>
  <si>
    <t># of community members trained on ESS compliance monitoring and reporting.</t>
  </si>
  <si>
    <t>50.00</t>
  </si>
  <si>
    <t>5255f8e1-7406-f111-8406-7ced8d449252</t>
  </si>
  <si>
    <t>HgQgS3zXxIkYIyvas6MYb5fFA47h2pCIvrweQsiNfGeNQP0xjFia5mW0kv2QmIvWCvCuooqFBruin3J5L3B8vw==</t>
  </si>
  <si>
    <t>Annual support provided in designing and implementation of benefit-sharing mechanisms showing effective sharing of revenue from legal hunting licenses, eco-tourism, or sustainable game meat schemes in all CCO supported landscapes</t>
  </si>
  <si>
    <t>% of benefit sharing mechanisms that are functional</t>
  </si>
  <si>
    <t>be9f02c1-a002-f111-8407-7ced8d44800a</t>
  </si>
  <si>
    <t>Lfzg7TcZciZ7B/ScUWKlstYJ+21Sb+pCnqTPY41lnL/85MOX3q2vYTpISsbY5+VtWQ9l+p/0ilZ6n/ZPJsiPuA==</t>
  </si>
  <si>
    <t>Human-elephant conflict (HEC) perception score</t>
  </si>
  <si>
    <t>Mid-Point (Yr 3,5)</t>
  </si>
  <si>
    <t>d3ce2922-8d02-f111-8407-6045bd2a6b2d</t>
  </si>
  <si>
    <t>pgTyuBAF+DH2D4hVmIrX0qkhw8pPk/4xBeyIpuhl1iRjymlvg5BCorZOmehlsfeBKF2F0Ef28pba5Bm8JrIuwA==</t>
  </si>
  <si>
    <t>% of identified critical habitats patrolled every quarter.</t>
  </si>
  <si>
    <t>7f3956af-9802-f111-8407-7ced8d44800a</t>
  </si>
  <si>
    <t>eQIp9JnDE/09zHSOPUM5uFbmwYWMGXzrbR5qe3qapENzUseW7vSHpF45mK8EbPQgDsGI5FARH/Btk4uN1LclUg==</t>
  </si>
  <si>
    <t># of surveys conducted</t>
  </si>
  <si>
    <t>69ee031a-8406-f111-8407-7ced8d4489b4</t>
  </si>
  <si>
    <t>eWeCz/5qy+kJCXDQXDoxZXTypqGE8jsynHZqaVvoSXrdX54oiEw74QzJjzS36C5grpmC+Tzkl4h7J2TX8ey57Q==</t>
  </si>
  <si>
    <t>ef27f8e2-bf05-f111-8407-7ced8d4487aa</t>
  </si>
  <si>
    <t>gPbSdq+IvEjt3qrWYlasiH6GqfG4DyrINhyn1Fs2oRGWdLATZbV4ZUpy/qOw2rFj61+7Nbmev4AFljNAUXtd4Q==</t>
  </si>
  <si>
    <t>By 2028; sustainable financing mechanisms piloted or expanded focusing on areas of establishing eco-tourism, conservation trust funds, or payment for ecosystem services (PES) schemes to increase financial sustainability for all CCO supported PAs</t>
  </si>
  <si>
    <t>Amount invested into conservation activities (dollars) annually</t>
  </si>
  <si>
    <t>567c3d61-7d06-f111-8406-7ced8d449252</t>
  </si>
  <si>
    <t>qAmFGfiGm0DAjDKDaaPn6E2CkEOEtuAsPQKWHdtbCeiPabld9ye8yBPm+vdzCRmLp3jScdh1lehgYnOtIcp+Bg==</t>
  </si>
  <si>
    <t>By 2030 at least 3 green diversified and climate-resilient livelihoods initiatives (agroforestry, organic farming, fisheries management, ecotourism, handicrafts, and small business development…) implemented with support from CCO in each supported landscape.</t>
  </si>
  <si>
    <t>Number of communities with completed livelihood baseline assessments</t>
  </si>
  <si>
    <t>5.00</t>
  </si>
  <si>
    <t>c0f6057a-8506-f111-8406-7ced8d449252</t>
  </si>
  <si>
    <t>xg2jwhkKMtwd3/a9x1PpWs3/MMJYnkWvtn0XRlfxpYuTDK+DHPndN+2ic+crGshJuYoclIZFPCYImN9HwRkMZg==</t>
  </si>
  <si>
    <t>By 2030 CCO is implementing an advocacy campaign action plan targeting relevant decision-makers, such as government officials, legislative bodies, and international organizations, to promote the proposed policy changes conducted.</t>
  </si>
  <si>
    <t># of policy and strategy documents supported by WWF</t>
  </si>
  <si>
    <t>Quarterly</t>
  </si>
  <si>
    <t>0e9184ed-7e06-f111-8406-7ced8d449252</t>
  </si>
  <si>
    <t>jMBQHbBh/r7JqAOk9JOb58jaR6JCHTIx8ulzltvSGcy73nxu/JbE0noULnLOnJIUxopgwbdmA9Kz+MGYGX1olA==</t>
  </si>
  <si>
    <t># of businesses engaged in collective actions for resilience</t>
  </si>
  <si>
    <t>3617e7cf-8b06-f111-8406-7ced8d449252</t>
  </si>
  <si>
    <t>i1IiSPzzrG02evcHX7NH+gRpR+UgKky7X2PqBhTw6ybrPiGW82XQv5vkpzjVCi3fGPZ6cx4XfpJwgMTQAaB3kw==</t>
  </si>
  <si>
    <t>By 2030, CCO is carrying out formal consultations with government agencies and lawmakers to ensure that the proposed policy is reviewed and eventually adopted.</t>
  </si>
  <si>
    <t># of policies, laws or amendments that are adopted by Government with support from WWF and partners since 2020</t>
  </si>
  <si>
    <t>da859089-7f06-f111-8406-7ced8d449252</t>
  </si>
  <si>
    <t>kgMgGsmp1LDxvcgAoT5LczGCcFye9xxDGit9ONkNglCbPn5yqQILQvFrpxC7MoINf3vThJsza0oy713zYhEPoA==</t>
  </si>
  <si>
    <t>By 2030, CCO is offering 100% support to sustainable eco-tourism and conservation-linked employment opportunities, such as eco-tourism opportunities (guides, rangers,…)  in line with community-based tourism initiatives that link conservation to income generation</t>
  </si>
  <si>
    <t># of tourism businesses/guides adopting responsible tourism standards prohibiting IWT-linked activities and products. (CAL_OP4.3.7)</t>
  </si>
  <si>
    <t>1cfa1b7a-8406-f111-8407-7ced8d4489b4</t>
  </si>
  <si>
    <t>TcKRlKO4qhyiEYNWYuoIywaxA0nlgu3qcpn6C/2flah74HXsPIDq1xyWCkXO+63KNxxfpppopDaNCbJYy6ry1g==</t>
  </si>
  <si>
    <t>By 2030, IP&amp;LC leaders and community representatives on policy analysis, legal frameworks, and advocacy strategies are empowered and effectively engaged with decision-makers and participate in the policy development process</t>
  </si>
  <si>
    <t># of policy briefs developed</t>
  </si>
  <si>
    <t>955bb486-8006-f111-8406-7ced8d449252</t>
  </si>
  <si>
    <t>PGc80TvA4bg+EOmSf9xACtMYnppqbk3ced9QvMc+41e6mnINhnEqiHuVDsxddRxvflqs8l9E6p/T6Qmbaw1aig==</t>
  </si>
  <si>
    <t># of partnerships with key stakeholders</t>
  </si>
  <si>
    <t>10.00</t>
  </si>
  <si>
    <t>e2f400ea-7f06-f111-8406-7ced8d449252</t>
  </si>
  <si>
    <t>YEJvJlI2sJsH1VCmIVt1H1vgOt2Rn97umdavjQ4zE9MwhnK/smDUT5cRH7rLntdhGW2kOa1/quPl7DJ/hyN6og==</t>
  </si>
  <si>
    <t>By 2030, there is at least 50% increment in the involvement of IP&amp;LC participation in activities like wildlife monitoring or habitat restoration, …. in CCO supported landscapes</t>
  </si>
  <si>
    <t xml:space="preserve"># of communities producing wildlife monitoring data </t>
  </si>
  <si>
    <t>20.00</t>
  </si>
  <si>
    <t>9aad30c2-8406-f111-8407-7ced8d4489b4</t>
  </si>
  <si>
    <t>fRw/3gmg3a63lZI3zfChWwj7TRgUzjOBumYyXQmSuYvsaTv6NYHCRobAMo/rEiDcUFLfNANe8xWEFsyYubonYQ==</t>
  </si>
  <si>
    <t>By 2030, there is effective collaboration with legal experts, researchers, and policymakers for synergy in drafting comprehensive policy proposals aimed at enhancing the rights and participation of IPLCs in governance and natural resource management.</t>
  </si>
  <si>
    <t>04fbe90b-8306-f111-8407-7ced8d4489b4</t>
  </si>
  <si>
    <t>+/YgaVFvtU6bLbPJF1OkyT2I1x9Hz4M0N2Yg5Mfs/YnNFdcsapFzfqg793Cg2ACpafu/ZMQ+V84NxFclhyzuQg==</t>
  </si>
  <si>
    <t xml:space="preserve"># of communities with an established and operational multi-stakeholder governance platforms </t>
  </si>
  <si>
    <t>6.00</t>
  </si>
  <si>
    <t>729178c7-7d06-f111-8406-7ced8d449252</t>
  </si>
  <si>
    <t>sc6gz2aKRcAMEjiobV+hl9K9MVwLyh28tc7RLH7UtvbuxPSUYuFbeCSXrKRgGplRQ27YM9XgxMOn8iP3bFtexg==</t>
  </si>
  <si>
    <t>By December 2027, technical support and capacity provided for targeted IP&amp;LC enterprises in areas like product development, quality control, marketing, business management and formation of cooperatives or community-based enterprises for efficient and sustainable production.</t>
  </si>
  <si>
    <t xml:space="preserve"># of communities that implement sustainable resource management with support from WWF
</t>
  </si>
  <si>
    <t>852ff5b8-7c06-f111-8406-7ced8d449252</t>
  </si>
  <si>
    <t>KeT0DZgmdPvvnb2o9gTEDiUK/VeExEygMmMjLdqEYmTYbRBAj1Fc6AE0dedmh7YK69cPOC+lg9rG9r1ScH8wQw==</t>
  </si>
  <si>
    <t>By June 2026 baseline income and livelihood assessment conducted in CCO targeted landscapes through a survey to assess the current household income levels, income sources, and economic vulnerabilities of targeted IP&amp;LC communities.</t>
  </si>
  <si>
    <t>Number of value chains developed or strengthened for sustainable products</t>
  </si>
  <si>
    <t>3de4d581-8206-f111-8407-7ced8d4489b4</t>
  </si>
  <si>
    <t>aeOwbzNUbL0VAXaGAxbbAJg08maBjUDNiGGD6wVv4uxCPmluRQ8RAGKuDxVR6u7oJunmZLxE7dh0gz9blafIhg==</t>
  </si>
  <si>
    <t># and % of sites where enterprise development initiatives are implemented</t>
  </si>
  <si>
    <t>0.75</t>
  </si>
  <si>
    <t>73ecd735-8306-f111-8407-7ced8d4489b4</t>
  </si>
  <si>
    <t>dXFkP0JyldqUIfqqFUykZg4zAt19Hf6CNErLeT2VbpTy0TOLxgmSEJCbcfCw7lBi9bf+eLF2QL5F5bY2GFprdQ==</t>
  </si>
  <si>
    <t>By June 2026, a monitoring system to track access changes over time and identify priority areas for adaptive interventions is in place and being implemented.</t>
  </si>
  <si>
    <t># of adaptive management actions taken based on monitoring data</t>
  </si>
  <si>
    <t>a71a3914-7b06-f111-8406-7ced8d449252</t>
  </si>
  <si>
    <t>sbD6zA9nn/3CJZYYwhyd39oAx5jt70z+y3svNsdHTsKOljV/7ek6av2Z+BpCvSDFarRSjo7C7UYKsNa6H3G4Dg==</t>
  </si>
  <si>
    <t>By June 2026, Conservation-related livelihood benefits delivered for IP&amp;LCs (e.g. employment, support for eco-friendly enterprises, access to resources…) in all CCO supported landscapes</t>
  </si>
  <si>
    <t>100.00</t>
  </si>
  <si>
    <t>1c09d6c3-c705-f111-8407-7ced8d44800a</t>
  </si>
  <si>
    <t>ziR5wa/LoIvImKxngINimGUcBwInLJVylrKdTyKc0Dds95xuiove1MtmeX1Kfaj1XCtZq58C8/8Cryu6MjXDhA==</t>
  </si>
  <si>
    <t>By June 2026, policies and protocols developed or strengthened to support zoonotic disease prevention and response e.g. Standard Operating Procedures (SOPs) for outbreak response established and zoonotic risk mitigation are integrated into local development plans</t>
  </si>
  <si>
    <t># of policies reviewed or updated</t>
  </si>
  <si>
    <t>7a57ff41-7a06-f111-8406-7ced8d449252</t>
  </si>
  <si>
    <t>6mvGNbHs+oaNLJqw37sUl1b1YOX2qqTicWVK/yApUmrwPwppinu47JDex97GsZhh5Ip1/wxHM30wDmV7OG1uAQ==</t>
  </si>
  <si>
    <t>By June 2028, IP&amp;LCs are involved in co-management and decision-making e.g. community members have representation in governance structures for PAs or other community-managed zones (CF, CHZs, …) and they are included in the elaboration of PA management plans or land-use decisions</t>
  </si>
  <si>
    <t>18c6be9c-9502-f111-8407-7ced8d44800a</t>
  </si>
  <si>
    <t>CUzoL8/MX7g5sJIOWhNaMv8u/nR2+i0wp2ArUYlV1UUWYIxWMfeFTL53T2+kPCWp1IxU7uRf84/gXkqobZW7yA==</t>
  </si>
  <si>
    <t>Number of sites with validated HWC baselines and hotspot maps integrated into plans</t>
  </si>
  <si>
    <t>641fca88-9e02-f111-8407-7ced8d44800a</t>
  </si>
  <si>
    <t>xFrTcihQD/IjvVFrHk3Z0g//AcPt8YzCiW6Abtyi/p3946Z1G+3RQ41pRgfrdJWGuuoHh83cjiYpQ4TuHPof+w==</t>
  </si>
  <si>
    <t>7dfb7552-be05-f111-8407-7ced8d4487aa</t>
  </si>
  <si>
    <t>aiQiAx6X3SPsdIATgIzdzQJRPfNCpJdOnro7lktPiICN4IQK99DO3lf6x40FM2SZPJD4NtEoFB3a+5ZHY1VLXg==</t>
  </si>
  <si>
    <t>Capacity building for PA staff delivered with at least one training session carried out annually for ecoguards, managers, and technical staff in areas like monitoring, SMART, enforcement, GIS, and stakeholder engagement, human rights, ….</t>
  </si>
  <si>
    <t># of trained patrol rangers and village patrol rangers.</t>
  </si>
  <si>
    <t>e5778247-b905-f111-8407-7ced8d4487aa</t>
  </si>
  <si>
    <t>V55idY91QpD8O3zZyo16y+G3DlG/5+L8AEUAkQsFjXIm6sUBUIp7S6BQiemJBJtd79XHDdNLzBHSG+piZdjdEQ==</t>
  </si>
  <si>
    <t>Campo Ma'an</t>
  </si>
  <si>
    <t>5ab2a3bb-4e03-f111-8407-7ced8d4489b4</t>
  </si>
  <si>
    <t>enB21hG8wyfP4Dso5zjhMCqQit4yVcPBrM7b5xcl8JKzi7Wx4Miiswlbz2oDW9Xnlmppkvh4SL4dX7yOUJ8FDg==</t>
  </si>
  <si>
    <t>d81d4d18-7806-f111-8406-7ced8d449252</t>
  </si>
  <si>
    <t>MOJ/7w5Pzx27foFWKH0d4M5F8sgOfgb4wC5ogLdu9pGafX0KOiuJxC8ft9PmCRLsksnRqbV9rDtdlrOmsWGmqw==</t>
  </si>
  <si>
    <t>CCO staff and partners trained on conflict sensitivity and human rights-based approaches (FPIC, gender-sensitive engagement, conflict resolution…) by June 2026</t>
  </si>
  <si>
    <t># of trainings on climate smart technologies and practices</t>
  </si>
  <si>
    <t>05d99cb8-bd05-f111-8407-7ced8d4487aa</t>
  </si>
  <si>
    <t>uH24e4ZK7IcPqInRrk/+Q5jcjNcBj3nea0xnckNrT3iGxbB7QV1IP0m2JaBWLcBhFLXdstgXL+F2JEZW/g54Jw==</t>
  </si>
  <si>
    <t># of PA-Community governance arrangement established</t>
  </si>
  <si>
    <t>021f11bf-ba05-f111-8407-7ced8d4487aa</t>
  </si>
  <si>
    <t>i/tr7QvrtQicruvLkNj9MdcGnhCzDO4/Jve9fKVGiMB5+qgHgUGwqhz0GbtW1NKmPT+CAEZoNUDl6g1pGKCtVw==</t>
  </si>
  <si>
    <t>a394cfb5-4c03-f111-8407-7ced8d44800a</t>
  </si>
  <si>
    <t>GaiXZK5t97ymcAkJBQR4OGjLgqtDweg+yVy7gaZcEBWV/Eurxq7h5JzYScaBeUTgbd7VzZEZLh4hgH/0uDYgBw==</t>
  </si>
  <si>
    <t>Community awareness and engagement campaigns delivered starting June 2027</t>
  </si>
  <si>
    <t>% of targeted IP&amp;LC who have a positive perception towards WWF supported conservation projects/ideas</t>
  </si>
  <si>
    <t>c5dab1da-bb05-f111-8407-7ced8d4487aa</t>
  </si>
  <si>
    <t>MJE2/Bm92oakThe9kZ7aoag8ZDUWQ03xR1mqfBbTgPaUHkWieB9rodVBS/4Mkhn7wk6jgrS9xSN2VWdQyCQehQ==</t>
  </si>
  <si>
    <t>Community education and school outreach programs conducted each year to build awareness on plastic waste, its impact on turtles, and behaviour change</t>
  </si>
  <si>
    <t>7f194be2-4d03-f111-8407-7ced8d4489b4</t>
  </si>
  <si>
    <t>O7SlcOeMRu9oX2gWFACJ5+8A8Aqz/MREoXSrBfEIvrJH5KuXw1bX0SCL8F4R5p4GlXkoTXObobCoHYt7mOpcbg==</t>
  </si>
  <si>
    <t>Community guardians incentivized through eco-benefits promoted by June 2027</t>
  </si>
  <si>
    <t>5286039d-8f02-f111-8407-6045bd2a6b2d</t>
  </si>
  <si>
    <t>0Org0mgmOCFKe/xXdrc7N2lHRB46Y8cu2sKg//G3iyd3kNhzFcEnxQnE8dFE1L183nqK6C8BjkGwJuxQ/I4ljg==</t>
  </si>
  <si>
    <t>% of reported HWC incidences invlolving tartget species</t>
  </si>
  <si>
    <t>288d7b92-a102-f111-8407-7ced8d44800a</t>
  </si>
  <si>
    <t>re6jfW41Xk4R25POwpTV7tCi/XADE/+HVDZLMqlW4oKEX7EDB+B3yxIYyXBJ6mCJcDiEmVN6bqc2n904HNVrHA==</t>
  </si>
  <si>
    <t>Comprehensive analysis of SMART (Spatial Monitoring and Reporting Tool) data from 2021-2024  conducted in CCO targeted landscapes to set a reliable benchmark for poaching indices per patrol effort and set the right baseline</t>
  </si>
  <si>
    <t xml:space="preserve"># of official records of poaching cases gathered by SMART or similar tools in PAs </t>
  </si>
  <si>
    <t>fd19c46c-9602-f111-8407-7ced8d44800a</t>
  </si>
  <si>
    <t>PYvZnmCwR6YhwgXnrvd2hB5sALw0695JZc8rizUNzTBoJlXAhhnM1yABuZ7QTY5Tjwv6dw2A8mXBI0Abj5fG3Q==</t>
  </si>
  <si>
    <t># of community-led human-wildlife conflict (HWC) monitoring groups established/supported.</t>
  </si>
  <si>
    <t>03c25390-7506-f111-8406-7ced8d449252</t>
  </si>
  <si>
    <t>bj4BAk/fAdtx1FwQrKTJYHFxCnmk12FwUxQBOEDvRPoMAZY1cBtBqziKpcHQ8/4g6sukPBk209derU7nBEbjCQ==</t>
  </si>
  <si>
    <t>Coordination platforms and monitoring systems established with government and partners for annual review of hunting zone performance with MINFOF and joint missions carried out, and policy dialogue on community-based hunting in CCO supported landscapes.</t>
  </si>
  <si>
    <t># of joint monitoring missions conducted annually</t>
  </si>
  <si>
    <t>68f19c5e-c605-f111-8407-7ced8d44800a</t>
  </si>
  <si>
    <t>CTewhIP16q1q0EwZe8ZpBUW/Td3AYfurGTz7zFxlGybqSi9TExI5uhUFMpzrPkU3XkPsD07w7Xp8lps+1s8FRA==</t>
  </si>
  <si>
    <t>Degraded habitats restored and buffer zones established to limit human-wildlife interaction by 2030</t>
  </si>
  <si>
    <t>Restored forest landscapes, by hectare</t>
  </si>
  <si>
    <t>c19279d4-9d02-f111-8407-7ced8d44800a</t>
  </si>
  <si>
    <t>6cKXSvT/lXeF91bJU3QrgHuPhiVBoNoaCVZQheKTyVPynGMgfxL1pe4d9TKg8y0tE/Xdxt5PPT1g5soxKChWAg==</t>
  </si>
  <si>
    <t># of champions or ambassadors contributing to positive environmental action in schools or communities</t>
  </si>
  <si>
    <t>54f6539c-7806-f111-8406-7ced8d449252</t>
  </si>
  <si>
    <t>Qlj8uQd0EcIEikvlqFyrHI+jwz120AeCq3ISwutTL0nuwWVeqU6dFxQP+C0z9JYq1EyIcSlbhUq6QDvCrmN8og==</t>
  </si>
  <si>
    <t>Equitable benefit-sharing mechanisms implemented and strengthened with IP&amp;LC perceive tangible benefits from conservation (e.g. jobs, services, micro-projects) in all CCO supported landscapes by December 2027,</t>
  </si>
  <si>
    <t>39b4effe-bd05-f111-8407-7ced8d4487aa</t>
  </si>
  <si>
    <t>nco6lBFei4jMVU/IJwRvH1fJdOW/NYlzcJ1VoLYwuz+NWjYkVeldVyx78pZkkpMhCvGXqK1edoD4A+7nV3XtZw==</t>
  </si>
  <si>
    <t># of PA management plans approved and implemented</t>
  </si>
  <si>
    <t>Endline (Yr 5)</t>
  </si>
  <si>
    <t>891107a1-c105-f111-8407-7ced8d44800a</t>
  </si>
  <si>
    <t>1/yNigDrbGbu5UG6e3juGPebsONYdmKZELndNA1Hx16Q82gdjvy2aSn6/g8Wvfd5ktbJW/Ov5uIYze7/m1EKZA==</t>
  </si>
  <si>
    <t>Functional One Health surveillance system established in CCO targeted landscapes (TNS, Campo Ma’an &amp; Lobeke) with annual monitoring of wildlife, livestock, and human populations and early detection and response mechanism for zoonotic outbreaks</t>
  </si>
  <si>
    <t># of incidences of outbreaks of zoonotic diseases</t>
  </si>
  <si>
    <t>44b30480-c705-f111-8407-7ced8d44800a</t>
  </si>
  <si>
    <t>pgV7gA8YjsNFpIY40H4BOjUDI0wRs+zyLoXwZBE6BW3n7mEzkDKOc0EuZBz1oUNu4uJtuNG2P566bISoZFalBA==</t>
  </si>
  <si>
    <t># of joint monitoring events conducted</t>
  </si>
  <si>
    <t>358ac96a-9d02-f111-8407-7ced8d44800a</t>
  </si>
  <si>
    <t>FlZqazVSWSOHbS0YIM4mMB4n4WUDDqzCZtz8jrpbax1LL8k3MCNvuT+BwLaJN9v32W4fb68nzKj8pN145s1YTA==</t>
  </si>
  <si>
    <t>IP&amp;LC  awareness and sensitization campaigns implemented in the CCO targeted landscapes from Jan 2026</t>
  </si>
  <si>
    <t>Number of people reached by the campaign activities.</t>
  </si>
  <si>
    <t>141a3f78-c405-f111-8407-7ced8d44800a</t>
  </si>
  <si>
    <t>dB/ILtpt7zseW18uVEEHKKZtHX8xEJrQb6noqDW+42Q3n3N2GgWOKqw24IzufzNJkk2hSGzdleGyYj6ZbnHsFg==</t>
  </si>
  <si>
    <t>IP&amp;LCs in CCO supported landscapes are annually sensitized and are practicing safe behaviours to reduce zoonotic risk through awareness campaigns against risky practices (e.g., bushmeat consumption, unsafe animal handling)</t>
  </si>
  <si>
    <t># of knowledge sharing sessions conducted</t>
  </si>
  <si>
    <t>4.00</t>
  </si>
  <si>
    <t>cc4a169a-a302-f111-8407-7ced8d44800a</t>
  </si>
  <si>
    <t>GeSN2dy3JUTUIYGe4efbtQUzfaqs9SA4h1UTELR9ynawY0NqHfZHEcKMzy9BIulzDjQM37TeNWVMFIt2BtENTg==</t>
  </si>
  <si>
    <t xml:space="preserve"># of MOUs signed with project partners </t>
  </si>
  <si>
    <t>a25db65a-4e03-f111-8407-7ced8d4489b4</t>
  </si>
  <si>
    <t>hRyq3TJOaMBxnEchKNFl3Xq4jB3s8a3Ho+H0Fhx4IAvRqqpiggSN6/QYMR716qhkZ1bXJfIlZiu6ZDrapjYBFQ==</t>
  </si>
  <si>
    <t>Lessons learned and successful approaches documented and shared with local and regional partners annually.</t>
  </si>
  <si>
    <t># of after-action reviews completed for key projects</t>
  </si>
  <si>
    <t>02f374e9-b905-f111-8407-7ced8d4487aa</t>
  </si>
  <si>
    <t>vpArtlSNS0kcfJL/eS3LYorT4Pi/057W2dhGGO58LFk9bfAO+hMOjLzvxvyExymQSeJkxcyYUL3hPYx9fU+lQQ==</t>
  </si>
  <si>
    <t>a1459ccd-7306-f111-8406-7ced8d449252</t>
  </si>
  <si>
    <t>ht2oQB4oYDX3F6qIoI2UOl1NWMbV/eqBueSaMc3J9I7ipvQimjgV/kl/hgq8JHVO4IktqJmOVRU0+J/X29BcLA==</t>
  </si>
  <si>
    <t># of management and action plans for wildlife and habitats protection implemented, with gender participation</t>
  </si>
  <si>
    <t>19f7244a-7b06-f111-8406-7ced8d449252</t>
  </si>
  <si>
    <t>uAcgQRBPcTEGSJ65fvYCaKp1hv85PXXuVja0kjezVPS2ljuVraWkXXdrbrHBoaWe0OeZoTTQKfjlK7LsSMPNEw==</t>
  </si>
  <si>
    <t>Needs assessment and on types of culturally contextualise IGAs carried out in targeted CCO landscapes by June 2026</t>
  </si>
  <si>
    <t># of income source diversification initiative based on sustainable agricultural production and financial mechanism</t>
  </si>
  <si>
    <t>81ea82a4-4b03-f111-8407-7ced8d44800a</t>
  </si>
  <si>
    <t>smqP4LqNpFDpsS2Eb9RYrxnNGHUSVYatt1NjKVmfjnwrVYiRay+tvD6AIkS0Q8L7lnUzKYtfAp7f6674nPBX6g==</t>
  </si>
  <si>
    <t>7370d957-bf05-f111-8407-7ced8d4487aa</t>
  </si>
  <si>
    <t>Vzbp143SCfsEe0BohAEw9UKpzTqKaAVI/vzYx4i3+kltR9jZWB+NFLQ5xMgJSHDAfcgroci0lzprcAmxJXzd8w==</t>
  </si>
  <si>
    <t>Operational equipment and infrastructure improved (e.g., radios, ranger posts, vehicles, GPS devices) for all CCO PAs by June 2026</t>
  </si>
  <si>
    <t># of Operational Vehicles and Equipment Available</t>
  </si>
  <si>
    <t>fa59b469-7406-f111-8406-7ced8d449252</t>
  </si>
  <si>
    <t>Cosl7kgmcZCwTK4MEszo8nrQoHZSZEghpHtj3VCs2MsKFFuWCtMzDRNKfOztn6BxI+WTPnhwiIjijSpGLtU/wg==</t>
  </si>
  <si>
    <t>8175e52e-a202-f111-8407-7ced8d44800a</t>
  </si>
  <si>
    <t>PLoHj3IGnDvWY+skj/+JwRIfGdfcSE4UAQz/nrXMXZOGQ743kIjafzh2oD4a5mFDPn6hW4lM9/0fq8DcWoB/ZQ==</t>
  </si>
  <si>
    <t>1.3.2</t>
  </si>
  <si>
    <t>% of High-Risk Areas Covered by Patrols/ surveillence</t>
  </si>
  <si>
    <t>0.84</t>
  </si>
  <si>
    <t>dec6b0d5-7906-f111-8406-7ced8d449252</t>
  </si>
  <si>
    <t>dzvYs0fXbrmIEjTKACdofhUyhxiXkZcXTCHDi5V32ZW8KwuWROJAUCIwqEDaQvu01twghSFN0kuOOUeANJFSyQ==</t>
  </si>
  <si>
    <t>Perception surveys and participatory assessments carried out after every two years to understand and track IP&amp;LC attitudes, values, and concerns related to conservation</t>
  </si>
  <si>
    <t>Level of satisfaction with involvement in Community-Based Natural Resource Management.</t>
  </si>
  <si>
    <t>422a523c-a302-f111-8407-7ced8d44800a</t>
  </si>
  <si>
    <t>hYYLBKJpqlUQ/lsxyNL2hplq/b2M3T0AqB+L6JsLPIcTfNIyVtHjPn+A12N16xTCaYBjaqsb5FQwYF2SE7tybA==</t>
  </si>
  <si>
    <t>1.3.4</t>
  </si>
  <si>
    <t>Patrol effort - km (standard output from SMART) (measure together with coverage and frequency)</t>
  </si>
  <si>
    <t>ef554940-7706-f111-8406-7ced8d449252</t>
  </si>
  <si>
    <t>cRYzsTnrVa+jLpLg6xqLP7Ewc7Gr1o6dBbDGOVsqBfNsuqH6W42qb/7Orhfs2wP0W1acUGVgpsSc/UWB6ysAjA==</t>
  </si>
  <si>
    <t>Regular and inclusive IP&amp;LC engagement processes (in project/programme design and MEL, structured dialogue platforms, …) functional in all CCO supported landscapes by December 2025</t>
  </si>
  <si>
    <t># of community engagement sessions held (e.g., meetings, workshops, forums)</t>
  </si>
  <si>
    <t>25.00</t>
  </si>
  <si>
    <t>a535a3b6-bc05-f111-8407-7ced8d4487aa</t>
  </si>
  <si>
    <t>dzrM39+cfvLBDuBWWmUxggbigxayPmvO5wfx4wKYLJ52A+qq2nWj55dWfET7K3+pWwYEXptT75Gd4aRZWRo6bw==</t>
  </si>
  <si>
    <t># of report commissioned, published and disseminated</t>
  </si>
  <si>
    <t>1ad78608-c605-f111-8407-7ced8d44800a</t>
  </si>
  <si>
    <t>emYnsjcdoitCuIDsuL98LLGNJgwaRNpML6yFrxrHu6k9BfsdUjvlH6Df/5b4dDH4VEOg0heX9DV7inM5NkTnIw==</t>
  </si>
  <si>
    <t>Support to alternative livelihoods to reduce human-wildlife contact and dependency on bushmeat (poultry, agroforestry…) provided in each landscape by 2030</t>
  </si>
  <si>
    <t>fbdeef6e-9802-f111-8407-7ced8d44800a</t>
  </si>
  <si>
    <t>RKJ2cWc2uMLtTA6YeRwV1ADiv0gBp0GC9vnd0d+JcJZae7u6xwiNpWkE0h9SNddvKqsBXWveSx0vbpos9guvDg==</t>
  </si>
  <si>
    <t>Sustainable livelihood initiatives benefiting at least 50% of the conflict-affected households in the supported landscapes implemented to reduce economic pressure from elephant damage by end of 2029</t>
  </si>
  <si>
    <t># of households supported to protect their properties from HWC</t>
  </si>
  <si>
    <t>5321ebed-9502-f111-8407-7ced8d44800a</t>
  </si>
  <si>
    <t>GDms6ylVk41yTw3cDSIu2wJnOm6a92brkcHXnK5KBhb2fU+x+5sc7GXhi8/mNmzE/3EF65xo3wswcz8LTHXN5Q==</t>
  </si>
  <si>
    <t># of awareness campaigns conducted</t>
  </si>
  <si>
    <t>0fcb4f06-8c06-f111-8406-7ced8d449252</t>
  </si>
  <si>
    <t>obqKkOQBfnaRUvRudorJKggiIsI9YTkrs2EovSFg8Q4Hi8bUjWdPo6ekXliFA5azlDs5TSQCKPC6BQ+c5UfYfg==</t>
  </si>
  <si>
    <t>The impact of the policy on IP&amp;LC rights and livelihoods, ensuring that it achieves the intended outcomes and remains responsive to the evolving needs of communities monitored and evaluated annually.</t>
  </si>
  <si>
    <t>16559d97-a202-f111-8407-7ced8d44800a</t>
  </si>
  <si>
    <t>zaiqMJmOoOKHtdAGO8MKs8+Fkql0ZFGlg/sF1rgGZTH8kfMFSwnY167ysBptNTG93kokoLN8fL7uUcVlpeja8g==</t>
  </si>
  <si>
    <t>1.3.3</t>
  </si>
  <si>
    <t>Training and refresher course of new eco-guards and community rangers completed across all CCO intervention areas (training include HRBA…) by June 2026</t>
  </si>
  <si>
    <t># of trained enforcement personel</t>
  </si>
  <si>
    <t>45.00</t>
  </si>
  <si>
    <t>9bcbe541-bb05-f111-8407-7ced8d4487aa</t>
  </si>
  <si>
    <t>Zzjuf4NZ1gnKKM5OCb8YRft4xDVlEhzQYIeE/68trTWz0mt1DVcpBUg2Z5Pd5qH7MPtu2h6YKe4b4Bm72yiFUg==</t>
  </si>
  <si>
    <t># of patnerships developed</t>
  </si>
  <si>
    <t>Programme M&amp;E plan</t>
  </si>
  <si>
    <t>Programes</t>
  </si>
  <si>
    <t>Program ID (#)</t>
  </si>
  <si>
    <t>Focus</t>
  </si>
  <si>
    <t>Relevant Geographic Scope</t>
  </si>
  <si>
    <t>Priority threats/ other factors</t>
  </si>
  <si>
    <t>Result ID (#)</t>
  </si>
  <si>
    <t>Result Name</t>
  </si>
  <si>
    <t>Goal, Outcome and Output Statement</t>
  </si>
  <si>
    <t>Means of Verification (Source of Data)</t>
  </si>
  <si>
    <t>Key assumptions &amp; Risks</t>
  </si>
  <si>
    <t>OSP Goals</t>
  </si>
  <si>
    <t>Species Conservation Programme</t>
  </si>
  <si>
    <t>Elephant</t>
  </si>
  <si>
    <t>TRIDOM, TNS, Coastal Forest and Campo Ma'an</t>
  </si>
  <si>
    <t>Species Elephants</t>
  </si>
  <si>
    <t>Endline (only measured at the end)</t>
  </si>
  <si>
    <t>1. No sudden environmental disturbances that could lead to mortality of elephants
2. Government policies remain in favour of endagered and protected species</t>
  </si>
  <si>
    <t>LNP: 960 elephants (2019)
PN Boumba Bek: 178 elephants (2024)
PN Nki : 484 elephants (2024)
Campo Ma'an NP: 114 elephants (2021)
MCNP:146 elephants (2024)</t>
  </si>
  <si>
    <t>NA</t>
  </si>
  <si>
    <t>LNP: 
PN Boumba Bek: 
PN Nki : 
Campo Ma'an NP:  
MCNP:</t>
  </si>
  <si>
    <t>LNP: 0.44 individuals/sqkm (2019)
PN BB:0.0075 individuals/sqkm (2024)
PN Nki: 0.145 individuals/sqkm (2024)
Campo Ma'an NP: 0.044 individuals/sqkm (2021)
MCNP: 0.27 individuals/sqkm (2013)</t>
  </si>
  <si>
    <t>LNP: 5.24 individuals/km (2019)
PN BB: 2.13 individuals/km (2024)
PN Nki: 2.36 individuals/km (2024)
Campo Ma'an NP: 0.54 individuals/km (2021)
MCNP: 3.19 individuals/km (2013)</t>
  </si>
  <si>
    <t xml:space="preserve">LNP: &gt;70% (2019)
PN BB: 38 % (2023)
Nki NP: 45.2% (2023)
Campo Ma'an NP: 
MCNP: </t>
  </si>
  <si>
    <t xml:space="preserve">LNP: 8 (2022-2023)
Pondo forest clearing =5.91/100nights 
Ikwa Forest Clearing=16.59/100nigths
Youmbi Forest Clearing = 13.2 /100 nigths
Makelekele Forest Clearing = 7.02 /100nigths
(Camera trap Technical Report 2023)
Campo Ma'an NP: 
MCNP: </t>
  </si>
  <si>
    <t xml:space="preserve">LNP: 
*Petit Savanne clearing =
* Bolo
* Djangui 1
* Ndangaye
* Djaloumbe
* Djangui 2
TRIDOM
Pondo forest clearing =
Ikwa Forest Clearing=
Youmbi Forest Clearing = 
Makelekele Forest Clearing = 
Campo Ma'an NP: 
MCNP: </t>
  </si>
  <si>
    <t>Great apes</t>
  </si>
  <si>
    <t>species Great Apes</t>
  </si>
  <si>
    <t>1. No sudden environmental and zoonotic disturbances that could lead to mortality of great apes
2. Government policies remain in favour of endagered and protected species</t>
  </si>
  <si>
    <t>LNP: 2780 gorillas, 744 chimps (2019)
PN Boumba Bek: 4830 gorilla, 478 chimps (2024)
PN Nki: 3624 gorilla, 1571 Chimps (2024)
Campo Ma'an NP: 337 gorillas, 329 chimps (2021)
MCNP: 130 chimps (2013)</t>
  </si>
  <si>
    <t>LNP: 1.27 individuals/sqkm (Gorillas), 0.34 individuals/sqkm (Chimps) (2019)
PN Boumba Bek: 2.04 individuals/sqkm (Gorillas), 0.202 individuals/sqkm (Chimps) (2024)
PN Nki: 1.16 individuals/sqkm (Gorillas), 0.502 individuals/sqkm (Chimps) (2024)
Campo Ma'an NP: 0.129 individuals/sqkm (Gorillas), 0.126 individuals/sqkm (Chimps) (2021)
MCNP: 0.67 individuals/sqkm (Chimps) (2013)</t>
  </si>
  <si>
    <t xml:space="preserve">LNP: 1.57 individuals/km (Gorillas), 0.81 individuals/km (Chimps) (2019)
BB NP :3.48 individuals/km
Nki NP:3.908 individuals/km
(Source: wildlife survey report 2025)
Campo Ma'an NP: 0.127 individuals/km (Gorillas), 0.75 individuals/km (Chimps) (2021)
MCNP: 1.63 individuals/km (Chimps) (2013)
</t>
  </si>
  <si>
    <t>LNP: &gt; 90% (2019)
BB NP: 60.1 %
Nki NP:74.4%
(Source: wildlife survey report 2025)
Campo Ma'an NP:
MCNP:</t>
  </si>
  <si>
    <t>LNP: 4 (2022)
Pondo forest clearing =19.31/100nights 
Ikwa Forest Clearing=21.6/100nigths
Youmbi Forest Clearing = 15.75 /100 nigths
Makelekele Forest Clearing = 11.03 /100nigths
(Camera trap Technical Report 2023)
Campo Ma'an NP:
MCNP:</t>
  </si>
  <si>
    <t>duikers</t>
  </si>
  <si>
    <t>Species Duikers</t>
  </si>
  <si>
    <t>1. No sudden environmental disturbances that could lead to mortality of duikers
2. Government policies remain in favour of endagered and protected species</t>
  </si>
  <si>
    <t xml:space="preserve">* Bay duiker
LNP: 
PN BB : 
PN Nki: 
Campo Ma'an NP: 7730 (2008)
MCNP: 
* Duikers and other ungulates 
LNP: 79230 (2019)
PN BB : 12010 (2016)
PN Nki: 33400 (2016)
Campo Ma'an NP: 7000 (2021)
MCNP:
</t>
  </si>
  <si>
    <t xml:space="preserve">* Bay duiker
LNP: 
PN BB : 
PN Nki: 
Campo Ma'an NP: 2.92 individuals/sqkm (2008)
MCNP:
* Duikers and other ungulates
LNP: 36.45 individuals/sqkm (2019)
PN BB : 4.81 individuals/sqkm (2016)
PN Nki: 10.8 individuals/sqkm (2016)
Campo Ma'an NP: 2.92 individuals/sqkm (2021)
MCNP:
</t>
  </si>
  <si>
    <t xml:space="preserve">* Bay duiker
LNP: 
PN BB :
PN Nki: 
Campo Ma'an NP: 2.73 individuals/km (2008)
MCNP:
* Duikers and other ungulates
LNP: 9.97 individuals/km (2019)
PN BB: 2.11 individuals/km (2016)
PN Nki: 2.0 individuals/km (2016)
Campo ma'an NP : 1.19 individuals/km (2021)
MCNP: 
</t>
  </si>
  <si>
    <t xml:space="preserve">* Bay duiker
LNP: 
PN BB :
PN Nki: 
Campo Ma'an NP: 
MCNP:
* Duikers and other ungulates
LNP: &gt; 90%
BB NP: 58.75%
Nki NP: 54.9%
(Source: wildlife survey report 2025)
Campo ma'an NP : 
MCNP: </t>
  </si>
  <si>
    <t>LNP: 15
Pondo forest clearing =16.28/100nights 
Ikwa Forest Clearing=18.94/100nigths
Youmbi Forest Clearing = 9.21 /100 nigths
Makelekele Forest Clearing = 4.67 /100nigths
(Camera trap Technical Report 2023)
Campo Ma'an NP:
MCNP:</t>
  </si>
  <si>
    <t xml:space="preserve">Species Conservation Programme
</t>
  </si>
  <si>
    <t>Sea Turtles</t>
  </si>
  <si>
    <t>Species Sear Turtle</t>
  </si>
  <si>
    <t>1. Sea turtle nesting habitats (e.g., sand temperature, composition, beach stability) remain optimal for successful incubation.</t>
  </si>
  <si>
    <t>Campo Ma'an NP: 80%</t>
  </si>
  <si>
    <t xml:space="preserve">Campo Ma'an NP: </t>
  </si>
  <si>
    <t>Wellbeing</t>
  </si>
  <si>
    <t>1, 2</t>
  </si>
  <si>
    <t>wellbeing of IPLC</t>
  </si>
  <si>
    <t>Human wellbeing</t>
  </si>
  <si>
    <t>1. Access to pre-existing basic services at least remains available and functional through public or partner support.
2. The landscapes remain free from major conflict, displacement, or political interference that would disrupt livelihoods, services, or community cohesion.</t>
  </si>
  <si>
    <t>LNP: 41.5%
BB NP
BNP:
KNP:
MCNP:
BMWS:</t>
  </si>
  <si>
    <t>LNP: 41.5%
BB NP: Improved Score
BNP: Improved Score
KNP: Improved Score
MCNP: Improved Score
BMWS: Improved Score</t>
  </si>
  <si>
    <t xml:space="preserve">LNP: 
BB NP: 
Nki NP:
BNP: 
KNP: 
MCNP: 
BMWS: </t>
  </si>
  <si>
    <t>Programme Outcomes</t>
  </si>
  <si>
    <t>Elephants</t>
  </si>
  <si>
    <t>revenge killings</t>
  </si>
  <si>
    <t>HWC incidences reduced</t>
  </si>
  <si>
    <t xml:space="preserve">LNP: 0
MCNP:2
</t>
  </si>
  <si>
    <t xml:space="preserve">LNP: 0
MCNP: 0
</t>
  </si>
  <si>
    <t xml:space="preserve">LNP: 0
MCNP:0
</t>
  </si>
  <si>
    <t xml:space="preserve">LNP: 
MCNP:
</t>
  </si>
  <si>
    <t>June 2025
LNP: 0
MCNP: 2</t>
  </si>
  <si>
    <t>LNP: 0
MCNP: 2</t>
  </si>
  <si>
    <t>LNP: 
MCNP:</t>
  </si>
  <si>
    <t>Negative perception on elephants</t>
  </si>
  <si>
    <t>Positive perception of HWC improved</t>
  </si>
  <si>
    <t>By 2030, the positive perception of HWC by IPLC in priority landscapes is improved by at least 25% compared to the baseline established in 2025</t>
  </si>
  <si>
    <t>HWC perception score (%)</t>
  </si>
  <si>
    <t>Perception surveys show a true reflection on Perception (go to risks for collecting data sheet)
1. IPLC are willing to change there Perception on elephants positively</t>
  </si>
  <si>
    <t>At least 5% increase in HWC perception score</t>
  </si>
  <si>
    <t>At least 10% increase in HWC perception score</t>
  </si>
  <si>
    <t>At least 15% increase in HWC perception score</t>
  </si>
  <si>
    <t>At least 20% increase in HWC perception score</t>
  </si>
  <si>
    <t>At least 25% increase in HWC perception score</t>
  </si>
  <si>
    <t>Dec 2025 Records from MCNP
Numerator: The number of complaints linked to HEC each year
Divided by: 3
Denominator:  The total number of reported complaints each year: 5</t>
  </si>
  <si>
    <t xml:space="preserve">At least 5% decrease in reported complaints  linked to HWC recorded </t>
  </si>
  <si>
    <t xml:space="preserve">At least 10% decrease in reported complaints  linked to HWC recorded </t>
  </si>
  <si>
    <t xml:space="preserve">At least 15% decrease in reported complaints  linked to HWC recorded </t>
  </si>
  <si>
    <t xml:space="preserve">At least 20% decrease in reported complaints  linked to HWC recorded </t>
  </si>
  <si>
    <t xml:space="preserve">At least 25% decrease in reported complaints  linked to HWC recorded </t>
  </si>
  <si>
    <t xml:space="preserve">Species Conservation Programme
</t>
  </si>
  <si>
    <t>Elephants, Great apes, Duikers species</t>
  </si>
  <si>
    <t>Key species poaching</t>
  </si>
  <si>
    <t>Poaching reduced</t>
  </si>
  <si>
    <t>1. Effective survey patrols (move data collection risk sheet)
1. Sufficient resources to support poaching survey (move data collection risk sheet)
1. The mandated authorities are able to fulfill their mandates on poaching surveying
2. WWF-int and NOs will support and fund wildlife protection activities.
3. No change on the international market that would cause an increase in the demand of ivory/ pangolin scales, bushmeat and other animal products</t>
  </si>
  <si>
    <t>LNP: 0.14
NNP: 1.45 per distance covered in Km (Dec, 2023)
BBNP: 0.96 per distance covered in Km (Dec, 2023)</t>
  </si>
  <si>
    <t xml:space="preserve">At least 1% reduction of poaching signs recorded per unit effort (n/km) </t>
  </si>
  <si>
    <t xml:space="preserve">At least 5% reduction of poaching signs recorded per unit effort (n/km) </t>
  </si>
  <si>
    <t xml:space="preserve">At least 10% reduction of poaching signs recorded per unit effort (n/km) </t>
  </si>
  <si>
    <t xml:space="preserve">At least 15% reduction of poaching signs recorded per unit effort (n/km) </t>
  </si>
  <si>
    <t xml:space="preserve">At least 20% reduction of poaching signs recorded per unit effort (n/km) </t>
  </si>
  <si>
    <t xml:space="preserve">LNP: 
BB NP: 
Nki NP
</t>
  </si>
  <si>
    <t>Predation on sea turtle nests</t>
  </si>
  <si>
    <t>Preyed on sea turtle nests reduced</t>
  </si>
  <si>
    <t xml:space="preserve">Records of all nests (a) in a monitored area, and records of predated nests (b), caclule the success rate = b/a *100
</t>
  </si>
  <si>
    <t>1. No sudden change of circumstances (environmental) around sea turtle nesting beaches</t>
  </si>
  <si>
    <t>Campo Ma'an NP:15%</t>
  </si>
  <si>
    <t>15% reduction of predated sea turtle nests</t>
  </si>
  <si>
    <t>25% reduction of predated sea turtle nests</t>
  </si>
  <si>
    <t>50% reduction of predated sea turtle nests</t>
  </si>
  <si>
    <t>75% reduction of predated sea turtle nests</t>
  </si>
  <si>
    <t>95% reduction of predated sea turtle nests</t>
  </si>
  <si>
    <t>Programme Managers in collaboration with MINFOF and CSOs and community monitoring team</t>
  </si>
  <si>
    <t>Plastic pollution</t>
  </si>
  <si>
    <t>Sea turtle nesting sites monitored</t>
  </si>
  <si>
    <t xml:space="preserve">% of the length of sea turtle nesting beaches that is cleaned of plastic pollution 
</t>
  </si>
  <si>
    <t>1. Local communities, governments, and other stakeholders will continue to cooperate or actively support the effort.</t>
  </si>
  <si>
    <t>Campo Ma'an NP: 81% (June 2025)</t>
  </si>
  <si>
    <t xml:space="preserve">At least 20% of the length of sea turtle nesting beaches  cleaned of plastic pollution </t>
  </si>
  <si>
    <t xml:space="preserve">At least 40% of the length of sea turtle nesting beaches  cleaned of plastic pollution </t>
  </si>
  <si>
    <t xml:space="preserve">At least 60% of the length of sea turtle nesting beaches  cleaned of plastic pollution </t>
  </si>
  <si>
    <t xml:space="preserve">At least 80% of the length of sea turtle nesting beaches  cleaned of plastic pollution </t>
  </si>
  <si>
    <t xml:space="preserve">At least 90% of the length of sea turtle nesting beaches  cleaned of plastic pollution </t>
  </si>
  <si>
    <t xml:space="preserve">TRIDOM, TNS, Coastal Forest and Campo Ma'an
</t>
  </si>
  <si>
    <t>Poor PA mangement</t>
  </si>
  <si>
    <t>Management effectiveness of PAs improved</t>
  </si>
  <si>
    <t xml:space="preserve">By 2030, supported PAs have improved their management effectiveness by at least 5% relative to the 2025 baseline. </t>
  </si>
  <si>
    <t>*insert link to IMET page</t>
  </si>
  <si>
    <t>1. PA staff apply their knowledge and skills in the management of PAs.
2. The results of IMET can be used for adaptive management</t>
  </si>
  <si>
    <t xml:space="preserve">LNP: 68% (2024)
PN BB: 55.11% (2022)
PN Nki: 53.58 % (2022)
Ngoyla WR: 40.11%
Campo Ma'an NP: 60.78%
</t>
  </si>
  <si>
    <t>IMET score for each PA increased by at least 1%</t>
  </si>
  <si>
    <t>IMET score for each PA increased by at least 2%</t>
  </si>
  <si>
    <t>IMET score for each PA increased by at least 3%</t>
  </si>
  <si>
    <t>IMET score for each PA increased by at least 4%</t>
  </si>
  <si>
    <t>IMET score for each PA increased by at least 5%</t>
  </si>
  <si>
    <t>Zoonotic disease outbreak</t>
  </si>
  <si>
    <t>Zoonotic reduced</t>
  </si>
  <si>
    <t>By 2030, the 'known' transmission of zoonotic pathogens in the priority landscapes of CCO is reduced by at least 80% compared to the 2024 reference.</t>
  </si>
  <si>
    <t xml:space="preserve">1. Local populations and animal handlers adopt safer practices related to wildlife, livestock, and land use that reduce zoonotic spillover risks.
</t>
  </si>
  <si>
    <t>June 2025
LNP: 0
Campo Ma'an NP: 0</t>
  </si>
  <si>
    <t>20% reduction in 'known' transmission of zoonotic pathogens to individual persons</t>
  </si>
  <si>
    <t>40% reduction in 'known' transmission of zoonotic pathogens to individual persons</t>
  </si>
  <si>
    <t>50% reduction in 'known' transmission of zoonotic pathogens to individual persons</t>
  </si>
  <si>
    <t>65% reduction in 'known' transmission of zoonotic pathogens to individual persons</t>
  </si>
  <si>
    <t>80% reduction in 'known' transmission of zoonotic pathogens to individual persons</t>
  </si>
  <si>
    <t>June 2025
LNP: 1
Campo Ma'an NP: 0</t>
  </si>
  <si>
    <t>20% reduction in 'known' transmission of zoonotic pathogens to individual animals</t>
  </si>
  <si>
    <t>40% reduction in 'known' transmission of zoonotic pathogens to individual animals</t>
  </si>
  <si>
    <t>50% reduction in 'known' transmission of zoonotic pathogens to individual animals</t>
  </si>
  <si>
    <t>65% reduction in 'known' transmission of zoonotic pathogens to individual animals</t>
  </si>
  <si>
    <t>80% reduction in 'known' transmission of zoonotic pathogens to individual animals</t>
  </si>
  <si>
    <t>Hunting on key-species in protected zones</t>
  </si>
  <si>
    <t>Community hunting zones  managed</t>
  </si>
  <si>
    <t>1. The community will apply best management practices in managing the hunting zones, even after the end of the support</t>
  </si>
  <si>
    <t>LNP:100%</t>
  </si>
  <si>
    <t>At least 20% of supported community hunting zones are managed using best practices</t>
  </si>
  <si>
    <t>At least 35% of supported community hunting zones are managed using best practices</t>
  </si>
  <si>
    <t>At least 50% of supported community hunting zones are managed using best practices</t>
  </si>
  <si>
    <t>At least 65% of supported community hunting zones are managed using best practices</t>
  </si>
  <si>
    <t>At least 75% of supported community hunting zones are managed using best practices</t>
  </si>
  <si>
    <t>LNP: 
BB NP: 
Nki NP:</t>
  </si>
  <si>
    <t>Programme Managers in collaboration with MINFOF and COVAREFs</t>
  </si>
  <si>
    <t>Conservation complaints</t>
  </si>
  <si>
    <t>Human rights abuse</t>
  </si>
  <si>
    <t>Conservation related complaints reduce</t>
  </si>
  <si>
    <t>GRM in place is well-managed, used and not abused</t>
  </si>
  <si>
    <t xml:space="preserve">June 2023
Numerator: 20
Denominator: 50
LNP: 
PN BB :
PN Nki: 
Campo Ma'an NP:
MCNP: 15
</t>
  </si>
  <si>
    <t>At least 20% reduction in complaints related to CCO conservation activities</t>
  </si>
  <si>
    <t>At least 40% reduction in complaints related to CCO conservation activities</t>
  </si>
  <si>
    <t>At least 60% reduction in complaints related to CCO conservation activities</t>
  </si>
  <si>
    <t>At least 80% reduction in complaints related to CCO conservation activities</t>
  </si>
  <si>
    <t>At least 90% reduction in complaints related to CCO conservation activities</t>
  </si>
  <si>
    <t xml:space="preserve">LNP: 
PN BB :
PN Nki: 
Campo Ma'an NP:
MCNP: </t>
  </si>
  <si>
    <t>LNP: 1
TRIDOM: 3
CFP: 0</t>
  </si>
  <si>
    <t>At least 20% reduction in HR violation cases by WWF or implementing partners</t>
  </si>
  <si>
    <t>At least 40% reduction in HR violation cases by WWF or implementing partners</t>
  </si>
  <si>
    <t>At least 60% reduction in HR violation cases by WWF or implementing partners</t>
  </si>
  <si>
    <t>At least 80% reduction in HR violation cases by WWF or implementing partners</t>
  </si>
  <si>
    <t>At least 90% reduction in HR violation cases by WWF or implementing partners</t>
  </si>
  <si>
    <t>WWF-activity perception</t>
  </si>
  <si>
    <t>Weak support to conservation activities by IPLC</t>
  </si>
  <si>
    <t>IPLC positive perception towards conservation</t>
  </si>
  <si>
    <t>Conservation efforts produce tangible social or economic benefits for IPLCs (e.g., jobs, ecosystem services, access rights)</t>
  </si>
  <si>
    <t>At least 50% of targeted IPLCs in CCO-supported landscapes have a positive perception towards conservation projects/ideas.</t>
  </si>
  <si>
    <t>At least 60% of targeted IPLCs in CCO-supported landscapes have a positive perception towards conservation projects/ideas.</t>
  </si>
  <si>
    <t>At least 70% of targeted IPLCs in CCO-supported landscapes have a positive perception towards conservation projects/ideas.</t>
  </si>
  <si>
    <t>At least 75% of targeted IPLCs in CCO-supported landscapes have a positive perception towards conservation projects/ideas.</t>
  </si>
  <si>
    <t>At least 80% of targeted IPLCs in CCO-supported landscapes have a positive perception towards conservation projects/ideas.</t>
  </si>
  <si>
    <t>IPLC income</t>
  </si>
  <si>
    <t>Poverty</t>
  </si>
  <si>
    <t>Household income increased</t>
  </si>
  <si>
    <t>By 2030, targeted IP&amp;LC gain at least a 10% increase in household income from WWF-supported activities compared to the 2025 baseline</t>
  </si>
  <si>
    <t>Average annual household income of targeted IP&amp;LC</t>
  </si>
  <si>
    <t>Markets remain stable or grow for the products/services linked to WWF-supported activities
Climate and environmental conditions do not severely disrupt production (e.g., droughts, disease, flooding)</t>
  </si>
  <si>
    <t>CFP: 500 000 XAF</t>
  </si>
  <si>
    <t>At least 2% increase in average annual household income of targeted IP&amp;LC in each targeted landscape</t>
  </si>
  <si>
    <t>At least 4% increase in average annual household income of targeted IP&amp;LC in each targeted landscape</t>
  </si>
  <si>
    <t>At least 6% increase in average annual household income of targeted IP&amp;LC in each targeted landscape</t>
  </si>
  <si>
    <t>At least 8% increase in average annual household income of targeted IP&amp;LC in each targeted landscape</t>
  </si>
  <si>
    <t>At least 10% increase in average annual household income of targeted IP&amp;LC in each targeted landscape</t>
  </si>
  <si>
    <t>At least 2% increase in average total annual income gained by IP&amp;LC in each targeted landscape through direct employment in conservation related activities</t>
  </si>
  <si>
    <t>At least 4% increase in average total annual income gained by IP&amp;LC in each targeted landscape through direct employment in conservation related activities</t>
  </si>
  <si>
    <t>At least 6% increase in average total annual income gained by IP&amp;LC in each targeted landscape through direct employment in conservation related activities</t>
  </si>
  <si>
    <t>At least 8% increase in average total annual income gained by IP&amp;LC in each targeted landscape through direct employment in conservation related activities</t>
  </si>
  <si>
    <t>At least 10% increase in average total annual income gained by IP&amp;LC in each targeted landscape through direct employment in conservation related activities</t>
  </si>
  <si>
    <t>ILPC access to materials of good life</t>
  </si>
  <si>
    <t>Access to materials of good life increased</t>
  </si>
  <si>
    <t>1. Communities are not subjected to conflict, displacement, or governance instability that disrupt access to basic needs or services.</t>
  </si>
  <si>
    <t>TNS: 35%
CFP: 52.63%</t>
  </si>
  <si>
    <t>At least 10% of targeted IPLC communities in the WWF-supported landscapes that have access to materials of good life</t>
  </si>
  <si>
    <t>At least 20% of targeted IPLC communities in the WWF-supported landscapes that have access to materials of good life</t>
  </si>
  <si>
    <t>At least 30% of targeted IPLC communities in the WWF-supported landscapes that have access to materials of good life</t>
  </si>
  <si>
    <t>At least 40% of targeted IPLC communities in the WWF-supported landscapes that have access to materials of good life</t>
  </si>
  <si>
    <t>At least 50% of targeted IPLC communities in the WWF-supported landscapes that have access to materials of good life</t>
  </si>
  <si>
    <t>This outcome will be moved (ask Philip why)</t>
  </si>
  <si>
    <t>Policy interventions</t>
  </si>
  <si>
    <t>Poor law enforcement guidance on traditional IPLC rights and intrests</t>
  </si>
  <si>
    <t>Policies promoting the rights of IPLC Supported</t>
  </si>
  <si>
    <t xml:space="preserve">By 2030, at least one new or revised policies or decisions promoting the rights and intrests of IPLC enacted with with WWF support </t>
  </si>
  <si>
    <t xml:space="preserve">1. The government is willing to engage with WWF and partners (incl. IPLC) in the propositions, enacting and reviewing of the policies/ decisions
</t>
  </si>
  <si>
    <t>3 policies (1994 Forest &amp; Wildlife Law, Ecoguards Code of Conduct and 01 MoU signed between MINFOF-ASBABUK</t>
  </si>
  <si>
    <t xml:space="preserve">At least 1 new/reviewed policy or decisions promoting the rights and intrests of IPLC enacted with with WWF support </t>
  </si>
  <si>
    <t xml:space="preserve">Conservation Director, Programme Managers in collaboration with MINFOF and CSOs </t>
  </si>
  <si>
    <t>1.1.1.1.</t>
  </si>
  <si>
    <t xml:space="preserve"> At least 75% of HWC hotspots identified and mapped in all CCO targeted landscapes to establish a new baseline by mid-2026</t>
  </si>
  <si>
    <t xml:space="preserve">•	% of identified and geo-referenced/mappped HWC hotspots 
</t>
  </si>
  <si>
    <t>Indicates extent of spatial targeting for interventions
Establish foundation dataset for tracking changes in revenge killings</t>
  </si>
  <si>
    <t>Spatial analysis of incident location data; ground-truthing field visits
Desk review; key informant interviews; focus groups; data validation workshops</t>
  </si>
  <si>
    <t>One‑time (2026), with annual updates</t>
  </si>
  <si>
    <t>Assumes complete spatial data; risk of missing hotspots in remote zones</t>
  </si>
  <si>
    <t>TNS: 1 map produced in 2024
MCNP: 100%
BNP:</t>
  </si>
  <si>
    <t>1.1.1.2.</t>
  </si>
  <si>
    <t xml:space="preserve">
•	% of reported elephant mortality cases disaggregated by cause</t>
  </si>
  <si>
    <t>Tracks availability and use of mortality reporting by communities and enforcement staff</t>
  </si>
  <si>
    <t>Training verification; log audits; monthly data extractions and quality checks</t>
  </si>
  <si>
    <t>Assumes stakeholder commitment; risk of poor data quality or technical challenges</t>
  </si>
  <si>
    <t>TNS: 1 system (INFORBIO)</t>
  </si>
  <si>
    <t>1.1.1.3.</t>
  </si>
  <si>
    <t>•	% of target group &amp; personnel with certified training on C2C</t>
  </si>
  <si>
    <t>Measures reach of capacity-building on human–elephant conflict to coexistence</t>
  </si>
  <si>
    <t>Attendance records; training materials; pre/post test scores; training evaluation reports</t>
  </si>
  <si>
    <t>Training delivery; pre/post knowledge assessment; role‑play evaluations</t>
  </si>
  <si>
    <t>One‑time training with potential refresher mid‑term</t>
  </si>
  <si>
    <t>Assumes participant availability; risk of turnover reducing impact</t>
  </si>
  <si>
    <t>LNP: 0 trained but some community members sensitized on the approach
CFP: 1 staff trained</t>
  </si>
  <si>
    <t>1.1.1.4.</t>
  </si>
  <si>
    <t xml:space="preserve">•	% of landscapes with fully implemented C2C protocols
</t>
  </si>
  <si>
    <t>Tracks operationalization of coexistence strategies on the ground</t>
  </si>
  <si>
    <t>Intervention activity reports; ranger logs; community feedback; monitoring tools</t>
  </si>
  <si>
    <t>Review of implementations during field visits; structured interviews with stakeholders</t>
  </si>
  <si>
    <t>Annual 2027–2029</t>
  </si>
  <si>
    <t>Assumes institutionalization of C2C; risk of resistance or lack of funding</t>
  </si>
  <si>
    <t xml:space="preserve">LNP: Not yet implemented
CFP:Implemented in MC landscape
</t>
  </si>
  <si>
    <t>•	 # of conflict cases managed through C2C</t>
  </si>
  <si>
    <t>1.1.1.5.</t>
  </si>
  <si>
    <t xml:space="preserve">•# of awareness campaigns conducted per year per high HWC zones covered </t>
  </si>
  <si>
    <t>Measures outreach effectiveness on elephant behavior and legal aspects of protection</t>
  </si>
  <si>
    <t>Campaign reports; attendance registers; pre/post NGO surveys; IEC materials</t>
  </si>
  <si>
    <t>Surveys at start/end of sessions; participant evaluation forms</t>
  </si>
  <si>
    <t>Annually (2026–2029)</t>
  </si>
  <si>
    <t>Assumes attendance; risk of low interest or message misalignment</t>
  </si>
  <si>
    <t>LNP:Awareness campaigns in 34% of communities
CFP:1 campaign done in the MCNP area</t>
  </si>
  <si>
    <t>1.1.1.6.</t>
  </si>
  <si>
    <t xml:space="preserve">% of conflict-prone villages with functioning grievance mechanisms </t>
  </si>
  <si>
    <t>Tracks local resolution options for community–elephant conflict</t>
  </si>
  <si>
    <t>Collection of case files; stakeholder interviews; resolution outcome reviews</t>
  </si>
  <si>
    <t>Annual check beginning 2027</t>
  </si>
  <si>
    <t>Assumes trust in grievance systems; risk of biased outcomes or low utilization</t>
  </si>
  <si>
    <t xml:space="preserve"> # of cases reported/resolved through GRM</t>
  </si>
  <si>
    <t>1.1.1.7.</t>
  </si>
  <si>
    <t># of quarterly reports produced and  integrated into SMART/national databases</t>
  </si>
  <si>
    <t>Measures integration of elephant incident tracking into key databases</t>
  </si>
  <si>
    <t>System audit; report-to-database reconciliation; error tracking</t>
  </si>
  <si>
    <t>Assumes technical compatibility and regular updates; risk of data backlog</t>
  </si>
  <si>
    <t>TNS: 4 reports per year
CFP: Reported on weekely basis but not yet intergrated into SMART</t>
  </si>
  <si>
    <t>1.1.1.8.</t>
  </si>
  <si>
    <t xml:space="preserve"># of recommendations adopted from review meetings </t>
  </si>
  <si>
    <t>Tracks reflection and adaptive management process for HEC work</t>
  </si>
  <si>
    <t>Annual review documentation; meeting notes; adaptive action logs</t>
  </si>
  <si>
    <t>Trend analysis of incident data; stakeholder consultations; decision log reviews</t>
  </si>
  <si>
    <t>Assumes stakeholder engagement; risk of inertia or lack of responsive action</t>
  </si>
  <si>
    <t>CFP: Done every 6 months</t>
  </si>
  <si>
    <t>1.1.1.9.</t>
  </si>
  <si>
    <t xml:space="preserve">% of conflict-affected households benefiting from livelihood support 
</t>
  </si>
  <si>
    <t>Measures uptake and financial outcomes of livelihood support designed to reduce dependency</t>
  </si>
  <si>
    <t>Beneficiary lists; household income surveys; program monitoring</t>
  </si>
  <si>
    <t>Baseline/endline surveys; income tracking; FGDs with beneficiaries</t>
  </si>
  <si>
    <t>Mid-term (2028) and end-line (2029)</t>
  </si>
  <si>
    <t>Assumes significant uptake; risk of unequal distribution, lack of market access, or collapse of initiatives</t>
  </si>
  <si>
    <t>CFP: Chili pepper planting has been initiated in Bakingili and Njonji villages, with the aim of supplying it to the  MCNP services to facilitate supply of product to the PA  for establishment/recoating chili fences. Concept for other livelihood options developed and currently being discussed with PSMNR Coordination</t>
  </si>
  <si>
    <t xml:space="preserve">1.2.1.1. </t>
  </si>
  <si>
    <t xml:space="preserve">Baseline survey completed and validated 
</t>
  </si>
  <si>
    <t>Establishes reference point for tracking changes in perception and behaviour over time</t>
  </si>
  <si>
    <t>Final validated survey report; raw dataset; disaggregation tables by age/gender/role</t>
  </si>
  <si>
    <t>Structured household surveys; FGDs; stakeholder interviews; KoboToolbox/ODK; thematic analysis</t>
  </si>
  <si>
    <t>One-time (by Dec 2025)</t>
  </si>
  <si>
    <t>Assumes broad community participation; risk of response bias or language barriers</t>
  </si>
  <si>
    <t xml:space="preserve">1.2.1.2. </t>
  </si>
  <si>
    <t xml:space="preserve">% of target population reached (men, women, youth) with annual campaigns
</t>
  </si>
  <si>
    <t>Tracks the scale and effectiveness of HWC-related community education</t>
  </si>
  <si>
    <t>Campaign reports; attendance lists; radio airing logs; IEC material inventory</t>
  </si>
  <si>
    <t>Attendance tracking; media outreach logs; quick knowledge tests or feedback surveys</t>
  </si>
  <si>
    <t>Annually (from 2026 onward)</t>
  </si>
  <si>
    <t>Assumes cultural appropriateness and language clarity; risk of low turnout or logistical delays</t>
  </si>
  <si>
    <t>LNP:Awareness in 8 communities
CFP: Done in 6 communities (Bakingili, Bomana, Njonji, &amp; Bibunde) of the MCNP area.
(Ngombo Ku and Ndom in the BNP area)</t>
  </si>
  <si>
    <t xml:space="preserve">1.2.1.3. </t>
  </si>
  <si>
    <t xml:space="preserve"># of Elephant/Great apes Ambassadors/Champions trained who are using the skills </t>
  </si>
  <si>
    <t>Ensures community-led outreach and local ownership of HWC messaging</t>
  </si>
  <si>
    <t>Training records; pre/post tests; session evaluation forms; follow-up mentorship records</t>
  </si>
  <si>
    <t>Structured workshops with pre/post assessments; mentorship monitoring</t>
  </si>
  <si>
    <t>One-time (by June 2026), refreshers as needed</t>
  </si>
  <si>
    <t>Assumes correct selection and motivation of Champions; risk of attrition or limited outreach</t>
  </si>
  <si>
    <t>CFP: 1 champion</t>
  </si>
  <si>
    <t xml:space="preserve">1.2.1.4. </t>
  </si>
  <si>
    <t xml:space="preserve"># of MSP (Multi-Stakeholder Platform) meetings where C2C issues are documented 
	</t>
  </si>
  <si>
    <t>Measures integration of HEC priorities into multi-stakeholder governance structures</t>
  </si>
  <si>
    <t>Qualitative review of MSP records and decisions; key informant interviews</t>
  </si>
  <si>
    <t>Quarterly/Biannually (starting 2026)</t>
  </si>
  <si>
    <t>Assumes active and inclusive MSPs; risk of low political will or insufficient follow-up</t>
  </si>
  <si>
    <t>CFP: Always discussing this in our stakeholders' meetings</t>
  </si>
  <si>
    <t># of resolutions or action points addressing C2C per year</t>
  </si>
  <si>
    <t xml:space="preserve">1.2.1.5. </t>
  </si>
  <si>
    <t>Score in perception survey</t>
  </si>
  <si>
    <t>Tracks shifts in awareness, behaviour, and attitudes, enabling adaptive management</t>
  </si>
  <si>
    <t>Survey reports; FGD transcripts; impact assessment summaries</t>
  </si>
  <si>
    <t>Longitudinal surveys with matched communities; FGDs for qualitative insights</t>
  </si>
  <si>
    <t>Annually in May (2026–2030)</t>
  </si>
  <si>
    <t>Assumes long-term engagement and consistent methodology; risk of survey fatigue or seasonal inaccessibility</t>
  </si>
  <si>
    <t>1.1.3.1</t>
  </si>
  <si>
    <t>% score on SMART scorecard</t>
  </si>
  <si>
    <t>Sets baseline to evaluate trends and guide adaptive enforcement</t>
  </si>
  <si>
    <t>Spatial-temporal analysis using SMART exports (effort, arrest, encounter data); GIS mapping</t>
  </si>
  <si>
    <t>One-time (early 2026)</t>
  </si>
  <si>
    <t>Assumes data is accurate and consistently logged across years; gaps may affect baseline</t>
  </si>
  <si>
    <t>TNS: 0.15
TRIDOM: As of 2024, patrol-based detection rates range between 0.003 and 0.33 signs/km patrolled (SMART database, 2024)
CFP: 0</t>
  </si>
  <si>
    <t>1.1.3.2</t>
  </si>
  <si>
    <t>% increase in patrol kilometers and man-days in target areas  (high-risk zones…)</t>
  </si>
  <si>
    <t>Measures scale-up of field presence in poaching hotspots</t>
  </si>
  <si>
    <t>SMART patrol records; patrol maps; deployment logs</t>
  </si>
  <si>
    <t>Comparative analysis of patrol coverage (baseline vs current); GPS tracking</t>
  </si>
  <si>
    <t>Biannually (2026–2027)</t>
  </si>
  <si>
    <t>Assumes sufficient budget and personnel; terrain or conflict may limit patrols</t>
  </si>
  <si>
    <t>TNS: 84% in 2024
TRIDOM: 84% of high-risk zone regularly patrolled (SMART database, 2024)
CFP: 0</t>
  </si>
  <si>
    <t>1.1.3.3</t>
  </si>
  <si>
    <t># of trained staff(disaggregated by gender, role) demonstrating knowledge gain in HRBA, law, surveillance, ethics</t>
  </si>
  <si>
    <t>Ensures staff are equipped with knowledge and rights-based skills</t>
  </si>
  <si>
    <t>Training attendance records; pre/post test results; training reports</t>
  </si>
  <si>
    <t>Test score analysis; follow-up evaluation interviews</t>
  </si>
  <si>
    <t>One-time (June 2026), refreshers as needed</t>
  </si>
  <si>
    <t>Assumes stable staff retention; training uptake varies across individuals</t>
  </si>
  <si>
    <t>TNS: 1/year
TRIDOM: 4 women and 24 male ecoguards trained 
12 biomonitoring assistant and 17 COVILABs trained on Human rights and SMART (LNP report 2024)
40% knowledge gain in SMART and data collection tools (Training report LNP, 2024)
CFP: 1 training in HRBA done with Conservators of 3 PAs (BMWS, BNP, MCNP)</t>
  </si>
  <si>
    <t>1.1.3.4</t>
  </si>
  <si>
    <t># of decision points influenced by shared SMART data</t>
  </si>
  <si>
    <t>Measures operationalization of SMART outputs for adaptive management</t>
  </si>
  <si>
    <t>SMART summary reports; MINFOF meeting minutes; email communications</t>
  </si>
  <si>
    <t>Descriptive stats of effort/detection trends; decision tracking matrix</t>
  </si>
  <si>
    <t>Quarterly (starting 2026)</t>
  </si>
  <si>
    <t>Assumes MINFOF uses insights; risk of weak data flow or limited internet access</t>
  </si>
  <si>
    <t>TNS: &gt;6/year
TRIDOM: &gt;30 reports per year
1–2 decision points/year (e.g., patrol progression strategy changes, patrol intensity changes) (LNP report 2024)</t>
  </si>
  <si>
    <t>1.1.3.5</t>
  </si>
  <si>
    <t>Support provided to the development of incentive systems (including due deligence) for credible intelligence leading to arrests or prevention by June 2027.</t>
  </si>
  <si>
    <t># of actionable intelligence tips received and rewarded using the incentive schemes</t>
  </si>
  <si>
    <t>Promotes community-based and internal whistleblowing on poaching threats</t>
  </si>
  <si>
    <t>Intelligence logbooks; reward distribution records; due diligence reports</t>
  </si>
  <si>
    <t>Case tracking and qualitative review of tip-off follow-up; stakeholder interviews</t>
  </si>
  <si>
    <t>Annual tracking (2026–2027)</t>
  </si>
  <si>
    <t>Assumes confidentiality and fairness in reward system; risks of misuse or false claims</t>
  </si>
  <si>
    <t>TNS: 1/year
TRIDOM: 1 incentive scheme developed (LNP report 2024)
&lt;5 actionable intelligence linked to incentives (LNP report 2024)</t>
  </si>
  <si>
    <t>1.1.3.6</t>
  </si>
  <si>
    <t># of joint operations carried out annually under the signed revised stakeholders collaborative agreements/protocols</t>
  </si>
  <si>
    <t>Promotes multi-agency synergy for arrests, prosecution, and justice</t>
  </si>
  <si>
    <t>Signed MoUs; joint mission reports; judiciary feedback</t>
  </si>
  <si>
    <t>Protocol content review; qualitative interviews with enforcement partners</t>
  </si>
  <si>
    <t>Annual review (starting 2026)</t>
  </si>
  <si>
    <t>Assumes political and judicial willingness; legal bottlenecks may delay outcomes</t>
  </si>
  <si>
    <t>TRIDOM: 1 (Antipoaching membele convention 2022)
5 joint operations (LNP SMART database, 2024)</t>
  </si>
  <si>
    <t>1.4.1.1</t>
  </si>
  <si>
    <t xml:space="preserve">Baseline information completed highlighting information on predation rate per species per beach and identification of high-risk sites and predator types </t>
  </si>
  <si>
    <t>Establishes reference data for targeted conservation action</t>
  </si>
  <si>
    <t>Baseline survey report; nest monitoring logs; camera trap data</t>
  </si>
  <si>
    <t>Transect surveys; predator ID using tracks, direct obs., or camera traps; GIS mapping</t>
  </si>
  <si>
    <t>One-time (Dec 2026)</t>
  </si>
  <si>
    <t>Assumes sufficient nesting events; predation may vary seasonally</t>
  </si>
  <si>
    <t>1.4.1.2</t>
  </si>
  <si>
    <t xml:space="preserve"># of patrol teams trained per key beaches patrolled nightly    
</t>
  </si>
  <si>
    <t>Strengthens ground protection and data collection capacity</t>
  </si>
  <si>
    <t>Patrol team attendance sheets; training records; equipment inventory logs</t>
  </si>
  <si>
    <t>Attendance records; equipment tracking forms; field supervision</t>
  </si>
  <si>
    <t>One-time (June 2026), updated as needed</t>
  </si>
  <si>
    <t>Assumes recruitment and motivation of local teams; equipment durability risks</t>
  </si>
  <si>
    <t>1.4.1.3</t>
  </si>
  <si>
    <t xml:space="preserve"> % of protected nests surviving to hatching
</t>
  </si>
  <si>
    <t>Assesses the implementation and success of physical protection interventions</t>
  </si>
  <si>
    <t>Nest records; hatchling success data; patrol logs</t>
  </si>
  <si>
    <t>Nest tagging; survival rate monitoring; GPS data</t>
  </si>
  <si>
    <t>Nesting seasons (semi-annually or annually)</t>
  </si>
  <si>
    <t>Assumes correct identification and timing; risks from tides, poaching</t>
  </si>
  <si>
    <t>1.4.1.4</t>
  </si>
  <si>
    <t>Predator control and Management Strategies deployed including Standard Operating Procedures (SOPs) developedby June 2027</t>
  </si>
  <si>
    <t>Reduction in predation rates at treated sites</t>
  </si>
  <si>
    <t>Measures effectiveness of predator intervention methods</t>
  </si>
  <si>
    <t>Predator control logbooks; follow-up nest survival reports</t>
  </si>
  <si>
    <t>Before-after comparisons; site-level treatment vs control analysis</t>
  </si>
  <si>
    <t>Annually (starting 2027)</t>
  </si>
  <si>
    <t>Risk of non-target species harm; need for ecological sensitivity</t>
  </si>
  <si>
    <t>1.4.1.5</t>
  </si>
  <si>
    <t>Score in the change in knowledge or attitude of the population (men, women, youth) reached in awareness raising</t>
  </si>
  <si>
    <t>Promotes local support and behavioural change</t>
  </si>
  <si>
    <t>Session attendance sheets; pre/post awareness survey results</t>
  </si>
  <si>
    <t>Focus groups; short surveys; community event logs</t>
  </si>
  <si>
    <t>Assumes language and content suitability; risks of low turnout</t>
  </si>
  <si>
    <t>1.4.1.6</t>
  </si>
  <si>
    <t>Retention rate of community incentivized guardians</t>
  </si>
  <si>
    <t>Encourages sustained community participation and ownership</t>
  </si>
  <si>
    <t>Guardian contracts; eco-benefit distribution logs; interviews</t>
  </si>
  <si>
    <t>Incentive tracking; periodic follow-up interviews</t>
  </si>
  <si>
    <t>Biannual</t>
  </si>
  <si>
    <t>Risk of unequal benefit sharing; need for sustainability mechanism</t>
  </si>
  <si>
    <t>1.4.1.7</t>
  </si>
  <si>
    <t xml:space="preserve">   
# of lessons learned documented and shared</t>
  </si>
  <si>
    <t>Tracks biological impact of protection measures</t>
  </si>
  <si>
    <t>Nest monitoring records; beach survey logs</t>
  </si>
  <si>
    <t>Nest tagging, excavation after hatching, statistical analysis</t>
  </si>
  <si>
    <t>Every nesting season</t>
  </si>
  <si>
    <t>Depends on consistent nest monitoring and accurate tagging</t>
  </si>
  <si>
    <t>1.4.2.1</t>
  </si>
  <si>
    <t>% of turtle nesting beaches and priority zones mapped</t>
  </si>
  <si>
    <t>Measures completeness of habitat identification within CCO mandate</t>
  </si>
  <si>
    <t>GIS maps, GPS logs, mapping reports, stakeholder validation meetings</t>
  </si>
  <si>
    <t>Field surveys with GPS tools; cross-validation with local ecological knowledge (LEK)</t>
  </si>
  <si>
    <t>One-time (2027), updated if new zones identified</t>
  </si>
  <si>
    <t>Assumes accessibility and full cooperation from local communities
Environmental threats may change quickly; cleaning efforts must remain adaptive</t>
  </si>
  <si>
    <t>1.4.2.2</t>
  </si>
  <si>
    <t xml:space="preserve"># of teams trained with demonstrated skills </t>
  </si>
  <si>
    <t>Measures capacity to implement pollution control and monitoring</t>
  </si>
  <si>
    <t>Training attendance records, post-training tests, team rosters</t>
  </si>
  <si>
    <t>Pre/post-tests, observation, trainer evaluation</t>
  </si>
  <si>
    <t>One-time (Dec 2027), with refresher sessions as needed</t>
  </si>
  <si>
    <t>Risk of high turnover; requires sustained incentives and local buy-in</t>
  </si>
  <si>
    <t>1.4.2.3</t>
  </si>
  <si>
    <t># of clean-ups held per the the distance of of beach length covered</t>
  </si>
  <si>
    <t>Assesses regularity and effectiveness of beach sanitation</t>
  </si>
  <si>
    <t>Clean-up logs, GPS coverage data, patrol photos</t>
  </si>
  <si>
    <t>Direct field observation, use of GPS loggers during patrols</t>
  </si>
  <si>
    <t>Monthly (in-season), Quarterly (off-season)</t>
  </si>
  <si>
    <t>Poor weather or logistical delays could affect frequency or coverage</t>
  </si>
  <si>
    <t>1.4.2.4</t>
  </si>
  <si>
    <t xml:space="preserve"># of partnerships with joint action plan   </t>
  </si>
  <si>
    <t>Measures systemic support and sustainability of clean-ups</t>
  </si>
  <si>
    <t>MoUs with recycling companies/municipalities, photos of infrastructure</t>
  </si>
  <si>
    <t>Partnership documentation; site inspections</t>
  </si>
  <si>
    <t>One-time (Dec 2027), monitored annually</t>
  </si>
  <si>
    <t>Requires municipal cooperation and recycling facilities in proximity</t>
  </si>
  <si>
    <t>1.4.2.5</t>
  </si>
  <si>
    <t xml:space="preserve"> % score in perception survey for schools reached</t>
  </si>
  <si>
    <t>Tracks outreach efforts and impact on behaviour change</t>
  </si>
  <si>
    <t>Attendance sheets, pre/post awareness survey results, IEC materials</t>
  </si>
  <si>
    <t>Surveys, interviews, school visit records</t>
  </si>
  <si>
    <t>School calendar alignment, participation may be influenced by community attitudes</t>
  </si>
  <si>
    <t>1.4.2.6</t>
  </si>
  <si>
    <t>Report showing change in pollution levels and 
# of waste types identified and tracked</t>
  </si>
  <si>
    <t>Tracks progress, informs evidence-based decision making</t>
  </si>
  <si>
    <t>Annual reporting, waste analysis reports, photographic evidence</t>
  </si>
  <si>
    <t>Weight-based audit of collected waste, plastic classification by type</t>
  </si>
  <si>
    <t>Requires consistent data collection tools and trained staff</t>
  </si>
  <si>
    <t># of PAs with functioning co-management bodies and inclusive decision-making platforms</t>
  </si>
  <si>
    <t>Measures the extent to which PAs involve local stakeholders, including marginalized groups, in governance and planning</t>
  </si>
  <si>
    <t>Co-management meeting minutes, stakeholder rosters, community satisfaction surveys</t>
  </si>
  <si>
    <t>Interviews, desk review of governance documentation, participation scoring matrix</t>
  </si>
  <si>
    <t>Assumes community willingness and political support; risk of elite capture or tokenism</t>
  </si>
  <si>
    <t>PA management effectiveness (IMET) conducted after every two years, and score recorded lessons learned shared across the landscape for all CCO PAs</t>
  </si>
  <si>
    <t># of CCO targeted PAs with IMET reports and knowledge-sharing documentation</t>
  </si>
  <si>
    <t>Tracks change in management effectiveness and institutional learning</t>
  </si>
  <si>
    <t>IMET reports, knowledge-sharing workshop reports</t>
  </si>
  <si>
    <t>Facilitated IMET assessment workshops; comparative score analysis</t>
  </si>
  <si>
    <t>Every 2 years (2026, 2028, etc.)</t>
  </si>
  <si>
    <t>Assumes IMET tools remain relevant; risk of data manipulation or poor facilitation</t>
  </si>
  <si>
    <t>% of PAs with revised, validated, and operationalized management plans</t>
  </si>
  <si>
    <t>Assesses PA planning relevance and adaptability to emerging challenges</t>
  </si>
  <si>
    <t>Updated management plans, approval letters, implementation logs</t>
  </si>
  <si>
    <t>Review of plans, threat assessments, stakeholder consultations</t>
  </si>
  <si>
    <t>Bi-annually (2026, 2028)</t>
  </si>
  <si>
    <t>Assumes stakeholder participation and technical resources are available; delays due to policy bottlenecks</t>
  </si>
  <si>
    <t>Capacity building for PA staff delivered with at least one training session carried out annually for ecoguards, managers, and technical staff in areas like monitoring, SMART, enforcement, GIS, and stakeholder engagement, human rights,</t>
  </si>
  <si>
    <t xml:space="preserve"># of staff trained per PA/year
</t>
  </si>
  <si>
    <t>Measures improvements in staff knowledge, skills, and application</t>
  </si>
  <si>
    <t>Training reports, participant lists, pre/post-tests, feedback forms</t>
  </si>
  <si>
    <t>Training needs assessments, session evaluations, tracking skills application</t>
  </si>
  <si>
    <t>Assumes continuous funding and staff retention; risk of knowledge drain if staff leave</t>
  </si>
  <si>
    <t xml:space="preserve"># of CCO targeted PAs with minimum operational facilities </t>
  </si>
  <si>
    <t>Monitors investment in operational effectiveness and readiness</t>
  </si>
  <si>
    <t>Procurement records, asset inventories, site inspection reports</t>
  </si>
  <si>
    <t>Field verification, GPS-tagged infrastructure photos, PA equipment audits</t>
  </si>
  <si>
    <t>Baseline in 2025; update in 2026</t>
  </si>
  <si>
    <t>Assumes timely procurement; risk of theft, poor maintenance, or unsuitable equipment</t>
  </si>
  <si>
    <t xml:space="preserve">
% increase in PA-generated revenue or external finance facilitaed by the sustainable finance mechanism in place</t>
  </si>
  <si>
    <t>Measures the diversification and sustainability of PA funding</t>
  </si>
  <si>
    <t>Finance plans, revenue tracking reports, MoUs with private/finance actors</t>
  </si>
  <si>
    <t>Financial data analysis, stakeholder interviews, case studies of pilot projects</t>
  </si>
  <si>
    <t>Annual updates starting 2026; full review in 2028</t>
  </si>
  <si>
    <t>Assumes investor interest and enabling environment; risk of low visitor turnout, weak policy framework for PES</t>
  </si>
  <si>
    <t>By 2030, the 'Known' transmission of zoonotic pathogens in the priority landscapes of CCO is reduced to 0 compared to the 2024 reference</t>
  </si>
  <si>
    <t>% of zoonotic events detected and responded to within target time</t>
  </si>
  <si>
    <t>Assesses operationalization of wildlife, livestock, and human health surveillance systems</t>
  </si>
  <si>
    <t>Surveillance reports, outbreak response logs, system protocols, field data from veterinary/public health officers</t>
  </si>
  <si>
    <t>Cross-sectoral data integration (wildlife, livestock, human health), GIS mapping, trend analysis</t>
  </si>
  <si>
    <t>Assumes collaboration between sectors; risk of weak reporting culture, data fragmentation</t>
  </si>
  <si>
    <t>TNS: 1 community alert mechanism establised in 2024</t>
  </si>
  <si>
    <t xml:space="preserve">IP&amp;LCs in CCO supported landscapes are annually sensitized and are practicing safe behaviours to reduce zoonotic risk through awareness campaigns against risky practices (e.g., bushmeat consumption, unsafe animal handling) </t>
  </si>
  <si>
    <t>% of sensitised population demonstrating knowledge and behavior change</t>
  </si>
  <si>
    <t>Measures awareness and behavior change regarding zoonotic risks (e.g. bushmeat, unsafe handling)</t>
  </si>
  <si>
    <t>Event reports, pre/post surveys, behavior change assessments, IEC materials</t>
  </si>
  <si>
    <t>KAP surveys (Knowledge, Attitude, Practice), community interviews, focus groups</t>
  </si>
  <si>
    <t>Assumes community engagement and cultural adaptability; risk of deeply rooted traditions and misinformation</t>
  </si>
  <si>
    <t>LNP:&gt;70% pf communities sensitized
MCNP: 1 sensitisation workshop on health, safety and security organised in the West Coast cluster of the MCNP</t>
  </si>
  <si>
    <t xml:space="preserve"># and type of alternative livelihoods initiatives supported 
</t>
  </si>
  <si>
    <t>Measures the adoption of alternative income/livelihood sources (e.g., poultry, agroforestry)</t>
  </si>
  <si>
    <t>Project activity reports, livelihood assessment surveys, income tracking</t>
  </si>
  <si>
    <t>Household surveys, beneficiary interviews, comparative income analysis</t>
  </si>
  <si>
    <t>Assumes market access and technical support; risks include low adoption, economic shocks, or cultural resistance</t>
  </si>
  <si>
    <t>LNP: No support because of numerous  unsuccessfull past experience
MCNP: Livelihood concept developed for the West Coast cluster of the MCNP and currently being discussed with PSMNR for support</t>
  </si>
  <si>
    <t xml:space="preserve">Degraded habitats restored and buffer zones established to limit human-wildlife interaction by 2030 </t>
  </si>
  <si>
    <t xml:space="preserve"> # of hectares of restored habitat and functional buffer zones  
</t>
  </si>
  <si>
    <t>Measures physical intervention to reduce zoonotic interfaces and protect ecological boundaries</t>
  </si>
  <si>
    <t>Restoration reports, satellite imagery, patrol logs, wildlife incident reports</t>
  </si>
  <si>
    <t>GIS-based mapping, participatory mapping, field verification</t>
  </si>
  <si>
    <t>Assumes ecological viability and land tenure clarity; risks include encroachment, weak enforcement</t>
  </si>
  <si>
    <t>MCNP: 03 Corridors identified around the MCNP, KNP-Rumpi, BNP-BMWS identified, pending assessment of their state</t>
  </si>
  <si>
    <t xml:space="preserve"># of joint action points implemented by key stakeholders </t>
  </si>
  <si>
    <t>Evaluates effectiveness of One Health multi-stakeholder platforms at the landscape level</t>
  </si>
  <si>
    <t>Meeting minutes, action plans, inter-agency MoUs, attendance records</t>
  </si>
  <si>
    <t>Stakeholder surveys, review of implementation status, coordination logs</t>
  </si>
  <si>
    <t>Assumes institutional buy-in and continuity; risks include silos, political shifts, or low prioritization</t>
  </si>
  <si>
    <t>TNS: 1 response mechanism established in 2024 will all key actors</t>
  </si>
  <si>
    <t># of local development plans with zoonotic risk measures integrated</t>
  </si>
  <si>
    <t>Tracks formalization of guidance, procedures, and local planning for disease preparedness</t>
  </si>
  <si>
    <t>Policy documents, SOPs, development plans, government approval letters</t>
  </si>
  <si>
    <t>Policy review, stakeholder validation workshops, alignment analysis with national frameworks</t>
  </si>
  <si>
    <t>One-time (2026), with updates as needed</t>
  </si>
  <si>
    <t>Assumes legal and institutional capacity; risks include bureaucratic delays, lack of political will, or donor dependency</t>
  </si>
  <si>
    <t>TNS: 1 protocol established in 2024 will all key actors
CFP: Not done. Have initated discussions with the Limbe Zoological center for possible collaboration on this. However, due to limited resources, this has stalled</t>
  </si>
  <si>
    <t xml:space="preserve"> % of CHZs with updated, validated management plans incorporating best practices (e.g., quotas, participatory zoning, sustainability principles)</t>
  </si>
  <si>
    <t>Measures CHZ planning quality and its alignment with sustainable and inclusive wildlife management norms</t>
  </si>
  <si>
    <t>Finalized and approved plans, stakeholder validation reports, zoning maps</t>
  </si>
  <si>
    <t>Desk review, stakeholder consultation records, benchmarking against national CHZ guidelines</t>
  </si>
  <si>
    <t>Mid-term (2026) and final (2030)</t>
  </si>
  <si>
    <t>Assumes government collaboration and community participation; risk of delays from policy bottlenecks or local disputes</t>
  </si>
  <si>
    <t xml:space="preserve"> # of CHZs with active and trained COVAREFs on various thematic issues</t>
  </si>
  <si>
    <t>Assesses capacity and functionality of local CHZ governance bodies (COVAREFs)</t>
  </si>
  <si>
    <t>Training attendance sheets, COVAREF meeting minutes, governance assessment reports</t>
  </si>
  <si>
    <t>Capacity needs assessments, post-training evaluations, interviews with committee members</t>
  </si>
  <si>
    <t>Annually until 2026</t>
  </si>
  <si>
    <t>Assumes stable leadership and community buy-in; risk of elite capture or low retention</t>
  </si>
  <si>
    <t>TNS: More than 20 COVILABs trained yearly</t>
  </si>
  <si>
    <t># of wildlife monitoring   protocols data-driven management decisions per year</t>
  </si>
  <si>
    <t>Tracks establishment and use of community-based wildlife monitoring systems (e.g., transects, sightings, poaching data)</t>
  </si>
  <si>
    <t>Monitoring records, GPS logs, SMART data, management meeting notes</t>
  </si>
  <si>
    <t>Transect surveys, camera trap data, patrol observations, participatory analysis with local teams</t>
  </si>
  <si>
    <t>Bi-annually (dry and wet seasons)</t>
  </si>
  <si>
    <t>Assumes technical capacity and data quality; risk of low coverage or reporting fatigue</t>
  </si>
  <si>
    <t>TNS: 02 Community led biomonitroing (GEF7 and Inforbio)</t>
  </si>
  <si>
    <t xml:space="preserve">Annual support provided in designing and implementation of benefit-sharing mechanisms showing effective sharing of revenue from legal hunting licenses, eco-tourism, or sustainable game meat schemes in all CCO supported landscapes </t>
  </si>
  <si>
    <t xml:space="preserve"> # of CHZs households receiving benefits annually   </t>
  </si>
  <si>
    <t>Measures fairness and transparency in sharing revenue from legal hunting, tourism, and sustainable wild meat sales</t>
  </si>
  <si>
    <t>Financial distribution reports, community feedback sessions, benefit registers</t>
  </si>
  <si>
    <t>Household surveys, financial audits, participatory scoring of equity and satisfaction</t>
  </si>
  <si>
    <t>Assumes legal framework supports benefit sharing; risk of corruption, lack of transparency, or disputes</t>
  </si>
  <si>
    <t xml:space="preserve"># of joint monitoring missions and annual review meetings organised per year    
</t>
  </si>
  <si>
    <t>Tracks effectiveness of multi-actor governance, review, and policy engagement processes</t>
  </si>
  <si>
    <t>Meeting minutes, mission reports, joint recommendations, signed MoUs</t>
  </si>
  <si>
    <t>Stakeholder interviews, review of action point implementation, monitoring field reports</t>
  </si>
  <si>
    <t>Assumes political will and institutional coordination; risk of fragmented agendas or underfunded participation</t>
  </si>
  <si>
    <t>Community grievance redress mechanisms (GRMs) GRM is functional in all CCO supported landscapes by December 2026</t>
  </si>
  <si>
    <t xml:space="preserve"># of functional GRMs in CCO supported landscapes with demonstrated results </t>
  </si>
  <si>
    <t>Tracks the existence, accessibility, and effectiveness of GRMs in addressing community concerns</t>
  </si>
  <si>
    <t>GRM records/logbooks, resolution reports, community feedback surveys</t>
  </si>
  <si>
    <t>Desk review, interviews, grievance resolution audits, participatory assessments</t>
  </si>
  <si>
    <t>Assumes safe reporting channels and trust in the process; risk of retaliation, poor documentation, or lack of follow-up</t>
  </si>
  <si>
    <t>TNS: 1 GRM
CFP: Roadmap to develop GM for Bakossi-Banyang Mbo landscape developed</t>
  </si>
  <si>
    <t># of IP&amp;LC participants disaggregated by gender/age in MSPs</t>
  </si>
  <si>
    <t>Measures meaningful participation of Indigenous Peoples and Local Communities (IP&amp;LCs) in decision-making and project processes</t>
  </si>
  <si>
    <t>Meeting reports, consultation attendance sheets, IP&amp;LC feedback forms</t>
  </si>
  <si>
    <t>Focus groups, perception surveys, gender-disaggregated participation tracking</t>
  </si>
  <si>
    <t>Assumes openness from both sides and language/cultural accessibility; risk of exclusion, tokenism, or fatigue</t>
  </si>
  <si>
    <t>TNS: 1 functional
CFP: IP &amp; LC contribution integrated in the LtC project through CSOs</t>
  </si>
  <si>
    <t># of staff/partners trained on FPIC, gender, conflict resolution who are applying acquired knowledge in project activities</t>
  </si>
  <si>
    <t>Assesses capacity-building efforts to ensure conflict-sensitive, rights-based programming</t>
  </si>
  <si>
    <t>Training attendance sheets, pre/post-test results, field activity reports</t>
  </si>
  <si>
    <t>Training evaluations, knowledge application checklists, case study analysis</t>
  </si>
  <si>
    <t>Assumes retention of trained staff and institutional support; risk of low uptake or inconsistent application</t>
  </si>
  <si>
    <t>TNS: 1 training on HR based approaches/year
CFP: 1 staff trained in conflict sensitivity and HRBA</t>
  </si>
  <si>
    <t xml:space="preserve">Equitable benefit-sharing mechanisms implemented and strengthened with IP&amp;LC perceive tangible benefits from conservation (e.g. jobs, services, micro-projects) in all CCO supported landscapes by December 2027, </t>
  </si>
  <si>
    <t xml:space="preserve"># and types of conservation benefits (jobs, micro-projects, services) delivered per IP&amp;LC households   
</t>
  </si>
  <si>
    <t>Evaluates effectiveness and fairness of benefit-sharing across community demographics</t>
  </si>
  <si>
    <t>Community benefit registers, micro-project reports, household surveys</t>
  </si>
  <si>
    <t>Perception surveys, cost-benefit analysis, gender &amp; equity lens reviews</t>
  </si>
  <si>
    <t>Assumes revenue flow and clear benefit criteria; risk of mismanagement, exclusion, or elite capture</t>
  </si>
  <si>
    <t>CFP: 2 benefit sharing mechanisms of cooperatives (honey and pigs) established &amp; functional</t>
  </si>
  <si>
    <t>Functional monitoring and learning system in place with demonstrated results</t>
  </si>
  <si>
    <t>Tracks the integration of social monitoring and grievance data into program management</t>
  </si>
  <si>
    <t>M&amp;E system records, adaptive management meeting minutes, dashboard reports</t>
  </si>
  <si>
    <t>Analysis of complaints log, decision tracker reviews, learning session outputs</t>
  </si>
  <si>
    <t>Assumes strong M&amp;E capacity and willingness to adapt; risk of data overload, low responsiveness, or underreporting</t>
  </si>
  <si>
    <t xml:space="preserve"> # of perception surveys conducted per landscape
</t>
  </si>
  <si>
    <t>Measures IP&amp;LC views on conservation, participation, conflicts, and expectations</t>
  </si>
  <si>
    <t>Survey reports, community discussion summaries, digital or paper survey tools</t>
  </si>
  <si>
    <t>Structured questionnaires, focus group discussions, key informant interviews, comparative analysis over time</t>
  </si>
  <si>
    <t>Every 2 years (e.g., 2024, 2026, 2028…)</t>
  </si>
  <si>
    <t>Assumes willingness to share honest opinions; risk of bias or mistrust in surveyors</t>
  </si>
  <si>
    <t xml:space="preserve"># of governance structures with IP&amp;LC representatives and participation (e.g., PA boards, CHZs, CFs)     
</t>
  </si>
  <si>
    <t>Evaluates formal and meaningful participation of IP&amp;LCs in land use and conservation governance</t>
  </si>
  <si>
    <t>Governance meeting minutes, membership records, land-use plans, workshop reports</t>
  </si>
  <si>
    <t>Document review, stakeholder analysis, scoring participation quality (not just presence)</t>
  </si>
  <si>
    <t>Annually (until 2028)</t>
  </si>
  <si>
    <t>Assumes legal recognition of IP&amp;LC representation; risk of symbolic participation or internal power imbalances</t>
  </si>
  <si>
    <t>CFP: IPLCs have signed 20 CCDAs with 04 PAs defining their involvement &amp; benefits in the implementation of PA activities
1 Simple Management Plan for the Muaku CF approved</t>
  </si>
  <si>
    <t xml:space="preserve"># and type of benefits delivered (jobs, eco-enterprises, resource access)       
</t>
  </si>
  <si>
    <t>Tracks tangible socio-economic returns from conservation efforts for IP&amp;LCs</t>
  </si>
  <si>
    <t>Employment records, business support reports, community benefit tracking logs, household surveys</t>
  </si>
  <si>
    <t>Baseline &amp; endline surveys, income assessments, disaggregated beneficiary data collection</t>
  </si>
  <si>
    <t>Assumes adequate funding and market access; risks include elite capture, benefit inequality, or livelihood failure</t>
  </si>
  <si>
    <t>TNS: 13 ASMO, &gt;10 covilabs, &gt;15 mambele youth, &gt;20 womens
CFP: Beekeeping is contributing to household income base and has created green jobs (sewing of veils, suits; making of smokers, etc.)
Pig and organic farming are contributing to household income</t>
  </si>
  <si>
    <t xml:space="preserve">Needs assessment completed with prioritized IGAs identified per community     
</t>
  </si>
  <si>
    <t>Identifies appropriate income-generating activities aligned with local traditions and ecological potential</t>
  </si>
  <si>
    <t>Assessment reports, focus group documentation, community validation records</t>
  </si>
  <si>
    <t>Participatory Rural Appraisal (PRA), FGDs, household surveys</t>
  </si>
  <si>
    <t>Once (2026)</t>
  </si>
  <si>
    <t>Assumes full community engagement; risk of selecting IGAs not aligned with market realities</t>
  </si>
  <si>
    <t>CFP: Need assessment for IGA done for 18 clusters of communities that have signd CCDA with PA services</t>
  </si>
  <si>
    <t>Baseline data on income vulnerability and livelihood diversity completed</t>
  </si>
  <si>
    <t>Establishes baseline for tracking impact of livelihood interventions</t>
  </si>
  <si>
    <t>Survey reports, household economic profile database, GIS mapping of income zones</t>
  </si>
  <si>
    <t>Structured household surveys, wealth ranking, seasonal calendar analysis</t>
  </si>
  <si>
    <t>Assumes household willingness to share income data; risk of inaccuracies or seasonal biases</t>
  </si>
  <si>
    <t>CFP: Assessment for IGA done for 18 clusters of  communities that have signd CCDA with PA services</t>
  </si>
  <si>
    <t xml:space="preserve"># of IP&amp;LC households engaged per livelihood initiatives </t>
  </si>
  <si>
    <t>Measures scale and diversity of sustainable livelihoods supported by CCO</t>
  </si>
  <si>
    <t>Project implementation reports, IGA registration lists, environmental impact snapshots</t>
  </si>
  <si>
    <t>Mixed-method assessment: IGA success stories, activity logs, GPS tagging</t>
  </si>
  <si>
    <t>Annually until 2030</t>
  </si>
  <si>
    <t>Assumes ecological suitability and market demand; risk of climate shocks or poor adoption</t>
  </si>
  <si>
    <t>CFP: 1 community (Mbororo IPs) supported in organic crop farming in the Bakossi-Banyang Mbo landscape</t>
  </si>
  <si>
    <t xml:space="preserve"># of individuals trained in business/quality/marketing and other enterprises who are using the skills 
</t>
  </si>
  <si>
    <t>Tracks quality and scale of enterprise strengthening for IP&amp;LCs</t>
  </si>
  <si>
    <t>Training reports, coaching records, product improvement evaluations</t>
  </si>
  <si>
    <t>Pre/post capacity assessments, case studies, product audits</t>
  </si>
  <si>
    <t>Annually (2025–2027)</t>
  </si>
  <si>
    <t>Assumes continuity of mentorship and technical staff; risk of low retention or implementation gaps</t>
  </si>
  <si>
    <t>CFP: 1 Beekeeping cooperative supported on quality control, marketing, market access, value chain development, and business plan</t>
  </si>
  <si>
    <t xml:space="preserve"># of IP&amp;LC products accessing external markets     
</t>
  </si>
  <si>
    <t>Measures market integration and business competitiveness of IP&amp;LC products</t>
  </si>
  <si>
    <t>Trade partnership MoUs, export documentation, branding kits, sales records</t>
  </si>
  <si>
    <t>Market analysis, value chain tracking, buyer interviews</t>
  </si>
  <si>
    <t>Annually after 2027</t>
  </si>
  <si>
    <t>Assumes stable trade relations and production consistency; risk of regulatory or logistical barriers</t>
  </si>
  <si>
    <t>CFP: Beekeeping cooperative (TOCCODEC) supported in branding and market access</t>
  </si>
  <si>
    <t># of IP&amp;LCs employed in tourism-linked roles (e.g. guides, rangers</t>
  </si>
  <si>
    <t>Assesses livelihood contribution of conservation-linked tourism</t>
  </si>
  <si>
    <t>Employment records, income tracking, eco-tourism business logs</t>
  </si>
  <si>
    <t>Impact stories, tourism income monitoring, visitor satisfaction reviews</t>
  </si>
  <si>
    <t>Assumes tourism demand and security in sites; risk of market downturn or infrastructure issues</t>
  </si>
  <si>
    <t>CFP: 1 CBST strategy available, with implementation initiated</t>
  </si>
  <si>
    <t>% increased in the involvement of IP&amp;LC participation in activities like wildlife monitoring or habitat restoration, …. in CCO supported landscapes</t>
  </si>
  <si>
    <t>CFP: 2 communities (Bakingili &amp; Njonji) supported through RRT to monitor elephants</t>
  </si>
  <si>
    <t>System in place and used to track supported households income annually  (income trends linked to WWF interventions identified)</t>
  </si>
  <si>
    <t>Tracks meaningful involvement in conservation beyond income</t>
  </si>
  <si>
    <t>Activity records, volunteer logs, incentive disbursement files</t>
  </si>
  <si>
    <t>Before-and-after participation comparison, gender/social inclusion scoring</t>
  </si>
  <si>
    <t>Mid-term (2026) and end-term (2030)</t>
  </si>
  <si>
    <t>Assumes equitable recruitment and cultural alignment; risk of participation fatigue or lack of incentives</t>
  </si>
  <si>
    <t>CFP: Livelihood data collection guideline developed &amp; functional</t>
  </si>
  <si>
    <t># of functional partnerships</t>
  </si>
  <si>
    <t>Enables real-time tracking of income trends and attribution to project support</t>
  </si>
  <si>
    <t>Income monitoring dashboards, annual survey tools, enterprise reports</t>
  </si>
  <si>
    <t>Integrated digital tracking + annual household income surveys</t>
  </si>
  <si>
    <t>Annually from 2026</t>
  </si>
  <si>
    <t>Assumes system usability and data security; risk of low literacy or reporting fatigue</t>
  </si>
  <si>
    <t>CFPO: 3 CSOs (FORUDEF, CAD, &amp; AAFEBEN) supported to promote livelihoods in IP&amp;LCs. FORUDEF on NTFP, CAD on CBST, beekeeping, &amp; pig farming, AAFEBEN on NTFP</t>
  </si>
  <si>
    <t xml:space="preserve">By 2030, the number of targeted IP&amp;LC communities in WWF-supported landscapes having access to materials of good life has increased by at least 50% relative to the 2025 baseline </t>
  </si>
  <si>
    <t xml:space="preserve">Survey completed and validated    
</t>
  </si>
  <si>
    <t>Establishes baseline levels of access to critical services to guide targeted interventions</t>
  </si>
  <si>
    <t>Survey report, field data, GIS maps, community feedback</t>
  </si>
  <si>
    <t>Structured household surveys, observational checklists, FGDs, mapping of infrastructure</t>
  </si>
  <si>
    <t>One-time (by June 2026)</t>
  </si>
  <si>
    <t>Assumes full participation; risks include logistical challenges in remote areas and data quality limitations</t>
  </si>
  <si>
    <t>TNS: 1 borehole and 07 wells</t>
  </si>
  <si>
    <t xml:space="preserve">By 2030, at least 50% of the targeted IP&amp;LCs in the CCO targeted landscapes have improved access to clean water by installation or upgrading of community-based water systems (e.g., wells, boreholes, watersheds points, streams, rivers, rainwater harvesting systems) </t>
  </si>
  <si>
    <t xml:space="preserve"># of targeted households with access to clean water points    
</t>
  </si>
  <si>
    <t>Tracks tangible infrastructure improvements and their impact on IP&amp;LC well-being</t>
  </si>
  <si>
    <t>Technical inspection reports, community feedback, GPS water point mapping, maintenance logs</t>
  </si>
  <si>
    <t>Household surveys, water point audits, participatory validation</t>
  </si>
  <si>
    <t>Mid-term (2027) and end-line (2030)</t>
  </si>
  <si>
    <t>Assumes sufficient funding and water source availability; risks include system failure, contamination, or lack of community ownership</t>
  </si>
  <si>
    <t xml:space="preserve"># of functional local governance structures established or revitalized     
</t>
  </si>
  <si>
    <t>Measures community empowerment and influence in planning and resource allocation</t>
  </si>
  <si>
    <t>Meeting minutes, local development plans, participant registers, training attendance</t>
  </si>
  <si>
    <t>FGDs, governance capacity assessments, stakeholder analysis</t>
  </si>
  <si>
    <t>Assumes inclusive leadership and government collaboration; risks include elite capture, internal conflicts, or weak capacity</t>
  </si>
  <si>
    <t xml:space="preserve">CFP: 7 community green business cooperatives (beekeeping, pig farming, sustainable tourism, NTFP sustainable collection and commercialisation) functional
20 cluster constituting 110 IPLCs promoting and participating in development and advocating for their need and rights in their respective PAs </t>
  </si>
  <si>
    <t xml:space="preserve">Monitoring system designed and being implemented      
</t>
  </si>
  <si>
    <t>Enables ongoing analysis of service access changes and adaptation of interventions</t>
  </si>
  <si>
    <t>Digital or manual tracking system, community monitoring committee reports, dashboards</t>
  </si>
  <si>
    <t>Routine monitoring, mobile data collection, quarterly updates from field monitors</t>
  </si>
  <si>
    <t>Quarterly (data collection); Annual (review/reporting)</t>
  </si>
  <si>
    <t>Assumes data management capacity at local level; risks include low digital literacy, data fatigue, or poor system maintenance</t>
  </si>
  <si>
    <t>Policy gaps analysis report completed by theme (land, culture, governance, NRM)</t>
  </si>
  <si>
    <t>Assesses strengths and weaknesses of existing laws/policies affecting IP&amp;LC rights</t>
  </si>
  <si>
    <t>Assessment report, legal framework review, consultation minutes</t>
  </si>
  <si>
    <t>Literature review, policy analysis, key informant interviews, legal expert consultation</t>
  </si>
  <si>
    <t>One-time (2026)</t>
  </si>
  <si>
    <t>Assumes access to legal texts and cooperation from institutions; risk of politically sensitive findings</t>
  </si>
  <si>
    <t>TNS: 01 MoU signed (MINFOF-ASBABUK)
CFP: Policy gaps identified in NR access &amp; use at local and national level</t>
  </si>
  <si>
    <t># of active platforms that IP&amp;LC and other CCO partners are engaged in</t>
  </si>
  <si>
    <t>Tracks participatory mechanisms where IP&amp;LC voices influence policy</t>
  </si>
  <si>
    <t>Meeting minutes, attendance sheets, platform terms of reference, recommendations submitted</t>
  </si>
  <si>
    <t>Stakeholder mapping, perception surveys, content analysis of meeting outcomes</t>
  </si>
  <si>
    <t>Annually (2025–2028)</t>
  </si>
  <si>
    <t>Assumes willingness of diverse actors to engage meaningfully; risk of elite capture or lack of follow-up</t>
  </si>
  <si>
    <t xml:space="preserve"># of IP&amp;LC representatives trained who are engaging in national or regional policy and decisions-making dialogues    </t>
  </si>
  <si>
    <t>Measures capacity-building and active participation of IP&amp;LC in advocacy</t>
  </si>
  <si>
    <t>Training reports, participant evaluations, records of participation in consultations</t>
  </si>
  <si>
    <t>Pre/post training assessments, interviews, activity tracking</t>
  </si>
  <si>
    <t>Annually (starting 2025)</t>
  </si>
  <si>
    <t>Assumes sustained interest and support; risk of intimidation, travel barriers, or legal restrictions</t>
  </si>
  <si>
    <t>TNS: New Forestry  &amp; Wildlife Law
CFP: 10 Community leaders empowered to advocate for CBST
12 community leaders empowered to advocate for community involvement and participation in PA management through CCDAs</t>
  </si>
  <si>
    <t xml:space="preserve"> # of policy briefs or recommendations jointly produced</t>
  </si>
  <si>
    <t>Tracks technical cooperation in designing robust legal/policy reforms</t>
  </si>
  <si>
    <t>MoUs, joint publications, legal proposal drafts, working group records</t>
  </si>
  <si>
    <t>Document review, expert interviews, co-authorship analysis</t>
  </si>
  <si>
    <t>Annually (2025–2030)</t>
  </si>
  <si>
    <t>Assumes commitment and availability of technical partners; risk of conflicting interests or lack of harmonization</t>
  </si>
  <si>
    <t xml:space="preserve"># of advocacy events conducted     
</t>
  </si>
  <si>
    <t>Measures outreach and influence on key decision-makers</t>
  </si>
  <si>
    <t>Advocacy strategy document, media tracking reports, meeting summaries, campaign materials</t>
  </si>
  <si>
    <t>Outcome harvesting, policy discourse analysis, media content review</t>
  </si>
  <si>
    <t>Annually (2026–2030)</t>
  </si>
  <si>
    <t>Assumes political will and freedom of expression; risk of backlash or politicization of advocacy</t>
  </si>
  <si>
    <t>CFP: 2 advocacy campaigns organised with MINTOUL &amp; Ministry of Employment and Vocational Training on CBST. Among others, MINTOUL committed to mainstream elements of CBST into the National Tourism Strategy &amp; signing MoUs with WWF CMR &amp; the CBST association to facilitate the implementation of the CBST strategy in the Bakossi-Banyang Mbo landscape, while MINEFOP committed to support the piloting of CBST in the Bakossi-Banyang Mbo Landscape for upscaling to other Regions and landscapes in Cameroon</t>
  </si>
  <si>
    <t xml:space="preserve"># of formal consultation meetings held     </t>
  </si>
  <si>
    <t>Measures official engagement with policymakers toward law/policy adoption</t>
  </si>
  <si>
    <t>Meeting minutes, legal drafts submitted, policy track logs</t>
  </si>
  <si>
    <t>Legislative tracking, stakeholder interviews, consultation feedback forms</t>
  </si>
  <si>
    <t>Annually from 2027–2030</t>
  </si>
  <si>
    <t>Assumes openness to policy change; risk of administrative delays or shifting political priorities</t>
  </si>
  <si>
    <t># of policy changes implemented     
Evidence of IP&amp;LC inclusion in governance/Natural Resource Management (NRM) (e.g. policy changes, etc)</t>
  </si>
  <si>
    <t>Assesses whether adopted policies lead to real improvements for IP&amp;LCs</t>
  </si>
  <si>
    <t>Policy outcome reports, livelihood assessments, community perception surveys</t>
  </si>
  <si>
    <t>Mixed-methods: household surveys, impact evaluations, focus groups, rights-based M&amp;E</t>
  </si>
  <si>
    <t>Annually (post-adoption)</t>
  </si>
  <si>
    <t>Assumes enforceability and resourcing of new policies; risk of poor implementation or rollback under political pressure</t>
  </si>
  <si>
    <t>HCV forest (Saltflats, forest clearings, baïs)</t>
  </si>
  <si>
    <t>1. No sudden environmental disturbances that could lead to additional clearance of HCV forest surface</t>
  </si>
  <si>
    <t>LNP: 300 ha
CFP: 4000 ha</t>
  </si>
  <si>
    <t>At least 90% of the targeted HCV forest surface area in priority landscapes are maintained intact</t>
  </si>
  <si>
    <t>LNP: 
PN Boumba Bek: 
PN Nki : 
MCNP:
BNP:</t>
  </si>
  <si>
    <t>TNS:6 forest clearings frequently used by wildlife monitored 
MCNP:0
BNP:0
KNP:0
BMWS: 0</t>
  </si>
  <si>
    <t xml:space="preserve">At least 50% of the forest clearings are frequently used by wildlife monitored </t>
  </si>
  <si>
    <t xml:space="preserve">At least 60% of the forest clearings are frequently used by wildlife monitored </t>
  </si>
  <si>
    <t xml:space="preserve">At least 70% of the forest clearings are frequently used by wildlife monitored </t>
  </si>
  <si>
    <t xml:space="preserve">At least 80% of the forest clearings are frequently used by wildlife monitored </t>
  </si>
  <si>
    <t xml:space="preserve">At least 90% of the forest clearings are frequently used by wildlife monitored </t>
  </si>
  <si>
    <t>LNP: 
PN Boumba Bek: 
PN Nki : 
 MCNP:
BNP:</t>
  </si>
  <si>
    <t>Dense Forest</t>
  </si>
  <si>
    <t xml:space="preserve">TRIDOM, TNS, Coastal Forest and Campo Ma'an
</t>
  </si>
  <si>
    <t>Number of ha of targeted forests maintained intact in Non-PAs</t>
  </si>
  <si>
    <t>1. No sudden environmental disturbances that could lead to additional clearance of dense forest surface</t>
  </si>
  <si>
    <t>TNS: &gt;300000Ha
Bakingili CF:0
Woteva CF:0
Etinde CF:0</t>
  </si>
  <si>
    <t>Baseline data for all targeted landscapes and CFs collected</t>
  </si>
  <si>
    <t>At least 95% of the total ha of targeted forests maintained intact in Non-PAs</t>
  </si>
  <si>
    <t>TNS: &gt;200000Ha
MCNP:58,128ha
BNP:29,300ha
KNP:126,000ha
BMWS:68,322ha
TOTAL: 1611527 Ha</t>
  </si>
  <si>
    <t xml:space="preserve">Establishe baseline data </t>
  </si>
  <si>
    <t>Baeline value tons of the ground Carbon Dioxide (CO2) stocked maintained</t>
  </si>
  <si>
    <t>Mangroove forest</t>
  </si>
  <si>
    <t xml:space="preserve">Number of ha of targeted mangrove forests maintained intact </t>
  </si>
  <si>
    <t>Endline</t>
  </si>
  <si>
    <t>1. No sudden environmental disturbances that could lead to additional clearance of mangrove forest surface</t>
  </si>
  <si>
    <t>Rio Del Rey bloc: 100000 ha,
Cameroon estuary block: 88000 ha Estuary</t>
  </si>
  <si>
    <t>Rio Del Rey bloc: 100000 ha, and Cameroon estuary block: 88000 ha Estuary are maintained intact</t>
  </si>
  <si>
    <t>Campo Ma'an NP:
CFP</t>
  </si>
  <si>
    <t>Improved wellbeing</t>
  </si>
  <si>
    <t>TNS: 35% 
TRIDOM: 51.26%
BNP:
KNP:
MCNP:
BMWS:</t>
  </si>
  <si>
    <t>Baseline value established</t>
  </si>
  <si>
    <t>The wellbeing of targeted communities in supported landscapes is improved by 5%</t>
  </si>
  <si>
    <t>The wellbeing of targeted communities in supported landscapes is improved by 10%</t>
  </si>
  <si>
    <t>The wellbeing of targeted communities in supported landscapes is improved by 15%</t>
  </si>
  <si>
    <t>The wellbeing of targeted communities in supported landscapes is improved by 20%</t>
  </si>
  <si>
    <t>HCV Forest protection</t>
  </si>
  <si>
    <t>Forest loss</t>
  </si>
  <si>
    <t>Number of Ha of HCV forests converted to other land uses</t>
  </si>
  <si>
    <t>Endline (only measured half way and at the end)</t>
  </si>
  <si>
    <t>1. Weak regulations or poor enforcement could allow illegal or legal-but-unsustainable conversions.
2. Conflicting interests in conservation versus development intrests</t>
  </si>
  <si>
    <t>0 ha</t>
  </si>
  <si>
    <t>Forest protection</t>
  </si>
  <si>
    <t>Forest loss due to agriculture</t>
  </si>
  <si>
    <t>Annual surface area (ha) of forest converted for agricultural use</t>
  </si>
  <si>
    <t>(especially cocoa)</t>
  </si>
  <si>
    <t>1. Farmers practice sustainable yield-boosting methods that reduce the need to clear new land.
2. Farmers will not see increased yield as an incentive to expand their lands
3. Climate, economic and market situations remain stable</t>
  </si>
  <si>
    <t>0 Ha</t>
  </si>
  <si>
    <t>Agricultural production</t>
  </si>
  <si>
    <t>poor agricultural management</t>
  </si>
  <si>
    <t>By 2030, at least 80% of targeted famers in the CCO supported landscapes implement nature-positive agricultural practices relative to 2025 baseline</t>
  </si>
  <si>
    <t xml:space="preserve">% of farmers who implement nature-positive agricultural practices                     
</t>
  </si>
  <si>
    <t>Focus group is mainly cocoa farmers. Nature-positive Agricultural Practises follow Deforestation and Carbon Free -DCF program and nature positve practices. Implementation describes the effective operationalising as how it was intended.</t>
  </si>
  <si>
    <t>1. The farmers will apply best management practices in managing their agricultural lands, even after the end of the support</t>
  </si>
  <si>
    <t>At least 50% of targeted famers in the CCO supported landscapes implement nature-positive agricultural practices</t>
  </si>
  <si>
    <t>At least 60% of targeted famers in the CCO supported landscapes implement nature-positive agricultural practices</t>
  </si>
  <si>
    <t>At least 70% of targeted famers in the CCO supported landscapes implement nature-positive agricultural practices</t>
  </si>
  <si>
    <t>At least 750% of targeted famers in the CCO supported landscapes implement nature-positive agricultural practices</t>
  </si>
  <si>
    <t>At least 80% of targeted famers in the CCO supported landscapes implement nature-positive agricultural practices</t>
  </si>
  <si>
    <t>934 Ha</t>
  </si>
  <si>
    <t>At least 10% increase in hectares  of nature-positive practices implemented</t>
  </si>
  <si>
    <t>At least 20% increase in hectares  of nature-positive practices implemented</t>
  </si>
  <si>
    <t>At least 30% increase in hectares  of nature-positive practices implemented</t>
  </si>
  <si>
    <t>At least 40% increase in hectares  of nature-positive practices implemented</t>
  </si>
  <si>
    <t>At least 50% increase in hectares  of nature-positive practices implemented</t>
  </si>
  <si>
    <t>Species Conservation Programme, Forest and other habitats programme</t>
  </si>
  <si>
    <t xml:space="preserve">1, 2 </t>
  </si>
  <si>
    <t>Communtiy forests</t>
  </si>
  <si>
    <t>Poor community managed forest</t>
  </si>
  <si>
    <t>1. IPLC apply best management practices in managing their community forest, even after the end of the support</t>
  </si>
  <si>
    <t>50% (300000ha)</t>
  </si>
  <si>
    <t>At least 55% of the targeted CF areas  are managed according to approved best practices</t>
  </si>
  <si>
    <t>At least 60% of the targeted CF areas  are managed according to approved best practices</t>
  </si>
  <si>
    <t>At least 65% of the targeted CF areas  are managed according to approved best practices</t>
  </si>
  <si>
    <t>At least 70% of the targeted CF areas  are managed according to approved best practices</t>
  </si>
  <si>
    <t>At least 75% of the targeted CF areas  are managed according to approved best practices</t>
  </si>
  <si>
    <t>Poor enforcement of the law by forestry, mining and agricultural companies</t>
  </si>
  <si>
    <t>1. Forestry, mining and agricultural companies are willing to implement the legal requirements and operating rules for forest protection.
2. Law enforcement authorities are transparant in enforcing the law</t>
  </si>
  <si>
    <t>30% (1500000 ha)</t>
  </si>
  <si>
    <t>At least 35% compliance with legal and operating regulations for forest protection (by type of company)</t>
  </si>
  <si>
    <t>At least 45% compliance with legal and operating regulations for forest protection (by type of company)</t>
  </si>
  <si>
    <t>At least 55% compliance with legal and operating regulations for forest protection (by type of company)</t>
  </si>
  <si>
    <t>At least 65% compliance with legal and operating regulations for forest protection (by type of company)</t>
  </si>
  <si>
    <t>At least 80% compliance with legal and operating regulations for forest protection (by type of company)</t>
  </si>
  <si>
    <t>Habitat restoration</t>
  </si>
  <si>
    <t>Habitat degradation</t>
  </si>
  <si>
    <t xml:space="preserve">By 2030, the area of targeted   habitat restored is increased by at least 25% (from 187000 ha to 500000 ha) compared to the 2025 baseline.
</t>
  </si>
  <si>
    <t>1. The private sector is willing to carry out restoration in their concessions, with the government/ law enforcement effectively monitoring</t>
  </si>
  <si>
    <t xml:space="preserve">187000 ha </t>
  </si>
  <si>
    <t>250000 Ha</t>
  </si>
  <si>
    <t>300000 Ha</t>
  </si>
  <si>
    <t>350000 Ha</t>
  </si>
  <si>
    <t>400000 Ha</t>
  </si>
  <si>
    <t>500000 Ha</t>
  </si>
  <si>
    <t>Poor law enforcement guidance on biodiversity and environmental management</t>
  </si>
  <si>
    <t>At least 02 national policies/ strategies or decrees of applications on biodiversity and environmental management are enacted or reviewed with support of WWF</t>
  </si>
  <si>
    <t>At least 03 national policies/ strategies or decrees of applications on biodiversity and environmental management are enacted or reviewed with support of WWF</t>
  </si>
  <si>
    <t>At least 04 national policies/ strategies or decrees of applications on biodiversity and environmental management are enacted or reviewed with support of WWF</t>
  </si>
  <si>
    <t>At least 05 national policies/ strategies or decrees of applications on biodiversity and environmental management are enacted or reviewed with support of WWF</t>
  </si>
  <si>
    <t>At least 01 national policies/ strategies or decrees of applications on biodiversity and environmental management are enacted or reviewed with support of WWF</t>
  </si>
  <si>
    <t>Programme Outputs
(High level)
Refers to the non-negotiable outputs that are critical for the success of the programme, based on the Theory of Change</t>
  </si>
  <si>
    <t>% of total landscape area mapped as HCV</t>
  </si>
  <si>
    <t>Extent and diversity of HCV forests recognized</t>
  </si>
  <si>
    <t>GIS maps; community workshop reports; satellite imagery</t>
  </si>
  <si>
    <t>Remote sensing analyses; participatory mapping with communities; classification per HCV categories</t>
  </si>
  <si>
    <t>Baseline + annually updates</t>
  </si>
  <si>
    <t>Assumes accurate community input; risks of misclassification, poor satellite resolution</t>
  </si>
  <si>
    <t>Number of HCVs identified per category</t>
  </si>
  <si>
    <t># of HCV forest boundaries validated</t>
  </si>
  <si>
    <t>Formal community agreement on mapped boundaries</t>
  </si>
  <si>
    <t>Signed maps</t>
  </si>
  <si>
    <t>Community workshops</t>
  </si>
  <si>
    <t>Semi-annual updates</t>
  </si>
  <si>
    <t>Assumes local government cooperation; risk of political delay or boundary disputes</t>
  </si>
  <si>
    <t xml:space="preserve"> % integrated HCV forests into municipal land-use plans</t>
  </si>
  <si>
    <t>municipal plan documents</t>
  </si>
  <si>
    <t>review of land-use plans; stakeholder interviews</t>
  </si>
  <si>
    <t># of HCV forests gazetted or in process of being gazzeted</t>
  </si>
  <si>
    <t>Movement toward formal protection</t>
  </si>
  <si>
    <t>Legal gazette notices; signed agreements; government records</t>
  </si>
  <si>
    <t>Monitoring via legal tracking; documentation review</t>
  </si>
  <si>
    <t>Quarterly; annual verification</t>
  </si>
  <si>
    <t>Assumes political will; risks include bureaucratic delays or landowner opposition</t>
  </si>
  <si>
    <t>Advocacy for prioritising HCV forests in CCO targeted landscapes in municipal/regional dev't strategies done and enforced through local governance by June 2027
HCV forest advocacy integrated into local dev't strategies and enforced through governance by June 2027.</t>
  </si>
  <si>
    <t>Presence of HCV language in strategies; # of local government units endorsing</t>
  </si>
  <si>
    <t>Success in embedding HCV priorities</t>
  </si>
  <si>
    <t>Copies of strategies; meeting minutes; resolutions</t>
  </si>
  <si>
    <t>Advocacy tracking; content analysis; stakeholder interviews</t>
  </si>
  <si>
    <t>Annual review per plan update</t>
  </si>
  <si>
    <t>Assumes receptive authorities; risk of strategy being ignored or unenforced</t>
  </si>
  <si>
    <t>Functionality of community-based forest protection observatory structures supported by June 2027</t>
  </si>
  <si>
    <t># of observatories established; # active observers</t>
  </si>
  <si>
    <t>Strength and activity of community monitoring structures</t>
  </si>
  <si>
    <t>Meeting logs; observer rosters; activity reports</t>
  </si>
  <si>
    <t>Field visit verification; interview; log collection and analysis</t>
  </si>
  <si>
    <t>Assumes sustained community interest; risks: lack of funding, leadership, capacity</t>
  </si>
  <si>
    <t>IP&amp;LC are engaged in surveillance, reporting, and co-management with CCO support annually.</t>
  </si>
  <si>
    <t># of patrols; number of incident reports; % of incidents acted on</t>
  </si>
  <si>
    <t>Level of local engagement and effectiveness</t>
  </si>
  <si>
    <t>Patrol logs; incident database; enforcement records</t>
  </si>
  <si>
    <t>Routine data checks; qualitative interviews; performance assessments</t>
  </si>
  <si>
    <t>Monthly for patrols; Quarterly for analysis</t>
  </si>
  <si>
    <t>Assumes reliable record-keeping; risks: under-reporting, lack of response</t>
  </si>
  <si>
    <t>Sustainable IGAs, (NTFPs, ecotourism...) are functional for IP&amp;LC around HCV forests by June 2028.</t>
  </si>
  <si>
    <t># of initiatives launched; income change per household; revenue from NTFPs/tourism</t>
  </si>
  <si>
    <t>Degree of economic sustainability</t>
  </si>
  <si>
    <t>Activity reports; financial records; household surveys</t>
  </si>
  <si>
    <t>Project monitoring; household income surveys; market assessments</t>
  </si>
  <si>
    <t>Quarterly; annual income impact analysis</t>
  </si>
  <si>
    <t>Assumes market access; risks: market collapse, overharvesting, inequity</t>
  </si>
  <si>
    <t xml:space="preserve">Training and tools provided to local councils, forest officers, and judiciary on HCV protection and enforcement by June 2026 .
</t>
  </si>
  <si>
    <t># people trained; pre/post-test knowledge change; enforcement actions following training</t>
  </si>
  <si>
    <t>Quality and impact of capacity building</t>
  </si>
  <si>
    <t>Attendance sheets; test results; case records</t>
  </si>
  <si>
    <t>Training evaluations; document review; interviews</t>
  </si>
  <si>
    <t>Per training session; annual follow-up</t>
  </si>
  <si>
    <t>Assumes trained staff remain in post; risk of high turnover, insufficient resources</t>
  </si>
  <si>
    <t xml:space="preserve">Support provided to carry out annual independent audits and verification of zero conversion status and reports shared to enhance transparency and accountability
Annual independent audits and verification of zero conversion status done &amp; reports shared </t>
  </si>
  <si>
    <t># of audits completed; audit findings; public audit availability</t>
  </si>
  <si>
    <t>Transparency and compliance in HCV protection</t>
  </si>
  <si>
    <t>Audit reports; public disclosures</t>
  </si>
  <si>
    <t>Contract independent auditors; review satellite &amp; field data; publish results</t>
  </si>
  <si>
    <t>Assumes audits are unbiased; risks: insufficient audit scope, data manipulation, unread results</t>
  </si>
  <si>
    <t xml:space="preserve">Spatial and statistical baseline for forest loss due to agriculture by June 2026 </t>
  </si>
  <si>
    <t xml:space="preserve">Baseline hectares of forest lost to agriculture per landscape    </t>
  </si>
  <si>
    <t>Provides a geospatial and community-validated reference for future monitoring of deforestation due to agriculture</t>
  </si>
  <si>
    <t>Satellite imagery (e.g., Sentinel, Landsat), field reports, community mapping outputs</t>
  </si>
  <si>
    <t>Remote sensing analysis cross-checked with field GPS transects and participatory rural appraisals (PRA)</t>
  </si>
  <si>
    <t>Once at start (baseline), update every 2–3 years</t>
  </si>
  <si>
    <t>Assumes access to quality satellite imagery and community engagement; risk of poor imagery/cloud cover or limited ground-truthing capacity</t>
  </si>
  <si>
    <t xml:space="preserve">Land use plans defined in CCO landscapes showing different used zones by (agricultural…) by June 2027 </t>
  </si>
  <si>
    <t xml:space="preserve">Validated landuse plans </t>
  </si>
  <si>
    <t>Resulting plan maps conservation, agriculture, and buffer zones based on consensus</t>
  </si>
  <si>
    <t>Validated land use plans; maps; minutes of validation meetings</t>
  </si>
  <si>
    <t>Participatory planning workshops, spatial mapping, stakeholder interviews, GIS digitization</t>
  </si>
  <si>
    <t>Once per landscape (plan cycle), reviewed every 3–5 years</t>
  </si>
  <si>
    <t>Assumes stakeholder buy-in; risks include conflicting land claims, lack of government recognition of plans</t>
  </si>
  <si>
    <t>Climate-smart farming promoted via training on agroforestry, composting, soil mgt by June 2027</t>
  </si>
  <si>
    <t xml:space="preserve"> # of farmers trained (sex disaggregated)   </t>
  </si>
  <si>
    <t>Builds capacity for sustainable agriculture to reduce pressure on forests</t>
  </si>
  <si>
    <t>Training attendance records; demo plot reports; farmer follow-up surveys</t>
  </si>
  <si>
    <t>Training logs; follow-up visits; adoption surveys; yield comparisons</t>
  </si>
  <si>
    <t>Quarterly reporting; annual outcome survey</t>
  </si>
  <si>
    <t>Assumes interest from farmers; risks: low adoption due to cost/labor, weak extension support</t>
  </si>
  <si>
    <t>CFP: 01 community (IP) I supported in organic crop farming</t>
  </si>
  <si>
    <t>Livelihood diversification programs supported (beekeeping, fish farming, NTFPs) by June 2027.</t>
  </si>
  <si>
    <t xml:space="preserve"># and type of functional programs </t>
  </si>
  <si>
    <t>Alternative income sources reduce reliance on forest conversion</t>
  </si>
  <si>
    <t>Program records; household income surveys; market access reports</t>
  </si>
  <si>
    <t>Household interviews, income tracking, beneficiary focus groups</t>
  </si>
  <si>
    <t>Bi-annually; full outcome assessment annually</t>
  </si>
  <si>
    <t>Assumes viable markets and climate-resilient value chains; risks: market failure, unsustainable resource use</t>
  </si>
  <si>
    <t xml:space="preserve">CFP: 02 honey production groups (Mborors and TOCODEC)supported
01 NTFP cooperative supported </t>
  </si>
  <si>
    <t>Coordination among sectors (agric, environment, IP&amp;LC…) improved annually through MSP in CCO landscapes</t>
  </si>
  <si>
    <t xml:space="preserve"># of joint decisions/actions carried out   </t>
  </si>
  <si>
    <t>Facilitates integrated decision-making and enforcement across sectors</t>
  </si>
  <si>
    <t>MSP meeting minutes; MOUs; joint action reports</t>
  </si>
  <si>
    <t>Stakeholder analysis, meeting documentation review, interviews</t>
  </si>
  <si>
    <t>Quarterly meetings; annual coordination assessment</t>
  </si>
  <si>
    <t>Assumes consistent participation and alignment of interests; risk of institutional silos or competing mandates</t>
  </si>
  <si>
    <t>Support provided to real-time monitoring of forest clearance for agriculture in CCO targeted landscapes through local forest surveillance groups</t>
  </si>
  <si>
    <t># of monitoring actions done</t>
  </si>
  <si>
    <t>Community surveillance detects and reports illegal agricultural expansion</t>
  </si>
  <si>
    <t>Alert logs; verification and enforcement records; GPS-tagged incident reports</t>
  </si>
  <si>
    <t>Use of mobile reporting tools; verification by field agents; incident mapping</t>
  </si>
  <si>
    <t>Continuous collection; monthly consolidation</t>
  </si>
  <si>
    <t>Assumes strong local motivation; risks include poor connectivity, fear of reprisal, or lack of enforcement</t>
  </si>
  <si>
    <t xml:space="preserve">Annual forest loss (ha)   </t>
  </si>
  <si>
    <t>Ensures objective tracking and allows for data-informed response</t>
  </si>
  <si>
    <t>Independent satellite analysis reports; planning revision documents</t>
  </si>
  <si>
    <t>Use external audit firms or academic institutions for satellite change detection; compare to baseline</t>
  </si>
  <si>
    <t>Assumes timely access to quality data; risks: bias in verification, limited uptake of recommendations in planning</t>
  </si>
  <si>
    <t>By 2030, at least 80% of targeted famers in the CCO supported landscapes implement  nature-positive agricultural practices  relative to 2025 baseline</t>
  </si>
  <si>
    <t>A detailed survey conducted to document existing agricultural practices &amp; challenges by June 2026.</t>
  </si>
  <si>
    <t xml:space="preserve">Baseline survey, completed </t>
  </si>
  <si>
    <t>Proportion of farmers participating</t>
  </si>
  <si>
    <t>Completed survey forms, attendance lists</t>
  </si>
  <si>
    <t>Administer structured questionnaires; hire enumerators/trainers; analyze data in Excel/SPSS</t>
  </si>
  <si>
    <t>One-time (baseline), repeat midline if needed</t>
  </si>
  <si>
    <t>Assumes honest participation, accurate recall; risk of low response rate or sampling bias</t>
  </si>
  <si>
    <t>Annual training provided on best agricultural practices (e.g., agroforestry, soil conservation, composting, water efficiency).</t>
  </si>
  <si>
    <t xml:space="preserve"> # of farmers trained who are using the acquired skills</t>
  </si>
  <si>
    <t>Tracks training reach</t>
  </si>
  <si>
    <t>Attendance sheets, training reports, photos</t>
  </si>
  <si>
    <t>Monitor sessions, pre/post tests to assess learning; summary reports</t>
  </si>
  <si>
    <t>Quarterly or bi‑monthly (depending on program schedule)</t>
  </si>
  <si>
    <t>Assumes attendance equals engagement; risk that training quality varies</t>
  </si>
  <si>
    <t>Demo plots established to show practical application of improved practices and encourage peer-to-peer learning by June 2027.</t>
  </si>
  <si>
    <t># of demo plots showing expected benefits</t>
  </si>
  <si>
    <t>Tracks establishment and performance</t>
  </si>
  <si>
    <t>Field visit logs, geo-tags/photos, yield measurements</t>
  </si>
  <si>
    <t>Technical staff record locations, take photos, collect baseline/endline data; yield comparison vs. control</t>
  </si>
  <si>
    <t>Ongoing field visits; yield comparison at end of season</t>
  </si>
  <si>
    <t>Assumes consistency in plot management; risks: weather variability, plot mismanagement</t>
  </si>
  <si>
    <t xml:space="preserve">A network of local trainers, “model farmers,” or community facilitators trained by June 2027 to mentor others.
</t>
  </si>
  <si>
    <t># of local facilitators trained and are actively mentoring others</t>
  </si>
  <si>
    <t>Tracks capacity building</t>
  </si>
  <si>
    <t>Training attendance records; facilitator activity logs/yearly reports</t>
  </si>
  <si>
    <t>Training records + mentoring activity forms; maybe spot audits of facilitated sessions</t>
  </si>
  <si>
    <t>Training session end; quarterly for mentoring activity</t>
  </si>
  <si>
    <t>Assumes mentors are willing and available; risk of attrition or inadequate support</t>
  </si>
  <si>
    <t>Farmers are supported annually with distribution or subsidized access to quality materials &amp; tools</t>
  </si>
  <si>
    <t># of farmers who received inputs and are using them correctly</t>
  </si>
  <si>
    <t>Measures distribution &amp; usage</t>
  </si>
  <si>
    <t>Distribution receipts, farmer self-report, field checks</t>
  </si>
  <si>
    <t>Maintain stock &amp; distribution logs; conduct follow-up visits; spot checks; sample crop quality</t>
  </si>
  <si>
    <t>Per distribution cycle (seasonally)</t>
  </si>
  <si>
    <t>Assumes supply chain integrity; risk of misallocation or misuse</t>
  </si>
  <si>
    <t>Facilitate links between suppliers and farmer cooperatives annually.</t>
  </si>
  <si>
    <t xml:space="preserve"># of formal supplier–cooperative agreements; </t>
  </si>
  <si>
    <t>Tracks linkage success</t>
  </si>
  <si>
    <t>Signed MOUs, transaction receipts, invoices</t>
  </si>
  <si>
    <t>Record agreements; collect transaction data; interview cooperatives</t>
  </si>
  <si>
    <t>Bi‑annual</t>
  </si>
  <si>
    <t>Assumes supplier reliability; risk of contracts not honored or low demand</t>
  </si>
  <si>
    <t>Awareness and behaviour change campaigns conducted annually with use of community radio, posters, mobile messaging, and exchange visits to promote adoption of best practices.</t>
  </si>
  <si>
    <t># of target audience reached with campaigns/messages d</t>
  </si>
  <si>
    <t>Measures communication effectiveness</t>
  </si>
  <si>
    <t>Radio logs, poster distribution records, SMS logs; KAP survey results</t>
  </si>
  <si>
    <t>Monitor radio airtime, poster distribution; conduct pre/post awareness surveys</t>
  </si>
  <si>
    <t>Per campaign cycle</t>
  </si>
  <si>
    <t>Assumes media reaches target; risk of message misinterpretation or limited reach in remote areas</t>
  </si>
  <si>
    <t>A tracking system to monitor which farmers have adopted which practices jointly adopted &amp; used annually</t>
  </si>
  <si>
    <t>Functional tracking system</t>
  </si>
  <si>
    <t>Tracks uptake</t>
  </si>
  <si>
    <t>Digital entries, field forms, system logs</t>
  </si>
  <si>
    <t>Use mobile forms/apps or paper system collated digitally; analyze by practice by region</t>
  </si>
  <si>
    <t>Monthly or quarterly</t>
  </si>
  <si>
    <t>Assumes tech functionality and farmer honesty; risks: data gaps, system downtime, staff capacity issues</t>
  </si>
  <si>
    <t>Farmers’ uptake and impact reviewed to facilitate re-training or adaptation of approaches based on farmer feedback and observed challenges</t>
  </si>
  <si>
    <t># farms showing improved yields/practices</t>
  </si>
  <si>
    <t>Evaluates effectiveness and impact</t>
  </si>
  <si>
    <t>Annual review reports, yield records, farmer testimonies, photos</t>
  </si>
  <si>
    <t>Analyze tracking system + yield data + qualitative interviews; compute improvements over baseline</t>
  </si>
  <si>
    <t>Assumes consistent capture of baseline data; risk of external factors influencing yield</t>
  </si>
  <si>
    <t>Yearly reviews to assess farmers’ uptake and impact carried out to facilitate re-training or adaptation of approaches based on farmer feedback and observed challenges</t>
  </si>
  <si>
    <t>Local Agricultural Platforms and Cooperatives strengthened annually through support to farmers to organize themselves in cooperatives or local platforms for shared learning and access to inputs/markets.</t>
  </si>
  <si>
    <t># of farmers engaged in cooperatives/platforms revenue</t>
  </si>
  <si>
    <t>Measures organizational resilience</t>
  </si>
  <si>
    <t>Registration documents, meeting minutes, financial statements</t>
  </si>
  <si>
    <t>Monitor membership lists + meeting attendance; review financial records; conduct qualitative assessments</t>
  </si>
  <si>
    <t>Bi‑annual or annual</t>
  </si>
  <si>
    <t>Assumes record keeping; risk of poor governance or external competitiveness</t>
  </si>
  <si>
    <t>Baseline established for all supported community forests, assessing current governance, harvesting practices, and forest condition and benchmarks set for measuring improvement over time by June 2025</t>
  </si>
  <si>
    <t># of supported community forests with completed baseline assessments</t>
  </si>
  <si>
    <t>Measures whether all targeted forests have a baseline capturing governance, harvesting, and forest condition</t>
  </si>
  <si>
    <t>Baseline reports, field assessment forms, GIS maps, meeting minutes</t>
  </si>
  <si>
    <t>Field surveys, remote sensing, stakeholder interviews, participatory rural appraisals</t>
  </si>
  <si>
    <t>One-time in 2025</t>
  </si>
  <si>
    <t>Assumes access to all sites and collaboration from communities; risk of logistical delays due to remoteness or seasonal constraints</t>
  </si>
  <si>
    <t>All CCO supported CFs have up-to-date, legally approved SMPs aligned with national forest regulations and sustainable use standards and in its implementation by Dec 2027</t>
  </si>
  <si>
    <t># of community forests with SMPs legally approved and under active implementation</t>
  </si>
  <si>
    <t>Tracks legal and operational compliance with sustainable forest management plans</t>
  </si>
  <si>
    <t>Approved SMPs, implementation reports, regulatory authority records, community reports</t>
  </si>
  <si>
    <t>Review of SMP documents, interviews with stakeholders, site visits to verify implementation</t>
  </si>
  <si>
    <t>Assumes legal frameworks are clear and approvals are timely; risk of bureaucratic delays or limited implementation capacity</t>
  </si>
  <si>
    <t>Annual training &amp; tailored guides provided to CF management committees on best practices including legal compliance; reduced-impact logging; monitoring and reporting and financial management and benefit sharing.</t>
  </si>
  <si>
    <t># of committee members trained who are demonstrating knowledge/skills acquired</t>
  </si>
  <si>
    <t>Measures training effectiveness in legal compliance, logging, monitoring, and benefit-sharing</t>
  </si>
  <si>
    <t>Training reports, attendance sheets, pre/post-training test results</t>
  </si>
  <si>
    <t>Pre/post knowledge tests, feedback forms, trainer debriefs</t>
  </si>
  <si>
    <t>After each training session; summary semi-annually</t>
  </si>
  <si>
    <t>Assumes regular participation of committee members; risk of staff turnover or low literacy levels</t>
  </si>
  <si>
    <t>An independent and transparent monitoring system implemented by June 2026 to assess compliance with management plans; forest health indicators; and community satisfaction and revenue distribution</t>
  </si>
  <si>
    <t># of forests monitored with compliant/SMPs</t>
  </si>
  <si>
    <t>Assesses compliance with plans, forest health, revenue distribution, and satisfaction</t>
  </si>
  <si>
    <t>Independent audit reports, biodiversity survey results, community satisfaction data</t>
  </si>
  <si>
    <t>Field audits, satellite monitoring, surveys, analysis of financial and ecological indicators</t>
  </si>
  <si>
    <t>Semi-annually or annually</t>
  </si>
  <si>
    <t>Assumes independence of monitoring system; risk of manipulation or lack of community trust in process</t>
  </si>
  <si>
    <t>Revenue management and benefit-sharing systems operational by June 2026</t>
  </si>
  <si>
    <t xml:space="preserve">Number of  benefit-sharing mechanisms being operationalised. </t>
  </si>
  <si>
    <t>Measures functionality and equity of benefit-sharing arrangements</t>
  </si>
  <si>
    <t>Financial ledgers, payment records, distribution agreements, community meeting notes</t>
  </si>
  <si>
    <t>Document review, community validation meetings, participatory budget tracking tools</t>
  </si>
  <si>
    <t>Quarterly or biannually depending on revenue cycle</t>
  </si>
  <si>
    <t>Assumes transparent and inclusive financial management; risk of elite capture or misuse of funds</t>
  </si>
  <si>
    <t>Supported CFs members participate in annual exchange events to learn from one another and replicate good practices</t>
  </si>
  <si>
    <t># of CFs members represented in exchange events</t>
  </si>
  <si>
    <t>Measures peer learning and replication of good forest management practices</t>
  </si>
  <si>
    <t>Event reports, participant lists, post-event surveys, documentation of adoption</t>
  </si>
  <si>
    <t>Surveys and interviews with participants, case study documentation</t>
  </si>
  <si>
    <t>Assumes funding and interest for participation; risk of limited follow-through or low adoption rate of new practices</t>
  </si>
  <si>
    <t>Forest Protection</t>
  </si>
  <si>
    <t>Baseline compliance assessment completed for targeted companies operating around CCO landscapes with a thorough multi-sector audit of current legal compliance by companies operating in forestry, mining, and agriculture by end of June 2026</t>
  </si>
  <si>
    <t># of companies assessed and baseline established</t>
  </si>
  <si>
    <t>Establishes baseline legal compliance and gaps across sectors</t>
  </si>
  <si>
    <t>Baseline audit reports, site visit logs, company documentation</t>
  </si>
  <si>
    <t>Field audits, legal document review, stakeholder interviews, GIS checks</t>
  </si>
  <si>
    <t>One-time at start of program</t>
  </si>
  <si>
    <t>Assumes company and agency cooperation; risk of data withholding or limited access to sites</t>
  </si>
  <si>
    <t xml:space="preserve">Targeted training and capacity building for private sector companies conducted by June 2026 (Environmental law, REDD+ safeguards, forestry and wildlife regulations, permit and reporting obligations) </t>
  </si>
  <si>
    <t># of companies/individuals trained</t>
  </si>
  <si>
    <t>Evaluates private sector understanding of legal responsibilities</t>
  </si>
  <si>
    <t>Training attendance lists, pre/post assessments, feedback forms</t>
  </si>
  <si>
    <t>Training evaluations, knowledge tests, qualitative feedback</t>
  </si>
  <si>
    <t>Per training cycle (semi-annually or quarterly)</t>
  </si>
  <si>
    <t>Assumes trainee availability and engagement; risk of high staff turnover in companies</t>
  </si>
  <si>
    <t>Support provided for annual independent compliance audits to be conducted for targeted companies of CCO supported landscapes</t>
  </si>
  <si>
    <t xml:space="preserve"># of companies audited with compliance standards </t>
  </si>
  <si>
    <t>Tracks annual legal compliance of targeted companies</t>
  </si>
  <si>
    <t>Independent audit reports, legal review findings, stakeholder testimonies</t>
  </si>
  <si>
    <t>Desk and field audits, document review, third-party verification</t>
  </si>
  <si>
    <t>Assumes availability of qualified auditors; risk of biased findings or non-cooperation</t>
  </si>
  <si>
    <t>Grievance Redress Mechanisms (GRM) and Whistleblower are operational to track violations or illegal activities of the private sector companies by December 2027</t>
  </si>
  <si>
    <t>Mechanism functional with information</t>
  </si>
  <si>
    <t>Monitors accountability through citizen and employee reporting channels</t>
  </si>
  <si>
    <t>Grievance logs, resolution reports, hotline/email records</t>
  </si>
  <si>
    <t>Grievance database analysis, resolution time tracking, trend analysis</t>
  </si>
  <si>
    <t>Continuous, with reports compiled quarterly or annually</t>
  </si>
  <si>
    <t>Assumes mechanism is trusted and accessible; risk of retaliation, underreporting, or false claims</t>
  </si>
  <si>
    <t>MSPs are functional for dialogue between companies, government agencies, and IP&amp;LC as well as for shared understanding of laws, conflict resolution, and accountability by June 2030</t>
  </si>
  <si>
    <t># of MSP meetings held with representativeness</t>
  </si>
  <si>
    <t>Assesses level of engagement and effectiveness of multi-stakeholder platforms (MSPs)</t>
  </si>
  <si>
    <t>MSP meeting minutes, action plans, attendance records, conflict resolution logs</t>
  </si>
  <si>
    <t>Observation, qualitative evaluation of meeting outcomes, stakeholder surveys</t>
  </si>
  <si>
    <t>Quarterly or biannually</t>
  </si>
  <si>
    <t>Assumes willingness to participate; risk of dominance by powerful actors, lack of consensus</t>
  </si>
  <si>
    <t>WWF partner CSOs are working with the private sector to  operationalise a compliance monitoring and reporting system annually</t>
  </si>
  <si>
    <t># of systems developed and operational</t>
  </si>
  <si>
    <t>Measures CSO engagement in holding companies accountable</t>
  </si>
  <si>
    <t>Support agreements, system documentation, reporting logs</t>
  </si>
  <si>
    <t>Review of reporting tools, interviews with CSOs and companies, progress tracking</t>
  </si>
  <si>
    <t>Biannually or annually</t>
  </si>
  <si>
    <t>Assumes CSOs have technical capacity and trust; risk of conflict with companies, underfunding</t>
  </si>
  <si>
    <t>By 2030, the area of targeted   habitat restored is increased by at least 25% compared to the 2025 baseline.</t>
  </si>
  <si>
    <t>Degraded areas in CCO landscapes  are identified, classified, and georeferenced by June 2026 and baseline restoration area defined for monitoring future gains for all targeted CCO landscapes</t>
  </si>
  <si>
    <t># of landscapes with georeferenced baseline on degraded areas</t>
  </si>
  <si>
    <t>Establishes the baseline for future monitoring of restoration progress</t>
  </si>
  <si>
    <t>GIS maps, remote sensing data, field survey reports, classification records</t>
  </si>
  <si>
    <t>Participatory mapping, GPS tagging, habitat condition assessments, satellite imagery analysis</t>
  </si>
  <si>
    <t>One-time baseline, with updates every 3–5 years</t>
  </si>
  <si>
    <t>Assumes access to full landscape and skilled GIS staff; risk of data inaccuracy due to poor imagery or seasonal visibility</t>
  </si>
  <si>
    <t>Site-specific ecological restoration plans are participatorily developed by June 2026 in consultation with communities and technical experts to ensure they include native species selection, planting design, soil stabilization, and fire prevention strategies</t>
  </si>
  <si>
    <t># of site-specific plans developed and approved</t>
  </si>
  <si>
    <t>Ensures restoration plans reflect ecological needs and community priorities</t>
  </si>
  <si>
    <t>Approved plans, meeting minutes, expert reviews, community validation reports</t>
  </si>
  <si>
    <t>Joint planning workshops, ecological assessments, stakeholder consultations</t>
  </si>
  <si>
    <t>Per site/landscape, once before restoration begins</t>
  </si>
  <si>
    <t>Assumes stakeholder availability and alignment of priorities; risk of delays due to lack of consensus</t>
  </si>
  <si>
    <t>Annual support provided for the creation and use of community tree nurseries and seed banks</t>
  </si>
  <si>
    <t># of nurseries and seed banks with diverse native species established</t>
  </si>
  <si>
    <t>Tracks infrastructure and access to native planting materials</t>
  </si>
  <si>
    <t>Nursery establishment records, inventory logs, seedling survival data</t>
  </si>
  <si>
    <t>Field inspections, seed stock documentation, germination and viability tests</t>
  </si>
  <si>
    <t>Biannually</t>
  </si>
  <si>
    <t>Assumes access to native seeds and technical support; risk of low seed viability or climate-related nursery failures</t>
  </si>
  <si>
    <t>Annual FLR activities implemented by local actors in all CCO targeted landscapes</t>
  </si>
  <si>
    <t xml:space="preserve"># of hectares restored in targeted degraded areas. </t>
  </si>
  <si>
    <t>Monitors actual restoration work on the ground by communities</t>
  </si>
  <si>
    <t>Field activity reports, planting logs, site photos, contracts with local actors</t>
  </si>
  <si>
    <t>GPS mapping, field observations, community reporting, time-series photo documentation</t>
  </si>
  <si>
    <t>Quarterly or seasonal (aligned with planting cycles)</t>
  </si>
  <si>
    <t>Assumes suitable planting seasons and community engagement; risks include fire, drought, or seedling mortality</t>
  </si>
  <si>
    <t xml:space="preserve">Training and technical support provided to IP&amp;LC and targeted stakeholders on FLR by Dec 2026 </t>
  </si>
  <si>
    <t># of people trained; % reporting increased capacity</t>
  </si>
  <si>
    <t>Measures capacity-building in restoration, monitoring, and fire management</t>
  </si>
  <si>
    <t>Training attendance records, pre/post-training assessments, feedback surveys</t>
  </si>
  <si>
    <t>Training evaluations, follow-up surveys, qualitative feedback</t>
  </si>
  <si>
    <t>Per training session; results aggregated semi-annually</t>
  </si>
  <si>
    <t>Assumes literacy levels allow training absorption; risk of low retention or lack of access to tools for implementation</t>
  </si>
  <si>
    <t>Annual joint monitoring system for restored habitats operational to track survival rates, species diversity, canopy cover, and soil quality.</t>
  </si>
  <si>
    <t xml:space="preserve"> % of restored areas tracked for key indicators (e.g., survival rate, soil quality)</t>
  </si>
  <si>
    <t>Ensures systematic tracking of ecological recovery</t>
  </si>
  <si>
    <t>Monitoring reports, field data sheets, biodiversity assessments, soil and canopy measurements</t>
  </si>
  <si>
    <t>Standardized data collection protocols (transects, quadrats), soil testing, photographic monitoring</t>
  </si>
  <si>
    <t>Assumes sustained community involvement and data reliability; risk of tool breakdown, data loss or inconsistent methodologies</t>
  </si>
  <si>
    <t xml:space="preserve">Annual exchange visits, policy dialogues, and documentation of lessons learned supported in all targeted CCO landscapes to replicate and scale successful models </t>
  </si>
  <si>
    <t># of exchange visits/events held</t>
  </si>
  <si>
    <t>Promotes peer learning, policy engagement, and replication of successful models</t>
  </si>
  <si>
    <t>Event reports, participant feedback, documentation of practices, policy briefs</t>
  </si>
  <si>
    <t>Participant surveys, documentation review, qualitative case studies</t>
  </si>
  <si>
    <t>Assumes interest and funding for participation; risk of low implementation of shared practices or lack of policy uptake</t>
  </si>
  <si>
    <t>Comprehensive review of existing environmental and biodiversity policies, laws, and decrees carried out annually with priority areas for reform, alignment with international commitments (e.g. CBD, Paris Agreement), and implementation bottlenecks flagged out.</t>
  </si>
  <si>
    <t xml:space="preserve"># of policy/law reviews completed; </t>
  </si>
  <si>
    <t>Assesses legal frameworks’ alignment with international standards (CBD, Paris Agreement) and flags reform priorities</t>
  </si>
  <si>
    <t>Policy review report, stakeholder consultation minutes, comparative legal analysis</t>
  </si>
  <si>
    <t>Desk review, stakeholder interviews, comparative legal analysis matrix</t>
  </si>
  <si>
    <t>One-time (with periodic updates every 3–5 years)</t>
  </si>
  <si>
    <t>Assumes access to all relevant legal documents; risk of political sensitivity or reluctance to disclose gaps</t>
  </si>
  <si>
    <t># of policy platforms CCO participated in</t>
  </si>
  <si>
    <t>Measures CCO’s presence and influence in key national and sub-national policy processes</t>
  </si>
  <si>
    <t>Meeting records, policy platform rosters, adopted input records</t>
  </si>
  <si>
    <t>Participation tracking, feedback from policy actors, outcome mapping</t>
  </si>
  <si>
    <t>Quarterly or per meeting cycle</t>
  </si>
  <si>
    <t>Assumes consistent invitations and active engagement space; risk of tokenistic participation or political exclusion</t>
  </si>
  <si>
    <t># of CSO coalitions formed/engaged with joint actions undertaken</t>
  </si>
  <si>
    <t>Assesses level of collaboration and joint advocacy with CSOs</t>
  </si>
  <si>
    <t>Partnership MOUs, joint advocacy statements, coalition meeting minutes</t>
  </si>
  <si>
    <t>Stakeholder mapping, qualitative assessments of coalition effectiveness</t>
  </si>
  <si>
    <t>Assumes aligned agendas among CSOs; risk of fragmentation or competition within the coalition</t>
  </si>
  <si>
    <t>Support provided to draft or revise at least two legal/policy instruments annually (e.g., National Biodiversity Strategy, Forest Law Decree of Application).</t>
  </si>
  <si>
    <t># of draft or revised instruments submitted</t>
  </si>
  <si>
    <t>Measures direct technical contribution to legal reform (e.g., forest laws, biodiversity strategies)</t>
  </si>
  <si>
    <t>Draft policies, legal briefs, technical submissions, correspondence with ministries</t>
  </si>
  <si>
    <t>Document review, technical quality assessment, tracking from draft to approval</t>
  </si>
  <si>
    <t>Milestone-based (as each legal instrument progresses)</t>
  </si>
  <si>
    <t>Assumes political will and technical openness to external input; risk of delays in legislative processes</t>
  </si>
  <si>
    <t>High-level advocacy and policy dialogue facilitated through engagement with related ministries, parliament... annually, inter-ministerial commissions, the Prime Minister’s Office to secure buy-in and support for approval/enactment of related conservation policies .</t>
  </si>
  <si>
    <t># of high-level meetings/dialogues held</t>
  </si>
  <si>
    <t>Measures engagement with decision-makers and influence on approval of conservation policies</t>
  </si>
  <si>
    <t>Meeting agendas, commitment letters, policy statements</t>
  </si>
  <si>
    <t>Event documentation, policy outcome tracing, participant interviews</t>
  </si>
  <si>
    <t>Quarterly or as per advocacy campaign calendar</t>
  </si>
  <si>
    <t>Assumes access to high-level stakeholders; risk of shifting political priorities or leadership changes</t>
  </si>
  <si>
    <t>Technical briefs, policy notes, and strategic documents produced annually to serve as lobbying and advocacy documents.</t>
  </si>
  <si>
    <t># of documents produced and disseminated</t>
  </si>
  <si>
    <t>Tracks evidence-based advocacy outputs supporting policy reform</t>
  </si>
  <si>
    <t>Technical/policy documents, dissemination logs, citation tracking</t>
  </si>
  <si>
    <t>Quality assurance review, document usage interviews, digital metrics</t>
  </si>
  <si>
    <t>Per document; aggregated annually</t>
  </si>
  <si>
    <t>Assumes documents are accessible and influential; risk of low uptake or overly technical content</t>
  </si>
  <si>
    <t>Communication and awareness campaign on policy reform annually carried out to inform the public, stakeholders, and media about the policy reform process and goals.</t>
  </si>
  <si>
    <t># of communication materials/events produced and shared</t>
  </si>
  <si>
    <t>Measures public and stakeholder awareness of reform processes and objectives</t>
  </si>
  <si>
    <t>Campaign media (radio, TV, social media), event reports, media tracking</t>
  </si>
  <si>
    <t>Media analytics, public surveys, feedback forms</t>
  </si>
  <si>
    <t>Ongoing during campaign period; reported quarterly</t>
  </si>
  <si>
    <t>Assumes media reach and public interest; risk of misinformation or low stakeholder engagement</t>
  </si>
  <si>
    <t>Tools and indicators developed to track post-enactment implementation, enforcement, and alignment with biodiversity and climate goals by June 2027 .</t>
  </si>
  <si>
    <t xml:space="preserve"># of monitoring tools/indicators developed and piloted; </t>
  </si>
  <si>
    <t>Measures post-policy enactment tracking of implementation and compliance</t>
  </si>
  <si>
    <t>Monitoring tools, user training records, institutional reports</t>
  </si>
  <si>
    <t>Tool validation workshops, institutional interviews, pilot results</t>
  </si>
  <si>
    <t>After policy enactment; updated annually or biannually</t>
  </si>
  <si>
    <t>Assumes institutional capacity and willingness to adopt tools; risk of non-use due to lack of enforcement mechanisms</t>
  </si>
  <si>
    <t>Baseline Information on OSP implementation established</t>
  </si>
  <si>
    <t>At least 25% of strategic plan objectives fully achieved or on track</t>
  </si>
  <si>
    <t>At least 50% of strategic plan objectives fully achieved or on track</t>
  </si>
  <si>
    <t>At least 70% of strategic plan objectives fully achieved or on track</t>
  </si>
  <si>
    <t>At least 75% of strategic plan objectives fully achieved or on track</t>
  </si>
  <si>
    <t>Baseline information collected</t>
  </si>
  <si>
    <t xml:space="preserve">At least 75% of staff are satisfied with the governance and leadership system </t>
  </si>
  <si>
    <t xml:space="preserve">At least 80% of staff are satisfied with the governance and leadership system </t>
  </si>
  <si>
    <t xml:space="preserve">At least 85% of staff are satisfied with the governance and leadership system </t>
  </si>
  <si>
    <t xml:space="preserve">At least 95% of staff are satisfied with the governance and leadership system </t>
  </si>
  <si>
    <t>At least 30% of the governance and leadership system that are marked satisfactory</t>
  </si>
  <si>
    <t>At least 35% of the governance and leadership system that are marked satisfactory</t>
  </si>
  <si>
    <t>At least 40% of the governance and leadership system that are marked satisfactory</t>
  </si>
  <si>
    <t>At least 50% of the governance and leadership system that are marked satisfactory</t>
  </si>
  <si>
    <t>Baseline information established</t>
  </si>
  <si>
    <t>At least 80% of competent and accountable staff retained</t>
  </si>
  <si>
    <t>At least 90% of competent and accountable staff retained</t>
  </si>
  <si>
    <t>At least 95% of competent and accountable staff retained</t>
  </si>
  <si>
    <t xml:space="preserve">At least 75% average staff score in performance evaluation </t>
  </si>
  <si>
    <t xml:space="preserve">At least 80% average staff score in performance evaluation </t>
  </si>
  <si>
    <t xml:space="preserve">At least 90% average staff score in performance evaluation </t>
  </si>
  <si>
    <t xml:space="preserve">At least 95% average staff score in performance evaluation </t>
  </si>
  <si>
    <t>At least 75% of sites-based staff are satisfied with the wellbeing conditions</t>
  </si>
  <si>
    <t>At least 80% of sites-based staff are satisfied with the wellbeing conditions</t>
  </si>
  <si>
    <t>At least 90% of sites-based staff are satisfied with the wellbeing conditions</t>
  </si>
  <si>
    <t>At least 95% of sites-based staff are satisfied with the wellbeing conditions</t>
  </si>
  <si>
    <t>98% Compliance with procedures and policies</t>
  </si>
  <si>
    <t>100% Compliance with procedures and policies</t>
  </si>
  <si>
    <t>85% implementation and efficiency of the governance structure in place</t>
  </si>
  <si>
    <t>90% implementation and efficiency of the governance structure in place</t>
  </si>
  <si>
    <t>95% implementation and efficiency of the governance structure in place</t>
  </si>
  <si>
    <t>98% implementation and efficiency of the governance structure in place</t>
  </si>
  <si>
    <t>100% implementation and efficiency of the governance structure in place</t>
  </si>
  <si>
    <t xml:space="preserve">At least 1 decision made to improve on internal and effectiveness in OSP   delivery  </t>
  </si>
  <si>
    <t xml:space="preserve">At least 1 new decision made to improve on internal and effectiveness in OSP   delivery  </t>
  </si>
  <si>
    <t xml:space="preserve">Baseline information for IT satisfaction survey established </t>
  </si>
  <si>
    <t>At least 75% staff satisfaction survey score on IT</t>
  </si>
  <si>
    <t>At least 85% staff satisfaction survey score on IT</t>
  </si>
  <si>
    <t>At least 90% staff satisfaction survey score on IT</t>
  </si>
  <si>
    <t>At least 95% staff satisfaction survey score on IT</t>
  </si>
  <si>
    <t>At least 70% of technical and operations delivery of CCO strategy achieved</t>
  </si>
  <si>
    <t>At least 75% of technical and operations delivery of CCO strategy achieved</t>
  </si>
  <si>
    <t>At least 80% of technical and operations delivery of CCO strategy achieved</t>
  </si>
  <si>
    <t>At least 85% of technical and operations delivery of CCO strategy achieved</t>
  </si>
  <si>
    <t>90% of technical and operations delivery of CCO strategy achieved</t>
  </si>
  <si>
    <t>At least 75% of CCO staff adherence to core values based on compliance tracking and disciplinary records</t>
  </si>
  <si>
    <t>At least 80% of CCO staff adherence to core values based on compliance tracking and disciplinary records</t>
  </si>
  <si>
    <t>At least 90% of CCO staff adherence to core values based on compliance tracking and disciplinary records</t>
  </si>
  <si>
    <t>At least 25% of strategic plan objectives being implemented</t>
  </si>
  <si>
    <t>At least 50% of strategic plan objectives being implemented</t>
  </si>
  <si>
    <t>At least 60% of strategic plan objectives being implemented</t>
  </si>
  <si>
    <t>At least 75% of strategic plan objectives being implemented</t>
  </si>
  <si>
    <t>At least 90% of organizational units are meeting compliance requirements in annual reviews</t>
  </si>
  <si>
    <t>At least 95% of organizational units are meeting compliance requirements in annual reviews</t>
  </si>
  <si>
    <t>100% of organizational units are meeting compliance requirements in annual reviews</t>
  </si>
  <si>
    <t>Number and quality of staff-authored publications produced and shared annually</t>
  </si>
  <si>
    <t>By 2028,  technical and operational delivery is improved compared to 2023 baseline.</t>
  </si>
  <si>
    <t>Operational logistics tool fully deployed and used by staff (target: 100%)</t>
  </si>
  <si>
    <t>All departments using standardized electronic filing system; retrieval time reduced</t>
  </si>
  <si>
    <t>≥90% of staff report satisfaction in annual survey</t>
  </si>
  <si>
    <t>≥90% of staff satisfied with travel, procurement, fleet, and event support services</t>
  </si>
  <si>
    <t>≥95% uptime of internet connection measured monthly</t>
  </si>
  <si>
    <t>% of staff proficient in using core digital tools and platforms (target: ≥90%)</t>
  </si>
  <si>
    <t>Training is prioritized; tools are relevant to job functions; staff willing to learn</t>
  </si>
  <si>
    <t>Pre/post-training evaluations, IT support tickets</t>
  </si>
  <si>
    <t>Digital literacy assessment, LMS reports, user support stats</t>
  </si>
  <si>
    <t>Training fatigue; varying skill levels; lack of follow-up</t>
  </si>
  <si>
    <t>Number of internal audits completed, donor compliance reports submitted on time, % of staff and partners reporting increased trust</t>
  </si>
  <si>
    <t>3. Improved staff efficiency to support the overall effort to professionalize and institutionalize WWF Cameroon Country Office processes and work, contributing to streamlining processes and promoting social cohesion among staff</t>
  </si>
  <si>
    <t>% improvement in staff satisfaction, reduced turnaround time for core processes, improved internal communication scores</t>
  </si>
  <si>
    <t>Clear roles and responsibilities; process mapping and documentation in place; leadership supports culture of efficiency</t>
  </si>
  <si>
    <t>Process audit reports, satisfaction surveys, performance reviews</t>
  </si>
  <si>
    <t>HR data, workflow assessments, internal comms surveys</t>
  </si>
  <si>
    <t>Process fatigue; resistance to change; unclear process owners</t>
  </si>
  <si>
    <t>% of projects/programs applying learning in subsequent planning and reporting cycles; number of documented learning products</t>
  </si>
  <si>
    <t>Quarterly staff compliance assessments integrated into performance reviews on quarterly basis</t>
  </si>
  <si>
    <t>% of performance reviews including compliance criteria</t>
  </si>
  <si>
    <t>HR systems are able to accommodate quarterly evaluations</t>
  </si>
  <si>
    <t>Performance appraisal reports; staff scorecards</t>
  </si>
  <si>
    <t>HRIS; appraisal templates</t>
  </si>
  <si>
    <t>Staff fatigue from frequent reviews; inconsistent manager enforcement</t>
  </si>
  <si>
    <t>Approved organizational structure, finalized organogram, and updated job descriptions in use</t>
  </si>
  <si>
    <t>Leadership and staff support change; external consultant (if used) delivers quality input; resources allocated for the process</t>
  </si>
  <si>
    <t>Final org chart, HR records, Board or SMT approval minutes</t>
  </si>
  <si>
    <t>HR files, org design documentation, staff feedback survey</t>
  </si>
  <si>
    <t>Resistance to change; delays in approval; scope creep</t>
  </si>
  <si>
    <t>3. Improved organizational culture and enabling environment at CCO for enhanced staff performance and retention by Dec 2026</t>
  </si>
  <si>
    <t>Results of staff satisfaction survey (target: ≥75% positive); turnover rate reduced by 30%</t>
  </si>
  <si>
    <t>Leadership commitment to culture change; feedback mechanisms in place; HR systems support performance and growth</t>
  </si>
  <si>
    <t>Staff surveys, retention reports, exit interviews</t>
  </si>
  <si>
    <t>Employee satisfaction survey, HR MIS reports, performance appraisals</t>
  </si>
  <si>
    <t>Resistance to culture change; weak leadership modelling; insufficient HR capacity</t>
  </si>
  <si>
    <t>4. Improved health and security conditions (program disaster plans) for CCO staff by June 2026</t>
  </si>
  <si>
    <t>Disaster preparedness plans developed, tested, and implemented; % of staff trained in safety protocols</t>
  </si>
  <si>
    <t>Compliance Framework for OSP 2026–2030 developed, approved, and disseminated across WWF CCO with training provided to 10% of WWF CCO staff by December 2025</t>
  </si>
  <si>
    <t>Approved framework available; % of staff trained</t>
  </si>
  <si>
    <t>Leadership support; availability of technical expertise</t>
  </si>
  <si>
    <t>Approved compliance framework; training attendance records</t>
  </si>
  <si>
    <t>Training reports; staff feedback forms</t>
  </si>
  <si>
    <t>Delays in approval; limited participation in training</t>
  </si>
  <si>
    <t># of audits conducted annually; % of corrective actions implemented</t>
  </si>
  <si>
    <t>System developed and used; # of updates per year</t>
  </si>
  <si>
    <t># of reviews held; % of action items addressed</t>
  </si>
  <si>
    <t>% of agreements with compliance clauses; # of partner compliance reports submitted</t>
  </si>
  <si>
    <t>Comprehensive documentation system for compliance maintained for all OSP-related projects annually</t>
  </si>
  <si>
    <t>% of projects with complete and updated compliance documentation</t>
  </si>
  <si>
    <t>Staff understand documentation protocols; archiving systems exist</t>
  </si>
  <si>
    <t>Document repository; M&amp;E reports; project audit files</t>
  </si>
  <si>
    <t>Documentation templates; file review logs</t>
  </si>
  <si>
    <t>Poor recordkeeping; lack of standardization</t>
  </si>
  <si>
    <t>NOTE: These outcome and Outputs had initialy been put under OM: the have been moved to RA</t>
  </si>
  <si>
    <t>M&amp;E plan</t>
  </si>
  <si>
    <t>Fundraising - we make this outcome in Ra</t>
  </si>
  <si>
    <t>Increase in number of partnerships, events co-hosted, joint publications, and endorsement of plans compared to 2020 baseline</t>
  </si>
  <si>
    <t>At least 1 new credible &amp; functional partnership</t>
  </si>
  <si>
    <t>At least 2 new credible &amp; functional partnership</t>
  </si>
  <si>
    <t>At least 3 new credible &amp; functional partnership</t>
  </si>
  <si>
    <t>At least 4 new credible &amp; functional partnership</t>
  </si>
  <si>
    <t>Stakeholders see added value in partnering with CCO; Political environment remains conducive; Resources are available for engagement activities</t>
  </si>
  <si>
    <t>Political instability; Shifts in donor or partner priorities; Internal capacity constraints</t>
  </si>
  <si>
    <t>Fundraising</t>
  </si>
  <si>
    <t>50% income growth i.e increased to FCFA 10,000,000,000 (US$ 20,000,000) achieved by CCO from a diversified fundraising base and surplus unrestricted income improved relative to the 2023 baseline</t>
  </si>
  <si>
    <t>Total annual income and proportion of unrestricted income from diversified sources (public, private, foundations, etc.)</t>
  </si>
  <si>
    <t>Fundraising strategy is effectively implemented; donor interest remains strong; CCO has capacity to manage funds</t>
  </si>
  <si>
    <t>Economic downturns, changing donor priorities, over-reliance on few sources</t>
  </si>
  <si>
    <t>Resource Acquisition</t>
  </si>
  <si>
    <t>Engagement plan endorsed and officially documented by QAC</t>
  </si>
  <si>
    <t>QAC is supportive of CCO’s direction and open to collaboration</t>
  </si>
  <si>
    <t>Official QAC documentation of endorsement</t>
  </si>
  <si>
    <t>Meeting minutes, correspondence, signed endorsement letter</t>
  </si>
  <si>
    <t>Resistance from QAC; Changes in QAC leadership</t>
  </si>
  <si>
    <t>Clear value proposition presented by CCO; Willing partners exist</t>
  </si>
  <si>
    <t>Signed MOUs; Communications from partners</t>
  </si>
  <si>
    <t>Partnership tracking database; Document review</t>
  </si>
  <si>
    <t>Competition for partners; Misalignment of interests</t>
  </si>
  <si>
    <t>Partners are willing and able to co-host; Sufficient budget and staff time</t>
  </si>
  <si>
    <t>Event agendas, Participant lists, Reports</t>
  </si>
  <si>
    <t>Event calendars, Reports, Invitations</t>
  </si>
  <si>
    <t>Logistical challenges; Lack of interest or capacity from partners</t>
  </si>
  <si>
    <t>Partners have technical capacity and willingness to co-develop content</t>
  </si>
  <si>
    <t>Published materials, Media coverage, Website analytics</t>
  </si>
  <si>
    <t>Document repository, Communication records</t>
  </si>
  <si>
    <t>Limited partner capacity or time; Disagreements on content</t>
  </si>
  <si>
    <t>Resource Acquisition - fit under output 2 in RA</t>
  </si>
  <si>
    <t>1. Funds through joint proposals with corporate entities increased by 10% by June 2026 and by 20% by Dec 2028</t>
  </si>
  <si>
    <t>% increase in funds from joint proposals with corporate entities</t>
  </si>
  <si>
    <t>2. At least one joint proposal submitted to PSPs after every two years is approved for funding</t>
  </si>
  <si>
    <t>Number of approved proposals submitted to Public Sector Partners every two years (target: ≥1)</t>
  </si>
  <si>
    <t>Strong partnerships with corporate sector; proposals aligned with shared goals (CSR/sustainability); economic stability</t>
  </si>
  <si>
    <t>Financial statements, grant agreements</t>
  </si>
  <si>
    <t>Fundraising database, proposal tracker</t>
  </si>
  <si>
    <t>3. At least one proposal submitted to Foundations after every two years is approved for funding</t>
  </si>
  <si>
    <t>Number of approved foundation proposals every two years (target: ≥1)</t>
  </si>
  <si>
    <t>PSPs maintain strong interest in conservation; quality of proposals is high; compliance with donor guidelines</t>
  </si>
  <si>
    <t>Donor approval letters, contracts, progress reports</t>
  </si>
  <si>
    <t>4. At least 4 new donors are committing 200,000 US$ per year to CCO</t>
  </si>
  <si>
    <t>Number of new donors annually committing ≥$200,000</t>
  </si>
  <si>
    <t>Foundations have funding calls aligned with CCO strategy; quality and relevance of proposals are strong</t>
  </si>
  <si>
    <t>Grant award letters, donor agreements</t>
  </si>
  <si>
    <t>Foundation proposal tracker, donor database</t>
  </si>
  <si>
    <t>5. Funds mobilized through the Network have increased by at least 20% by 2025</t>
  </si>
  <si>
    <t>% increase in income from WWF Network sources by 2025 (baseline 2023)</t>
  </si>
  <si>
    <t>Effective donor cultivation and stewardship; clear value proposition and trust in CCO’s delivery</t>
  </si>
  <si>
    <t>Signed donor agreements, financial records</t>
  </si>
  <si>
    <t>Donor pipeline tracker, income reports</t>
  </si>
  <si>
    <t>6. By 2028, mobilize funds close to 20,000,000 US$</t>
  </si>
  <si>
    <t>Total cumulative funds raised by 2028 (target: US$ 20M)</t>
  </si>
  <si>
    <t>Continued prioritization of CCO by Network offices; CCO delivers on program quality</t>
  </si>
  <si>
    <t>Network financial reports, joint funding agreements</t>
  </si>
  <si>
    <t>Network fundraising dashboard, income analysis tool</t>
  </si>
  <si>
    <t>RA M&amp;E plan</t>
  </si>
  <si>
    <t>Resource Acquisition Theory of Change</t>
  </si>
  <si>
    <t>Resource Acquisition Goal</t>
  </si>
  <si>
    <t xml:space="preserve">Goal
By 2030, WWF CCO has increased its income by 50% relative to the 2024 baseline, through a diversified funding base and enhanced unrestricted income, enabling it to deliver at least 90% of the OSP. </t>
  </si>
  <si>
    <t>Economic and political conditions remain stable in key donor countries.</t>
  </si>
  <si>
    <t>Annual audited financial reports.</t>
  </si>
  <si>
    <t>6-Monthly</t>
  </si>
  <si>
    <t>Donor fatigue or shifting priorities.</t>
  </si>
  <si>
    <t>-------------------</t>
  </si>
  <si>
    <t>DN, DC, RRA Manager</t>
  </si>
  <si>
    <t>WWF CCO maintains strong program performance and credibility.</t>
  </si>
  <si>
    <t>Internal income tracking and dashboard.</t>
  </si>
  <si>
    <t>Macroeconomic instability (e.g. inflation, recession).</t>
  </si>
  <si>
    <t>Fundraising team capacity and strategy are effectively implemented.</t>
  </si>
  <si>
    <t>Donor reports and agreements.</t>
  </si>
  <si>
    <t>Internal capacity limitations or turnover in fundraising roles.</t>
  </si>
  <si>
    <r>
      <t xml:space="preserve">Resource Acquisition Outcomes </t>
    </r>
    <r>
      <rPr>
        <b/>
        <sz val="11"/>
        <color rgb="FFFF0000"/>
        <rFont val="Calibri"/>
        <family val="2"/>
      </rPr>
      <t>(WHAT - priorities we want to change through our RA strategy)</t>
    </r>
  </si>
  <si>
    <t>Continued alignment of donor priorities with WWF CCO strategies.</t>
  </si>
  <si>
    <t>Annual donor retention reports.</t>
  </si>
  <si>
    <t>6-monthly</t>
  </si>
  <si>
    <t>Changes in donor funding priorities.</t>
  </si>
  <si>
    <t>Effective donor engagement and relationship management.</t>
  </si>
  <si>
    <t>Donor communications logs.</t>
  </si>
  <si>
    <t>Global economic downturns reducing donor capacity.</t>
  </si>
  <si>
    <t>Donor interests and expectations are well understood; plans are monitored and updated.</t>
  </si>
  <si>
    <t>Approved donor engagement plans; engagement activity reports; feedback from donors.</t>
  </si>
  <si>
    <t>Donor CRM system; M&amp;E reports.</t>
  </si>
  <si>
    <t>Semi-annual.</t>
  </si>
  <si>
    <t>Plans not implemented due to staff or budget constraints; inadequate tracking.</t>
  </si>
  <si>
    <t>DN, DC, RRA Manager, PM/TLs</t>
  </si>
  <si>
    <t>1 long-term funding donor (GEF)</t>
  </si>
  <si>
    <t>Donors have long-term strategic alignment; organization demonstrates consistent performance.</t>
  </si>
  <si>
    <t>Signed long-term funding agreements; donor communication.</t>
  </si>
  <si>
    <t>Donor database; grant agreements archive.</t>
  </si>
  <si>
    <t>Annual.</t>
  </si>
  <si>
    <t>Changes in donor strategies; failure to meet reporting standards; unstable political/economic environment.</t>
  </si>
  <si>
    <t>Demonstrated program success and impact; strong donor relationships and communication.</t>
  </si>
  <si>
    <t>Multi-year grant agreements; continuation letters from donors.</t>
  </si>
  <si>
    <t>Landscape/programme funding tracker.</t>
  </si>
  <si>
    <t>Funding reallocation; lack of measurable impact; weak reporting.</t>
  </si>
  <si>
    <t xml:space="preserve">Percentage reductioni in criticisms regarding deliverables (reports, results, burn rate, etc.) sent to donors </t>
  </si>
  <si>
    <t>Robust internal M&amp;E and reporting systems in place; improved communication with donors.</t>
  </si>
  <si>
    <t>Internal audits; donor feedback emails; evaluation reports.</t>
  </si>
  <si>
    <t>Donor satisfaction surveys; issue tracking logs.</t>
  </si>
  <si>
    <t>Poor data quality or timeliness; lack of internal capacity; changing donor expectations.</t>
  </si>
  <si>
    <t>Relevant prospects exist and are willing to engage; cultivation strategies are adapted to each donor type.</t>
  </si>
  <si>
    <t>Prospect lists; meeting notes; correspondence; cultivation tracking sheets.</t>
  </si>
  <si>
    <t>CRM/prospect management tools.</t>
  </si>
  <si>
    <t>Quarterly.</t>
  </si>
  <si>
    <t>Difficulty in reaching HNWI; low response rates; insufficient capacity to follow up.</t>
  </si>
  <si>
    <t>Foundation priorities align with organizational goals; proposals meet donor expectations.</t>
  </si>
  <si>
    <t>Grant agreement; donor approval letters; funding disbursement records.</t>
  </si>
  <si>
    <t>Proposal tracking system; donor communication logs.</t>
  </si>
  <si>
    <t>Biennial.</t>
  </si>
  <si>
    <t>High competition; evolving foundation strategies; weak proposal design.</t>
  </si>
  <si>
    <t>Donors see clear value and impact in funding initiatives; strong relationship building is sustained.</t>
  </si>
  <si>
    <t>Signed funding agreements; bank statements; donor reports.</t>
  </si>
  <si>
    <t>Donor revenue tracker; finance reports.</t>
  </si>
  <si>
    <t>Economic downturns; reputational risks; shifts in donor giving priorities.</t>
  </si>
  <si>
    <t>XAF 1000000</t>
  </si>
  <si>
    <t>XAF 1500000</t>
  </si>
  <si>
    <t>XAF 2000000</t>
  </si>
  <si>
    <t>XAF 2500000</t>
  </si>
  <si>
    <t>Project concepts are well-designed and aligned with climate finance mechanisms; capacity to manage complex funding.</t>
  </si>
  <si>
    <t>Funding contracts; concept note approvals; disbursement letters.</t>
  </si>
  <si>
    <t>Climate finance tracker; donor submission logs.</t>
  </si>
  <si>
    <t>Stringent eligibility or fiduciary requirements; lengthy approval timelines; political or institutional barriers.</t>
  </si>
  <si>
    <t>Strategic partners remain engaged and aligned with WWF goals; funding is available.</t>
  </si>
  <si>
    <t>Signed MOUs, project reports, implementation status updates.</t>
  </si>
  <si>
    <t>Project tracking sheets, M&amp;E reports.</t>
  </si>
  <si>
    <t>Annual review.</t>
  </si>
  <si>
    <t>Lack of partner commitment; shifting donor priorities; political instability.</t>
  </si>
  <si>
    <t>Proposal quality meets PSP standards; strong collaboration between partners.</t>
  </si>
  <si>
    <t>Approved proposals; grant agreements; donor communication.</t>
  </si>
  <si>
    <t>Proposal submission and approval records.</t>
  </si>
  <si>
    <t>Rejection by donors; partner disagreements during proposal development.</t>
  </si>
  <si>
    <t>Partnerships are relevant and effectively managed; roles and responsibilities are clear.</t>
  </si>
  <si>
    <t>Active MOUs; joint initiatives and reports; evidence of outcomes.</t>
  </si>
  <si>
    <t>Partnership performance reports; internal evaluations.</t>
  </si>
  <si>
    <t>Partnerships not yielding expected results; limited capacity or interest from partners.</t>
  </si>
  <si>
    <t>Strategic partners are willing to collaborate on events; sufficient resources are allocated.</t>
  </si>
  <si>
    <t>Event reports; participant feedback; media coverage.</t>
  </si>
  <si>
    <t>Event attendance sheets; post-event surveys.</t>
  </si>
  <si>
    <t>Logistical issues; low attendance or engagement; budget limitations.</t>
  </si>
  <si>
    <t>02 position papers (code of conduct &amp; IC)</t>
  </si>
  <si>
    <t>Access to relevant data and experts; strategic alignment on messaging.</t>
  </si>
  <si>
    <t>Publications, distribution records, citations or media uptake.</t>
  </si>
  <si>
    <t>Publication logs; dissemination records.</t>
  </si>
  <si>
    <t>Delays in development; conflicting positions among partners; limited reach.</t>
  </si>
  <si>
    <t>Budget is available; recruitment process is timely and attracts qualified candidates.</t>
  </si>
  <si>
    <t>Signed employment contract; onboarding documents; HR announcement.</t>
  </si>
  <si>
    <t>HR recruitment tracker; job description and interview records.</t>
  </si>
  <si>
    <t>One-time (2027), monitored during HR reviews.</t>
  </si>
  <si>
    <t>Difficulty finding qualified candidates; delays in recruitment process; turnover.</t>
  </si>
  <si>
    <t>Staff have time and interest; relevant trainers and content are available.</t>
  </si>
  <si>
    <t>Training reports; attendance records; training evaluations.</t>
  </si>
  <si>
    <t>HR training log; post-training feedback forms.</t>
  </si>
  <si>
    <t>Competing priorities reduce attendance; low training quality or follow-up; budget limitations.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</si>
</sst>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XAF]\ #,##0;\-[$XAF]\ #,##0"/>
  </numFmts>
  <fonts count="47">
    <font>
      <sz val="10"/>
      <color rgb="FF000000"/>
      <name val="Arial"/>
      <scheme val="minor"/>
    </font>
    <font>
      <sz val="10"/>
      <color rgb="FF000000"/>
      <name val="Arial"/>
      <family val="2"/>
    </font>
    <font>
      <sz val="10"/>
      <color rgb="FFFFFFFF"/>
      <name val="Arial"/>
      <family val="2"/>
    </font>
    <font>
      <sz val="10"/>
      <name val="Arial"/>
      <family val="2"/>
    </font>
    <font>
      <sz val="10"/>
      <color theme="0"/>
      <name val="Arial"/>
      <family val="2"/>
    </font>
    <font>
      <b/>
      <sz val="10"/>
      <color theme="1"/>
      <name val="Arial"/>
      <family val="2"/>
    </font>
    <font>
      <b/>
      <sz val="10"/>
      <color rgb="FF000000"/>
      <name val="Arial"/>
      <family val="2"/>
    </font>
    <font>
      <sz val="10"/>
      <color rgb="FFFF0000"/>
      <name val="Arial"/>
      <family val="2"/>
    </font>
    <font>
      <sz val="10"/>
      <color theme="1"/>
      <name val="Arial"/>
      <family val="2"/>
    </font>
    <font>
      <sz val="10"/>
      <color theme="1"/>
      <name val="Arial"/>
      <family val="2"/>
      <scheme val="minor"/>
    </font>
    <font>
      <b/>
      <sz val="12"/>
      <color rgb="FF000000"/>
      <name val="Arial"/>
      <family val="2"/>
    </font>
    <font>
      <b/>
      <sz val="11"/>
      <color theme="1"/>
      <name val="Arial"/>
      <family val="2"/>
    </font>
    <font>
      <u/>
      <sz val="10"/>
      <color theme="10"/>
      <name val="Arial"/>
      <family val="2"/>
    </font>
    <font>
      <sz val="12"/>
      <color rgb="FF000000"/>
      <name val="Quattrocento Sans"/>
      <family val="2"/>
    </font>
    <font>
      <i/>
      <sz val="12"/>
      <color rgb="FF000000"/>
      <name val="Quattrocento Sans"/>
      <family val="2"/>
    </font>
    <font>
      <b/>
      <sz val="10"/>
      <color rgb="FFFF0000"/>
      <name val="Arial"/>
      <family val="2"/>
    </font>
    <font>
      <sz val="11"/>
      <color rgb="FF000000"/>
      <name val="Calibri"/>
      <family val="2"/>
    </font>
    <font>
      <sz val="11"/>
      <color rgb="FFFF0000"/>
      <name val="Calibri"/>
      <family val="2"/>
    </font>
    <font>
      <sz val="10"/>
      <color rgb="FFC00000"/>
      <name val="Arial"/>
      <family val="2"/>
    </font>
    <font>
      <sz val="11"/>
      <name val="Calibri"/>
      <family val="2"/>
    </font>
    <font>
      <sz val="10"/>
      <color rgb="FF000000"/>
      <name val="Arial"/>
      <family val="2"/>
      <scheme val="minor"/>
    </font>
    <font>
      <sz val="11"/>
      <color rgb="FF000000"/>
      <name val="&quot;Aptos Narrow&quot;"/>
    </font>
    <font>
      <b/>
      <sz val="14"/>
      <color rgb="FF000000"/>
      <name val="&quot;Aptos Narrow&quot;"/>
    </font>
    <font>
      <b/>
      <sz val="14"/>
      <color rgb="FF000000"/>
      <name val="Arial"/>
      <family val="2"/>
    </font>
    <font>
      <sz val="10"/>
      <color rgb="FF000000"/>
      <name val="&quot;Aptos Narrow&quot;"/>
    </font>
    <font>
      <sz val="10"/>
      <color rgb="FFFF0000"/>
      <name val="Arial"/>
      <family val="2"/>
      <scheme val="minor"/>
    </font>
    <font>
      <sz val="10"/>
      <color theme="1"/>
      <name val="&quot;Aptos Narrow&quot;"/>
    </font>
    <font>
      <sz val="10"/>
      <color rgb="FFE97132"/>
      <name val="Arial"/>
      <family val="2"/>
    </font>
    <font>
      <sz val="10"/>
      <color rgb="FFE97132"/>
      <name val="&quot;Aptos Narrow&quot;"/>
    </font>
    <font>
      <sz val="11"/>
      <color theme="1"/>
      <name val="Calibri"/>
      <family val="2"/>
    </font>
    <font>
      <b/>
      <sz val="11"/>
      <color rgb="FF000000"/>
      <name val="Calibri"/>
      <family val="2"/>
    </font>
    <font>
      <sz val="10"/>
      <color rgb="FF000000"/>
      <name val="Arial"/>
      <family val="2"/>
      <scheme val="minor"/>
    </font>
    <font>
      <sz val="11"/>
      <name val="Calibri"/>
      <family val="2"/>
    </font>
    <font>
      <b/>
      <sz val="11"/>
      <color rgb="FFFFFFFF"/>
      <name val="Calibri"/>
      <family val="2"/>
    </font>
    <font>
      <b/>
      <sz val="11"/>
      <color theme="1"/>
      <name val="Calibri"/>
      <family val="2"/>
    </font>
    <font>
      <b/>
      <sz val="10"/>
      <name val="Arial"/>
      <family val="2"/>
    </font>
    <font>
      <b/>
      <sz val="11"/>
      <name val="Calibri"/>
      <family val="2"/>
    </font>
    <font>
      <b/>
      <sz val="11"/>
      <color rgb="FFC00000"/>
      <name val="Calibri"/>
      <family val="2"/>
    </font>
    <font>
      <sz val="11"/>
      <color rgb="FFC00000"/>
      <name val="Calibri"/>
      <family val="2"/>
    </font>
    <font>
      <sz val="10"/>
      <color rgb="FFC00000"/>
      <name val="Arial"/>
      <family val="2"/>
      <scheme val="minor"/>
    </font>
    <font>
      <sz val="10"/>
      <name val="Arial"/>
      <family val="2"/>
      <scheme val="minor"/>
    </font>
    <font>
      <b/>
      <sz val="10"/>
      <color rgb="FF000000"/>
      <name val="Arial"/>
      <family val="2"/>
      <scheme val="minor"/>
    </font>
    <font>
      <b/>
      <sz val="10"/>
      <color rgb="FFFFFFFF"/>
      <name val="Arial"/>
      <family val="2"/>
      <scheme val="minor"/>
    </font>
    <font>
      <sz val="10"/>
      <color theme="4"/>
      <name val="Arial"/>
      <family val="2"/>
      <scheme val="minor"/>
    </font>
    <font>
      <b/>
      <u/>
      <sz val="10"/>
      <color rgb="FFFF0000"/>
      <name val="Arial"/>
      <family val="2"/>
    </font>
    <font>
      <b/>
      <sz val="11"/>
      <color rgb="FFFF0000"/>
      <name val="Calibri"/>
      <family val="2"/>
    </font>
    <font>
      <b/>
      <sz val="12"/>
      <color theme="1"/>
      <name val="Arial"/>
      <family val="2"/>
    </font>
  </fonts>
  <fills count="36">
    <fill>
      <patternFill patternType="none"/>
    </fill>
    <fill>
      <patternFill patternType="gray125"/>
    </fill>
    <fill>
      <patternFill patternType="solid">
        <fgColor theme="1"/>
        <bgColor theme="1"/>
      </patternFill>
    </fill>
    <fill>
      <patternFill patternType="solid">
        <fgColor rgb="FFB6D7A8"/>
        <bgColor rgb="FFB6D7A8"/>
      </patternFill>
    </fill>
    <fill>
      <patternFill patternType="solid">
        <fgColor theme="6"/>
        <bgColor theme="6"/>
      </patternFill>
    </fill>
    <fill>
      <patternFill patternType="solid">
        <fgColor theme="8"/>
        <bgColor theme="8"/>
      </patternFill>
    </fill>
    <fill>
      <patternFill patternType="solid">
        <fgColor rgb="FFD9D9D9"/>
        <bgColor rgb="FFD9D9D9"/>
      </patternFill>
    </fill>
    <fill>
      <patternFill patternType="solid">
        <fgColor theme="8" tint="0.79998168889431442"/>
        <bgColor indexed="64"/>
      </patternFill>
    </fill>
    <fill>
      <patternFill patternType="solid">
        <fgColor rgb="FFFEF2CB"/>
        <bgColor rgb="FFFEF2CB"/>
      </patternFill>
    </fill>
    <fill>
      <patternFill patternType="solid">
        <fgColor theme="6" tint="0.79998168889431442"/>
        <bgColor indexed="64"/>
      </patternFill>
    </fill>
    <fill>
      <patternFill patternType="solid">
        <fgColor rgb="FFFEF2CB"/>
        <bgColor indexed="64"/>
      </patternFill>
    </fill>
    <fill>
      <patternFill patternType="solid">
        <fgColor rgb="FF1F3864"/>
        <bgColor rgb="FF1F3864"/>
      </patternFill>
    </fill>
    <fill>
      <patternFill patternType="solid">
        <fgColor rgb="FFED7D31"/>
        <bgColor rgb="FFED7D31"/>
      </patternFill>
    </fill>
    <fill>
      <patternFill patternType="solid">
        <fgColor theme="7" tint="0.59999389629810485"/>
        <bgColor rgb="FFFFC000"/>
      </patternFill>
    </fill>
    <fill>
      <patternFill patternType="solid">
        <fgColor theme="7" tint="0.59999389629810485"/>
        <bgColor indexed="64"/>
      </patternFill>
    </fill>
    <fill>
      <patternFill patternType="solid">
        <fgColor theme="7" tint="0.59999389629810485"/>
        <bgColor rgb="FFFEF2CB"/>
      </patternFill>
    </fill>
    <fill>
      <patternFill patternType="solid">
        <fgColor rgb="FF70AD47"/>
        <bgColor rgb="FF70AD47"/>
      </patternFill>
    </fill>
    <fill>
      <patternFill patternType="solid">
        <fgColor theme="7" tint="0.79998168889431442"/>
        <bgColor indexed="64"/>
      </patternFill>
    </fill>
    <fill>
      <patternFill patternType="solid">
        <fgColor theme="0"/>
        <bgColor indexed="64"/>
      </patternFill>
    </fill>
    <fill>
      <patternFill patternType="solid">
        <fgColor rgb="FFFFFFFF"/>
        <bgColor rgb="FFFFFFFF"/>
      </patternFill>
    </fill>
    <fill>
      <patternFill patternType="solid">
        <fgColor rgb="FFFBE4D5"/>
        <bgColor rgb="FFFBE4D5"/>
      </patternFill>
    </fill>
    <fill>
      <patternFill patternType="solid">
        <fgColor rgb="FF00B050"/>
        <bgColor rgb="FFFEF2CB"/>
      </patternFill>
    </fill>
    <fill>
      <patternFill patternType="solid">
        <fgColor rgb="FFFFC000"/>
        <bgColor rgb="FFED7D31"/>
      </patternFill>
    </fill>
    <fill>
      <patternFill patternType="solid">
        <fgColor rgb="FF00B050"/>
        <bgColor rgb="FFE2EFD9"/>
      </patternFill>
    </fill>
    <fill>
      <patternFill patternType="solid">
        <fgColor rgb="FFE2EFD9"/>
        <bgColor rgb="FFE2EFD9"/>
      </patternFill>
    </fill>
    <fill>
      <patternFill patternType="solid">
        <fgColor theme="5" tint="0.79998168889431442"/>
        <bgColor rgb="FFFEF2CB"/>
      </patternFill>
    </fill>
    <fill>
      <patternFill patternType="solid">
        <fgColor rgb="FFFFC000"/>
        <bgColor rgb="FFFEF2CB"/>
      </patternFill>
    </fill>
    <fill>
      <patternFill patternType="solid">
        <fgColor rgb="FFFFC000"/>
        <bgColor rgb="FFFFC000"/>
      </patternFill>
    </fill>
    <fill>
      <patternFill patternType="solid">
        <fgColor rgb="FFB8CCE4"/>
        <bgColor rgb="FFB8CCE4"/>
      </patternFill>
    </fill>
    <fill>
      <patternFill patternType="solid">
        <fgColor rgb="FFFFFF00"/>
        <bgColor rgb="FFB8CCE4"/>
      </patternFill>
    </fill>
    <fill>
      <patternFill patternType="solid">
        <fgColor rgb="FFFFFF00"/>
        <bgColor rgb="FFB6D7A8"/>
      </patternFill>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8" tint="0.39997558519241921"/>
        <bgColor indexed="64"/>
      </patternFill>
    </fill>
    <fill>
      <patternFill patternType="solid">
        <fgColor rgb="FFFFFF00"/>
        <bgColor theme="1"/>
      </patternFill>
    </fill>
  </fills>
  <borders count="72">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theme="6"/>
      </right>
      <top/>
      <bottom/>
      <diagonal/>
    </border>
    <border>
      <left/>
      <right/>
      <top/>
      <bottom style="thin">
        <color theme="6"/>
      </bottom>
      <diagonal/>
    </border>
    <border>
      <left/>
      <right style="thin">
        <color theme="6"/>
      </right>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style="thin">
        <color theme="6"/>
      </right>
      <top style="thin">
        <color theme="6"/>
      </top>
      <bottom style="thin">
        <color theme="6"/>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indexed="64"/>
      </left>
      <right style="thin">
        <color indexed="64"/>
      </right>
      <top style="thin">
        <color indexed="64"/>
      </top>
      <bottom style="thin">
        <color indexed="64"/>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bottom/>
      <diagonal/>
    </border>
    <border>
      <left style="thin">
        <color indexed="64"/>
      </left>
      <right style="thin">
        <color indexed="64"/>
      </right>
      <top/>
      <bottom style="thin">
        <color indexed="64"/>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medium">
        <color rgb="FF000000"/>
      </left>
      <right/>
      <top style="medium">
        <color rgb="FF000000"/>
      </top>
      <bottom style="medium">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style="thin">
        <color rgb="FF000000"/>
      </left>
      <right/>
      <top style="thin">
        <color rgb="FF000000"/>
      </top>
      <bottom/>
      <diagonal/>
    </border>
    <border>
      <left style="medium">
        <color rgb="FF000000"/>
      </left>
      <right/>
      <top/>
      <bottom/>
      <diagonal/>
    </border>
    <border>
      <left style="thin">
        <color rgb="FF000000"/>
      </left>
      <right/>
      <top/>
      <bottom style="thin">
        <color rgb="FF000000"/>
      </bottom>
      <diagonal/>
    </border>
    <border>
      <left style="medium">
        <color rgb="FF000000"/>
      </left>
      <right style="thin">
        <color rgb="FF000000"/>
      </right>
      <top/>
      <bottom/>
      <diagonal/>
    </border>
    <border>
      <left/>
      <right/>
      <top/>
      <bottom style="thin">
        <color rgb="FF000000"/>
      </bottom>
      <diagonal/>
    </border>
    <border>
      <left/>
      <right/>
      <top style="thin">
        <color rgb="FF000000"/>
      </top>
      <bottom/>
      <diagonal/>
    </border>
    <border>
      <left/>
      <right style="medium">
        <color rgb="FF000000"/>
      </right>
      <top/>
      <bottom style="thin">
        <color rgb="FF000000"/>
      </bottom>
      <diagonal/>
    </border>
    <border>
      <left/>
      <right style="medium">
        <color rgb="FF000000"/>
      </right>
      <top/>
      <bottom/>
      <diagonal/>
    </border>
    <border>
      <left/>
      <right/>
      <top style="thin">
        <color rgb="FF000000"/>
      </top>
      <bottom style="thin">
        <color rgb="FF000000"/>
      </bottom>
      <diagonal/>
    </border>
    <border>
      <left style="thin">
        <color indexed="64"/>
      </left>
      <right style="thin">
        <color indexed="64"/>
      </right>
      <top/>
      <bottom/>
      <diagonal/>
    </border>
    <border>
      <left style="thin">
        <color indexed="64"/>
      </left>
      <right style="thin">
        <color rgb="FF000000"/>
      </right>
      <top/>
      <bottom style="thin">
        <color rgb="FF000000"/>
      </bottom>
      <diagonal/>
    </border>
    <border>
      <left style="medium">
        <color rgb="FF000000"/>
      </left>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diagonal/>
    </border>
    <border>
      <left style="thin">
        <color rgb="FF000000"/>
      </left>
      <right style="medium">
        <color rgb="FF000000"/>
      </right>
      <top/>
      <bottom style="thin">
        <color rgb="FF000000"/>
      </bottom>
      <diagonal/>
    </border>
    <border>
      <left/>
      <right style="thin">
        <color rgb="FF000000"/>
      </right>
      <top/>
      <bottom style="medium">
        <color rgb="FF000000"/>
      </bottom>
      <diagonal/>
    </border>
    <border>
      <left style="thin">
        <color theme="6"/>
      </left>
      <right style="thin">
        <color theme="6"/>
      </right>
      <top/>
      <bottom/>
      <diagonal/>
    </border>
    <border>
      <left style="thin">
        <color theme="6"/>
      </left>
      <right style="thin">
        <color theme="6"/>
      </right>
      <top/>
      <bottom style="thin">
        <color theme="6"/>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style="thin">
        <color indexed="64"/>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thin">
        <color rgb="FF000000"/>
      </top>
      <bottom/>
      <diagonal/>
    </border>
    <border>
      <left style="thin">
        <color rgb="FF000000"/>
      </left>
      <right style="thin">
        <color rgb="FF000000"/>
      </right>
      <top style="thin">
        <color indexed="64"/>
      </top>
      <bottom/>
      <diagonal/>
    </border>
  </borders>
  <cellStyleXfs count="6">
    <xf numFmtId="0" fontId="0" fillId="0" borderId="1"/>
    <xf numFmtId="0" fontId="31" fillId="0" borderId="1"/>
    <xf numFmtId="0" fontId="32" fillId="0" borderId="1"/>
    <xf numFmtId="0" fontId="31" fillId="0" borderId="1"/>
    <xf numFmtId="0" fontId="20" fillId="0" borderId="1"/>
    <xf numFmtId="0" fontId="20" fillId="0" borderId="1"/>
  </cellStyleXfs>
  <cellXfs count="895">
    <xf numFmtId="0" fontId="0" fillId="0" borderId="0" xfId="0" applyBorder="1"/>
    <xf numFmtId="0" fontId="5" fillId="3" borderId="2"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8" fillId="0" borderId="3" xfId="0" applyFont="1" applyBorder="1" applyAlignment="1">
      <alignment horizontal="left" vertical="center" wrapText="1"/>
    </xf>
    <xf numFmtId="0" fontId="8" fillId="0" borderId="2" xfId="0" applyFont="1" applyBorder="1"/>
    <xf numFmtId="0" fontId="8" fillId="0" borderId="2" xfId="0" applyFont="1" applyBorder="1" applyAlignment="1">
      <alignment horizontal="left" vertical="center" wrapText="1"/>
    </xf>
    <xf numFmtId="0" fontId="8" fillId="0" borderId="7" xfId="0" applyFont="1" applyBorder="1" applyAlignment="1">
      <alignment horizontal="center" vertical="center"/>
    </xf>
    <xf numFmtId="0" fontId="8" fillId="0" borderId="7" xfId="0" applyFont="1" applyBorder="1" applyAlignment="1">
      <alignment horizontal="left" vertical="center" wrapText="1"/>
    </xf>
    <xf numFmtId="0" fontId="8" fillId="0" borderId="8" xfId="0" applyFont="1" applyBorder="1" applyAlignment="1">
      <alignment horizontal="left" vertical="top" wrapText="1"/>
    </xf>
    <xf numFmtId="0" fontId="8" fillId="0" borderId="8" xfId="0" applyFont="1" applyBorder="1" applyAlignment="1">
      <alignment horizontal="left" vertical="center"/>
    </xf>
    <xf numFmtId="0" fontId="8" fillId="0" borderId="9" xfId="0" applyFont="1" applyBorder="1" applyAlignment="1">
      <alignment horizontal="left" vertical="center" wrapText="1"/>
    </xf>
    <xf numFmtId="0" fontId="8" fillId="0" borderId="10"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left" vertical="center"/>
    </xf>
    <xf numFmtId="0" fontId="1" fillId="0" borderId="8" xfId="0" applyFont="1" applyBorder="1" applyAlignment="1">
      <alignment horizontal="left" vertical="top" wrapText="1"/>
    </xf>
    <xf numFmtId="0" fontId="1" fillId="0" borderId="11" xfId="0" applyFont="1" applyBorder="1" applyAlignment="1">
      <alignment horizontal="left" vertical="center"/>
    </xf>
    <xf numFmtId="0" fontId="1" fillId="0" borderId="12" xfId="0" applyFont="1" applyBorder="1" applyAlignment="1">
      <alignment horizontal="left" vertical="top" wrapText="1"/>
    </xf>
    <xf numFmtId="0" fontId="8" fillId="0" borderId="12" xfId="0" applyFont="1" applyBorder="1" applyAlignment="1">
      <alignment horizontal="left" vertical="center"/>
    </xf>
    <xf numFmtId="0" fontId="8" fillId="0" borderId="13" xfId="0" applyFont="1" applyBorder="1" applyAlignment="1">
      <alignment horizontal="left" vertical="center" wrapText="1"/>
    </xf>
    <xf numFmtId="0" fontId="0" fillId="0" borderId="0" xfId="0" applyBorder="1" applyAlignment="1">
      <alignment wrapText="1"/>
    </xf>
    <xf numFmtId="0" fontId="5" fillId="3" borderId="17" xfId="0" applyFont="1" applyFill="1" applyBorder="1" applyAlignment="1">
      <alignment horizontal="center" vertical="center" wrapText="1"/>
    </xf>
    <xf numFmtId="0" fontId="8" fillId="0" borderId="3" xfId="0" applyFont="1" applyBorder="1" applyAlignment="1">
      <alignment horizontal="left" vertical="top" wrapText="1"/>
    </xf>
    <xf numFmtId="0" fontId="8" fillId="0" borderId="2" xfId="0" applyFont="1" applyBorder="1" applyAlignment="1">
      <alignment vertical="top" wrapText="1"/>
    </xf>
    <xf numFmtId="0" fontId="0" fillId="0" borderId="0" xfId="0" applyBorder="1" applyAlignment="1">
      <alignment horizontal="center"/>
    </xf>
    <xf numFmtId="0" fontId="21" fillId="0" borderId="1" xfId="1" applyFont="1" applyAlignment="1">
      <alignment vertical="center"/>
    </xf>
    <xf numFmtId="0" fontId="22" fillId="6" borderId="1" xfId="1" applyFont="1" applyFill="1" applyAlignment="1">
      <alignment vertical="center" wrapText="1"/>
    </xf>
    <xf numFmtId="0" fontId="22" fillId="6" borderId="1" xfId="1" applyFont="1" applyFill="1" applyAlignment="1">
      <alignment vertical="top" wrapText="1"/>
    </xf>
    <xf numFmtId="0" fontId="23" fillId="6" borderId="1" xfId="1" applyFont="1" applyFill="1" applyAlignment="1">
      <alignment horizontal="right" vertical="top" wrapText="1"/>
    </xf>
    <xf numFmtId="0" fontId="23" fillId="6" borderId="1" xfId="1" applyFont="1" applyFill="1" applyAlignment="1">
      <alignment vertical="top" wrapText="1"/>
    </xf>
    <xf numFmtId="0" fontId="20" fillId="0" borderId="1" xfId="1" applyFont="1"/>
    <xf numFmtId="0" fontId="24" fillId="0" borderId="20" xfId="1" applyFont="1" applyBorder="1" applyAlignment="1">
      <alignment vertical="center"/>
    </xf>
    <xf numFmtId="0" fontId="24" fillId="0" borderId="22" xfId="1" applyFont="1" applyBorder="1" applyAlignment="1">
      <alignment vertical="center" wrapText="1"/>
    </xf>
    <xf numFmtId="0" fontId="24" fillId="0" borderId="22" xfId="1" applyFont="1" applyBorder="1" applyAlignment="1">
      <alignment vertical="top" wrapText="1"/>
    </xf>
    <xf numFmtId="0" fontId="25" fillId="0" borderId="22" xfId="1" applyFont="1" applyBorder="1" applyAlignment="1">
      <alignment horizontal="right"/>
    </xf>
    <xf numFmtId="0" fontId="25" fillId="0" borderId="22" xfId="1" applyFont="1" applyBorder="1"/>
    <xf numFmtId="0" fontId="20" fillId="0" borderId="22" xfId="1" applyFont="1" applyBorder="1"/>
    <xf numFmtId="0" fontId="20" fillId="0" borderId="23" xfId="1" applyFont="1" applyBorder="1"/>
    <xf numFmtId="0" fontId="24" fillId="0" borderId="24" xfId="1" applyFont="1" applyBorder="1" applyAlignment="1">
      <alignment vertical="center"/>
    </xf>
    <xf numFmtId="0" fontId="26" fillId="0" borderId="25" xfId="1" applyFont="1" applyBorder="1" applyAlignment="1">
      <alignment vertical="center" wrapText="1"/>
    </xf>
    <xf numFmtId="0" fontId="26" fillId="0" borderId="25" xfId="1" applyFont="1" applyBorder="1" applyAlignment="1">
      <alignment vertical="top" wrapText="1"/>
    </xf>
    <xf numFmtId="0" fontId="9" fillId="0" borderId="25" xfId="1" applyFont="1" applyBorder="1" applyAlignment="1">
      <alignment horizontal="right"/>
    </xf>
    <xf numFmtId="0" fontId="9" fillId="0" borderId="25" xfId="1" applyFont="1" applyBorder="1"/>
    <xf numFmtId="3" fontId="9" fillId="0" borderId="25" xfId="1" applyNumberFormat="1" applyFont="1" applyBorder="1"/>
    <xf numFmtId="0" fontId="9" fillId="0" borderId="26" xfId="1" applyFont="1" applyBorder="1"/>
    <xf numFmtId="0" fontId="26" fillId="0" borderId="1" xfId="1" applyFont="1"/>
    <xf numFmtId="0" fontId="9" fillId="0" borderId="1" xfId="1" applyFont="1" applyAlignment="1">
      <alignment horizontal="right"/>
    </xf>
    <xf numFmtId="0" fontId="9" fillId="0" borderId="1" xfId="1" applyFont="1"/>
    <xf numFmtId="3" fontId="9" fillId="0" borderId="1" xfId="1" applyNumberFormat="1" applyFont="1"/>
    <xf numFmtId="0" fontId="9" fillId="0" borderId="28" xfId="1" applyFont="1" applyBorder="1"/>
    <xf numFmtId="0" fontId="20" fillId="0" borderId="30" xfId="1" applyFont="1" applyBorder="1"/>
    <xf numFmtId="0" fontId="26" fillId="0" borderId="30" xfId="1" applyFont="1" applyBorder="1"/>
    <xf numFmtId="0" fontId="9" fillId="0" borderId="30" xfId="1" applyFont="1" applyBorder="1" applyAlignment="1">
      <alignment horizontal="right"/>
    </xf>
    <xf numFmtId="0" fontId="9" fillId="0" borderId="30" xfId="1" applyFont="1" applyBorder="1"/>
    <xf numFmtId="0" fontId="9" fillId="0" borderId="31" xfId="1" applyFont="1" applyBorder="1"/>
    <xf numFmtId="0" fontId="26" fillId="0" borderId="22" xfId="1" applyFont="1" applyBorder="1" applyAlignment="1">
      <alignment vertical="center" wrapText="1"/>
    </xf>
    <xf numFmtId="0" fontId="26" fillId="0" borderId="22" xfId="1" applyFont="1" applyBorder="1"/>
    <xf numFmtId="0" fontId="9" fillId="0" borderId="22" xfId="1" applyFont="1" applyBorder="1" applyAlignment="1">
      <alignment horizontal="right"/>
    </xf>
    <xf numFmtId="0" fontId="25" fillId="0" borderId="22" xfId="1" applyFont="1" applyBorder="1" applyAlignment="1">
      <alignment wrapText="1"/>
    </xf>
    <xf numFmtId="0" fontId="9" fillId="0" borderId="23" xfId="1" applyFont="1" applyBorder="1"/>
    <xf numFmtId="0" fontId="20" fillId="0" borderId="25" xfId="1" applyFont="1" applyBorder="1"/>
    <xf numFmtId="0" fontId="26" fillId="0" borderId="1" xfId="1" applyFont="1" applyAlignment="1">
      <alignment vertical="top" wrapText="1"/>
    </xf>
    <xf numFmtId="0" fontId="26" fillId="0" borderId="30" xfId="1" applyFont="1" applyBorder="1" applyAlignment="1">
      <alignment vertical="top" wrapText="1"/>
    </xf>
    <xf numFmtId="0" fontId="26" fillId="0" borderId="30" xfId="1" applyFont="1" applyBorder="1" applyAlignment="1">
      <alignment horizontal="left" vertical="top" wrapText="1"/>
    </xf>
    <xf numFmtId="0" fontId="26" fillId="0" borderId="25" xfId="1" applyFont="1" applyBorder="1" applyAlignment="1">
      <alignment horizontal="left" vertical="top" wrapText="1"/>
    </xf>
    <xf numFmtId="0" fontId="20" fillId="0" borderId="26" xfId="1" applyFont="1" applyBorder="1"/>
    <xf numFmtId="0" fontId="26" fillId="0" borderId="22" xfId="1" applyFont="1" applyBorder="1" applyAlignment="1">
      <alignment vertical="top" wrapText="1"/>
    </xf>
    <xf numFmtId="0" fontId="27" fillId="0" borderId="22" xfId="1" applyFont="1" applyBorder="1" applyAlignment="1">
      <alignment vertical="center" wrapText="1"/>
    </xf>
    <xf numFmtId="0" fontId="28" fillId="0" borderId="22" xfId="1" applyFont="1" applyBorder="1" applyAlignment="1">
      <alignment vertical="top" wrapText="1"/>
    </xf>
    <xf numFmtId="0" fontId="1" fillId="0" borderId="20" xfId="1" applyFont="1" applyBorder="1" applyAlignment="1">
      <alignment vertical="center"/>
    </xf>
    <xf numFmtId="0" fontId="9" fillId="0" borderId="22" xfId="1" applyFont="1" applyBorder="1"/>
    <xf numFmtId="0" fontId="28" fillId="0" borderId="22" xfId="1" applyFont="1" applyBorder="1" applyAlignment="1">
      <alignment vertical="center" wrapText="1"/>
    </xf>
    <xf numFmtId="0" fontId="1" fillId="0" borderId="19" xfId="1" applyFont="1" applyBorder="1" applyAlignment="1">
      <alignment vertical="center"/>
    </xf>
    <xf numFmtId="0" fontId="26" fillId="0" borderId="24" xfId="1" applyFont="1" applyBorder="1" applyAlignment="1">
      <alignment vertical="center" wrapText="1"/>
    </xf>
    <xf numFmtId="0" fontId="25" fillId="0" borderId="25" xfId="1" applyFont="1" applyBorder="1"/>
    <xf numFmtId="0" fontId="24" fillId="0" borderId="1" xfId="1" applyFont="1" applyAlignment="1">
      <alignment vertical="top" wrapText="1"/>
    </xf>
    <xf numFmtId="0" fontId="24" fillId="0" borderId="30" xfId="1" applyFont="1" applyBorder="1" applyAlignment="1">
      <alignment vertical="top" wrapText="1"/>
    </xf>
    <xf numFmtId="0" fontId="9" fillId="0" borderId="1" xfId="1" applyFont="1" applyAlignment="1">
      <alignment vertical="center"/>
    </xf>
    <xf numFmtId="0" fontId="9" fillId="0" borderId="1" xfId="1" applyFont="1" applyAlignment="1">
      <alignment vertical="center" wrapText="1"/>
    </xf>
    <xf numFmtId="0" fontId="1" fillId="2" borderId="1" xfId="0" applyFont="1" applyFill="1" applyAlignment="1">
      <alignment horizontal="center" wrapText="1"/>
    </xf>
    <xf numFmtId="0" fontId="1" fillId="2" borderId="1" xfId="0" applyFont="1" applyFill="1"/>
    <xf numFmtId="0" fontId="4" fillId="2" borderId="1" xfId="0" applyFont="1" applyFill="1"/>
    <xf numFmtId="0" fontId="1" fillId="4" borderId="8" xfId="0" applyFont="1" applyFill="1" applyBorder="1" applyAlignment="1">
      <alignment horizontal="left" vertical="top" wrapText="1"/>
    </xf>
    <xf numFmtId="0" fontId="1" fillId="4" borderId="8" xfId="0" applyFont="1" applyFill="1" applyBorder="1" applyAlignment="1">
      <alignment horizontal="left" vertical="center"/>
    </xf>
    <xf numFmtId="0" fontId="1" fillId="4" borderId="9" xfId="0" applyFont="1" applyFill="1" applyBorder="1" applyAlignment="1">
      <alignment horizontal="left" vertical="center" wrapText="1"/>
    </xf>
    <xf numFmtId="0" fontId="11" fillId="4" borderId="7" xfId="0" applyFont="1" applyFill="1" applyBorder="1" applyAlignment="1">
      <alignment horizontal="center" vertical="center"/>
    </xf>
    <xf numFmtId="0" fontId="11" fillId="4" borderId="7" xfId="0" applyFont="1" applyFill="1" applyBorder="1" applyAlignment="1">
      <alignment horizontal="left" vertical="center"/>
    </xf>
    <xf numFmtId="0" fontId="11" fillId="4" borderId="8" xfId="0" applyFont="1" applyFill="1" applyBorder="1" applyAlignment="1">
      <alignment horizontal="left" vertical="top" wrapText="1"/>
    </xf>
    <xf numFmtId="0" fontId="11" fillId="4" borderId="8" xfId="0" applyFont="1" applyFill="1" applyBorder="1" applyAlignment="1">
      <alignment horizontal="left" vertical="center"/>
    </xf>
    <xf numFmtId="0" fontId="11" fillId="4" borderId="9" xfId="0" applyFont="1" applyFill="1" applyBorder="1" applyAlignment="1">
      <alignment horizontal="left" vertical="center" wrapText="1"/>
    </xf>
    <xf numFmtId="0" fontId="6" fillId="5" borderId="1" xfId="0" applyFont="1" applyFill="1"/>
    <xf numFmtId="0" fontId="29" fillId="7" borderId="2" xfId="0" applyFont="1" applyFill="1" applyBorder="1" applyAlignment="1">
      <alignment horizontal="left" vertical="center" wrapText="1"/>
    </xf>
    <xf numFmtId="0" fontId="8" fillId="0" borderId="15" xfId="0" applyFont="1" applyBorder="1" applyAlignment="1">
      <alignment horizontal="left" vertical="center" wrapText="1"/>
    </xf>
    <xf numFmtId="0" fontId="29" fillId="7" borderId="14" xfId="0" applyFont="1" applyFill="1" applyBorder="1" applyAlignment="1">
      <alignment vertical="center" wrapText="1"/>
    </xf>
    <xf numFmtId="0" fontId="29" fillId="7" borderId="14" xfId="0" applyFont="1" applyFill="1" applyBorder="1" applyAlignment="1">
      <alignment horizontal="left" vertical="center" wrapText="1"/>
    </xf>
    <xf numFmtId="0" fontId="29" fillId="7" borderId="14" xfId="0" applyFont="1" applyFill="1" applyBorder="1" applyAlignment="1">
      <alignment horizontal="center" vertical="center"/>
    </xf>
    <xf numFmtId="0" fontId="1" fillId="2" borderId="1" xfId="0" applyFont="1" applyFill="1" applyAlignment="1">
      <alignment vertical="center" wrapText="1"/>
    </xf>
    <xf numFmtId="0" fontId="0" fillId="0" borderId="0" xfId="0" applyBorder="1" applyAlignment="1">
      <alignment vertical="center"/>
    </xf>
    <xf numFmtId="0" fontId="5" fillId="3" borderId="17" xfId="0" applyFont="1" applyFill="1" applyBorder="1" applyAlignment="1">
      <alignment horizontal="left" vertical="center" wrapText="1"/>
    </xf>
    <xf numFmtId="0" fontId="29" fillId="7" borderId="14" xfId="0" applyFont="1" applyFill="1" applyBorder="1" applyAlignment="1">
      <alignment horizontal="left" vertical="center"/>
    </xf>
    <xf numFmtId="0" fontId="1" fillId="2" borderId="1" xfId="0" applyFont="1" applyFill="1" applyAlignment="1">
      <alignment horizontal="left" vertical="center" wrapText="1"/>
    </xf>
    <xf numFmtId="0" fontId="0" fillId="0" borderId="0" xfId="0" applyBorder="1" applyAlignment="1">
      <alignment horizontal="left" vertical="center"/>
    </xf>
    <xf numFmtId="0" fontId="32" fillId="0" borderId="1" xfId="2"/>
    <xf numFmtId="49" fontId="32" fillId="0" borderId="1" xfId="2" applyNumberFormat="1"/>
    <xf numFmtId="22" fontId="32" fillId="0" borderId="1" xfId="2" applyNumberFormat="1"/>
    <xf numFmtId="14" fontId="32" fillId="0" borderId="1" xfId="2" applyNumberFormat="1"/>
    <xf numFmtId="0" fontId="0" fillId="0" borderId="36" xfId="0" applyBorder="1"/>
    <xf numFmtId="0" fontId="0" fillId="0" borderId="37" xfId="0" applyBorder="1"/>
    <xf numFmtId="0" fontId="33" fillId="11" borderId="38" xfId="3" applyFont="1" applyFill="1" applyBorder="1" applyAlignment="1">
      <alignment horizontal="center" vertical="center"/>
    </xf>
    <xf numFmtId="0" fontId="33" fillId="11" borderId="39" xfId="3" applyFont="1" applyFill="1" applyBorder="1" applyAlignment="1">
      <alignment horizontal="center" vertical="center"/>
    </xf>
    <xf numFmtId="0" fontId="33" fillId="11" borderId="39" xfId="3" applyFont="1" applyFill="1" applyBorder="1" applyAlignment="1">
      <alignment horizontal="center" vertical="center" wrapText="1"/>
    </xf>
    <xf numFmtId="0" fontId="33" fillId="11" borderId="21" xfId="3" applyFont="1" applyFill="1" applyBorder="1" applyAlignment="1">
      <alignment horizontal="center" vertical="center" wrapText="1"/>
    </xf>
    <xf numFmtId="0" fontId="33" fillId="11" borderId="40" xfId="3" applyFont="1" applyFill="1" applyBorder="1" applyAlignment="1">
      <alignment horizontal="center" vertical="center" wrapText="1"/>
    </xf>
    <xf numFmtId="0" fontId="29" fillId="0" borderId="1" xfId="3" applyFont="1" applyAlignment="1">
      <alignment vertical="center"/>
    </xf>
    <xf numFmtId="0" fontId="31" fillId="0" borderId="1" xfId="3" applyAlignment="1">
      <alignment vertical="center"/>
    </xf>
    <xf numFmtId="0" fontId="34" fillId="7" borderId="17" xfId="3" applyFont="1" applyFill="1" applyBorder="1" applyAlignment="1">
      <alignment horizontal="center" vertical="center" wrapText="1"/>
    </xf>
    <xf numFmtId="0" fontId="29" fillId="7" borderId="17" xfId="3" applyFont="1" applyFill="1" applyBorder="1" applyAlignment="1">
      <alignment horizontal="center" vertical="center" wrapText="1"/>
    </xf>
    <xf numFmtId="0" fontId="29" fillId="7" borderId="14" xfId="3" applyFont="1" applyFill="1" applyBorder="1" applyAlignment="1">
      <alignment horizontal="center" vertical="center"/>
    </xf>
    <xf numFmtId="0" fontId="29" fillId="7" borderId="14" xfId="3" applyFont="1" applyFill="1" applyBorder="1" applyAlignment="1">
      <alignment horizontal="left" vertical="center" wrapText="1"/>
    </xf>
    <xf numFmtId="0" fontId="29" fillId="7" borderId="16" xfId="3" applyFont="1" applyFill="1" applyBorder="1" applyAlignment="1">
      <alignment horizontal="left" vertical="top" wrapText="1"/>
    </xf>
    <xf numFmtId="0" fontId="29" fillId="7" borderId="33" xfId="3" applyFont="1" applyFill="1" applyBorder="1" applyAlignment="1">
      <alignment horizontal="left" vertical="center" wrapText="1"/>
    </xf>
    <xf numFmtId="0" fontId="29" fillId="7" borderId="2" xfId="3" applyFont="1" applyFill="1" applyBorder="1" applyAlignment="1">
      <alignment horizontal="left" vertical="center" wrapText="1"/>
    </xf>
    <xf numFmtId="0" fontId="29" fillId="7" borderId="17" xfId="3" applyFont="1" applyFill="1" applyBorder="1" applyAlignment="1">
      <alignment horizontal="left" vertical="top" wrapText="1"/>
    </xf>
    <xf numFmtId="0" fontId="29" fillId="7" borderId="2" xfId="3" applyFont="1" applyFill="1" applyBorder="1" applyAlignment="1">
      <alignment horizontal="left" vertical="top" wrapText="1"/>
    </xf>
    <xf numFmtId="0" fontId="29" fillId="7" borderId="2" xfId="3" applyFont="1" applyFill="1" applyBorder="1" applyAlignment="1">
      <alignment horizontal="center" vertical="center" wrapText="1"/>
    </xf>
    <xf numFmtId="0" fontId="34" fillId="7" borderId="2" xfId="3" applyFont="1" applyFill="1" applyBorder="1" applyAlignment="1">
      <alignment horizontal="center" vertical="center" wrapText="1"/>
    </xf>
    <xf numFmtId="0" fontId="34" fillId="7" borderId="3" xfId="3" applyFont="1" applyFill="1" applyBorder="1" applyAlignment="1">
      <alignment horizontal="center" vertical="center" wrapText="1"/>
    </xf>
    <xf numFmtId="0" fontId="29" fillId="7" borderId="3" xfId="3" applyFont="1" applyFill="1" applyBorder="1" applyAlignment="1">
      <alignment horizontal="center" vertical="center" wrapText="1"/>
    </xf>
    <xf numFmtId="0" fontId="29" fillId="7" borderId="32" xfId="3" applyFont="1" applyFill="1" applyBorder="1" applyAlignment="1">
      <alignment horizontal="left" vertical="top" wrapText="1"/>
    </xf>
    <xf numFmtId="0" fontId="29" fillId="7" borderId="42" xfId="3" applyFont="1" applyFill="1" applyBorder="1" applyAlignment="1">
      <alignment horizontal="left" vertical="center" wrapText="1"/>
    </xf>
    <xf numFmtId="0" fontId="29" fillId="7" borderId="17" xfId="3" applyFont="1" applyFill="1" applyBorder="1" applyAlignment="1">
      <alignment horizontal="left" vertical="center" wrapText="1"/>
    </xf>
    <xf numFmtId="0" fontId="34" fillId="7" borderId="14" xfId="3" applyFont="1" applyFill="1" applyBorder="1" applyAlignment="1">
      <alignment vertical="center"/>
    </xf>
    <xf numFmtId="0" fontId="16" fillId="7" borderId="23" xfId="3" applyFont="1" applyFill="1" applyBorder="1" applyAlignment="1">
      <alignment horizontal="left" vertical="top" wrapText="1"/>
    </xf>
    <xf numFmtId="0" fontId="29" fillId="7" borderId="14" xfId="3" applyFont="1" applyFill="1" applyBorder="1" applyAlignment="1">
      <alignment horizontal="left" vertical="top" wrapText="1"/>
    </xf>
    <xf numFmtId="0" fontId="29" fillId="7" borderId="14" xfId="3" applyFont="1" applyFill="1" applyBorder="1" applyAlignment="1">
      <alignment horizontal="center" vertical="center" wrapText="1"/>
    </xf>
    <xf numFmtId="0" fontId="34" fillId="7" borderId="14" xfId="3" applyFont="1" applyFill="1" applyBorder="1" applyAlignment="1">
      <alignment horizontal="center" vertical="center" wrapText="1"/>
    </xf>
    <xf numFmtId="0" fontId="16" fillId="7" borderId="26" xfId="3" applyFont="1" applyFill="1" applyBorder="1" applyAlignment="1">
      <alignment horizontal="left" vertical="top" wrapText="1"/>
    </xf>
    <xf numFmtId="0" fontId="29" fillId="7" borderId="21" xfId="3" applyFont="1" applyFill="1" applyBorder="1" applyAlignment="1">
      <alignment horizontal="center" vertical="center" wrapText="1"/>
    </xf>
    <xf numFmtId="0" fontId="34" fillId="7" borderId="21" xfId="3" applyFont="1" applyFill="1" applyBorder="1" applyAlignment="1">
      <alignment horizontal="center" vertical="center" wrapText="1"/>
    </xf>
    <xf numFmtId="0" fontId="34" fillId="7" borderId="33" xfId="3" applyFont="1" applyFill="1" applyBorder="1" applyAlignment="1">
      <alignment vertical="center"/>
    </xf>
    <xf numFmtId="0" fontId="16" fillId="7" borderId="16" xfId="3" applyFont="1" applyFill="1" applyBorder="1" applyAlignment="1">
      <alignment horizontal="left" vertical="top" wrapText="1"/>
    </xf>
    <xf numFmtId="0" fontId="16" fillId="7" borderId="1" xfId="3" applyFont="1" applyFill="1" applyAlignment="1">
      <alignment horizontal="left" vertical="center" wrapText="1"/>
    </xf>
    <xf numFmtId="0" fontId="29" fillId="7" borderId="2" xfId="3" applyFont="1" applyFill="1" applyBorder="1" applyAlignment="1">
      <alignment vertical="top" wrapText="1"/>
    </xf>
    <xf numFmtId="0" fontId="34" fillId="7" borderId="44" xfId="3" applyFont="1" applyFill="1" applyBorder="1" applyAlignment="1">
      <alignment vertical="center"/>
    </xf>
    <xf numFmtId="0" fontId="34" fillId="7" borderId="33" xfId="3" applyFont="1" applyFill="1" applyBorder="1" applyAlignment="1">
      <alignment vertical="center" wrapText="1"/>
    </xf>
    <xf numFmtId="0" fontId="16" fillId="7" borderId="32" xfId="3" applyFont="1" applyFill="1" applyBorder="1" applyAlignment="1">
      <alignment horizontal="left" vertical="center" wrapText="1"/>
    </xf>
    <xf numFmtId="0" fontId="29" fillId="7" borderId="42" xfId="3" applyFont="1" applyFill="1" applyBorder="1" applyAlignment="1">
      <alignment horizontal="left" vertical="top" wrapText="1"/>
    </xf>
    <xf numFmtId="0" fontId="29" fillId="7" borderId="16" xfId="3" applyFont="1" applyFill="1" applyBorder="1" applyAlignment="1">
      <alignment horizontal="center" vertical="center" wrapText="1"/>
    </xf>
    <xf numFmtId="0" fontId="34" fillId="7" borderId="16" xfId="3" applyFont="1" applyFill="1" applyBorder="1" applyAlignment="1">
      <alignment horizontal="center" vertical="center" wrapText="1"/>
    </xf>
    <xf numFmtId="0" fontId="29" fillId="8" borderId="14" xfId="3" applyFont="1" applyFill="1" applyBorder="1" applyAlignment="1">
      <alignment horizontal="left" vertical="center" wrapText="1"/>
    </xf>
    <xf numFmtId="0" fontId="29" fillId="8" borderId="15" xfId="3" applyFont="1" applyFill="1" applyBorder="1" applyAlignment="1">
      <alignment horizontal="left" vertical="center" wrapText="1"/>
    </xf>
    <xf numFmtId="0" fontId="19" fillId="9" borderId="2" xfId="3" applyFont="1" applyFill="1" applyBorder="1" applyAlignment="1">
      <alignment horizontal="left" vertical="top" wrapText="1"/>
    </xf>
    <xf numFmtId="0" fontId="16" fillId="9" borderId="2" xfId="3" applyFont="1" applyFill="1" applyBorder="1" applyAlignment="1">
      <alignment horizontal="left" vertical="center" wrapText="1"/>
    </xf>
    <xf numFmtId="0" fontId="29" fillId="9" borderId="2" xfId="3" applyFont="1" applyFill="1" applyBorder="1" applyAlignment="1">
      <alignment horizontal="left" vertical="top" wrapText="1"/>
    </xf>
    <xf numFmtId="0" fontId="29" fillId="9" borderId="46" xfId="3" applyFont="1" applyFill="1" applyBorder="1" applyAlignment="1">
      <alignment horizontal="left" vertical="top" wrapText="1"/>
    </xf>
    <xf numFmtId="10" fontId="29" fillId="9" borderId="15" xfId="3" applyNumberFormat="1" applyFont="1" applyFill="1" applyBorder="1" applyAlignment="1">
      <alignment horizontal="left" vertical="top" wrapText="1"/>
    </xf>
    <xf numFmtId="0" fontId="29" fillId="0" borderId="1" xfId="3" applyFont="1"/>
    <xf numFmtId="0" fontId="31" fillId="0" borderId="1" xfId="3"/>
    <xf numFmtId="0" fontId="29" fillId="8" borderId="16" xfId="3" applyFont="1" applyFill="1" applyBorder="1" applyAlignment="1">
      <alignment horizontal="left" vertical="center" wrapText="1"/>
    </xf>
    <xf numFmtId="0" fontId="17" fillId="9" borderId="2" xfId="3" applyFont="1" applyFill="1" applyBorder="1" applyAlignment="1">
      <alignment horizontal="left" vertical="top" wrapText="1"/>
    </xf>
    <xf numFmtId="0" fontId="29" fillId="8" borderId="2" xfId="3" applyFont="1" applyFill="1" applyBorder="1" applyAlignment="1">
      <alignment horizontal="left"/>
    </xf>
    <xf numFmtId="0" fontId="29" fillId="8" borderId="2" xfId="3" applyFont="1" applyFill="1" applyBorder="1" applyAlignment="1">
      <alignment horizontal="left" vertical="top" wrapText="1"/>
    </xf>
    <xf numFmtId="0" fontId="29" fillId="8" borderId="15" xfId="3" applyFont="1" applyFill="1" applyBorder="1" applyAlignment="1">
      <alignment horizontal="left" vertical="top" wrapText="1"/>
    </xf>
    <xf numFmtId="0" fontId="29" fillId="8" borderId="15" xfId="3" quotePrefix="1" applyFont="1" applyFill="1" applyBorder="1" applyAlignment="1">
      <alignment wrapText="1"/>
    </xf>
    <xf numFmtId="0" fontId="29" fillId="9" borderId="44" xfId="3" applyFont="1" applyFill="1" applyBorder="1" applyAlignment="1">
      <alignment horizontal="left" vertical="center" wrapText="1"/>
    </xf>
    <xf numFmtId="0" fontId="29" fillId="8" borderId="15" xfId="3" applyFont="1" applyFill="1" applyBorder="1" applyAlignment="1">
      <alignment horizontal="left"/>
    </xf>
    <xf numFmtId="0" fontId="29" fillId="8" borderId="17" xfId="3" applyFont="1" applyFill="1" applyBorder="1" applyAlignment="1">
      <alignment horizontal="left" vertical="top" wrapText="1"/>
    </xf>
    <xf numFmtId="0" fontId="29" fillId="8" borderId="15" xfId="3" applyFont="1" applyFill="1" applyBorder="1" applyAlignment="1">
      <alignment wrapText="1"/>
    </xf>
    <xf numFmtId="0" fontId="3" fillId="9" borderId="44" xfId="3" applyFont="1" applyFill="1" applyBorder="1" applyAlignment="1">
      <alignment vertical="center" wrapText="1"/>
    </xf>
    <xf numFmtId="0" fontId="29" fillId="8" borderId="34" xfId="3" applyFont="1" applyFill="1" applyBorder="1" applyAlignment="1">
      <alignment horizontal="left" vertical="top" wrapText="1"/>
    </xf>
    <xf numFmtId="0" fontId="16" fillId="9" borderId="34" xfId="3" applyFont="1" applyFill="1" applyBorder="1" applyAlignment="1">
      <alignment horizontal="left" vertical="center" wrapText="1"/>
    </xf>
    <xf numFmtId="0" fontId="29" fillId="8" borderId="3" xfId="3" applyFont="1" applyFill="1" applyBorder="1" applyAlignment="1">
      <alignment horizontal="left" vertical="top" wrapText="1"/>
    </xf>
    <xf numFmtId="0" fontId="29" fillId="8" borderId="34" xfId="3" applyFont="1" applyFill="1" applyBorder="1" applyAlignment="1">
      <alignment vertical="top" wrapText="1"/>
    </xf>
    <xf numFmtId="0" fontId="35" fillId="9" borderId="2" xfId="3" applyFont="1" applyFill="1" applyBorder="1" applyAlignment="1">
      <alignment vertical="center" wrapText="1"/>
    </xf>
    <xf numFmtId="0" fontId="3" fillId="9" borderId="2" xfId="3" applyFont="1" applyFill="1" applyBorder="1" applyAlignment="1">
      <alignment horizontal="center" vertical="center" wrapText="1"/>
    </xf>
    <xf numFmtId="0" fontId="3" fillId="9" borderId="33" xfId="3" applyFont="1" applyFill="1" applyBorder="1" applyAlignment="1">
      <alignment vertical="center" wrapText="1"/>
    </xf>
    <xf numFmtId="0" fontId="3" fillId="9" borderId="2" xfId="3" applyFont="1" applyFill="1" applyBorder="1" applyAlignment="1">
      <alignment vertical="center" wrapText="1"/>
    </xf>
    <xf numFmtId="0" fontId="29" fillId="8" borderId="14" xfId="3" applyFont="1" applyFill="1" applyBorder="1" applyAlignment="1">
      <alignment horizontal="center" vertical="center" wrapText="1"/>
    </xf>
    <xf numFmtId="0" fontId="16" fillId="9" borderId="2" xfId="3" applyFont="1" applyFill="1" applyBorder="1" applyAlignment="1">
      <alignment horizontal="left" vertical="top" wrapText="1"/>
    </xf>
    <xf numFmtId="0" fontId="29" fillId="8" borderId="2" xfId="3" applyFont="1" applyFill="1" applyBorder="1" applyAlignment="1">
      <alignment vertical="top" wrapText="1"/>
    </xf>
    <xf numFmtId="0" fontId="29" fillId="8" borderId="2" xfId="3" quotePrefix="1" applyFont="1" applyFill="1" applyBorder="1" applyAlignment="1">
      <alignment vertical="top" wrapText="1"/>
    </xf>
    <xf numFmtId="9" fontId="29" fillId="9" borderId="2" xfId="3" applyNumberFormat="1" applyFont="1" applyFill="1" applyBorder="1" applyAlignment="1">
      <alignment horizontal="left" vertical="top" wrapText="1"/>
    </xf>
    <xf numFmtId="0" fontId="35" fillId="9" borderId="17" xfId="3" applyFont="1" applyFill="1" applyBorder="1" applyAlignment="1">
      <alignment vertical="center" wrapText="1"/>
    </xf>
    <xf numFmtId="0" fontId="3" fillId="9" borderId="17" xfId="3" applyFont="1" applyFill="1" applyBorder="1" applyAlignment="1">
      <alignment horizontal="center" vertical="center" wrapText="1"/>
    </xf>
    <xf numFmtId="0" fontId="3" fillId="9" borderId="3" xfId="3" applyFont="1" applyFill="1" applyBorder="1" applyAlignment="1">
      <alignment horizontal="center" vertical="center" wrapText="1"/>
    </xf>
    <xf numFmtId="0" fontId="29" fillId="8" borderId="3" xfId="3" applyFont="1" applyFill="1" applyBorder="1" applyAlignment="1">
      <alignment horizontal="left" vertical="center" wrapText="1"/>
    </xf>
    <xf numFmtId="0" fontId="29" fillId="8" borderId="14" xfId="3" applyFont="1" applyFill="1" applyBorder="1" applyAlignment="1">
      <alignment horizontal="left" vertical="top" wrapText="1"/>
    </xf>
    <xf numFmtId="0" fontId="29" fillId="8" borderId="32" xfId="3" applyFont="1" applyFill="1" applyBorder="1" applyAlignment="1">
      <alignment horizontal="left" vertical="top" wrapText="1"/>
    </xf>
    <xf numFmtId="0" fontId="29" fillId="8" borderId="42" xfId="3" applyFont="1" applyFill="1" applyBorder="1" applyAlignment="1">
      <alignment horizontal="left" vertical="top" wrapText="1"/>
    </xf>
    <xf numFmtId="0" fontId="30" fillId="10" borderId="17" xfId="3" applyFont="1" applyFill="1" applyBorder="1" applyAlignment="1">
      <alignment horizontal="left" vertical="top" wrapText="1"/>
    </xf>
    <xf numFmtId="0" fontId="29" fillId="8" borderId="2" xfId="3" applyFont="1" applyFill="1" applyBorder="1" applyAlignment="1">
      <alignment horizontal="left" vertical="center" wrapText="1"/>
    </xf>
    <xf numFmtId="0" fontId="30" fillId="10" borderId="47" xfId="3" applyFont="1" applyFill="1" applyBorder="1" applyAlignment="1">
      <alignment horizontal="left" vertical="top" wrapText="1"/>
    </xf>
    <xf numFmtId="0" fontId="29" fillId="8" borderId="14" xfId="3" applyFont="1" applyFill="1" applyBorder="1" applyAlignment="1">
      <alignment vertical="center" wrapText="1"/>
    </xf>
    <xf numFmtId="0" fontId="16" fillId="9" borderId="44" xfId="3" applyFont="1" applyFill="1" applyBorder="1" applyAlignment="1">
      <alignment horizontal="left" vertical="center" wrapText="1"/>
    </xf>
    <xf numFmtId="0" fontId="29" fillId="9" borderId="2" xfId="3" applyFont="1" applyFill="1" applyBorder="1" applyAlignment="1">
      <alignment horizontal="left" vertical="center" wrapText="1"/>
    </xf>
    <xf numFmtId="0" fontId="29" fillId="9" borderId="3" xfId="3" applyFont="1" applyFill="1" applyBorder="1" applyAlignment="1">
      <alignment horizontal="left" vertical="center" wrapText="1"/>
    </xf>
    <xf numFmtId="0" fontId="16" fillId="9" borderId="44" xfId="3" applyFont="1" applyFill="1" applyBorder="1" applyAlignment="1">
      <alignment horizontal="left" vertical="top" wrapText="1"/>
    </xf>
    <xf numFmtId="0" fontId="29" fillId="8" borderId="16" xfId="3" applyFont="1" applyFill="1" applyBorder="1" applyAlignment="1">
      <alignment horizontal="left" vertical="top" wrapText="1"/>
    </xf>
    <xf numFmtId="0" fontId="5" fillId="9" borderId="17" xfId="3" applyFont="1" applyFill="1" applyBorder="1" applyAlignment="1">
      <alignment vertical="center" wrapText="1"/>
    </xf>
    <xf numFmtId="0" fontId="5" fillId="9" borderId="18" xfId="3" applyFont="1" applyFill="1" applyBorder="1" applyAlignment="1">
      <alignment horizontal="center" vertical="center" wrapText="1"/>
    </xf>
    <xf numFmtId="0" fontId="8" fillId="9" borderId="19" xfId="3" applyFont="1" applyFill="1" applyBorder="1" applyAlignment="1">
      <alignment vertical="center" wrapText="1"/>
    </xf>
    <xf numFmtId="0" fontId="8" fillId="9" borderId="2" xfId="3" applyFont="1" applyFill="1" applyBorder="1" applyAlignment="1">
      <alignment vertical="center" wrapText="1"/>
    </xf>
    <xf numFmtId="0" fontId="8" fillId="9" borderId="33" xfId="3" applyFont="1" applyFill="1" applyBorder="1" applyAlignment="1">
      <alignment vertical="center" wrapText="1"/>
    </xf>
    <xf numFmtId="0" fontId="29" fillId="8" borderId="16" xfId="3" applyFont="1" applyFill="1" applyBorder="1" applyAlignment="1">
      <alignment vertical="top" wrapText="1"/>
    </xf>
    <xf numFmtId="0" fontId="9" fillId="0" borderId="1" xfId="3" applyFont="1"/>
    <xf numFmtId="0" fontId="34" fillId="13" borderId="43" xfId="3" applyFont="1" applyFill="1" applyBorder="1" applyAlignment="1">
      <alignment horizontal="center" vertical="center" wrapText="1"/>
    </xf>
    <xf numFmtId="0" fontId="15" fillId="14" borderId="17" xfId="3" applyFont="1" applyFill="1" applyBorder="1" applyAlignment="1">
      <alignment vertical="center" wrapText="1"/>
    </xf>
    <xf numFmtId="0" fontId="15" fillId="14" borderId="18" xfId="3" applyFont="1" applyFill="1" applyBorder="1" applyAlignment="1">
      <alignment horizontal="center" vertical="center" wrapText="1"/>
    </xf>
    <xf numFmtId="0" fontId="7" fillId="14" borderId="19" xfId="3" applyFont="1" applyFill="1" applyBorder="1" applyAlignment="1">
      <alignment vertical="center" wrapText="1"/>
    </xf>
    <xf numFmtId="0" fontId="7" fillId="14" borderId="16" xfId="3" applyFont="1" applyFill="1" applyBorder="1" applyAlignment="1">
      <alignment vertical="center" wrapText="1"/>
    </xf>
    <xf numFmtId="0" fontId="7" fillId="14" borderId="17" xfId="3" applyFont="1" applyFill="1" applyBorder="1" applyAlignment="1">
      <alignment vertical="center" wrapText="1"/>
    </xf>
    <xf numFmtId="0" fontId="17" fillId="15" borderId="44" xfId="3" applyFont="1" applyFill="1" applyBorder="1" applyAlignment="1">
      <alignment horizontal="center" vertical="center" wrapText="1"/>
    </xf>
    <xf numFmtId="0" fontId="17" fillId="15" borderId="35" xfId="3" applyFont="1" applyFill="1" applyBorder="1" applyAlignment="1">
      <alignment horizontal="center" vertical="center" wrapText="1"/>
    </xf>
    <xf numFmtId="0" fontId="36" fillId="15" borderId="15" xfId="3" applyFont="1" applyFill="1" applyBorder="1" applyAlignment="1">
      <alignment horizontal="left" vertical="center" wrapText="1"/>
    </xf>
    <xf numFmtId="0" fontId="17" fillId="15" borderId="3" xfId="3" applyFont="1" applyFill="1" applyBorder="1" applyAlignment="1">
      <alignment horizontal="left" vertical="center" wrapText="1"/>
    </xf>
    <xf numFmtId="0" fontId="17" fillId="14" borderId="46" xfId="3" applyFont="1" applyFill="1" applyBorder="1" applyAlignment="1">
      <alignment horizontal="left" vertical="center" wrapText="1"/>
    </xf>
    <xf numFmtId="0" fontId="17" fillId="14" borderId="15" xfId="3" applyFont="1" applyFill="1" applyBorder="1" applyAlignment="1">
      <alignment horizontal="left" vertical="center" wrapText="1"/>
    </xf>
    <xf numFmtId="0" fontId="17" fillId="15" borderId="15" xfId="3" applyFont="1" applyFill="1" applyBorder="1" applyAlignment="1">
      <alignment horizontal="left" vertical="center" wrapText="1"/>
    </xf>
    <xf numFmtId="0" fontId="17" fillId="15" borderId="15" xfId="3" applyFont="1" applyFill="1" applyBorder="1" applyAlignment="1">
      <alignment vertical="top" wrapText="1"/>
    </xf>
    <xf numFmtId="0" fontId="29" fillId="15" borderId="15" xfId="3" applyFont="1" applyFill="1" applyBorder="1" applyAlignment="1">
      <alignment vertical="top" wrapText="1"/>
    </xf>
    <xf numFmtId="0" fontId="29" fillId="15" borderId="15" xfId="3" quotePrefix="1" applyFont="1" applyFill="1" applyBorder="1" applyAlignment="1">
      <alignment vertical="top" wrapText="1"/>
    </xf>
    <xf numFmtId="0" fontId="29" fillId="15" borderId="46" xfId="3" quotePrefix="1" applyFont="1" applyFill="1" applyBorder="1" applyAlignment="1">
      <alignment vertical="top" wrapText="1"/>
    </xf>
    <xf numFmtId="0" fontId="29" fillId="14" borderId="1" xfId="3" applyFont="1" applyFill="1"/>
    <xf numFmtId="0" fontId="31" fillId="14" borderId="1" xfId="3" applyFill="1"/>
    <xf numFmtId="0" fontId="3" fillId="17" borderId="44" xfId="3" applyFont="1" applyFill="1" applyBorder="1" applyAlignment="1">
      <alignment horizontal="left" vertical="top"/>
    </xf>
    <xf numFmtId="0" fontId="30" fillId="17" borderId="3" xfId="3" applyFont="1" applyFill="1" applyBorder="1" applyAlignment="1">
      <alignment horizontal="left" vertical="top" wrapText="1"/>
    </xf>
    <xf numFmtId="0" fontId="30" fillId="17" borderId="44" xfId="3" applyFont="1" applyFill="1" applyBorder="1" applyAlignment="1">
      <alignment horizontal="left" vertical="top" wrapText="1"/>
    </xf>
    <xf numFmtId="0" fontId="30" fillId="17" borderId="16" xfId="3" applyFont="1" applyFill="1" applyBorder="1" applyAlignment="1">
      <alignment horizontal="left" vertical="top" wrapText="1"/>
    </xf>
    <xf numFmtId="0" fontId="30" fillId="17" borderId="18" xfId="3" applyFont="1" applyFill="1" applyBorder="1" applyAlignment="1">
      <alignment horizontal="left" vertical="top" wrapText="1"/>
    </xf>
    <xf numFmtId="0" fontId="29" fillId="17" borderId="33" xfId="3" applyFont="1" applyFill="1" applyBorder="1" applyAlignment="1">
      <alignment horizontal="left" vertical="top"/>
    </xf>
    <xf numFmtId="0" fontId="29" fillId="17" borderId="14" xfId="3" applyFont="1" applyFill="1" applyBorder="1" applyAlignment="1">
      <alignment horizontal="left" vertical="top" wrapText="1"/>
    </xf>
    <xf numFmtId="0" fontId="29" fillId="17" borderId="15" xfId="3" applyFont="1" applyFill="1" applyBorder="1" applyAlignment="1">
      <alignment horizontal="left" vertical="top" wrapText="1"/>
    </xf>
    <xf numFmtId="0" fontId="29" fillId="17" borderId="15" xfId="3" applyFont="1" applyFill="1" applyBorder="1" applyAlignment="1">
      <alignment wrapText="1"/>
    </xf>
    <xf numFmtId="0" fontId="29" fillId="17" borderId="15" xfId="3" applyFont="1" applyFill="1" applyBorder="1" applyAlignment="1">
      <alignment horizontal="left" vertical="top"/>
    </xf>
    <xf numFmtId="0" fontId="29" fillId="17" borderId="48" xfId="3" applyFont="1" applyFill="1" applyBorder="1" applyAlignment="1">
      <alignment horizontal="left" vertical="top"/>
    </xf>
    <xf numFmtId="0" fontId="29" fillId="0" borderId="1" xfId="3" applyFont="1" applyAlignment="1">
      <alignment horizontal="left" vertical="top"/>
    </xf>
    <xf numFmtId="0" fontId="31" fillId="0" borderId="1" xfId="3" applyAlignment="1">
      <alignment horizontal="left" vertical="top"/>
    </xf>
    <xf numFmtId="0" fontId="3" fillId="17" borderId="2" xfId="3" applyFont="1" applyFill="1" applyBorder="1" applyAlignment="1">
      <alignment horizontal="left" vertical="top"/>
    </xf>
    <xf numFmtId="0" fontId="30" fillId="17" borderId="2" xfId="3" applyFont="1" applyFill="1" applyBorder="1" applyAlignment="1">
      <alignment horizontal="left" vertical="top" wrapText="1"/>
    </xf>
    <xf numFmtId="0" fontId="29" fillId="17" borderId="15" xfId="3" applyFont="1" applyFill="1" applyBorder="1"/>
    <xf numFmtId="0" fontId="29" fillId="17" borderId="42" xfId="3" applyFont="1" applyFill="1" applyBorder="1" applyAlignment="1">
      <alignment horizontal="left" vertical="top"/>
    </xf>
    <xf numFmtId="0" fontId="18" fillId="17" borderId="44" xfId="3" applyFont="1" applyFill="1" applyBorder="1" applyAlignment="1">
      <alignment horizontal="left" vertical="top"/>
    </xf>
    <xf numFmtId="0" fontId="37" fillId="17" borderId="3" xfId="3" applyFont="1" applyFill="1" applyBorder="1" applyAlignment="1">
      <alignment horizontal="left" vertical="top" wrapText="1"/>
    </xf>
    <xf numFmtId="0" fontId="37" fillId="17" borderId="44" xfId="3" applyFont="1" applyFill="1" applyBorder="1" applyAlignment="1">
      <alignment horizontal="left" vertical="top" wrapText="1"/>
    </xf>
    <xf numFmtId="0" fontId="37" fillId="17" borderId="16" xfId="3" applyFont="1" applyFill="1" applyBorder="1" applyAlignment="1">
      <alignment horizontal="left" vertical="top" wrapText="1"/>
    </xf>
    <xf numFmtId="0" fontId="38" fillId="17" borderId="33" xfId="3" applyFont="1" applyFill="1" applyBorder="1" applyAlignment="1">
      <alignment horizontal="left" vertical="top"/>
    </xf>
    <xf numFmtId="0" fontId="38" fillId="17" borderId="14" xfId="3" applyFont="1" applyFill="1" applyBorder="1" applyAlignment="1">
      <alignment horizontal="left" vertical="top" wrapText="1"/>
    </xf>
    <xf numFmtId="0" fontId="38" fillId="17" borderId="15" xfId="3" applyFont="1" applyFill="1" applyBorder="1" applyAlignment="1">
      <alignment horizontal="left" vertical="top" wrapText="1"/>
    </xf>
    <xf numFmtId="0" fontId="38" fillId="17" borderId="15" xfId="3" applyFont="1" applyFill="1" applyBorder="1" applyAlignment="1">
      <alignment vertical="top" wrapText="1"/>
    </xf>
    <xf numFmtId="0" fontId="38" fillId="17" borderId="15" xfId="3" applyFont="1" applyFill="1" applyBorder="1" applyAlignment="1">
      <alignment horizontal="left" vertical="top"/>
    </xf>
    <xf numFmtId="0" fontId="38" fillId="17" borderId="48" xfId="3" applyFont="1" applyFill="1" applyBorder="1" applyAlignment="1">
      <alignment horizontal="left" vertical="top"/>
    </xf>
    <xf numFmtId="0" fontId="38" fillId="0" borderId="1" xfId="3" applyFont="1" applyAlignment="1">
      <alignment horizontal="left" vertical="top"/>
    </xf>
    <xf numFmtId="0" fontId="39" fillId="0" borderId="1" xfId="3" applyFont="1" applyAlignment="1">
      <alignment horizontal="left" vertical="top"/>
    </xf>
    <xf numFmtId="0" fontId="3" fillId="17" borderId="19" xfId="3" applyFont="1" applyFill="1" applyBorder="1" applyAlignment="1">
      <alignment horizontal="left" vertical="top"/>
    </xf>
    <xf numFmtId="0" fontId="30" fillId="17" borderId="19" xfId="3" applyFont="1" applyFill="1" applyBorder="1" applyAlignment="1">
      <alignment horizontal="left" vertical="top" wrapText="1"/>
    </xf>
    <xf numFmtId="0" fontId="30" fillId="17" borderId="32" xfId="3" applyFont="1" applyFill="1" applyBorder="1" applyAlignment="1">
      <alignment horizontal="left" vertical="top" wrapText="1"/>
    </xf>
    <xf numFmtId="0" fontId="29" fillId="17" borderId="34" xfId="3" applyFont="1" applyFill="1" applyBorder="1" applyAlignment="1">
      <alignment horizontal="left" vertical="top" wrapText="1"/>
    </xf>
    <xf numFmtId="0" fontId="29" fillId="17" borderId="34" xfId="3" applyFont="1" applyFill="1" applyBorder="1" applyAlignment="1">
      <alignment vertical="center" wrapText="1"/>
    </xf>
    <xf numFmtId="0" fontId="29" fillId="17" borderId="34" xfId="3" applyFont="1" applyFill="1" applyBorder="1" applyAlignment="1">
      <alignment horizontal="left" vertical="top"/>
    </xf>
    <xf numFmtId="0" fontId="29" fillId="17" borderId="49" xfId="3" applyFont="1" applyFill="1" applyBorder="1" applyAlignment="1">
      <alignment horizontal="left" vertical="top"/>
    </xf>
    <xf numFmtId="0" fontId="3" fillId="14" borderId="14" xfId="3" applyFont="1" applyFill="1" applyBorder="1" applyAlignment="1">
      <alignment horizontal="left" vertical="top"/>
    </xf>
    <xf numFmtId="0" fontId="30" fillId="14" borderId="14" xfId="3" applyFont="1" applyFill="1" applyBorder="1" applyAlignment="1">
      <alignment horizontal="left" vertical="top" wrapText="1"/>
    </xf>
    <xf numFmtId="0" fontId="29" fillId="14" borderId="20" xfId="3" applyFont="1" applyFill="1" applyBorder="1" applyAlignment="1">
      <alignment horizontal="left" vertical="top"/>
    </xf>
    <xf numFmtId="0" fontId="29" fillId="14" borderId="14" xfId="3" applyFont="1" applyFill="1" applyBorder="1" applyAlignment="1">
      <alignment horizontal="left" vertical="top" wrapText="1"/>
    </xf>
    <xf numFmtId="0" fontId="34" fillId="14" borderId="23" xfId="3" applyFont="1" applyFill="1" applyBorder="1" applyAlignment="1">
      <alignment horizontal="left" vertical="top" wrapText="1"/>
    </xf>
    <xf numFmtId="0" fontId="29" fillId="14" borderId="14" xfId="3" applyFont="1" applyFill="1" applyBorder="1" applyAlignment="1">
      <alignment horizontal="left" vertical="top"/>
    </xf>
    <xf numFmtId="0" fontId="31" fillId="14" borderId="14" xfId="3" applyFill="1" applyBorder="1" applyAlignment="1">
      <alignment horizontal="left" vertical="top"/>
    </xf>
    <xf numFmtId="0" fontId="30" fillId="17" borderId="46" xfId="3" applyFont="1" applyFill="1" applyBorder="1" applyAlignment="1">
      <alignment horizontal="left" vertical="top" wrapText="1"/>
    </xf>
    <xf numFmtId="2" fontId="29" fillId="17" borderId="46" xfId="3" applyNumberFormat="1" applyFont="1" applyFill="1" applyBorder="1" applyAlignment="1">
      <alignment horizontal="left" vertical="top"/>
    </xf>
    <xf numFmtId="2" fontId="29" fillId="17" borderId="14" xfId="3" applyNumberFormat="1" applyFont="1" applyFill="1" applyBorder="1" applyAlignment="1">
      <alignment horizontal="left" vertical="top" wrapText="1"/>
    </xf>
    <xf numFmtId="0" fontId="30" fillId="17" borderId="50" xfId="3" applyFont="1" applyFill="1" applyBorder="1" applyAlignment="1">
      <alignment horizontal="left" vertical="top" wrapText="1"/>
    </xf>
    <xf numFmtId="2" fontId="29" fillId="17" borderId="50" xfId="3" applyNumberFormat="1" applyFont="1" applyFill="1" applyBorder="1" applyAlignment="1">
      <alignment horizontal="left" vertical="top"/>
    </xf>
    <xf numFmtId="2" fontId="29" fillId="17" borderId="15" xfId="3" applyNumberFormat="1" applyFont="1" applyFill="1" applyBorder="1" applyAlignment="1">
      <alignment horizontal="left" vertical="top" wrapText="1"/>
    </xf>
    <xf numFmtId="0" fontId="29" fillId="17" borderId="3" xfId="3" applyFont="1" applyFill="1" applyBorder="1" applyAlignment="1">
      <alignment vertical="top" wrapText="1"/>
    </xf>
    <xf numFmtId="2" fontId="29" fillId="17" borderId="16" xfId="3" applyNumberFormat="1" applyFont="1" applyFill="1" applyBorder="1" applyAlignment="1">
      <alignment horizontal="left" vertical="top"/>
    </xf>
    <xf numFmtId="0" fontId="3" fillId="14" borderId="44" xfId="3" applyFont="1" applyFill="1" applyBorder="1" applyAlignment="1">
      <alignment horizontal="left" vertical="top"/>
    </xf>
    <xf numFmtId="0" fontId="30" fillId="14" borderId="3" xfId="3" applyFont="1" applyFill="1" applyBorder="1" applyAlignment="1">
      <alignment horizontal="left" vertical="top" wrapText="1"/>
    </xf>
    <xf numFmtId="0" fontId="30" fillId="14" borderId="44" xfId="3" applyFont="1" applyFill="1" applyBorder="1" applyAlignment="1">
      <alignment horizontal="left" vertical="top" wrapText="1"/>
    </xf>
    <xf numFmtId="0" fontId="30" fillId="14" borderId="50" xfId="3" applyFont="1" applyFill="1" applyBorder="1" applyAlignment="1">
      <alignment horizontal="left" vertical="top" wrapText="1"/>
    </xf>
    <xf numFmtId="0" fontId="30" fillId="14" borderId="51" xfId="3" applyFont="1" applyFill="1" applyBorder="1" applyAlignment="1">
      <alignment horizontal="left" vertical="top" wrapText="1"/>
    </xf>
    <xf numFmtId="2" fontId="29" fillId="14" borderId="16" xfId="3" applyNumberFormat="1" applyFont="1" applyFill="1" applyBorder="1" applyAlignment="1">
      <alignment horizontal="left" vertical="top"/>
    </xf>
    <xf numFmtId="2" fontId="29" fillId="14" borderId="15" xfId="3" applyNumberFormat="1" applyFont="1" applyFill="1" applyBorder="1" applyAlignment="1">
      <alignment horizontal="left" vertical="top" wrapText="1"/>
    </xf>
    <xf numFmtId="0" fontId="34" fillId="14" borderId="15" xfId="3" applyFont="1" applyFill="1" applyBorder="1" applyAlignment="1">
      <alignment horizontal="left" vertical="top" wrapText="1"/>
    </xf>
    <xf numFmtId="0" fontId="29" fillId="14" borderId="15" xfId="3" applyFont="1" applyFill="1" applyBorder="1" applyAlignment="1">
      <alignment horizontal="left" vertical="top"/>
    </xf>
    <xf numFmtId="0" fontId="29" fillId="14" borderId="15" xfId="3" applyFont="1" applyFill="1" applyBorder="1" applyAlignment="1">
      <alignment horizontal="left" vertical="top" wrapText="1"/>
    </xf>
    <xf numFmtId="0" fontId="29" fillId="14" borderId="48" xfId="3" applyFont="1" applyFill="1" applyBorder="1" applyAlignment="1">
      <alignment horizontal="left" vertical="top"/>
    </xf>
    <xf numFmtId="0" fontId="29" fillId="14" borderId="1" xfId="3" applyFont="1" applyFill="1" applyAlignment="1">
      <alignment horizontal="left" vertical="top"/>
    </xf>
    <xf numFmtId="0" fontId="31" fillId="14" borderId="1" xfId="3" applyFill="1" applyAlignment="1">
      <alignment horizontal="left" vertical="top"/>
    </xf>
    <xf numFmtId="0" fontId="37" fillId="17" borderId="50" xfId="3" applyFont="1" applyFill="1" applyBorder="1" applyAlignment="1">
      <alignment horizontal="left" vertical="top" wrapText="1"/>
    </xf>
    <xf numFmtId="2" fontId="38" fillId="17" borderId="16" xfId="3" applyNumberFormat="1" applyFont="1" applyFill="1" applyBorder="1" applyAlignment="1">
      <alignment horizontal="left" vertical="top"/>
    </xf>
    <xf numFmtId="2" fontId="38" fillId="17" borderId="15" xfId="3" applyNumberFormat="1" applyFont="1" applyFill="1" applyBorder="1" applyAlignment="1">
      <alignment horizontal="left" vertical="top" wrapText="1"/>
    </xf>
    <xf numFmtId="2" fontId="38" fillId="17" borderId="2" xfId="3" applyNumberFormat="1" applyFont="1" applyFill="1" applyBorder="1" applyAlignment="1">
      <alignment horizontal="left" vertical="top"/>
    </xf>
    <xf numFmtId="2" fontId="29" fillId="17" borderId="2" xfId="3" applyNumberFormat="1" applyFont="1" applyFill="1" applyBorder="1" applyAlignment="1">
      <alignment horizontal="left" vertical="top"/>
    </xf>
    <xf numFmtId="0" fontId="30" fillId="14" borderId="16" xfId="3" applyFont="1" applyFill="1" applyBorder="1" applyAlignment="1">
      <alignment horizontal="left" vertical="top" wrapText="1"/>
    </xf>
    <xf numFmtId="0" fontId="30" fillId="14" borderId="18" xfId="3" applyFont="1" applyFill="1" applyBorder="1" applyAlignment="1">
      <alignment horizontal="left" vertical="top" wrapText="1"/>
    </xf>
    <xf numFmtId="2" fontId="29" fillId="14" borderId="2" xfId="3" applyNumberFormat="1" applyFont="1" applyFill="1" applyBorder="1" applyAlignment="1">
      <alignment horizontal="left" vertical="top"/>
    </xf>
    <xf numFmtId="0" fontId="36" fillId="17" borderId="3" xfId="3" applyFont="1" applyFill="1" applyBorder="1" applyAlignment="1">
      <alignment horizontal="left" vertical="top" wrapText="1"/>
    </xf>
    <xf numFmtId="0" fontId="36" fillId="17" borderId="44" xfId="3" applyFont="1" applyFill="1" applyBorder="1" applyAlignment="1">
      <alignment horizontal="left" vertical="top" wrapText="1"/>
    </xf>
    <xf numFmtId="0" fontId="36" fillId="17" borderId="16" xfId="3" applyFont="1" applyFill="1" applyBorder="1" applyAlignment="1">
      <alignment horizontal="left" vertical="top" wrapText="1"/>
    </xf>
    <xf numFmtId="2" fontId="19" fillId="17" borderId="2" xfId="3" applyNumberFormat="1" applyFont="1" applyFill="1" applyBorder="1" applyAlignment="1">
      <alignment horizontal="left" vertical="top"/>
    </xf>
    <xf numFmtId="2" fontId="19" fillId="17" borderId="15" xfId="3" applyNumberFormat="1" applyFont="1" applyFill="1" applyBorder="1" applyAlignment="1">
      <alignment horizontal="left" vertical="top" wrapText="1"/>
    </xf>
    <xf numFmtId="0" fontId="19" fillId="17" borderId="15" xfId="3" applyFont="1" applyFill="1" applyBorder="1" applyAlignment="1">
      <alignment horizontal="left" vertical="top" wrapText="1"/>
    </xf>
    <xf numFmtId="0" fontId="19" fillId="17" borderId="15" xfId="3" applyFont="1" applyFill="1" applyBorder="1" applyAlignment="1">
      <alignment horizontal="left" vertical="top"/>
    </xf>
    <xf numFmtId="0" fontId="19" fillId="17" borderId="48" xfId="3" applyFont="1" applyFill="1" applyBorder="1" applyAlignment="1">
      <alignment horizontal="left" vertical="top"/>
    </xf>
    <xf numFmtId="0" fontId="19" fillId="0" borderId="1" xfId="3" applyFont="1" applyAlignment="1">
      <alignment horizontal="left" vertical="top"/>
    </xf>
    <xf numFmtId="0" fontId="40" fillId="0" borderId="1" xfId="3" applyFont="1" applyAlignment="1">
      <alignment horizontal="left" vertical="top"/>
    </xf>
    <xf numFmtId="2" fontId="29" fillId="17" borderId="17" xfId="3" applyNumberFormat="1" applyFont="1" applyFill="1" applyBorder="1" applyAlignment="1">
      <alignment horizontal="left" vertical="top"/>
    </xf>
    <xf numFmtId="2" fontId="29" fillId="17" borderId="34" xfId="3" applyNumberFormat="1" applyFont="1" applyFill="1" applyBorder="1" applyAlignment="1">
      <alignment horizontal="left" vertical="top" wrapText="1"/>
    </xf>
    <xf numFmtId="2" fontId="29" fillId="17" borderId="14" xfId="3" applyNumberFormat="1" applyFont="1" applyFill="1" applyBorder="1" applyAlignment="1">
      <alignment vertical="top"/>
    </xf>
    <xf numFmtId="2" fontId="29" fillId="17" borderId="14" xfId="3" applyNumberFormat="1" applyFont="1" applyFill="1" applyBorder="1" applyAlignment="1">
      <alignment vertical="top" wrapText="1"/>
    </xf>
    <xf numFmtId="0" fontId="29" fillId="17" borderId="14" xfId="3" applyFont="1" applyFill="1" applyBorder="1" applyAlignment="1">
      <alignment vertical="top" wrapText="1"/>
    </xf>
    <xf numFmtId="2" fontId="29" fillId="17" borderId="14" xfId="3" applyNumberFormat="1" applyFont="1" applyFill="1" applyBorder="1" applyAlignment="1">
      <alignment horizontal="left" vertical="top"/>
    </xf>
    <xf numFmtId="2" fontId="29" fillId="17" borderId="3" xfId="3" applyNumberFormat="1" applyFont="1" applyFill="1" applyBorder="1" applyAlignment="1">
      <alignment horizontal="left" vertical="top"/>
    </xf>
    <xf numFmtId="0" fontId="29" fillId="17" borderId="15" xfId="3" applyFont="1" applyFill="1" applyBorder="1" applyAlignment="1">
      <alignment vertical="top" wrapText="1"/>
    </xf>
    <xf numFmtId="0" fontId="3" fillId="17" borderId="3" xfId="3" applyFont="1" applyFill="1" applyBorder="1" applyAlignment="1">
      <alignment horizontal="left" vertical="top"/>
    </xf>
    <xf numFmtId="0" fontId="3" fillId="17" borderId="33" xfId="3" applyFont="1" applyFill="1" applyBorder="1" applyAlignment="1">
      <alignment horizontal="left" vertical="top"/>
    </xf>
    <xf numFmtId="0" fontId="3" fillId="14" borderId="1" xfId="3" applyFont="1" applyFill="1" applyAlignment="1">
      <alignment horizontal="left" vertical="top"/>
    </xf>
    <xf numFmtId="0" fontId="35" fillId="14" borderId="1" xfId="3" applyFont="1" applyFill="1" applyAlignment="1">
      <alignment horizontal="left" vertical="top" wrapText="1"/>
    </xf>
    <xf numFmtId="2" fontId="29" fillId="14" borderId="1" xfId="3" applyNumberFormat="1" applyFont="1" applyFill="1" applyAlignment="1">
      <alignment horizontal="left" vertical="top"/>
    </xf>
    <xf numFmtId="2" fontId="29" fillId="14" borderId="1" xfId="3" applyNumberFormat="1" applyFont="1" applyFill="1" applyAlignment="1">
      <alignment horizontal="left" vertical="top" wrapText="1"/>
    </xf>
    <xf numFmtId="0" fontId="34" fillId="14" borderId="1" xfId="3" applyFont="1" applyFill="1" applyAlignment="1">
      <alignment horizontal="left" vertical="top" wrapText="1"/>
    </xf>
    <xf numFmtId="0" fontId="29" fillId="14" borderId="1" xfId="3" applyFont="1" applyFill="1" applyAlignment="1">
      <alignment horizontal="left" vertical="top" wrapText="1"/>
    </xf>
    <xf numFmtId="0" fontId="3" fillId="17" borderId="14" xfId="3" applyFont="1" applyFill="1" applyBorder="1" applyAlignment="1">
      <alignment horizontal="left" vertical="top"/>
    </xf>
    <xf numFmtId="0" fontId="29" fillId="17" borderId="14" xfId="3" applyFont="1" applyFill="1" applyBorder="1" applyAlignment="1">
      <alignment horizontal="left" vertical="top"/>
    </xf>
    <xf numFmtId="0" fontId="29" fillId="0" borderId="14" xfId="3" applyFont="1" applyBorder="1" applyAlignment="1">
      <alignment horizontal="left" vertical="top"/>
    </xf>
    <xf numFmtId="0" fontId="31" fillId="0" borderId="14" xfId="3" applyBorder="1" applyAlignment="1">
      <alignment horizontal="left" vertical="top"/>
    </xf>
    <xf numFmtId="0" fontId="35" fillId="14" borderId="51" xfId="3" applyFont="1" applyFill="1" applyBorder="1" applyAlignment="1">
      <alignment horizontal="left" vertical="top" wrapText="1"/>
    </xf>
    <xf numFmtId="2" fontId="29" fillId="14" borderId="14" xfId="3" applyNumberFormat="1" applyFont="1" applyFill="1" applyBorder="1" applyAlignment="1">
      <alignment horizontal="left" vertical="top"/>
    </xf>
    <xf numFmtId="2" fontId="29" fillId="14" borderId="14" xfId="3" applyNumberFormat="1" applyFont="1" applyFill="1" applyBorder="1" applyAlignment="1">
      <alignment horizontal="left" vertical="top" wrapText="1"/>
    </xf>
    <xf numFmtId="0" fontId="34" fillId="14" borderId="14" xfId="3" applyFont="1" applyFill="1" applyBorder="1" applyAlignment="1">
      <alignment horizontal="left" vertical="top" wrapText="1"/>
    </xf>
    <xf numFmtId="0" fontId="29" fillId="17" borderId="14" xfId="3" applyFont="1" applyFill="1" applyBorder="1"/>
    <xf numFmtId="0" fontId="19" fillId="17" borderId="14" xfId="3" applyFont="1" applyFill="1" applyBorder="1" applyAlignment="1">
      <alignment horizontal="left" vertical="top" wrapText="1"/>
    </xf>
    <xf numFmtId="0" fontId="29" fillId="17" borderId="14" xfId="3" applyFont="1" applyFill="1" applyBorder="1" applyAlignment="1">
      <alignment vertical="center" wrapText="1"/>
    </xf>
    <xf numFmtId="0" fontId="35" fillId="17" borderId="14" xfId="3" applyFont="1" applyFill="1" applyBorder="1" applyAlignment="1">
      <alignment horizontal="left" vertical="top" wrapText="1"/>
    </xf>
    <xf numFmtId="0" fontId="3" fillId="18" borderId="1" xfId="3" applyFont="1" applyFill="1"/>
    <xf numFmtId="0" fontId="29" fillId="0" borderId="1" xfId="3" applyFont="1" applyAlignment="1">
      <alignment horizontal="center"/>
    </xf>
    <xf numFmtId="0" fontId="29" fillId="0" borderId="1" xfId="3" applyFont="1" applyAlignment="1">
      <alignment horizontal="center" wrapText="1"/>
    </xf>
    <xf numFmtId="0" fontId="29" fillId="0" borderId="1" xfId="3" applyFont="1" applyAlignment="1">
      <alignment wrapText="1"/>
    </xf>
    <xf numFmtId="0" fontId="29" fillId="18" borderId="1" xfId="3" applyFont="1" applyFill="1" applyAlignment="1">
      <alignment vertical="top"/>
    </xf>
    <xf numFmtId="0" fontId="31" fillId="0" borderId="1" xfId="3" applyAlignment="1">
      <alignment wrapText="1"/>
    </xf>
    <xf numFmtId="0" fontId="8" fillId="0" borderId="1" xfId="0" applyFont="1"/>
    <xf numFmtId="0" fontId="29" fillId="7" borderId="2" xfId="3" applyFont="1" applyFill="1" applyBorder="1" applyAlignment="1">
      <alignment horizontal="center" vertical="center"/>
    </xf>
    <xf numFmtId="0" fontId="29" fillId="7" borderId="32" xfId="3" applyFont="1" applyFill="1" applyBorder="1" applyAlignment="1">
      <alignment horizontal="left" vertical="center" wrapText="1"/>
    </xf>
    <xf numFmtId="0" fontId="19" fillId="7" borderId="3" xfId="3" applyFont="1" applyFill="1" applyBorder="1" applyAlignment="1">
      <alignment horizontal="left" vertical="top" wrapText="1"/>
    </xf>
    <xf numFmtId="0" fontId="29" fillId="7" borderId="3" xfId="3" applyFont="1" applyFill="1" applyBorder="1" applyAlignment="1">
      <alignment horizontal="left" vertical="center" wrapText="1"/>
    </xf>
    <xf numFmtId="0" fontId="34" fillId="7" borderId="2" xfId="3" applyFont="1" applyFill="1" applyBorder="1" applyAlignment="1">
      <alignment vertical="center"/>
    </xf>
    <xf numFmtId="0" fontId="16" fillId="7" borderId="2" xfId="3" applyFont="1" applyFill="1" applyBorder="1" applyAlignment="1">
      <alignment horizontal="left" vertical="center" wrapText="1"/>
    </xf>
    <xf numFmtId="0" fontId="16" fillId="7" borderId="17" xfId="3" applyFont="1" applyFill="1" applyBorder="1" applyAlignment="1">
      <alignment horizontal="left" vertical="center" wrapText="1"/>
    </xf>
    <xf numFmtId="0" fontId="34" fillId="7" borderId="2" xfId="3" applyFont="1" applyFill="1" applyBorder="1" applyAlignment="1">
      <alignment vertical="center" wrapText="1"/>
    </xf>
    <xf numFmtId="0" fontId="29" fillId="7" borderId="16" xfId="3" applyFont="1" applyFill="1" applyBorder="1" applyAlignment="1">
      <alignment horizontal="left" vertical="center" wrapText="1"/>
    </xf>
    <xf numFmtId="0" fontId="29" fillId="8" borderId="2" xfId="3" applyFont="1" applyFill="1" applyBorder="1" applyAlignment="1">
      <alignment horizontal="center" vertical="center" wrapText="1"/>
    </xf>
    <xf numFmtId="0" fontId="16" fillId="8" borderId="17" xfId="3" applyFont="1" applyFill="1" applyBorder="1" applyAlignment="1">
      <alignment horizontal="left" vertical="top" wrapText="1"/>
    </xf>
    <xf numFmtId="9" fontId="29" fillId="8" borderId="2" xfId="3" applyNumberFormat="1" applyFont="1" applyFill="1" applyBorder="1" applyAlignment="1">
      <alignment horizontal="left" vertical="top" wrapText="1"/>
    </xf>
    <xf numFmtId="0" fontId="16" fillId="8" borderId="2" xfId="3" applyFont="1" applyFill="1" applyBorder="1" applyAlignment="1">
      <alignment horizontal="left" vertical="top" wrapText="1"/>
    </xf>
    <xf numFmtId="0" fontId="35" fillId="9" borderId="2" xfId="3" applyFont="1" applyFill="1" applyBorder="1" applyAlignment="1">
      <alignment horizontal="center" vertical="center" wrapText="1"/>
    </xf>
    <xf numFmtId="0" fontId="16" fillId="9" borderId="1" xfId="3" applyFont="1" applyFill="1" applyAlignment="1">
      <alignment horizontal="left" vertical="top" wrapText="1"/>
    </xf>
    <xf numFmtId="0" fontId="29" fillId="8" borderId="33" xfId="3" applyFont="1" applyFill="1" applyBorder="1" applyAlignment="1">
      <alignment horizontal="left" vertical="top" wrapText="1"/>
    </xf>
    <xf numFmtId="0" fontId="16" fillId="9" borderId="17" xfId="3" applyFont="1" applyFill="1" applyBorder="1" applyAlignment="1">
      <alignment horizontal="left" vertical="top" wrapText="1"/>
    </xf>
    <xf numFmtId="0" fontId="3" fillId="14" borderId="2" xfId="3" applyFont="1" applyFill="1" applyBorder="1"/>
    <xf numFmtId="0" fontId="30" fillId="14" borderId="33" xfId="3" applyFont="1" applyFill="1" applyBorder="1" applyAlignment="1">
      <alignment vertical="center" wrapText="1"/>
    </xf>
    <xf numFmtId="0" fontId="30" fillId="14" borderId="16" xfId="3" applyFont="1" applyFill="1" applyBorder="1" applyAlignment="1">
      <alignment vertical="center" wrapText="1"/>
    </xf>
    <xf numFmtId="0" fontId="30" fillId="14" borderId="2" xfId="3" applyFont="1" applyFill="1" applyBorder="1" applyAlignment="1">
      <alignment vertical="center" wrapText="1"/>
    </xf>
    <xf numFmtId="0" fontId="29" fillId="14" borderId="2" xfId="3" applyFont="1" applyFill="1" applyBorder="1" applyAlignment="1">
      <alignment horizontal="center"/>
    </xf>
    <xf numFmtId="0" fontId="34" fillId="14" borderId="15" xfId="3" applyFont="1" applyFill="1" applyBorder="1" applyAlignment="1">
      <alignment wrapText="1"/>
    </xf>
    <xf numFmtId="0" fontId="29" fillId="14" borderId="3" xfId="3" applyFont="1" applyFill="1" applyBorder="1" applyAlignment="1">
      <alignment vertical="top" wrapText="1"/>
    </xf>
    <xf numFmtId="0" fontId="29" fillId="14" borderId="15" xfId="3" applyFont="1" applyFill="1" applyBorder="1"/>
    <xf numFmtId="0" fontId="29" fillId="14" borderId="48" xfId="3" applyFont="1" applyFill="1" applyBorder="1"/>
    <xf numFmtId="0" fontId="3" fillId="17" borderId="2" xfId="3" applyFont="1" applyFill="1" applyBorder="1"/>
    <xf numFmtId="0" fontId="30" fillId="17" borderId="2" xfId="3" applyFont="1" applyFill="1" applyBorder="1" applyAlignment="1">
      <alignment vertical="center" wrapText="1"/>
    </xf>
    <xf numFmtId="0" fontId="30" fillId="17" borderId="16" xfId="3" applyFont="1" applyFill="1" applyBorder="1" applyAlignment="1">
      <alignment vertical="center" wrapText="1"/>
    </xf>
    <xf numFmtId="0" fontId="29" fillId="17" borderId="48" xfId="3" applyFont="1" applyFill="1" applyBorder="1"/>
    <xf numFmtId="0" fontId="18" fillId="17" borderId="2" xfId="3" applyFont="1" applyFill="1" applyBorder="1"/>
    <xf numFmtId="0" fontId="37" fillId="17" borderId="2" xfId="3" applyFont="1" applyFill="1" applyBorder="1" applyAlignment="1">
      <alignment vertical="center" wrapText="1"/>
    </xf>
    <xf numFmtId="0" fontId="37" fillId="17" borderId="16" xfId="3" applyFont="1" applyFill="1" applyBorder="1" applyAlignment="1">
      <alignment vertical="center" wrapText="1"/>
    </xf>
    <xf numFmtId="0" fontId="38" fillId="17" borderId="2" xfId="3" applyFont="1" applyFill="1" applyBorder="1" applyAlignment="1">
      <alignment horizontal="center"/>
    </xf>
    <xf numFmtId="0" fontId="38" fillId="17" borderId="15" xfId="3" applyFont="1" applyFill="1" applyBorder="1" applyAlignment="1">
      <alignment vertical="center" wrapText="1"/>
    </xf>
    <xf numFmtId="0" fontId="38" fillId="17" borderId="15" xfId="3" applyFont="1" applyFill="1" applyBorder="1"/>
    <xf numFmtId="0" fontId="38" fillId="17" borderId="48" xfId="3" applyFont="1" applyFill="1" applyBorder="1"/>
    <xf numFmtId="0" fontId="38" fillId="0" borderId="1" xfId="3" applyFont="1"/>
    <xf numFmtId="0" fontId="39" fillId="0" borderId="1" xfId="3" applyFont="1"/>
    <xf numFmtId="0" fontId="29" fillId="17" borderId="2" xfId="3" applyFont="1" applyFill="1" applyBorder="1" applyAlignment="1">
      <alignment horizontal="center"/>
    </xf>
    <xf numFmtId="0" fontId="29" fillId="17" borderId="15" xfId="3" applyFont="1" applyFill="1" applyBorder="1" applyAlignment="1">
      <alignment vertical="center" wrapText="1"/>
    </xf>
    <xf numFmtId="0" fontId="30" fillId="14" borderId="14" xfId="3" applyFont="1" applyFill="1" applyBorder="1" applyAlignment="1">
      <alignment horizontal="center" vertical="center" wrapText="1"/>
    </xf>
    <xf numFmtId="0" fontId="34" fillId="14" borderId="15" xfId="3" applyFont="1" applyFill="1" applyBorder="1" applyAlignment="1">
      <alignment vertical="center" wrapText="1"/>
    </xf>
    <xf numFmtId="0" fontId="29" fillId="14" borderId="15" xfId="3" applyFont="1" applyFill="1" applyBorder="1" applyAlignment="1">
      <alignment vertical="top" wrapText="1"/>
    </xf>
    <xf numFmtId="0" fontId="30" fillId="17" borderId="33" xfId="3" applyFont="1" applyFill="1" applyBorder="1" applyAlignment="1">
      <alignment vertical="center" wrapText="1"/>
    </xf>
    <xf numFmtId="2" fontId="29" fillId="17" borderId="2" xfId="3" applyNumberFormat="1" applyFont="1" applyFill="1" applyBorder="1" applyAlignment="1">
      <alignment horizontal="center"/>
    </xf>
    <xf numFmtId="0" fontId="18" fillId="17" borderId="44" xfId="3" applyFont="1" applyFill="1" applyBorder="1"/>
    <xf numFmtId="0" fontId="37" fillId="17" borderId="44" xfId="3" applyFont="1" applyFill="1" applyBorder="1" applyAlignment="1">
      <alignment vertical="center" wrapText="1"/>
    </xf>
    <xf numFmtId="2" fontId="38" fillId="17" borderId="2" xfId="3" applyNumberFormat="1" applyFont="1" applyFill="1" applyBorder="1" applyAlignment="1">
      <alignment horizontal="center"/>
    </xf>
    <xf numFmtId="0" fontId="3" fillId="17" borderId="44" xfId="3" applyFont="1" applyFill="1" applyBorder="1"/>
    <xf numFmtId="0" fontId="30" fillId="17" borderId="44" xfId="3" applyFont="1" applyFill="1" applyBorder="1" applyAlignment="1">
      <alignment vertical="center" wrapText="1"/>
    </xf>
    <xf numFmtId="0" fontId="36" fillId="17" borderId="44" xfId="3" applyFont="1" applyFill="1" applyBorder="1" applyAlignment="1">
      <alignment vertical="center" wrapText="1"/>
    </xf>
    <xf numFmtId="0" fontId="36" fillId="17" borderId="16" xfId="3" applyFont="1" applyFill="1" applyBorder="1" applyAlignment="1">
      <alignment vertical="center" wrapText="1"/>
    </xf>
    <xf numFmtId="0" fontId="36" fillId="17" borderId="2" xfId="3" applyFont="1" applyFill="1" applyBorder="1" applyAlignment="1">
      <alignment vertical="center" wrapText="1"/>
    </xf>
    <xf numFmtId="2" fontId="19" fillId="17" borderId="2" xfId="3" applyNumberFormat="1" applyFont="1" applyFill="1" applyBorder="1" applyAlignment="1">
      <alignment horizontal="center"/>
    </xf>
    <xf numFmtId="0" fontId="19" fillId="17" borderId="15" xfId="3" applyFont="1" applyFill="1" applyBorder="1" applyAlignment="1">
      <alignment vertical="center" wrapText="1"/>
    </xf>
    <xf numFmtId="0" fontId="19" fillId="17" borderId="15" xfId="3" applyFont="1" applyFill="1" applyBorder="1"/>
    <xf numFmtId="0" fontId="19" fillId="17" borderId="48" xfId="3" applyFont="1" applyFill="1" applyBorder="1"/>
    <xf numFmtId="0" fontId="19" fillId="0" borderId="1" xfId="3" applyFont="1"/>
    <xf numFmtId="0" fontId="40" fillId="0" borderId="1" xfId="3" applyFont="1"/>
    <xf numFmtId="0" fontId="18" fillId="17" borderId="19" xfId="3" applyFont="1" applyFill="1" applyBorder="1"/>
    <xf numFmtId="0" fontId="37" fillId="17" borderId="19" xfId="3" applyFont="1" applyFill="1" applyBorder="1" applyAlignment="1">
      <alignment vertical="center" wrapText="1"/>
    </xf>
    <xf numFmtId="0" fontId="37" fillId="17" borderId="32" xfId="3" applyFont="1" applyFill="1" applyBorder="1" applyAlignment="1">
      <alignment vertical="center" wrapText="1"/>
    </xf>
    <xf numFmtId="0" fontId="37" fillId="17" borderId="17" xfId="3" applyFont="1" applyFill="1" applyBorder="1" applyAlignment="1">
      <alignment vertical="center" wrapText="1"/>
    </xf>
    <xf numFmtId="2" fontId="38" fillId="17" borderId="17" xfId="3" applyNumberFormat="1" applyFont="1" applyFill="1" applyBorder="1" applyAlignment="1">
      <alignment horizontal="center"/>
    </xf>
    <xf numFmtId="0" fontId="38" fillId="17" borderId="34" xfId="3" applyFont="1" applyFill="1" applyBorder="1" applyAlignment="1">
      <alignment vertical="center" wrapText="1"/>
    </xf>
    <xf numFmtId="0" fontId="38" fillId="17" borderId="34" xfId="3" applyFont="1" applyFill="1" applyBorder="1" applyAlignment="1">
      <alignment horizontal="left" vertical="top" wrapText="1"/>
    </xf>
    <xf numFmtId="0" fontId="38" fillId="17" borderId="34" xfId="3" applyFont="1" applyFill="1" applyBorder="1"/>
    <xf numFmtId="0" fontId="38" fillId="17" borderId="49" xfId="3" applyFont="1" applyFill="1" applyBorder="1"/>
    <xf numFmtId="0" fontId="3" fillId="14" borderId="14" xfId="3" applyFont="1" applyFill="1" applyBorder="1"/>
    <xf numFmtId="0" fontId="30" fillId="14" borderId="14" xfId="3" applyFont="1" applyFill="1" applyBorder="1" applyAlignment="1">
      <alignment vertical="center" wrapText="1"/>
    </xf>
    <xf numFmtId="2" fontId="29" fillId="14" borderId="14" xfId="3" applyNumberFormat="1" applyFont="1" applyFill="1" applyBorder="1" applyAlignment="1">
      <alignment horizontal="center"/>
    </xf>
    <xf numFmtId="0" fontId="34" fillId="14" borderId="14" xfId="3" applyFont="1" applyFill="1" applyBorder="1" applyAlignment="1">
      <alignment vertical="center" wrapText="1"/>
    </xf>
    <xf numFmtId="0" fontId="29" fillId="14" borderId="14" xfId="3" applyFont="1" applyFill="1" applyBorder="1" applyAlignment="1">
      <alignment vertical="top"/>
    </xf>
    <xf numFmtId="0" fontId="29" fillId="14" borderId="14" xfId="3" applyFont="1" applyFill="1" applyBorder="1"/>
    <xf numFmtId="0" fontId="31" fillId="14" borderId="14" xfId="3" applyFill="1" applyBorder="1"/>
    <xf numFmtId="0" fontId="30" fillId="17" borderId="15" xfId="3" applyFont="1" applyFill="1" applyBorder="1" applyAlignment="1">
      <alignment vertical="center" wrapText="1"/>
    </xf>
    <xf numFmtId="0" fontId="30" fillId="17" borderId="3" xfId="3" applyFont="1" applyFill="1" applyBorder="1" applyAlignment="1">
      <alignment vertical="center" wrapText="1"/>
    </xf>
    <xf numFmtId="2" fontId="29" fillId="17" borderId="3" xfId="3" applyNumberFormat="1" applyFont="1" applyFill="1" applyBorder="1" applyAlignment="1">
      <alignment horizontal="center"/>
    </xf>
    <xf numFmtId="0" fontId="37" fillId="17" borderId="14" xfId="3" applyFont="1" applyFill="1" applyBorder="1" applyAlignment="1">
      <alignment vertical="center" wrapText="1"/>
    </xf>
    <xf numFmtId="2" fontId="38" fillId="17" borderId="14" xfId="3" applyNumberFormat="1" applyFont="1" applyFill="1" applyBorder="1" applyAlignment="1">
      <alignment horizontal="center"/>
    </xf>
    <xf numFmtId="0" fontId="38" fillId="17" borderId="14" xfId="3" applyFont="1" applyFill="1" applyBorder="1" applyAlignment="1">
      <alignment vertical="center" wrapText="1"/>
    </xf>
    <xf numFmtId="0" fontId="38" fillId="17" borderId="14" xfId="3" applyFont="1" applyFill="1" applyBorder="1"/>
    <xf numFmtId="0" fontId="37" fillId="17" borderId="34" xfId="3" applyFont="1" applyFill="1" applyBorder="1" applyAlignment="1">
      <alignment vertical="center" wrapText="1"/>
    </xf>
    <xf numFmtId="0" fontId="37" fillId="17" borderId="18" xfId="3" applyFont="1" applyFill="1" applyBorder="1" applyAlignment="1">
      <alignment vertical="center" wrapText="1"/>
    </xf>
    <xf numFmtId="2" fontId="38" fillId="17" borderId="18" xfId="3" applyNumberFormat="1" applyFont="1" applyFill="1" applyBorder="1" applyAlignment="1">
      <alignment horizontal="center"/>
    </xf>
    <xf numFmtId="0" fontId="37" fillId="17" borderId="15" xfId="3" applyFont="1" applyFill="1" applyBorder="1" applyAlignment="1">
      <alignment vertical="center" wrapText="1"/>
    </xf>
    <xf numFmtId="0" fontId="37" fillId="17" borderId="3" xfId="3" applyFont="1" applyFill="1" applyBorder="1" applyAlignment="1">
      <alignment vertical="center" wrapText="1"/>
    </xf>
    <xf numFmtId="2" fontId="38" fillId="17" borderId="3" xfId="3" applyNumberFormat="1" applyFont="1" applyFill="1" applyBorder="1" applyAlignment="1">
      <alignment horizontal="center"/>
    </xf>
    <xf numFmtId="0" fontId="37" fillId="17" borderId="23" xfId="3" applyFont="1" applyFill="1" applyBorder="1" applyAlignment="1">
      <alignment horizontal="center" vertical="center" wrapText="1"/>
    </xf>
    <xf numFmtId="0" fontId="38" fillId="17" borderId="34" xfId="3" applyFont="1" applyFill="1" applyBorder="1" applyAlignment="1">
      <alignment vertical="top" wrapText="1"/>
    </xf>
    <xf numFmtId="0" fontId="8" fillId="17" borderId="44" xfId="3" applyFont="1" applyFill="1" applyBorder="1"/>
    <xf numFmtId="0" fontId="34" fillId="17" borderId="3" xfId="3" applyFont="1" applyFill="1" applyBorder="1" applyAlignment="1">
      <alignment vertical="center" wrapText="1"/>
    </xf>
    <xf numFmtId="0" fontId="34" fillId="17" borderId="16" xfId="3" applyFont="1" applyFill="1" applyBorder="1" applyAlignment="1">
      <alignment vertical="center" wrapText="1"/>
    </xf>
    <xf numFmtId="0" fontId="34" fillId="17" borderId="2" xfId="3" applyFont="1" applyFill="1" applyBorder="1" applyAlignment="1">
      <alignment vertical="center" wrapText="1"/>
    </xf>
    <xf numFmtId="0" fontId="3" fillId="17" borderId="33" xfId="3" applyFont="1" applyFill="1" applyBorder="1"/>
    <xf numFmtId="0" fontId="33" fillId="11" borderId="38" xfId="3" applyFont="1" applyFill="1" applyBorder="1" applyAlignment="1">
      <alignment horizontal="center" wrapText="1"/>
    </xf>
    <xf numFmtId="0" fontId="33" fillId="11" borderId="54" xfId="3" applyFont="1" applyFill="1" applyBorder="1" applyAlignment="1">
      <alignment horizontal="center" vertical="center" wrapText="1"/>
    </xf>
    <xf numFmtId="0" fontId="33" fillId="11" borderId="54" xfId="3" applyFont="1" applyFill="1" applyBorder="1" applyAlignment="1">
      <alignment horizontal="left" vertical="center" wrapText="1"/>
    </xf>
    <xf numFmtId="0" fontId="33" fillId="11" borderId="54" xfId="3" applyFont="1" applyFill="1" applyBorder="1" applyAlignment="1">
      <alignment horizontal="center" wrapText="1"/>
    </xf>
    <xf numFmtId="0" fontId="42" fillId="11" borderId="54" xfId="3" applyFont="1" applyFill="1" applyBorder="1" applyAlignment="1">
      <alignment horizontal="center" wrapText="1"/>
    </xf>
    <xf numFmtId="0" fontId="33" fillId="11" borderId="55" xfId="3" applyFont="1" applyFill="1" applyBorder="1" applyAlignment="1">
      <alignment horizontal="center" wrapText="1"/>
    </xf>
    <xf numFmtId="0" fontId="8" fillId="0" borderId="1" xfId="3" applyFont="1" applyAlignment="1">
      <alignment wrapText="1"/>
    </xf>
    <xf numFmtId="0" fontId="34" fillId="19" borderId="56" xfId="3" applyFont="1" applyFill="1" applyBorder="1" applyAlignment="1">
      <alignment vertical="center" wrapText="1"/>
    </xf>
    <xf numFmtId="0" fontId="34" fillId="12" borderId="59" xfId="3" applyFont="1" applyFill="1" applyBorder="1" applyAlignment="1">
      <alignment vertical="center" wrapText="1"/>
    </xf>
    <xf numFmtId="0" fontId="8" fillId="20" borderId="15" xfId="3" applyFont="1" applyFill="1" applyBorder="1" applyAlignment="1">
      <alignment horizontal="left" vertical="top" wrapText="1"/>
    </xf>
    <xf numFmtId="0" fontId="9" fillId="20" borderId="15" xfId="3" applyFont="1" applyFill="1" applyBorder="1" applyAlignment="1">
      <alignment horizontal="left" vertical="top" wrapText="1"/>
    </xf>
    <xf numFmtId="0" fontId="29" fillId="20" borderId="15" xfId="3" applyFont="1" applyFill="1" applyBorder="1" applyAlignment="1">
      <alignment horizontal="left" vertical="top" wrapText="1"/>
    </xf>
    <xf numFmtId="0" fontId="29" fillId="20" borderId="48" xfId="3" applyFont="1" applyFill="1" applyBorder="1" applyAlignment="1">
      <alignment horizontal="left" vertical="top" wrapText="1"/>
    </xf>
    <xf numFmtId="0" fontId="5" fillId="21" borderId="15" xfId="3" applyFont="1" applyFill="1" applyBorder="1" applyAlignment="1">
      <alignment horizontal="center" vertical="center" wrapText="1"/>
    </xf>
    <xf numFmtId="0" fontId="8" fillId="8" borderId="15" xfId="3" applyFont="1" applyFill="1" applyBorder="1" applyAlignment="1">
      <alignment horizontal="left" vertical="center" wrapText="1"/>
    </xf>
    <xf numFmtId="0" fontId="8" fillId="8" borderId="15" xfId="3" applyFont="1" applyFill="1" applyBorder="1" applyAlignment="1">
      <alignment horizontal="left" vertical="top" wrapText="1"/>
    </xf>
    <xf numFmtId="0" fontId="9" fillId="8" borderId="15" xfId="3" applyFont="1" applyFill="1" applyBorder="1" applyAlignment="1">
      <alignment horizontal="left" vertical="top" wrapText="1"/>
    </xf>
    <xf numFmtId="0" fontId="8" fillId="8" borderId="34" xfId="3" applyFont="1" applyFill="1" applyBorder="1" applyAlignment="1">
      <alignment horizontal="left" vertical="top" wrapText="1"/>
    </xf>
    <xf numFmtId="0" fontId="9" fillId="8" borderId="34" xfId="3" applyFont="1" applyFill="1" applyBorder="1" applyAlignment="1">
      <alignment horizontal="left" vertical="top" wrapText="1"/>
    </xf>
    <xf numFmtId="0" fontId="29" fillId="8" borderId="49" xfId="3" applyFont="1" applyFill="1" applyBorder="1" applyAlignment="1">
      <alignment horizontal="left" vertical="top" wrapText="1"/>
    </xf>
    <xf numFmtId="0" fontId="8" fillId="8" borderId="14" xfId="3" applyFont="1" applyFill="1" applyBorder="1" applyAlignment="1">
      <alignment horizontal="left" vertical="top" wrapText="1"/>
    </xf>
    <xf numFmtId="9" fontId="8" fillId="8" borderId="14" xfId="3" applyNumberFormat="1" applyFont="1" applyFill="1" applyBorder="1" applyAlignment="1">
      <alignment horizontal="left" vertical="top" wrapText="1"/>
    </xf>
    <xf numFmtId="0" fontId="9" fillId="8" borderId="14" xfId="3" applyFont="1" applyFill="1" applyBorder="1" applyAlignment="1">
      <alignment horizontal="left" vertical="top" wrapText="1"/>
    </xf>
    <xf numFmtId="0" fontId="34" fillId="22" borderId="45" xfId="3" applyFont="1" applyFill="1" applyBorder="1" applyAlignment="1">
      <alignment vertical="center" wrapText="1"/>
    </xf>
    <xf numFmtId="0" fontId="29" fillId="8" borderId="48" xfId="3" applyFont="1" applyFill="1" applyBorder="1" applyAlignment="1">
      <alignment horizontal="left" vertical="top" wrapText="1"/>
    </xf>
    <xf numFmtId="0" fontId="3" fillId="8" borderId="15" xfId="3" applyFont="1" applyFill="1" applyBorder="1" applyAlignment="1">
      <alignment horizontal="left" vertical="top" wrapText="1"/>
    </xf>
    <xf numFmtId="0" fontId="34" fillId="16" borderId="45" xfId="3" applyFont="1" applyFill="1" applyBorder="1" applyAlignment="1">
      <alignment vertical="center" wrapText="1"/>
    </xf>
    <xf numFmtId="0" fontId="5" fillId="23" borderId="15" xfId="3" applyFont="1" applyFill="1" applyBorder="1" applyAlignment="1">
      <alignment horizontal="center" vertical="center" wrapText="1"/>
    </xf>
    <xf numFmtId="0" fontId="5" fillId="24" borderId="15" xfId="3" applyFont="1" applyFill="1" applyBorder="1" applyAlignment="1">
      <alignment horizontal="left" vertical="center" wrapText="1"/>
    </xf>
    <xf numFmtId="0" fontId="5" fillId="24" borderId="15" xfId="3" applyFont="1" applyFill="1" applyBorder="1" applyAlignment="1">
      <alignment horizontal="left" vertical="top" wrapText="1"/>
    </xf>
    <xf numFmtId="0" fontId="8" fillId="24" borderId="15" xfId="3" applyFont="1" applyFill="1" applyBorder="1" applyAlignment="1">
      <alignment horizontal="left" vertical="top" wrapText="1"/>
    </xf>
    <xf numFmtId="0" fontId="9" fillId="24" borderId="15" xfId="3" applyFont="1" applyFill="1" applyBorder="1" applyAlignment="1">
      <alignment horizontal="left" vertical="top" wrapText="1"/>
    </xf>
    <xf numFmtId="0" fontId="8" fillId="24" borderId="48" xfId="3" applyFont="1" applyFill="1" applyBorder="1" applyAlignment="1">
      <alignment horizontal="left" vertical="top" wrapText="1"/>
    </xf>
    <xf numFmtId="0" fontId="8" fillId="24" borderId="15" xfId="3" applyFont="1" applyFill="1" applyBorder="1" applyAlignment="1">
      <alignment horizontal="center" vertical="center" wrapText="1"/>
    </xf>
    <xf numFmtId="0" fontId="8" fillId="24" borderId="15" xfId="3" applyFont="1" applyFill="1" applyBorder="1" applyAlignment="1">
      <alignment horizontal="left" vertical="center" wrapText="1"/>
    </xf>
    <xf numFmtId="0" fontId="15" fillId="24" borderId="15" xfId="3" applyFont="1" applyFill="1" applyBorder="1" applyAlignment="1">
      <alignment horizontal="left" vertical="top" wrapText="1"/>
    </xf>
    <xf numFmtId="9" fontId="8" fillId="24" borderId="15" xfId="3" applyNumberFormat="1" applyFont="1" applyFill="1" applyBorder="1" applyAlignment="1">
      <alignment horizontal="left" vertical="top" wrapText="1"/>
    </xf>
    <xf numFmtId="0" fontId="8" fillId="23" borderId="15" xfId="3" applyFont="1" applyFill="1" applyBorder="1" applyAlignment="1">
      <alignment horizontal="center" vertical="center" wrapText="1"/>
    </xf>
    <xf numFmtId="2" fontId="29" fillId="24" borderId="61" xfId="3" applyNumberFormat="1" applyFont="1" applyFill="1" applyBorder="1" applyAlignment="1">
      <alignment horizontal="center" vertical="center" wrapText="1"/>
    </xf>
    <xf numFmtId="2" fontId="29" fillId="24" borderId="61" xfId="3" applyNumberFormat="1" applyFont="1" applyFill="1" applyBorder="1" applyAlignment="1">
      <alignment horizontal="left" vertical="center" wrapText="1"/>
    </xf>
    <xf numFmtId="0" fontId="8" fillId="24" borderId="61" xfId="3" applyFont="1" applyFill="1" applyBorder="1" applyAlignment="1">
      <alignment wrapText="1"/>
    </xf>
    <xf numFmtId="0" fontId="8" fillId="24" borderId="61" xfId="3" applyFont="1" applyFill="1" applyBorder="1" applyAlignment="1">
      <alignment horizontal="center" wrapText="1"/>
    </xf>
    <xf numFmtId="0" fontId="9" fillId="24" borderId="61" xfId="3" applyFont="1" applyFill="1" applyBorder="1" applyAlignment="1">
      <alignment wrapText="1"/>
    </xf>
    <xf numFmtId="0" fontId="8" fillId="24" borderId="48" xfId="3" applyFont="1" applyFill="1" applyBorder="1" applyAlignment="1">
      <alignment wrapText="1"/>
    </xf>
    <xf numFmtId="0" fontId="8" fillId="0" borderId="1" xfId="3" applyFont="1" applyAlignment="1">
      <alignment horizontal="center" vertical="center" wrapText="1"/>
    </xf>
    <xf numFmtId="0" fontId="8" fillId="0" borderId="1" xfId="3" applyFont="1" applyAlignment="1">
      <alignment horizontal="left" vertical="center" wrapText="1"/>
    </xf>
    <xf numFmtId="0" fontId="8" fillId="0" borderId="1" xfId="3" applyFont="1" applyAlignment="1">
      <alignment horizontal="center" wrapText="1"/>
    </xf>
    <xf numFmtId="0" fontId="9" fillId="0" borderId="1" xfId="3" applyFont="1" applyAlignment="1">
      <alignment wrapText="1"/>
    </xf>
    <xf numFmtId="0" fontId="31" fillId="0" borderId="1" xfId="3" applyAlignment="1">
      <alignment horizontal="center" vertical="center"/>
    </xf>
    <xf numFmtId="0" fontId="31" fillId="0" borderId="1" xfId="3" applyAlignment="1">
      <alignment horizontal="left" vertical="center"/>
    </xf>
    <xf numFmtId="0" fontId="20" fillId="0" borderId="1" xfId="3" applyFont="1"/>
    <xf numFmtId="0" fontId="41" fillId="0" borderId="1" xfId="1" applyFont="1"/>
    <xf numFmtId="0" fontId="20" fillId="0" borderId="1" xfId="1" applyFont="1" applyAlignment="1">
      <alignment horizontal="center" vertical="center"/>
    </xf>
    <xf numFmtId="0" fontId="20" fillId="0" borderId="1" xfId="1" applyFont="1" applyAlignment="1">
      <alignment horizontal="left" vertical="center"/>
    </xf>
    <xf numFmtId="0" fontId="33" fillId="11" borderId="38" xfId="1" applyFont="1" applyFill="1" applyBorder="1" applyAlignment="1">
      <alignment horizontal="center" wrapText="1"/>
    </xf>
    <xf numFmtId="0" fontId="33" fillId="11" borderId="54" xfId="1" applyFont="1" applyFill="1" applyBorder="1" applyAlignment="1">
      <alignment horizontal="center" vertical="center" wrapText="1"/>
    </xf>
    <xf numFmtId="0" fontId="33" fillId="11" borderId="54" xfId="1" applyFont="1" applyFill="1" applyBorder="1" applyAlignment="1">
      <alignment horizontal="left" vertical="center" wrapText="1"/>
    </xf>
    <xf numFmtId="0" fontId="33" fillId="11" borderId="54" xfId="1" applyFont="1" applyFill="1" applyBorder="1" applyAlignment="1">
      <alignment horizontal="center" wrapText="1"/>
    </xf>
    <xf numFmtId="0" fontId="42" fillId="11" borderId="54" xfId="1" applyFont="1" applyFill="1" applyBorder="1" applyAlignment="1">
      <alignment horizontal="center" wrapText="1"/>
    </xf>
    <xf numFmtId="0" fontId="33" fillId="11" borderId="55" xfId="1" applyFont="1" applyFill="1" applyBorder="1" applyAlignment="1">
      <alignment horizontal="center" wrapText="1"/>
    </xf>
    <xf numFmtId="0" fontId="8" fillId="0" borderId="1" xfId="1" applyFont="1" applyAlignment="1">
      <alignment wrapText="1"/>
    </xf>
    <xf numFmtId="0" fontId="8" fillId="8" borderId="15" xfId="1" applyFont="1" applyFill="1" applyBorder="1" applyAlignment="1">
      <alignment horizontal="center" vertical="center" wrapText="1"/>
    </xf>
    <xf numFmtId="0" fontId="8" fillId="8" borderId="15" xfId="1" applyFont="1" applyFill="1" applyBorder="1" applyAlignment="1">
      <alignment horizontal="left" vertical="center" wrapText="1"/>
    </xf>
    <xf numFmtId="0" fontId="8" fillId="25" borderId="15" xfId="1" applyFont="1" applyFill="1" applyBorder="1" applyAlignment="1">
      <alignment horizontal="left" vertical="top" wrapText="1"/>
    </xf>
    <xf numFmtId="0" fontId="8" fillId="8" borderId="15" xfId="1" applyFont="1" applyFill="1" applyBorder="1" applyAlignment="1">
      <alignment horizontal="left" vertical="top" wrapText="1"/>
    </xf>
    <xf numFmtId="0" fontId="9" fillId="8" borderId="15" xfId="1" applyFont="1" applyFill="1" applyBorder="1" applyAlignment="1">
      <alignment horizontal="left" vertical="top" wrapText="1"/>
    </xf>
    <xf numFmtId="0" fontId="7" fillId="26" borderId="15" xfId="1" applyFont="1" applyFill="1" applyBorder="1" applyAlignment="1">
      <alignment horizontal="left" vertical="top" wrapText="1"/>
    </xf>
    <xf numFmtId="0" fontId="7" fillId="8" borderId="15" xfId="1" applyFont="1" applyFill="1" applyBorder="1" applyAlignment="1">
      <alignment horizontal="left" vertical="top" wrapText="1"/>
    </xf>
    <xf numFmtId="0" fontId="34" fillId="16" borderId="45" xfId="1" applyFont="1" applyFill="1" applyBorder="1" applyAlignment="1">
      <alignment vertical="center" wrapText="1"/>
    </xf>
    <xf numFmtId="0" fontId="5" fillId="24" borderId="15" xfId="1" applyFont="1" applyFill="1" applyBorder="1" applyAlignment="1">
      <alignment horizontal="center" vertical="center" wrapText="1"/>
    </xf>
    <xf numFmtId="0" fontId="5" fillId="24" borderId="15" xfId="1" applyFont="1" applyFill="1" applyBorder="1" applyAlignment="1">
      <alignment horizontal="left" vertical="center" wrapText="1"/>
    </xf>
    <xf numFmtId="0" fontId="5" fillId="24" borderId="15" xfId="1" applyFont="1" applyFill="1" applyBorder="1" applyAlignment="1">
      <alignment horizontal="left" vertical="top" wrapText="1"/>
    </xf>
    <xf numFmtId="0" fontId="8" fillId="24" borderId="15" xfId="1" applyFont="1" applyFill="1" applyBorder="1" applyAlignment="1">
      <alignment horizontal="left" vertical="top" wrapText="1"/>
    </xf>
    <xf numFmtId="0" fontId="9" fillId="24" borderId="15" xfId="1" applyFont="1" applyFill="1" applyBorder="1" applyAlignment="1">
      <alignment horizontal="left" vertical="top" wrapText="1"/>
    </xf>
    <xf numFmtId="0" fontId="8" fillId="24" borderId="48" xfId="1" applyFont="1" applyFill="1" applyBorder="1" applyAlignment="1">
      <alignment horizontal="left" vertical="top" wrapText="1"/>
    </xf>
    <xf numFmtId="0" fontId="8" fillId="24" borderId="15" xfId="1" applyFont="1" applyFill="1" applyBorder="1" applyAlignment="1">
      <alignment horizontal="center" vertical="center" wrapText="1"/>
    </xf>
    <xf numFmtId="0" fontId="8" fillId="24" borderId="15" xfId="1" applyFont="1" applyFill="1" applyBorder="1" applyAlignment="1">
      <alignment horizontal="left" vertical="center" wrapText="1"/>
    </xf>
    <xf numFmtId="2" fontId="29" fillId="24" borderId="61" xfId="1" applyNumberFormat="1" applyFont="1" applyFill="1" applyBorder="1" applyAlignment="1">
      <alignment horizontal="center" vertical="center" wrapText="1"/>
    </xf>
    <xf numFmtId="2" fontId="29" fillId="24" borderId="61" xfId="1" applyNumberFormat="1" applyFont="1" applyFill="1" applyBorder="1" applyAlignment="1">
      <alignment horizontal="left" vertical="center" wrapText="1"/>
    </xf>
    <xf numFmtId="0" fontId="8" fillId="24" borderId="61" xfId="1" applyFont="1" applyFill="1" applyBorder="1" applyAlignment="1">
      <alignment wrapText="1"/>
    </xf>
    <xf numFmtId="0" fontId="8" fillId="24" borderId="61" xfId="1" applyFont="1" applyFill="1" applyBorder="1" applyAlignment="1">
      <alignment horizontal="center" wrapText="1"/>
    </xf>
    <xf numFmtId="0" fontId="9" fillId="24" borderId="61" xfId="1" applyFont="1" applyFill="1" applyBorder="1" applyAlignment="1">
      <alignment wrapText="1"/>
    </xf>
    <xf numFmtId="0" fontId="8" fillId="24" borderId="48" xfId="1" applyFont="1" applyFill="1" applyBorder="1" applyAlignment="1">
      <alignment wrapText="1"/>
    </xf>
    <xf numFmtId="0" fontId="8" fillId="0" borderId="1" xfId="1" applyFont="1" applyAlignment="1">
      <alignment horizontal="center" vertical="center" wrapText="1"/>
    </xf>
    <xf numFmtId="0" fontId="8" fillId="0" borderId="1" xfId="1" applyFont="1" applyAlignment="1">
      <alignment horizontal="left" vertical="center" wrapText="1"/>
    </xf>
    <xf numFmtId="0" fontId="8" fillId="0" borderId="1" xfId="1" applyFont="1" applyAlignment="1">
      <alignment horizontal="center" wrapText="1"/>
    </xf>
    <xf numFmtId="0" fontId="9" fillId="0" borderId="1" xfId="1" applyFont="1" applyAlignment="1">
      <alignment wrapText="1"/>
    </xf>
    <xf numFmtId="0" fontId="29" fillId="27" borderId="14" xfId="0" applyFont="1" applyFill="1" applyBorder="1" applyAlignment="1">
      <alignment horizontal="left" vertical="center"/>
    </xf>
    <xf numFmtId="0" fontId="29" fillId="27" borderId="14" xfId="0" applyFont="1" applyFill="1" applyBorder="1" applyAlignment="1">
      <alignment horizontal="center" vertical="center"/>
    </xf>
    <xf numFmtId="0" fontId="29" fillId="27" borderId="14" xfId="0" applyFont="1" applyFill="1" applyBorder="1" applyAlignment="1">
      <alignment vertical="center" wrapText="1"/>
    </xf>
    <xf numFmtId="0" fontId="29" fillId="27" borderId="14" xfId="0" applyFont="1" applyFill="1" applyBorder="1" applyAlignment="1">
      <alignment horizontal="left" vertical="center" wrapText="1"/>
    </xf>
    <xf numFmtId="0" fontId="8" fillId="27" borderId="15" xfId="0" applyFont="1" applyFill="1" applyBorder="1" applyAlignment="1">
      <alignment horizontal="left" vertical="center" wrapText="1"/>
    </xf>
    <xf numFmtId="0" fontId="8" fillId="27" borderId="2" xfId="0" applyFont="1" applyFill="1" applyBorder="1" applyAlignment="1">
      <alignment horizontal="left" vertical="center" wrapText="1"/>
    </xf>
    <xf numFmtId="0" fontId="8" fillId="27" borderId="3" xfId="0" applyFont="1" applyFill="1" applyBorder="1" applyAlignment="1">
      <alignment horizontal="left" vertical="center" wrapText="1"/>
    </xf>
    <xf numFmtId="0" fontId="29" fillId="27" borderId="2" xfId="0" applyFont="1" applyFill="1" applyBorder="1" applyAlignment="1">
      <alignment horizontal="left" vertical="center" wrapText="1"/>
    </xf>
    <xf numFmtId="0" fontId="8" fillId="27" borderId="3" xfId="0" applyFont="1" applyFill="1" applyBorder="1" applyAlignment="1">
      <alignment horizontal="left" vertical="top" wrapText="1"/>
    </xf>
    <xf numFmtId="0" fontId="8" fillId="27" borderId="2" xfId="0" applyFont="1" applyFill="1" applyBorder="1" applyAlignment="1">
      <alignment vertical="top" wrapText="1"/>
    </xf>
    <xf numFmtId="0" fontId="8" fillId="27" borderId="2" xfId="0" applyFont="1" applyFill="1" applyBorder="1"/>
    <xf numFmtId="0" fontId="8" fillId="27" borderId="1" xfId="0" applyFont="1" applyFill="1"/>
    <xf numFmtId="0" fontId="29" fillId="28" borderId="14" xfId="0" applyFont="1" applyFill="1" applyBorder="1" applyAlignment="1">
      <alignment horizontal="left" vertical="center"/>
    </xf>
    <xf numFmtId="0" fontId="29" fillId="28" borderId="14" xfId="0" applyFont="1" applyFill="1" applyBorder="1" applyAlignment="1">
      <alignment horizontal="center" vertical="center"/>
    </xf>
    <xf numFmtId="0" fontId="29" fillId="28" borderId="14" xfId="0" applyFont="1" applyFill="1" applyBorder="1" applyAlignment="1">
      <alignment vertical="center" wrapText="1"/>
    </xf>
    <xf numFmtId="0" fontId="29" fillId="28" borderId="14" xfId="0" applyFont="1" applyFill="1" applyBorder="1" applyAlignment="1">
      <alignment horizontal="left" vertical="center" wrapText="1"/>
    </xf>
    <xf numFmtId="0" fontId="8" fillId="28" borderId="15" xfId="0" applyFont="1" applyFill="1" applyBorder="1" applyAlignment="1">
      <alignment horizontal="left" vertical="center" wrapText="1"/>
    </xf>
    <xf numFmtId="0" fontId="8" fillId="28" borderId="2" xfId="0" applyFont="1" applyFill="1" applyBorder="1" applyAlignment="1">
      <alignment horizontal="left" vertical="center" wrapText="1"/>
    </xf>
    <xf numFmtId="0" fontId="8" fillId="28" borderId="3" xfId="0" applyFont="1" applyFill="1" applyBorder="1" applyAlignment="1">
      <alignment horizontal="left" vertical="center" wrapText="1"/>
    </xf>
    <xf numFmtId="0" fontId="29" fillId="28" borderId="2" xfId="0" applyFont="1" applyFill="1" applyBorder="1" applyAlignment="1">
      <alignment horizontal="left" vertical="center" wrapText="1"/>
    </xf>
    <xf numFmtId="0" fontId="8" fillId="28" borderId="3" xfId="0" applyFont="1" applyFill="1" applyBorder="1" applyAlignment="1">
      <alignment horizontal="left" vertical="top" wrapText="1"/>
    </xf>
    <xf numFmtId="0" fontId="8" fillId="28" borderId="2" xfId="0" applyFont="1" applyFill="1" applyBorder="1" applyAlignment="1">
      <alignment vertical="top" wrapText="1"/>
    </xf>
    <xf numFmtId="0" fontId="8" fillId="28" borderId="2" xfId="0" applyFont="1" applyFill="1" applyBorder="1"/>
    <xf numFmtId="0" fontId="8" fillId="28" borderId="1" xfId="0" applyFont="1" applyFill="1"/>
    <xf numFmtId="0" fontId="0" fillId="0" borderId="1" xfId="0"/>
    <xf numFmtId="0" fontId="29" fillId="7" borderId="1" xfId="0" applyFont="1" applyFill="1" applyAlignment="1">
      <alignment wrapText="1"/>
    </xf>
    <xf numFmtId="0" fontId="0" fillId="0" borderId="1" xfId="0" applyAlignment="1">
      <alignment horizontal="left" vertical="center"/>
    </xf>
    <xf numFmtId="0" fontId="0" fillId="0" borderId="1" xfId="0" applyAlignment="1">
      <alignment horizontal="center"/>
    </xf>
    <xf numFmtId="0" fontId="0" fillId="0" borderId="1" xfId="0" applyAlignment="1">
      <alignment vertical="center"/>
    </xf>
    <xf numFmtId="0" fontId="1" fillId="0" borderId="1" xfId="0" applyFont="1" applyAlignment="1">
      <alignment horizontal="left" vertical="center"/>
    </xf>
    <xf numFmtId="0" fontId="1" fillId="0" borderId="1" xfId="0" applyFont="1" applyAlignment="1">
      <alignment horizontal="center" vertical="center"/>
    </xf>
    <xf numFmtId="0" fontId="1" fillId="0" borderId="1" xfId="0" applyFont="1" applyAlignment="1">
      <alignment horizontal="left" vertical="top" wrapText="1"/>
    </xf>
    <xf numFmtId="0" fontId="1" fillId="0" borderId="1" xfId="0" applyFont="1" applyAlignment="1">
      <alignment horizontal="left" vertical="center" wrapText="1"/>
    </xf>
    <xf numFmtId="0" fontId="1" fillId="0" borderId="1" xfId="0" applyFont="1" applyAlignment="1">
      <alignment vertical="center"/>
    </xf>
    <xf numFmtId="0" fontId="1" fillId="0" borderId="1" xfId="0" applyFont="1" applyAlignment="1">
      <alignment vertical="center" wrapText="1"/>
    </xf>
    <xf numFmtId="0" fontId="1" fillId="0" borderId="1" xfId="0" applyFont="1" applyAlignment="1">
      <alignment wrapText="1"/>
    </xf>
    <xf numFmtId="0" fontId="12" fillId="0" borderId="1" xfId="0" applyFont="1"/>
    <xf numFmtId="0" fontId="13" fillId="0" borderId="1" xfId="0" applyFont="1" applyAlignment="1">
      <alignment horizontal="left" vertical="center" wrapText="1"/>
    </xf>
    <xf numFmtId="0" fontId="14" fillId="0" borderId="1" xfId="0" applyFont="1" applyAlignment="1">
      <alignment horizontal="center" vertical="center" wrapText="1"/>
    </xf>
    <xf numFmtId="0" fontId="12" fillId="0" borderId="1" xfId="0" applyFont="1" applyAlignment="1">
      <alignment horizontal="left" vertical="center" wrapText="1"/>
    </xf>
    <xf numFmtId="0" fontId="15" fillId="0" borderId="1" xfId="0" applyFont="1" applyAlignment="1">
      <alignment vertical="center"/>
    </xf>
    <xf numFmtId="0" fontId="6" fillId="0" borderId="1" xfId="0" applyFont="1" applyAlignment="1">
      <alignment vertical="center" wrapText="1"/>
    </xf>
    <xf numFmtId="0" fontId="15" fillId="0" borderId="1" xfId="0" applyFont="1" applyAlignment="1">
      <alignment vertical="center" wrapText="1"/>
    </xf>
    <xf numFmtId="0" fontId="8" fillId="0" borderId="1" xfId="0" applyFont="1" applyAlignment="1">
      <alignment vertical="center"/>
    </xf>
    <xf numFmtId="0" fontId="16" fillId="0" borderId="1" xfId="0" applyFont="1" applyAlignment="1">
      <alignment vertical="center"/>
    </xf>
    <xf numFmtId="0" fontId="8" fillId="0" borderId="1" xfId="0" applyFont="1" applyAlignment="1">
      <alignment vertical="center" wrapText="1"/>
    </xf>
    <xf numFmtId="0" fontId="16" fillId="0" borderId="1" xfId="0" applyFont="1" applyAlignment="1">
      <alignment horizontal="left" vertical="center" wrapText="1"/>
    </xf>
    <xf numFmtId="0" fontId="9" fillId="0" borderId="1" xfId="0" applyFont="1" applyAlignment="1">
      <alignment vertical="center"/>
    </xf>
    <xf numFmtId="0" fontId="7" fillId="0" borderId="1" xfId="0" applyFont="1" applyAlignment="1">
      <alignment vertical="center"/>
    </xf>
    <xf numFmtId="0" fontId="7" fillId="0" borderId="1" xfId="0" applyFont="1" applyAlignment="1">
      <alignment vertical="center" wrapText="1"/>
    </xf>
    <xf numFmtId="0" fontId="0" fillId="0" borderId="1" xfId="0" applyAlignment="1">
      <alignment vertical="center" wrapText="1"/>
    </xf>
    <xf numFmtId="0" fontId="34" fillId="27" borderId="45" xfId="3" applyFont="1" applyFill="1" applyBorder="1" applyAlignment="1">
      <alignment vertical="center" wrapText="1"/>
    </xf>
    <xf numFmtId="0" fontId="34" fillId="27" borderId="45" xfId="1" applyFont="1" applyFill="1" applyBorder="1" applyAlignment="1">
      <alignment vertical="center" wrapText="1"/>
    </xf>
    <xf numFmtId="0" fontId="29" fillId="29" borderId="14" xfId="0" applyFont="1" applyFill="1" applyBorder="1" applyAlignment="1">
      <alignment horizontal="left" vertical="center" wrapText="1"/>
    </xf>
    <xf numFmtId="0" fontId="8" fillId="29" borderId="2" xfId="0" applyFont="1" applyFill="1" applyBorder="1" applyAlignment="1">
      <alignment horizontal="left" vertical="center" wrapText="1"/>
    </xf>
    <xf numFmtId="0" fontId="8" fillId="29" borderId="3" xfId="0" applyFont="1" applyFill="1" applyBorder="1" applyAlignment="1">
      <alignment horizontal="left" vertical="center" wrapText="1"/>
    </xf>
    <xf numFmtId="0" fontId="5" fillId="30" borderId="17" xfId="0" applyFont="1" applyFill="1" applyBorder="1" applyAlignment="1">
      <alignment horizontal="center" vertical="center" wrapText="1"/>
    </xf>
    <xf numFmtId="0" fontId="29" fillId="29" borderId="14" xfId="0" applyFont="1" applyFill="1" applyBorder="1" applyAlignment="1">
      <alignment vertical="center" wrapText="1"/>
    </xf>
    <xf numFmtId="0" fontId="8" fillId="31" borderId="3" xfId="0" applyFont="1" applyFill="1" applyBorder="1" applyAlignment="1">
      <alignment horizontal="left" vertical="center" wrapText="1"/>
    </xf>
    <xf numFmtId="0" fontId="0" fillId="0" borderId="1" xfId="0" applyAlignment="1">
      <alignment wrapText="1"/>
    </xf>
    <xf numFmtId="0" fontId="16" fillId="29" borderId="14" xfId="0" applyFont="1" applyFill="1" applyBorder="1" applyAlignment="1">
      <alignment horizontal="left" vertical="center" wrapText="1"/>
    </xf>
    <xf numFmtId="0" fontId="29" fillId="7" borderId="3" xfId="0" applyFont="1" applyFill="1" applyBorder="1" applyAlignment="1">
      <alignment horizontal="left" vertical="center" wrapText="1"/>
    </xf>
    <xf numFmtId="0" fontId="29" fillId="27" borderId="3" xfId="0" applyFont="1" applyFill="1" applyBorder="1" applyAlignment="1">
      <alignment horizontal="left" vertical="center" wrapText="1"/>
    </xf>
    <xf numFmtId="0" fontId="29" fillId="28" borderId="3" xfId="0" applyFont="1" applyFill="1" applyBorder="1" applyAlignment="1">
      <alignment horizontal="left" vertical="center" wrapText="1"/>
    </xf>
    <xf numFmtId="0" fontId="35" fillId="32" borderId="1" xfId="1" applyFont="1" applyFill="1" applyAlignment="1">
      <alignment horizontal="left" vertical="top"/>
    </xf>
    <xf numFmtId="0" fontId="40" fillId="0" borderId="1" xfId="1" applyFont="1" applyAlignment="1">
      <alignment horizontal="left" vertical="top"/>
    </xf>
    <xf numFmtId="0" fontId="3" fillId="0" borderId="1" xfId="1" applyFont="1" applyAlignment="1">
      <alignment horizontal="left" vertical="top"/>
    </xf>
    <xf numFmtId="0" fontId="5" fillId="30" borderId="2" xfId="0" applyFont="1" applyFill="1" applyBorder="1" applyAlignment="1">
      <alignment horizontal="center" vertical="center" wrapText="1"/>
    </xf>
    <xf numFmtId="0" fontId="29" fillId="33" borderId="14" xfId="0" applyFont="1" applyFill="1" applyBorder="1" applyAlignment="1">
      <alignment vertical="center" wrapText="1"/>
    </xf>
    <xf numFmtId="0" fontId="29" fillId="33" borderId="3" xfId="0" applyFont="1" applyFill="1" applyBorder="1" applyAlignment="1">
      <alignment horizontal="left" vertical="center" wrapText="1"/>
    </xf>
    <xf numFmtId="0" fontId="29" fillId="34" borderId="14" xfId="0" applyFont="1" applyFill="1" applyBorder="1" applyAlignment="1">
      <alignment horizontal="center" vertical="center"/>
    </xf>
    <xf numFmtId="0" fontId="29" fillId="34" borderId="14" xfId="0" applyFont="1" applyFill="1" applyBorder="1" applyAlignment="1">
      <alignment vertical="center" wrapText="1"/>
    </xf>
    <xf numFmtId="0" fontId="8" fillId="34" borderId="3" xfId="0" applyFont="1" applyFill="1" applyBorder="1" applyAlignment="1">
      <alignment horizontal="left" vertical="center" wrapText="1"/>
    </xf>
    <xf numFmtId="0" fontId="0" fillId="0" borderId="2" xfId="0" applyBorder="1"/>
    <xf numFmtId="0" fontId="8" fillId="28" borderId="44" xfId="0" applyFont="1" applyFill="1" applyBorder="1" applyAlignment="1">
      <alignment horizontal="left" vertical="top" wrapText="1"/>
    </xf>
    <xf numFmtId="0" fontId="8" fillId="28" borderId="17" xfId="0" applyFont="1" applyFill="1" applyBorder="1" applyAlignment="1">
      <alignment vertical="top" wrapText="1"/>
    </xf>
    <xf numFmtId="0" fontId="8" fillId="28" borderId="18" xfId="0" applyFont="1" applyFill="1" applyBorder="1" applyAlignment="1">
      <alignment horizontal="left" vertical="center" wrapText="1"/>
    </xf>
    <xf numFmtId="0" fontId="8" fillId="28" borderId="17" xfId="0" applyFont="1" applyFill="1" applyBorder="1"/>
    <xf numFmtId="0" fontId="8" fillId="28" borderId="3" xfId="0" applyFont="1" applyFill="1" applyBorder="1" applyAlignment="1">
      <alignment vertical="top" wrapText="1"/>
    </xf>
    <xf numFmtId="0" fontId="8" fillId="28" borderId="3" xfId="0" applyFont="1" applyFill="1" applyBorder="1"/>
    <xf numFmtId="0" fontId="0" fillId="0" borderId="2" xfId="0" applyBorder="1" applyAlignment="1">
      <alignment horizontal="center" vertical="center"/>
    </xf>
    <xf numFmtId="0" fontId="0" fillId="0" borderId="33" xfId="0" applyBorder="1"/>
    <xf numFmtId="0" fontId="0" fillId="0" borderId="33" xfId="0" applyBorder="1" applyAlignment="1">
      <alignment horizontal="center" vertical="center"/>
    </xf>
    <xf numFmtId="0" fontId="17" fillId="29" borderId="14" xfId="0" applyFont="1" applyFill="1" applyBorder="1" applyAlignment="1">
      <alignment horizontal="left" vertical="center" wrapText="1"/>
    </xf>
    <xf numFmtId="0" fontId="29" fillId="7" borderId="2" xfId="0" applyFont="1" applyFill="1" applyBorder="1" applyAlignment="1">
      <alignment horizontal="center" vertical="center" wrapText="1"/>
    </xf>
    <xf numFmtId="0" fontId="29" fillId="7" borderId="20" xfId="0" applyFont="1" applyFill="1" applyBorder="1" applyAlignment="1">
      <alignment horizontal="center" vertical="center"/>
    </xf>
    <xf numFmtId="0" fontId="29" fillId="7" borderId="23" xfId="0" applyFont="1" applyFill="1" applyBorder="1" applyAlignment="1">
      <alignment horizontal="left" vertical="center" wrapText="1"/>
    </xf>
    <xf numFmtId="0" fontId="29" fillId="7" borderId="21" xfId="0" applyFont="1" applyFill="1" applyBorder="1" applyAlignment="1">
      <alignment vertical="center" wrapText="1"/>
    </xf>
    <xf numFmtId="0" fontId="29" fillId="27" borderId="35" xfId="0" applyFont="1" applyFill="1" applyBorder="1" applyAlignment="1">
      <alignment vertical="center" wrapText="1"/>
    </xf>
    <xf numFmtId="0" fontId="33" fillId="11" borderId="38" xfId="0" applyFont="1" applyFill="1" applyBorder="1" applyAlignment="1">
      <alignment horizontal="center" wrapText="1"/>
    </xf>
    <xf numFmtId="0" fontId="33" fillId="11" borderId="54" xfId="0" applyFont="1" applyFill="1" applyBorder="1" applyAlignment="1">
      <alignment horizontal="center" vertical="center" wrapText="1"/>
    </xf>
    <xf numFmtId="0" fontId="33" fillId="11" borderId="54" xfId="0" applyFont="1" applyFill="1" applyBorder="1" applyAlignment="1">
      <alignment horizontal="left" vertical="center" wrapText="1"/>
    </xf>
    <xf numFmtId="0" fontId="33" fillId="11" borderId="54" xfId="0" applyFont="1" applyFill="1" applyBorder="1" applyAlignment="1">
      <alignment horizontal="center" wrapText="1"/>
    </xf>
    <xf numFmtId="0" fontId="42" fillId="11" borderId="54" xfId="0" applyFont="1" applyFill="1" applyBorder="1" applyAlignment="1">
      <alignment horizontal="center" wrapText="1"/>
    </xf>
    <xf numFmtId="0" fontId="33" fillId="11" borderId="55" xfId="0" applyFont="1" applyFill="1" applyBorder="1" applyAlignment="1">
      <alignment horizontal="center" wrapText="1"/>
    </xf>
    <xf numFmtId="0" fontId="8" fillId="0" borderId="1" xfId="0" applyFont="1" applyAlignment="1">
      <alignment wrapText="1"/>
    </xf>
    <xf numFmtId="0" fontId="34" fillId="19" borderId="56" xfId="0" applyFont="1" applyFill="1" applyBorder="1" applyAlignment="1">
      <alignment vertical="center" wrapText="1"/>
    </xf>
    <xf numFmtId="0" fontId="34" fillId="12" borderId="59" xfId="0" applyFont="1" applyFill="1" applyBorder="1" applyAlignment="1">
      <alignment vertical="center" wrapText="1"/>
    </xf>
    <xf numFmtId="0" fontId="8" fillId="20" borderId="15" xfId="0" applyFont="1" applyFill="1" applyBorder="1" applyAlignment="1">
      <alignment horizontal="left" vertical="top" wrapText="1"/>
    </xf>
    <xf numFmtId="9" fontId="8" fillId="20" borderId="15" xfId="0" applyNumberFormat="1" applyFont="1" applyFill="1" applyBorder="1" applyAlignment="1">
      <alignment horizontal="left" vertical="top" wrapText="1"/>
    </xf>
    <xf numFmtId="0" fontId="9" fillId="20" borderId="15" xfId="0" applyFont="1" applyFill="1" applyBorder="1" applyAlignment="1">
      <alignment horizontal="left" vertical="top" wrapText="1"/>
    </xf>
    <xf numFmtId="0" fontId="29" fillId="20" borderId="15" xfId="0" applyFont="1" applyFill="1" applyBorder="1" applyAlignment="1">
      <alignment horizontal="left" vertical="top" wrapText="1"/>
    </xf>
    <xf numFmtId="0" fontId="29" fillId="20" borderId="48" xfId="0" applyFont="1" applyFill="1" applyBorder="1" applyAlignment="1">
      <alignment horizontal="left" vertical="top" wrapText="1"/>
    </xf>
    <xf numFmtId="0" fontId="34" fillId="27" borderId="45" xfId="0" applyFont="1" applyFill="1" applyBorder="1" applyAlignment="1">
      <alignment vertical="center" wrapText="1"/>
    </xf>
    <xf numFmtId="0" fontId="5" fillId="21" borderId="15" xfId="0" applyFont="1" applyFill="1" applyBorder="1" applyAlignment="1">
      <alignment horizontal="center" vertical="center" wrapText="1"/>
    </xf>
    <xf numFmtId="0" fontId="8" fillId="8" borderId="15" xfId="0" applyFont="1" applyFill="1" applyBorder="1" applyAlignment="1">
      <alignment horizontal="left" vertical="center" wrapText="1"/>
    </xf>
    <xf numFmtId="0" fontId="8" fillId="8" borderId="15" xfId="0" applyFont="1" applyFill="1" applyBorder="1" applyAlignment="1">
      <alignment horizontal="left" vertical="top" wrapText="1"/>
    </xf>
    <xf numFmtId="0" fontId="9" fillId="8" borderId="15" xfId="0" applyFont="1" applyFill="1" applyBorder="1" applyAlignment="1">
      <alignment horizontal="left" vertical="top" wrapText="1"/>
    </xf>
    <xf numFmtId="0" fontId="8" fillId="8" borderId="34" xfId="0" applyFont="1" applyFill="1" applyBorder="1" applyAlignment="1">
      <alignment horizontal="left" vertical="top" wrapText="1"/>
    </xf>
    <xf numFmtId="9" fontId="8" fillId="8" borderId="34" xfId="0" applyNumberFormat="1" applyFont="1" applyFill="1" applyBorder="1" applyAlignment="1">
      <alignment horizontal="left" vertical="top" wrapText="1"/>
    </xf>
    <xf numFmtId="0" fontId="9" fillId="8" borderId="34" xfId="0" applyFont="1" applyFill="1" applyBorder="1" applyAlignment="1">
      <alignment horizontal="left" vertical="top" wrapText="1"/>
    </xf>
    <xf numFmtId="0" fontId="29" fillId="8" borderId="34" xfId="0" applyFont="1" applyFill="1" applyBorder="1" applyAlignment="1">
      <alignment horizontal="left" vertical="top" wrapText="1"/>
    </xf>
    <xf numFmtId="0" fontId="29" fillId="8" borderId="49" xfId="0" applyFont="1" applyFill="1" applyBorder="1" applyAlignment="1">
      <alignment horizontal="left" vertical="top" wrapText="1"/>
    </xf>
    <xf numFmtId="0" fontId="8" fillId="8" borderId="14" xfId="0" applyFont="1" applyFill="1" applyBorder="1" applyAlignment="1">
      <alignment horizontal="left" vertical="top" wrapText="1"/>
    </xf>
    <xf numFmtId="9" fontId="8" fillId="8" borderId="14" xfId="0" applyNumberFormat="1" applyFont="1" applyFill="1" applyBorder="1" applyAlignment="1">
      <alignment horizontal="left" vertical="top" wrapText="1"/>
    </xf>
    <xf numFmtId="0" fontId="9" fillId="8" borderId="14" xfId="0" applyFont="1" applyFill="1" applyBorder="1" applyAlignment="1">
      <alignment horizontal="left" vertical="top" wrapText="1"/>
    </xf>
    <xf numFmtId="0" fontId="34" fillId="22" borderId="45" xfId="0" applyFont="1" applyFill="1" applyBorder="1" applyAlignment="1">
      <alignment vertical="center" wrapText="1"/>
    </xf>
    <xf numFmtId="9" fontId="8" fillId="8" borderId="15" xfId="0" applyNumberFormat="1" applyFont="1" applyFill="1" applyBorder="1" applyAlignment="1">
      <alignment horizontal="left" vertical="top" wrapText="1"/>
    </xf>
    <xf numFmtId="0" fontId="29" fillId="8" borderId="15" xfId="0" applyFont="1" applyFill="1" applyBorder="1" applyAlignment="1">
      <alignment horizontal="left" vertical="top" wrapText="1"/>
    </xf>
    <xf numFmtId="0" fontId="29" fillId="8" borderId="48" xfId="0" applyFont="1" applyFill="1" applyBorder="1" applyAlignment="1">
      <alignment horizontal="left" vertical="top" wrapText="1"/>
    </xf>
    <xf numFmtId="0" fontId="3" fillId="8" borderId="15" xfId="0" applyFont="1" applyFill="1" applyBorder="1" applyAlignment="1">
      <alignment horizontal="left" vertical="top" wrapText="1"/>
    </xf>
    <xf numFmtId="0" fontId="34" fillId="16" borderId="45" xfId="0" applyFont="1" applyFill="1" applyBorder="1" applyAlignment="1">
      <alignment vertical="center" wrapText="1"/>
    </xf>
    <xf numFmtId="0" fontId="5" fillId="23" borderId="15" xfId="0" applyFont="1" applyFill="1" applyBorder="1" applyAlignment="1">
      <alignment horizontal="center" vertical="center" wrapText="1"/>
    </xf>
    <xf numFmtId="0" fontId="5" fillId="24" borderId="15" xfId="0" applyFont="1" applyFill="1" applyBorder="1" applyAlignment="1">
      <alignment horizontal="left" vertical="center" wrapText="1"/>
    </xf>
    <xf numFmtId="0" fontId="5" fillId="24" borderId="15" xfId="0" applyFont="1" applyFill="1" applyBorder="1" applyAlignment="1">
      <alignment horizontal="left" vertical="top" wrapText="1"/>
    </xf>
    <xf numFmtId="0" fontId="8" fillId="24" borderId="15" xfId="0" applyFont="1" applyFill="1" applyBorder="1" applyAlignment="1">
      <alignment horizontal="left" vertical="top" wrapText="1"/>
    </xf>
    <xf numFmtId="0" fontId="9" fillId="24" borderId="15" xfId="0" applyFont="1" applyFill="1" applyBorder="1" applyAlignment="1">
      <alignment horizontal="left" vertical="top" wrapText="1"/>
    </xf>
    <xf numFmtId="0" fontId="8" fillId="24" borderId="48" xfId="0" applyFont="1" applyFill="1" applyBorder="1" applyAlignment="1">
      <alignment horizontal="left" vertical="top" wrapText="1"/>
    </xf>
    <xf numFmtId="0" fontId="8" fillId="24" borderId="15" xfId="0" applyFont="1" applyFill="1" applyBorder="1" applyAlignment="1">
      <alignment horizontal="center" vertical="center" wrapText="1"/>
    </xf>
    <xf numFmtId="0" fontId="8" fillId="24" borderId="15" xfId="0" applyFont="1" applyFill="1" applyBorder="1" applyAlignment="1">
      <alignment horizontal="left" vertical="center" wrapText="1"/>
    </xf>
    <xf numFmtId="9" fontId="8" fillId="24" borderId="15" xfId="0" applyNumberFormat="1" applyFont="1" applyFill="1" applyBorder="1" applyAlignment="1">
      <alignment horizontal="left" vertical="top" wrapText="1"/>
    </xf>
    <xf numFmtId="0" fontId="15" fillId="24" borderId="15" xfId="0" applyFont="1" applyFill="1" applyBorder="1" applyAlignment="1">
      <alignment horizontal="left" vertical="top" wrapText="1"/>
    </xf>
    <xf numFmtId="0" fontId="8" fillId="23" borderId="15" xfId="0" applyFont="1" applyFill="1" applyBorder="1" applyAlignment="1">
      <alignment horizontal="center" vertical="center" wrapText="1"/>
    </xf>
    <xf numFmtId="2" fontId="29" fillId="24" borderId="61" xfId="0" applyNumberFormat="1" applyFont="1" applyFill="1" applyBorder="1" applyAlignment="1">
      <alignment horizontal="center" vertical="center" wrapText="1"/>
    </xf>
    <xf numFmtId="2" fontId="29" fillId="24" borderId="61" xfId="0" applyNumberFormat="1" applyFont="1" applyFill="1" applyBorder="1" applyAlignment="1">
      <alignment horizontal="left" vertical="center" wrapText="1"/>
    </xf>
    <xf numFmtId="0" fontId="8" fillId="24" borderId="61" xfId="0" applyFont="1" applyFill="1" applyBorder="1" applyAlignment="1">
      <alignment wrapText="1"/>
    </xf>
    <xf numFmtId="0" fontId="8" fillId="24" borderId="61" xfId="0" applyFont="1" applyFill="1" applyBorder="1" applyAlignment="1">
      <alignment horizontal="center" wrapText="1"/>
    </xf>
    <xf numFmtId="0" fontId="9" fillId="24" borderId="61" xfId="0" applyFont="1" applyFill="1" applyBorder="1" applyAlignment="1">
      <alignment wrapText="1"/>
    </xf>
    <xf numFmtId="0" fontId="8" fillId="24" borderId="48" xfId="0" applyFont="1" applyFill="1" applyBorder="1" applyAlignment="1">
      <alignment wrapText="1"/>
    </xf>
    <xf numFmtId="0" fontId="8" fillId="0" borderId="1" xfId="0" applyFont="1" applyAlignment="1">
      <alignment horizontal="center" vertical="center" wrapText="1"/>
    </xf>
    <xf numFmtId="0" fontId="8" fillId="0" borderId="1" xfId="0" applyFont="1" applyAlignment="1">
      <alignment horizontal="left" vertical="center" wrapText="1"/>
    </xf>
    <xf numFmtId="0" fontId="8" fillId="0" borderId="1" xfId="0" applyFont="1" applyAlignment="1">
      <alignment horizontal="center" wrapText="1"/>
    </xf>
    <xf numFmtId="0" fontId="9" fillId="0" borderId="1" xfId="0" applyFont="1" applyAlignment="1">
      <alignment wrapText="1"/>
    </xf>
    <xf numFmtId="0" fontId="0" fillId="0" borderId="1" xfId="0" applyAlignment="1">
      <alignment horizontal="center" vertical="center"/>
    </xf>
    <xf numFmtId="0" fontId="20" fillId="0" borderId="1" xfId="0" applyFont="1"/>
    <xf numFmtId="0" fontId="8" fillId="0" borderId="34" xfId="0" applyFont="1" applyBorder="1" applyAlignment="1">
      <alignment horizontal="left" vertical="center" wrapText="1"/>
    </xf>
    <xf numFmtId="0" fontId="33" fillId="11" borderId="38" xfId="4" applyFont="1" applyFill="1" applyBorder="1" applyAlignment="1">
      <alignment horizontal="center"/>
    </xf>
    <xf numFmtId="0" fontId="33" fillId="11" borderId="54" xfId="4" applyFont="1" applyFill="1" applyBorder="1" applyAlignment="1">
      <alignment horizontal="center"/>
    </xf>
    <xf numFmtId="0" fontId="33" fillId="11" borderId="54" xfId="4" applyFont="1" applyFill="1" applyBorder="1" applyAlignment="1">
      <alignment horizontal="center" wrapText="1"/>
    </xf>
    <xf numFmtId="0" fontId="33" fillId="11" borderId="55" xfId="4" applyFont="1" applyFill="1" applyBorder="1" applyAlignment="1">
      <alignment horizontal="center" wrapText="1"/>
    </xf>
    <xf numFmtId="0" fontId="20" fillId="0" borderId="1" xfId="4"/>
    <xf numFmtId="0" fontId="34" fillId="19" borderId="56" xfId="4" applyFont="1" applyFill="1" applyBorder="1" applyAlignment="1">
      <alignment wrapText="1"/>
    </xf>
    <xf numFmtId="0" fontId="34" fillId="12" borderId="45" xfId="4" applyFont="1" applyFill="1" applyBorder="1" applyAlignment="1">
      <alignment vertical="center" wrapText="1"/>
    </xf>
    <xf numFmtId="9" fontId="8" fillId="20" borderId="15" xfId="4" applyNumberFormat="1" applyFont="1" applyFill="1" applyBorder="1" applyAlignment="1">
      <alignment horizontal="left" vertical="center" wrapText="1"/>
    </xf>
    <xf numFmtId="164" fontId="8" fillId="20" borderId="15" xfId="4" applyNumberFormat="1" applyFont="1" applyFill="1" applyBorder="1" applyAlignment="1">
      <alignment horizontal="center" vertical="center" wrapText="1"/>
    </xf>
    <xf numFmtId="0" fontId="8" fillId="20" borderId="15" xfId="4" applyFont="1" applyFill="1" applyBorder="1" applyAlignment="1">
      <alignment horizontal="left" vertical="center" wrapText="1"/>
    </xf>
    <xf numFmtId="0" fontId="29" fillId="20" borderId="15" xfId="4" quotePrefix="1" applyFont="1" applyFill="1" applyBorder="1" applyAlignment="1">
      <alignment horizontal="left" vertical="center" wrapText="1"/>
    </xf>
    <xf numFmtId="0" fontId="29" fillId="20" borderId="48" xfId="4" quotePrefix="1" applyFont="1" applyFill="1" applyBorder="1" applyAlignment="1">
      <alignment horizontal="left" vertical="center" wrapText="1"/>
    </xf>
    <xf numFmtId="9" fontId="8" fillId="20" borderId="15" xfId="4" applyNumberFormat="1" applyFont="1" applyFill="1" applyBorder="1" applyAlignment="1">
      <alignment horizontal="center" vertical="center" wrapText="1"/>
    </xf>
    <xf numFmtId="0" fontId="29" fillId="8" borderId="15" xfId="4" applyFont="1" applyFill="1" applyBorder="1" applyAlignment="1">
      <alignment horizontal="center" vertical="center"/>
    </xf>
    <xf numFmtId="0" fontId="8" fillId="8" borderId="3" xfId="4" applyFont="1" applyFill="1" applyBorder="1" applyAlignment="1">
      <alignment horizontal="left" vertical="center" wrapText="1"/>
    </xf>
    <xf numFmtId="9" fontId="8" fillId="8" borderId="3" xfId="4" applyNumberFormat="1" applyFont="1" applyFill="1" applyBorder="1" applyAlignment="1">
      <alignment horizontal="center" vertical="center" wrapText="1"/>
    </xf>
    <xf numFmtId="0" fontId="8" fillId="8" borderId="15" xfId="4" applyFont="1" applyFill="1" applyBorder="1" applyAlignment="1">
      <alignment vertical="center" wrapText="1"/>
    </xf>
    <xf numFmtId="0" fontId="29" fillId="8" borderId="15" xfId="4" quotePrefix="1" applyFont="1" applyFill="1" applyBorder="1" applyAlignment="1">
      <alignment vertical="center" wrapText="1"/>
    </xf>
    <xf numFmtId="0" fontId="29" fillId="8" borderId="48" xfId="4" quotePrefix="1" applyFont="1" applyFill="1" applyBorder="1" applyAlignment="1">
      <alignment vertical="center" wrapText="1"/>
    </xf>
    <xf numFmtId="0" fontId="8" fillId="8" borderId="3" xfId="4" applyFont="1" applyFill="1" applyBorder="1" applyAlignment="1">
      <alignment horizontal="center" vertical="center" wrapText="1"/>
    </xf>
    <xf numFmtId="9" fontId="8" fillId="8" borderId="2" xfId="4" applyNumberFormat="1" applyFont="1" applyFill="1" applyBorder="1" applyAlignment="1">
      <alignment horizontal="left" vertical="center" wrapText="1"/>
    </xf>
    <xf numFmtId="1" fontId="8" fillId="8" borderId="2" xfId="4" applyNumberFormat="1" applyFont="1" applyFill="1" applyBorder="1" applyAlignment="1">
      <alignment horizontal="center" vertical="center" wrapText="1"/>
    </xf>
    <xf numFmtId="1" fontId="8" fillId="8" borderId="15" xfId="4" applyNumberFormat="1" applyFont="1" applyFill="1" applyBorder="1" applyAlignment="1">
      <alignment horizontal="center" vertical="center" wrapText="1"/>
    </xf>
    <xf numFmtId="0" fontId="29" fillId="8" borderId="34" xfId="4" applyFont="1" applyFill="1" applyBorder="1" applyAlignment="1">
      <alignment horizontal="center" vertical="center"/>
    </xf>
    <xf numFmtId="0" fontId="8" fillId="8" borderId="34" xfId="4" applyFont="1" applyFill="1" applyBorder="1" applyAlignment="1">
      <alignment horizontal="left" vertical="center" wrapText="1"/>
    </xf>
    <xf numFmtId="1" fontId="8" fillId="8" borderId="34" xfId="4" applyNumberFormat="1" applyFont="1" applyFill="1" applyBorder="1" applyAlignment="1">
      <alignment horizontal="center" vertical="center" wrapText="1"/>
    </xf>
    <xf numFmtId="0" fontId="8" fillId="8" borderId="34" xfId="4" applyFont="1" applyFill="1" applyBorder="1" applyAlignment="1">
      <alignment vertical="center" wrapText="1"/>
    </xf>
    <xf numFmtId="2" fontId="29" fillId="24" borderId="15" xfId="4" applyNumberFormat="1" applyFont="1" applyFill="1" applyBorder="1" applyAlignment="1">
      <alignment horizontal="center" vertical="center"/>
    </xf>
    <xf numFmtId="0" fontId="9" fillId="24" borderId="33" xfId="4" applyFont="1" applyFill="1" applyBorder="1" applyAlignment="1">
      <alignment horizontal="left" vertical="center" wrapText="1"/>
    </xf>
    <xf numFmtId="0" fontId="8" fillId="24" borderId="14" xfId="4" applyFont="1" applyFill="1" applyBorder="1" applyAlignment="1">
      <alignment horizontal="center" vertical="top" wrapText="1"/>
    </xf>
    <xf numFmtId="0" fontId="8" fillId="24" borderId="15" xfId="4" applyFont="1" applyFill="1" applyBorder="1" applyAlignment="1">
      <alignment horizontal="left" vertical="top" wrapText="1"/>
    </xf>
    <xf numFmtId="0" fontId="8" fillId="24" borderId="15" xfId="4" applyFont="1" applyFill="1" applyBorder="1" applyAlignment="1">
      <alignment horizontal="center" vertical="top" wrapText="1"/>
    </xf>
    <xf numFmtId="0" fontId="8" fillId="24" borderId="15" xfId="4" applyFont="1" applyFill="1" applyBorder="1" applyAlignment="1">
      <alignment vertical="center" wrapText="1"/>
    </xf>
    <xf numFmtId="0" fontId="29" fillId="24" borderId="15" xfId="4" quotePrefix="1" applyFont="1" applyFill="1" applyBorder="1" applyAlignment="1">
      <alignment vertical="center" wrapText="1"/>
    </xf>
    <xf numFmtId="0" fontId="8" fillId="24" borderId="48" xfId="4" quotePrefix="1" applyFont="1" applyFill="1" applyBorder="1" applyAlignment="1">
      <alignment vertical="center" wrapText="1"/>
    </xf>
    <xf numFmtId="0" fontId="9" fillId="24" borderId="2" xfId="4" applyFont="1" applyFill="1" applyBorder="1" applyAlignment="1">
      <alignment horizontal="left" vertical="center" wrapText="1"/>
    </xf>
    <xf numFmtId="9" fontId="8" fillId="24" borderId="15" xfId="4" applyNumberFormat="1" applyFont="1" applyFill="1" applyBorder="1" applyAlignment="1">
      <alignment horizontal="center" vertical="center" wrapText="1"/>
    </xf>
    <xf numFmtId="9" fontId="9" fillId="24" borderId="2" xfId="4" applyNumberFormat="1" applyFont="1" applyFill="1" applyBorder="1" applyAlignment="1">
      <alignment horizontal="left" vertical="center" wrapText="1"/>
    </xf>
    <xf numFmtId="0" fontId="9" fillId="24" borderId="16" xfId="4" applyFont="1" applyFill="1" applyBorder="1" applyAlignment="1">
      <alignment horizontal="left" vertical="center" wrapText="1"/>
    </xf>
    <xf numFmtId="0" fontId="8" fillId="24" borderId="15" xfId="4" applyFont="1" applyFill="1" applyBorder="1" applyAlignment="1">
      <alignment horizontal="center" vertical="center" wrapText="1"/>
    </xf>
    <xf numFmtId="0" fontId="8" fillId="24" borderId="15" xfId="4" applyFont="1" applyFill="1" applyBorder="1" applyAlignment="1">
      <alignment horizontal="left" vertical="center" wrapText="1"/>
    </xf>
    <xf numFmtId="0" fontId="29" fillId="24" borderId="15" xfId="4" quotePrefix="1" applyFont="1" applyFill="1" applyBorder="1" applyAlignment="1">
      <alignment horizontal="left" vertical="top" wrapText="1"/>
    </xf>
    <xf numFmtId="0" fontId="8" fillId="24" borderId="18" xfId="4" applyFont="1" applyFill="1" applyBorder="1" applyAlignment="1">
      <alignment vertical="center" wrapText="1"/>
    </xf>
    <xf numFmtId="0" fontId="8" fillId="24" borderId="15" xfId="5" applyFont="1" applyFill="1" applyBorder="1" applyAlignment="1">
      <alignment horizontal="left" vertical="top" wrapText="1"/>
    </xf>
    <xf numFmtId="0" fontId="9" fillId="24" borderId="15" xfId="5" applyFont="1" applyFill="1" applyBorder="1" applyAlignment="1">
      <alignment horizontal="left" vertical="top" wrapText="1"/>
    </xf>
    <xf numFmtId="0" fontId="20" fillId="0" borderId="1" xfId="4" applyAlignment="1">
      <alignment wrapText="1"/>
    </xf>
    <xf numFmtId="0" fontId="0" fillId="0" borderId="2" xfId="0" applyBorder="1" applyAlignment="1">
      <alignment wrapText="1"/>
    </xf>
    <xf numFmtId="0" fontId="2" fillId="2" borderId="1" xfId="0" applyFont="1" applyFill="1" applyAlignment="1">
      <alignment wrapText="1"/>
    </xf>
    <xf numFmtId="0" fontId="0" fillId="0" borderId="1" xfId="0"/>
    <xf numFmtId="0" fontId="24" fillId="0" borderId="20" xfId="1" applyFont="1" applyBorder="1" applyAlignment="1">
      <alignment vertical="center"/>
    </xf>
    <xf numFmtId="0" fontId="0" fillId="0" borderId="27" xfId="0" applyBorder="1"/>
    <xf numFmtId="0" fontId="0" fillId="0" borderId="29" xfId="0" applyBorder="1"/>
    <xf numFmtId="0" fontId="26" fillId="0" borderId="22" xfId="1" applyFont="1" applyBorder="1" applyAlignment="1">
      <alignment vertical="center" wrapText="1"/>
    </xf>
    <xf numFmtId="0" fontId="20" fillId="0" borderId="1" xfId="1" applyFont="1"/>
    <xf numFmtId="0" fontId="0" fillId="0" borderId="30" xfId="0" applyBorder="1"/>
    <xf numFmtId="0" fontId="1" fillId="0" borderId="20" xfId="1" applyFont="1" applyBorder="1" applyAlignment="1">
      <alignment vertical="center"/>
    </xf>
    <xf numFmtId="0" fontId="29" fillId="20" borderId="70" xfId="0" applyFont="1" applyFill="1" applyBorder="1" applyAlignment="1">
      <alignment horizontal="left" vertical="top" wrapText="1"/>
    </xf>
    <xf numFmtId="0" fontId="29" fillId="20" borderId="60" xfId="0" applyFont="1" applyFill="1" applyBorder="1" applyAlignment="1">
      <alignment horizontal="left" vertical="top" wrapText="1"/>
    </xf>
    <xf numFmtId="0" fontId="29" fillId="20" borderId="17" xfId="0" applyFont="1" applyFill="1" applyBorder="1" applyAlignment="1">
      <alignment horizontal="center" vertical="center" wrapText="1"/>
    </xf>
    <xf numFmtId="0" fontId="29" fillId="20" borderId="3" xfId="0" applyFont="1" applyFill="1" applyBorder="1" applyAlignment="1">
      <alignment horizontal="center" vertical="center" wrapText="1"/>
    </xf>
    <xf numFmtId="0" fontId="29" fillId="20" borderId="17" xfId="0" applyFont="1" applyFill="1" applyBorder="1" applyAlignment="1">
      <alignment horizontal="left" vertical="center" wrapText="1"/>
    </xf>
    <xf numFmtId="0" fontId="29" fillId="20" borderId="3" xfId="0" applyFont="1" applyFill="1" applyBorder="1" applyAlignment="1">
      <alignment horizontal="left" vertical="center" wrapText="1"/>
    </xf>
    <xf numFmtId="0" fontId="8" fillId="20" borderId="17" xfId="0" applyFont="1" applyFill="1" applyBorder="1" applyAlignment="1">
      <alignment horizontal="left" vertical="center" wrapText="1"/>
    </xf>
    <xf numFmtId="0" fontId="8" fillId="20" borderId="3" xfId="0" applyFont="1" applyFill="1" applyBorder="1" applyAlignment="1">
      <alignment horizontal="left" vertical="center" wrapText="1"/>
    </xf>
    <xf numFmtId="0" fontId="8" fillId="20" borderId="17" xfId="0" applyFont="1" applyFill="1" applyBorder="1" applyAlignment="1">
      <alignment horizontal="left" vertical="top" wrapText="1"/>
    </xf>
    <xf numFmtId="0" fontId="8" fillId="20" borderId="3" xfId="0" applyFont="1" applyFill="1" applyBorder="1" applyAlignment="1">
      <alignment horizontal="left" vertical="top" wrapText="1"/>
    </xf>
    <xf numFmtId="0" fontId="8" fillId="20" borderId="18" xfId="0" applyFont="1" applyFill="1" applyBorder="1" applyAlignment="1">
      <alignment horizontal="left" vertical="top" wrapText="1"/>
    </xf>
    <xf numFmtId="0" fontId="9" fillId="20" borderId="17" xfId="0" applyFont="1" applyFill="1" applyBorder="1" applyAlignment="1">
      <alignment horizontal="left" vertical="top" wrapText="1"/>
    </xf>
    <xf numFmtId="0" fontId="9" fillId="20" borderId="18" xfId="0" applyFont="1" applyFill="1" applyBorder="1" applyAlignment="1">
      <alignment horizontal="left" vertical="top" wrapText="1"/>
    </xf>
    <xf numFmtId="0" fontId="9" fillId="20" borderId="3" xfId="0" applyFont="1" applyFill="1" applyBorder="1" applyAlignment="1">
      <alignment horizontal="left" vertical="top" wrapText="1"/>
    </xf>
    <xf numFmtId="0" fontId="29" fillId="20" borderId="17" xfId="0" applyFont="1" applyFill="1" applyBorder="1" applyAlignment="1">
      <alignment horizontal="left" vertical="top" wrapText="1"/>
    </xf>
    <xf numFmtId="0" fontId="29" fillId="20" borderId="18" xfId="0" applyFont="1" applyFill="1" applyBorder="1" applyAlignment="1">
      <alignment horizontal="left" vertical="top" wrapText="1"/>
    </xf>
    <xf numFmtId="0" fontId="29" fillId="20" borderId="3" xfId="0" applyFont="1" applyFill="1" applyBorder="1" applyAlignment="1">
      <alignment horizontal="left" vertical="top" wrapText="1"/>
    </xf>
    <xf numFmtId="0" fontId="29" fillId="20" borderId="18" xfId="0" applyFont="1" applyFill="1" applyBorder="1" applyAlignment="1">
      <alignment horizontal="center" vertical="center" wrapText="1"/>
    </xf>
    <xf numFmtId="0" fontId="29" fillId="20" borderId="18" xfId="0" applyFont="1" applyFill="1" applyBorder="1" applyAlignment="1">
      <alignment horizontal="left" vertical="center" wrapText="1"/>
    </xf>
    <xf numFmtId="0" fontId="8" fillId="20" borderId="18" xfId="0" applyFont="1" applyFill="1" applyBorder="1" applyAlignment="1">
      <alignment horizontal="left" vertical="center" wrapText="1"/>
    </xf>
    <xf numFmtId="0" fontId="29" fillId="19" borderId="57" xfId="0" applyFont="1" applyFill="1" applyBorder="1" applyAlignment="1">
      <alignment horizontal="center" wrapText="1"/>
    </xf>
    <xf numFmtId="0" fontId="3" fillId="0" borderId="57" xfId="0" applyFont="1" applyBorder="1"/>
    <xf numFmtId="0" fontId="3" fillId="0" borderId="58" xfId="0" applyFont="1" applyBorder="1"/>
    <xf numFmtId="0" fontId="29" fillId="20" borderId="69" xfId="0" applyFont="1" applyFill="1" applyBorder="1" applyAlignment="1">
      <alignment horizontal="center" vertical="center" wrapText="1"/>
    </xf>
    <xf numFmtId="0" fontId="8" fillId="20" borderId="69" xfId="0" applyFont="1" applyFill="1" applyBorder="1" applyAlignment="1">
      <alignment horizontal="left" vertical="center" wrapText="1"/>
    </xf>
    <xf numFmtId="0" fontId="1" fillId="0" borderId="62" xfId="0" applyFont="1" applyBorder="1" applyAlignment="1">
      <alignment horizontal="left" vertical="center" wrapText="1"/>
    </xf>
    <xf numFmtId="0" fontId="0" fillId="0" borderId="4" xfId="0" applyBorder="1"/>
    <xf numFmtId="0" fontId="1" fillId="0" borderId="63" xfId="0" applyFont="1" applyBorder="1" applyAlignment="1">
      <alignment horizontal="left" vertical="center" wrapText="1"/>
    </xf>
    <xf numFmtId="0" fontId="0" fillId="0" borderId="5" xfId="0" applyBorder="1"/>
    <xf numFmtId="0" fontId="0" fillId="0" borderId="6" xfId="0" applyBorder="1"/>
    <xf numFmtId="0" fontId="10" fillId="4" borderId="7" xfId="0" applyFont="1" applyFill="1" applyBorder="1" applyAlignment="1">
      <alignment horizontal="left" vertical="center"/>
    </xf>
    <xf numFmtId="0" fontId="0" fillId="0" borderId="8" xfId="0" applyBorder="1"/>
    <xf numFmtId="0" fontId="34" fillId="12" borderId="41" xfId="3" applyFont="1" applyFill="1" applyBorder="1" applyAlignment="1">
      <alignment vertical="center"/>
    </xf>
    <xf numFmtId="0" fontId="0" fillId="0" borderId="43" xfId="0" applyBorder="1"/>
    <xf numFmtId="0" fontId="29" fillId="17" borderId="2" xfId="3" applyFont="1" applyFill="1" applyBorder="1" applyAlignment="1">
      <alignment horizontal="left" vertical="top" wrapText="1"/>
    </xf>
    <xf numFmtId="0" fontId="0" fillId="0" borderId="3" xfId="0" applyBorder="1"/>
    <xf numFmtId="0" fontId="29" fillId="17" borderId="33" xfId="3" applyFont="1" applyFill="1" applyBorder="1" applyAlignment="1">
      <alignment horizontal="left" vertical="top"/>
    </xf>
    <xf numFmtId="0" fontId="0" fillId="0" borderId="44" xfId="0" applyBorder="1"/>
    <xf numFmtId="0" fontId="29" fillId="8" borderId="2" xfId="3" quotePrefix="1" applyFont="1" applyFill="1" applyBorder="1" applyAlignment="1">
      <alignment vertical="top" wrapText="1"/>
    </xf>
    <xf numFmtId="2" fontId="29" fillId="17" borderId="65" xfId="3" applyNumberFormat="1" applyFont="1" applyFill="1" applyBorder="1" applyAlignment="1">
      <alignment horizontal="left" vertical="top"/>
    </xf>
    <xf numFmtId="0" fontId="0" fillId="0" borderId="52" xfId="0" applyBorder="1"/>
    <xf numFmtId="0" fontId="35" fillId="17" borderId="14" xfId="3" applyFont="1" applyFill="1" applyBorder="1" applyAlignment="1">
      <alignment horizontal="left" vertical="top" wrapText="1"/>
    </xf>
    <xf numFmtId="0" fontId="0" fillId="0" borderId="51" xfId="0" applyBorder="1"/>
    <xf numFmtId="0" fontId="0" fillId="0" borderId="35" xfId="0" applyBorder="1"/>
    <xf numFmtId="0" fontId="34" fillId="7" borderId="2" xfId="3" applyFont="1" applyFill="1" applyBorder="1" applyAlignment="1">
      <alignment horizontal="center" vertical="center" wrapText="1"/>
    </xf>
    <xf numFmtId="0" fontId="0" fillId="0" borderId="18" xfId="0" applyBorder="1"/>
    <xf numFmtId="0" fontId="34" fillId="7" borderId="33" xfId="3" applyFont="1" applyFill="1" applyBorder="1" applyAlignment="1">
      <alignment vertical="center" wrapText="1"/>
    </xf>
    <xf numFmtId="0" fontId="0" fillId="0" borderId="19" xfId="0" applyBorder="1"/>
    <xf numFmtId="0" fontId="29" fillId="9" borderId="44" xfId="3" applyFont="1" applyFill="1" applyBorder="1" applyAlignment="1">
      <alignment vertical="center" wrapText="1"/>
    </xf>
    <xf numFmtId="0" fontId="29" fillId="9" borderId="44" xfId="3" applyFont="1" applyFill="1" applyBorder="1" applyAlignment="1">
      <alignment vertical="center"/>
    </xf>
    <xf numFmtId="0" fontId="30" fillId="17" borderId="14" xfId="3" applyFont="1" applyFill="1" applyBorder="1" applyAlignment="1">
      <alignment horizontal="left" vertical="top" wrapText="1"/>
    </xf>
    <xf numFmtId="0" fontId="30" fillId="17" borderId="18" xfId="3" applyFont="1" applyFill="1" applyBorder="1" applyAlignment="1">
      <alignment horizontal="left" vertical="top" wrapText="1"/>
    </xf>
    <xf numFmtId="0" fontId="29" fillId="8" borderId="2" xfId="3" applyFont="1" applyFill="1" applyBorder="1" applyAlignment="1">
      <alignment vertical="top" wrapText="1"/>
    </xf>
    <xf numFmtId="0" fontId="29" fillId="17" borderId="2" xfId="3" applyFont="1" applyFill="1" applyBorder="1" applyAlignment="1">
      <alignment horizontal="left" wrapText="1"/>
    </xf>
    <xf numFmtId="0" fontId="29" fillId="7" borderId="2" xfId="3" applyFont="1" applyFill="1" applyBorder="1" applyAlignment="1">
      <alignment horizontal="center" vertical="center" wrapText="1"/>
    </xf>
    <xf numFmtId="0" fontId="30" fillId="17" borderId="17" xfId="3" applyFont="1" applyFill="1" applyBorder="1" applyAlignment="1">
      <alignment horizontal="left" vertical="top" wrapText="1"/>
    </xf>
    <xf numFmtId="0" fontId="29" fillId="8" borderId="14" xfId="3" applyFont="1" applyFill="1" applyBorder="1" applyAlignment="1">
      <alignment horizontal="center" vertical="center" wrapText="1"/>
    </xf>
    <xf numFmtId="0" fontId="29" fillId="7" borderId="14" xfId="3" applyFont="1" applyFill="1" applyBorder="1" applyAlignment="1">
      <alignment horizontal="left" vertical="center" wrapText="1"/>
    </xf>
    <xf numFmtId="0" fontId="34" fillId="7" borderId="14" xfId="3" applyFont="1" applyFill="1" applyBorder="1" applyAlignment="1">
      <alignment vertical="center" wrapText="1"/>
    </xf>
    <xf numFmtId="0" fontId="30" fillId="17" borderId="2" xfId="3" applyFont="1" applyFill="1" applyBorder="1" applyAlignment="1">
      <alignment horizontal="left" vertical="top" wrapText="1"/>
    </xf>
    <xf numFmtId="0" fontId="3" fillId="9" borderId="2" xfId="3" applyFont="1" applyFill="1" applyBorder="1" applyAlignment="1">
      <alignment vertical="center" wrapText="1"/>
    </xf>
    <xf numFmtId="0" fontId="29" fillId="8" borderId="14" xfId="3" applyFont="1" applyFill="1" applyBorder="1" applyAlignment="1">
      <alignment horizontal="center" vertical="center"/>
    </xf>
    <xf numFmtId="0" fontId="29" fillId="8" borderId="34" xfId="3" applyFont="1" applyFill="1" applyBorder="1" applyAlignment="1">
      <alignment horizontal="left" vertical="center" wrapText="1"/>
    </xf>
    <xf numFmtId="0" fontId="0" fillId="0" borderId="34" xfId="0" applyBorder="1"/>
    <xf numFmtId="0" fontId="3" fillId="9" borderId="33" xfId="3" applyFont="1" applyFill="1" applyBorder="1" applyAlignment="1">
      <alignment vertical="center" wrapText="1"/>
    </xf>
    <xf numFmtId="0" fontId="29" fillId="8" borderId="14" xfId="3" applyFont="1" applyFill="1" applyBorder="1" applyAlignment="1">
      <alignment horizontal="left" vertical="center" wrapText="1"/>
    </xf>
    <xf numFmtId="0" fontId="30" fillId="17" borderId="3" xfId="3" applyFont="1" applyFill="1" applyBorder="1" applyAlignment="1">
      <alignment horizontal="left" vertical="top" wrapText="1"/>
    </xf>
    <xf numFmtId="0" fontId="35" fillId="17" borderId="2" xfId="3" applyFont="1" applyFill="1" applyBorder="1" applyAlignment="1">
      <alignment horizontal="left" vertical="top" wrapText="1"/>
    </xf>
    <xf numFmtId="0" fontId="35" fillId="17" borderId="64" xfId="3" applyFont="1" applyFill="1" applyBorder="1" applyAlignment="1">
      <alignment horizontal="left" vertical="top" wrapText="1"/>
    </xf>
    <xf numFmtId="0" fontId="29" fillId="8" borderId="14" xfId="3" applyFont="1" applyFill="1" applyBorder="1" applyAlignment="1">
      <alignment horizontal="left" vertical="top" wrapText="1"/>
    </xf>
    <xf numFmtId="0" fontId="29" fillId="8" borderId="2" xfId="3" applyFont="1" applyFill="1" applyBorder="1" applyAlignment="1">
      <alignment horizontal="left" vertical="top" wrapText="1"/>
    </xf>
    <xf numFmtId="0" fontId="29" fillId="8" borderId="2" xfId="3" applyFont="1" applyFill="1" applyBorder="1" applyAlignment="1">
      <alignment horizontal="left" vertical="center" wrapText="1"/>
    </xf>
    <xf numFmtId="0" fontId="29" fillId="17" borderId="16" xfId="3" applyFont="1" applyFill="1" applyBorder="1" applyAlignment="1">
      <alignment horizontal="left" vertical="top" wrapText="1"/>
    </xf>
    <xf numFmtId="0" fontId="0" fillId="0" borderId="15" xfId="0" applyBorder="1"/>
    <xf numFmtId="0" fontId="29" fillId="17" borderId="2" xfId="3" applyFont="1" applyFill="1" applyBorder="1" applyAlignment="1">
      <alignment vertical="top" wrapText="1"/>
    </xf>
    <xf numFmtId="0" fontId="29" fillId="9" borderId="33" xfId="3" applyFont="1" applyFill="1" applyBorder="1" applyAlignment="1">
      <alignment horizontal="left" vertical="center" wrapText="1"/>
    </xf>
    <xf numFmtId="0" fontId="3" fillId="9" borderId="2" xfId="3" applyFont="1" applyFill="1" applyBorder="1" applyAlignment="1">
      <alignment horizontal="center" vertical="center" wrapText="1"/>
    </xf>
    <xf numFmtId="0" fontId="34" fillId="7" borderId="17" xfId="3" applyFont="1" applyFill="1" applyBorder="1" applyAlignment="1">
      <alignment horizontal="center" vertical="center" wrapText="1"/>
    </xf>
    <xf numFmtId="0" fontId="34" fillId="9" borderId="3" xfId="3" applyFont="1" applyFill="1" applyBorder="1" applyAlignment="1">
      <alignment vertical="center" wrapText="1"/>
    </xf>
    <xf numFmtId="0" fontId="34" fillId="7" borderId="33" xfId="3" applyFont="1" applyFill="1" applyBorder="1" applyAlignment="1">
      <alignment vertical="center"/>
    </xf>
    <xf numFmtId="0" fontId="29" fillId="9" borderId="2" xfId="3" applyFont="1" applyFill="1" applyBorder="1" applyAlignment="1">
      <alignment horizontal="left" vertical="top" wrapText="1"/>
    </xf>
    <xf numFmtId="0" fontId="29" fillId="7" borderId="2" xfId="3" applyFont="1" applyFill="1" applyBorder="1" applyAlignment="1">
      <alignment horizontal="left" vertical="top" wrapText="1"/>
    </xf>
    <xf numFmtId="0" fontId="34" fillId="7" borderId="42" xfId="3" applyFont="1" applyFill="1" applyBorder="1" applyAlignment="1">
      <alignment vertical="center"/>
    </xf>
    <xf numFmtId="0" fontId="35" fillId="9" borderId="2" xfId="3" applyFont="1" applyFill="1" applyBorder="1" applyAlignment="1">
      <alignment vertical="center" wrapText="1"/>
    </xf>
    <xf numFmtId="0" fontId="3" fillId="9" borderId="17" xfId="3" applyFont="1" applyFill="1" applyBorder="1" applyAlignment="1">
      <alignment horizontal="center" vertical="center"/>
    </xf>
    <xf numFmtId="0" fontId="29" fillId="7" borderId="14" xfId="3" applyFont="1" applyFill="1" applyBorder="1" applyAlignment="1">
      <alignment horizontal="center" vertical="center"/>
    </xf>
    <xf numFmtId="0" fontId="30" fillId="16" borderId="53" xfId="3" applyFont="1" applyFill="1" applyBorder="1" applyAlignment="1">
      <alignment horizontal="left" vertical="top" wrapText="1"/>
    </xf>
    <xf numFmtId="0" fontId="0" fillId="0" borderId="53" xfId="0" applyBorder="1"/>
    <xf numFmtId="0" fontId="29" fillId="8" borderId="16" xfId="3" applyFont="1" applyFill="1" applyBorder="1" applyAlignment="1">
      <alignment horizontal="left" vertical="top" wrapText="1"/>
    </xf>
    <xf numFmtId="0" fontId="16" fillId="9" borderId="2" xfId="3" applyFont="1" applyFill="1" applyBorder="1" applyAlignment="1">
      <alignment vertical="center" wrapText="1"/>
    </xf>
    <xf numFmtId="0" fontId="16" fillId="8" borderId="2" xfId="3" applyFont="1" applyFill="1" applyBorder="1" applyAlignment="1">
      <alignment horizontal="left" vertical="center" wrapText="1"/>
    </xf>
    <xf numFmtId="0" fontId="34" fillId="27" borderId="45" xfId="3" applyFont="1" applyFill="1" applyBorder="1" applyAlignment="1">
      <alignment horizontal="center" vertical="center" wrapText="1"/>
    </xf>
    <xf numFmtId="0" fontId="0" fillId="0" borderId="45" xfId="0" applyBorder="1"/>
    <xf numFmtId="0" fontId="3" fillId="9" borderId="42" xfId="3" applyFont="1" applyFill="1" applyBorder="1" applyAlignment="1">
      <alignment vertical="center" wrapText="1"/>
    </xf>
    <xf numFmtId="0" fontId="34" fillId="9" borderId="2" xfId="3" applyFont="1" applyFill="1" applyBorder="1" applyAlignment="1">
      <alignment vertical="center" wrapText="1"/>
    </xf>
    <xf numFmtId="0" fontId="29" fillId="8" borderId="16" xfId="3" applyFont="1" applyFill="1" applyBorder="1" applyAlignment="1">
      <alignment horizontal="left" vertical="center" wrapText="1"/>
    </xf>
    <xf numFmtId="0" fontId="29" fillId="8" borderId="15" xfId="3" applyFont="1" applyFill="1" applyBorder="1" applyAlignment="1">
      <alignment horizontal="left" vertical="center" wrapText="1"/>
    </xf>
    <xf numFmtId="0" fontId="29" fillId="9" borderId="3" xfId="3" applyFont="1" applyFill="1" applyBorder="1" applyAlignment="1">
      <alignment horizontal="center" vertical="center" wrapText="1"/>
    </xf>
    <xf numFmtId="0" fontId="29" fillId="7" borderId="17" xfId="3" applyFont="1" applyFill="1" applyBorder="1" applyAlignment="1">
      <alignment horizontal="center" vertical="center" wrapText="1"/>
    </xf>
    <xf numFmtId="0" fontId="29" fillId="9" borderId="2" xfId="3" applyFont="1" applyFill="1" applyBorder="1" applyAlignment="1">
      <alignment vertical="center" wrapText="1"/>
    </xf>
    <xf numFmtId="0" fontId="29" fillId="7" borderId="2" xfId="3" applyFont="1" applyFill="1" applyBorder="1" applyAlignment="1">
      <alignment horizontal="left" vertical="center" wrapText="1"/>
    </xf>
    <xf numFmtId="0" fontId="30" fillId="17" borderId="14" xfId="3" applyFont="1" applyFill="1" applyBorder="1" applyAlignment="1">
      <alignment horizontal="center" vertical="center" wrapText="1"/>
    </xf>
    <xf numFmtId="0" fontId="29" fillId="8" borderId="2" xfId="3" applyFont="1" applyFill="1" applyBorder="1" applyAlignment="1">
      <alignment horizontal="center" vertical="center" wrapText="1"/>
    </xf>
    <xf numFmtId="0" fontId="16" fillId="8" borderId="2" xfId="3" applyFont="1" applyFill="1" applyBorder="1" applyAlignment="1">
      <alignment horizontal="left" vertical="top" wrapText="1"/>
    </xf>
    <xf numFmtId="0" fontId="34" fillId="7" borderId="2" xfId="3" applyFont="1" applyFill="1" applyBorder="1" applyAlignment="1">
      <alignment vertical="center"/>
    </xf>
    <xf numFmtId="0" fontId="29" fillId="7" borderId="16" xfId="3" applyFont="1" applyFill="1" applyBorder="1" applyAlignment="1">
      <alignment horizontal="left" vertical="center" wrapText="1"/>
    </xf>
    <xf numFmtId="0" fontId="34" fillId="7" borderId="2" xfId="3" applyFont="1" applyFill="1" applyBorder="1" applyAlignment="1">
      <alignment vertical="center" wrapText="1"/>
    </xf>
    <xf numFmtId="0" fontId="30" fillId="16" borderId="43" xfId="3" applyFont="1" applyFill="1" applyBorder="1" applyAlignment="1">
      <alignment vertical="center" wrapText="1"/>
    </xf>
    <xf numFmtId="0" fontId="30" fillId="17" borderId="66" xfId="3" applyFont="1" applyFill="1" applyBorder="1" applyAlignment="1">
      <alignment horizontal="center" vertical="center" wrapText="1"/>
    </xf>
    <xf numFmtId="0" fontId="34" fillId="12" borderId="43" xfId="3" applyFont="1" applyFill="1" applyBorder="1" applyAlignment="1">
      <alignment vertical="center"/>
    </xf>
    <xf numFmtId="0" fontId="29" fillId="17" borderId="2" xfId="3" applyFont="1" applyFill="1" applyBorder="1" applyAlignment="1">
      <alignment horizontal="left" vertical="center" wrapText="1"/>
    </xf>
    <xf numFmtId="0" fontId="1" fillId="9" borderId="2" xfId="3" applyFont="1" applyFill="1" applyBorder="1" applyAlignment="1">
      <alignment vertical="center" wrapText="1"/>
    </xf>
    <xf numFmtId="0" fontId="30" fillId="17" borderId="18" xfId="3" applyFont="1" applyFill="1" applyBorder="1" applyAlignment="1">
      <alignment horizontal="center" vertical="center" wrapText="1"/>
    </xf>
    <xf numFmtId="0" fontId="29" fillId="17" borderId="2" xfId="3" applyFont="1" applyFill="1" applyBorder="1" applyAlignment="1">
      <alignment horizontal="center"/>
    </xf>
    <xf numFmtId="0" fontId="29" fillId="8" borderId="32" xfId="3" applyFont="1" applyFill="1" applyBorder="1" applyAlignment="1">
      <alignment horizontal="left" vertical="center" wrapText="1"/>
    </xf>
    <xf numFmtId="0" fontId="3" fillId="9" borderId="17" xfId="3" applyFont="1" applyFill="1" applyBorder="1" applyAlignment="1">
      <alignment horizontal="center" vertical="center" wrapText="1"/>
    </xf>
    <xf numFmtId="0" fontId="35" fillId="9" borderId="17" xfId="3" applyFont="1" applyFill="1" applyBorder="1" applyAlignment="1">
      <alignment vertical="center" wrapText="1"/>
    </xf>
    <xf numFmtId="0" fontId="29" fillId="7" borderId="33" xfId="3" applyFont="1" applyFill="1" applyBorder="1" applyAlignment="1">
      <alignment horizontal="left" vertical="center" wrapText="1"/>
    </xf>
    <xf numFmtId="0" fontId="29" fillId="7" borderId="2" xfId="3" applyFont="1" applyFill="1" applyBorder="1" applyAlignment="1">
      <alignment horizontal="center" vertical="center"/>
    </xf>
    <xf numFmtId="0" fontId="16" fillId="7" borderId="2" xfId="3" applyFont="1" applyFill="1" applyBorder="1" applyAlignment="1">
      <alignment horizontal="left" vertical="center" wrapText="1"/>
    </xf>
    <xf numFmtId="0" fontId="29" fillId="17" borderId="2" xfId="3" applyFont="1" applyFill="1" applyBorder="1" applyAlignment="1">
      <alignment horizontal="center" vertical="center"/>
    </xf>
    <xf numFmtId="0" fontId="16" fillId="7" borderId="2" xfId="3" applyFont="1" applyFill="1" applyBorder="1" applyAlignment="1">
      <alignment horizontal="left" vertical="top" wrapText="1"/>
    </xf>
    <xf numFmtId="0" fontId="29" fillId="20" borderId="2" xfId="3" applyFont="1" applyFill="1" applyBorder="1" applyAlignment="1">
      <alignment horizontal="center" vertical="center" wrapText="1"/>
    </xf>
    <xf numFmtId="0" fontId="8" fillId="20" borderId="2" xfId="3" applyFont="1" applyFill="1" applyBorder="1" applyAlignment="1">
      <alignment horizontal="left" vertical="center" wrapText="1"/>
    </xf>
    <xf numFmtId="0" fontId="8" fillId="20" borderId="2" xfId="3" applyFont="1" applyFill="1" applyBorder="1" applyAlignment="1">
      <alignment horizontal="left" vertical="top" wrapText="1"/>
    </xf>
    <xf numFmtId="0" fontId="9" fillId="20" borderId="2" xfId="3" applyFont="1" applyFill="1" applyBorder="1" applyAlignment="1">
      <alignment horizontal="left" vertical="top" wrapText="1"/>
    </xf>
    <xf numFmtId="0" fontId="29" fillId="20" borderId="2" xfId="3" applyFont="1" applyFill="1" applyBorder="1" applyAlignment="1">
      <alignment horizontal="left" vertical="center" wrapText="1"/>
    </xf>
    <xf numFmtId="0" fontId="29" fillId="19" borderId="58" xfId="3" applyFont="1" applyFill="1" applyBorder="1" applyAlignment="1">
      <alignment horizontal="center" wrapText="1"/>
    </xf>
    <xf numFmtId="0" fontId="0" fillId="0" borderId="57" xfId="0" applyBorder="1"/>
    <xf numFmtId="0" fontId="0" fillId="0" borderId="58" xfId="0" applyBorder="1"/>
    <xf numFmtId="0" fontId="29" fillId="20" borderId="67" xfId="3" applyFont="1" applyFill="1" applyBorder="1" applyAlignment="1">
      <alignment horizontal="center" vertical="center" wrapText="1"/>
    </xf>
    <xf numFmtId="0" fontId="8" fillId="20" borderId="67" xfId="3" applyFont="1" applyFill="1" applyBorder="1" applyAlignment="1">
      <alignment horizontal="left" vertical="center" wrapText="1"/>
    </xf>
    <xf numFmtId="0" fontId="29" fillId="20" borderId="2" xfId="3" applyFont="1" applyFill="1" applyBorder="1" applyAlignment="1">
      <alignment horizontal="left" vertical="top" wrapText="1"/>
    </xf>
    <xf numFmtId="0" fontId="29" fillId="20" borderId="68" xfId="3" applyFont="1" applyFill="1" applyBorder="1" applyAlignment="1">
      <alignment horizontal="left" vertical="top" wrapText="1"/>
    </xf>
    <xf numFmtId="0" fontId="0" fillId="0" borderId="60" xfId="0" applyBorder="1"/>
    <xf numFmtId="0" fontId="46" fillId="24" borderId="18" xfId="4" applyFont="1" applyFill="1" applyBorder="1" applyAlignment="1">
      <alignment horizontal="center" vertical="center" wrapText="1"/>
    </xf>
    <xf numFmtId="0" fontId="8" fillId="24" borderId="18" xfId="4" applyFont="1" applyFill="1" applyBorder="1" applyAlignment="1">
      <alignment horizontal="center" vertical="center" wrapText="1"/>
    </xf>
    <xf numFmtId="0" fontId="8" fillId="24" borderId="3" xfId="4" applyFont="1" applyFill="1" applyBorder="1" applyAlignment="1">
      <alignment horizontal="center" vertical="center" wrapText="1"/>
    </xf>
    <xf numFmtId="0" fontId="8" fillId="24" borderId="17" xfId="4" applyFont="1" applyFill="1" applyBorder="1" applyAlignment="1">
      <alignment horizontal="center" vertical="center" wrapText="1"/>
    </xf>
    <xf numFmtId="0" fontId="8" fillId="24" borderId="19" xfId="4" applyFont="1" applyFill="1" applyBorder="1" applyAlignment="1">
      <alignment horizontal="center" vertical="center" wrapText="1"/>
    </xf>
    <xf numFmtId="0" fontId="8" fillId="24" borderId="44" xfId="4" applyFont="1" applyFill="1" applyBorder="1" applyAlignment="1">
      <alignment horizontal="center" vertical="center" wrapText="1"/>
    </xf>
    <xf numFmtId="0" fontId="8" fillId="24" borderId="14" xfId="4" applyFont="1" applyFill="1" applyBorder="1" applyAlignment="1">
      <alignment horizontal="center" vertical="center" wrapText="1"/>
    </xf>
    <xf numFmtId="0" fontId="8" fillId="24" borderId="71" xfId="4" applyFont="1" applyFill="1" applyBorder="1" applyAlignment="1">
      <alignment horizontal="center" vertical="center" wrapText="1"/>
    </xf>
    <xf numFmtId="0" fontId="8" fillId="24" borderId="42" xfId="4" applyFont="1" applyFill="1" applyBorder="1" applyAlignment="1">
      <alignment horizontal="center" vertical="center" wrapText="1"/>
    </xf>
    <xf numFmtId="0" fontId="8" fillId="24" borderId="21" xfId="4" applyFont="1" applyFill="1" applyBorder="1" applyAlignment="1">
      <alignment horizontal="center" vertical="center" wrapText="1"/>
    </xf>
    <xf numFmtId="0" fontId="8" fillId="24" borderId="35" xfId="4" applyFont="1" applyFill="1" applyBorder="1" applyAlignment="1">
      <alignment horizontal="center" vertical="center" wrapText="1"/>
    </xf>
    <xf numFmtId="0" fontId="30" fillId="0" borderId="57" xfId="4" applyFont="1" applyBorder="1" applyAlignment="1">
      <alignment horizontal="left" wrapText="1"/>
    </xf>
    <xf numFmtId="0" fontId="3" fillId="0" borderId="57" xfId="4" applyFont="1" applyBorder="1"/>
    <xf numFmtId="0" fontId="3" fillId="0" borderId="58" xfId="4" applyFont="1" applyBorder="1"/>
    <xf numFmtId="0" fontId="8" fillId="20" borderId="69" xfId="4" applyFont="1" applyFill="1" applyBorder="1" applyAlignment="1">
      <alignment horizontal="center" vertical="center" wrapText="1"/>
    </xf>
    <xf numFmtId="0" fontId="8" fillId="20" borderId="18" xfId="4" applyFont="1" applyFill="1" applyBorder="1" applyAlignment="1">
      <alignment horizontal="center" vertical="center" wrapText="1"/>
    </xf>
    <xf numFmtId="0" fontId="8" fillId="20" borderId="3" xfId="4" applyFont="1" applyFill="1" applyBorder="1" applyAlignment="1">
      <alignment horizontal="center" vertical="center" wrapText="1"/>
    </xf>
    <xf numFmtId="0" fontId="34" fillId="27" borderId="45" xfId="4" applyFont="1" applyFill="1" applyBorder="1" applyAlignment="1">
      <alignment horizontal="center" vertical="center" wrapText="1"/>
    </xf>
    <xf numFmtId="0" fontId="3" fillId="0" borderId="45" xfId="4" applyFont="1" applyBorder="1"/>
    <xf numFmtId="0" fontId="8" fillId="8" borderId="17" xfId="4" applyFont="1" applyFill="1" applyBorder="1" applyAlignment="1">
      <alignment horizontal="center" vertical="center" wrapText="1"/>
    </xf>
    <xf numFmtId="0" fontId="8" fillId="8" borderId="3" xfId="4" applyFont="1" applyFill="1" applyBorder="1" applyAlignment="1">
      <alignment horizontal="center" vertical="center" wrapText="1"/>
    </xf>
    <xf numFmtId="0" fontId="8" fillId="8" borderId="17" xfId="4" applyFont="1" applyFill="1" applyBorder="1" applyAlignment="1">
      <alignment horizontal="left" vertical="center" wrapText="1"/>
    </xf>
    <xf numFmtId="0" fontId="8" fillId="8" borderId="3" xfId="4" applyFont="1" applyFill="1" applyBorder="1" applyAlignment="1">
      <alignment horizontal="left" vertical="center" wrapText="1"/>
    </xf>
    <xf numFmtId="0" fontId="4" fillId="35" borderId="1" xfId="0" applyFont="1" applyFill="1"/>
    <xf numFmtId="0" fontId="0" fillId="32" borderId="1" xfId="0" applyFill="1"/>
    <xf numFmtId="0" fontId="0" fillId="32" borderId="14" xfId="0" applyFill="1" applyBorder="1"/>
    <xf numFmtId="0" fontId="0" fillId="32" borderId="20" xfId="0" applyFill="1" applyBorder="1" applyAlignment="1">
      <alignment wrapText="1"/>
    </xf>
    <xf numFmtId="0" fontId="0" fillId="32" borderId="24" xfId="0" applyFill="1" applyBorder="1" applyAlignment="1">
      <alignment wrapText="1"/>
    </xf>
    <xf numFmtId="0" fontId="0" fillId="32" borderId="33" xfId="0" applyFill="1" applyBorder="1" applyAlignment="1">
      <alignment wrapText="1"/>
    </xf>
    <xf numFmtId="0" fontId="0" fillId="32" borderId="29" xfId="0" applyFill="1" applyBorder="1" applyAlignment="1">
      <alignment wrapText="1"/>
    </xf>
    <xf numFmtId="0" fontId="20" fillId="32" borderId="20" xfId="0" applyFont="1" applyFill="1" applyBorder="1" applyAlignment="1">
      <alignment vertical="top"/>
    </xf>
    <xf numFmtId="0" fontId="20" fillId="32" borderId="20" xfId="0" applyFont="1" applyFill="1" applyBorder="1" applyAlignment="1">
      <alignment vertical="top" wrapText="1"/>
    </xf>
    <xf numFmtId="0" fontId="0" fillId="32" borderId="20" xfId="0" applyFill="1" applyBorder="1"/>
    <xf numFmtId="0" fontId="43" fillId="32" borderId="20" xfId="0" applyFont="1" applyFill="1" applyBorder="1" applyAlignment="1">
      <alignment vertical="top"/>
    </xf>
    <xf numFmtId="0" fontId="0" fillId="32" borderId="0" xfId="0" applyFill="1" applyBorder="1"/>
  </cellXfs>
  <cellStyles count="6">
    <cellStyle name="Normal" xfId="0" builtinId="0"/>
    <cellStyle name="Normal 2" xfId="1" xr:uid="{00000000-0005-0000-0000-000001000000}"/>
    <cellStyle name="Normal 2 2" xfId="5" xr:uid="{3CE581C8-648D-4E24-B122-7913F745976C}"/>
    <cellStyle name="Normal 3" xfId="2" xr:uid="{00000000-0005-0000-0000-000002000000}"/>
    <cellStyle name="Normal 4" xfId="3" xr:uid="{00000000-0005-0000-0000-000003000000}"/>
    <cellStyle name="Normal 5" xfId="4" xr:uid="{8715453C-2171-424E-A510-0ED6D2E31F1D}"/>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B3CEFA"/>
          <bgColor rgb="FFB3CEFA"/>
        </patternFill>
      </fill>
    </dxf>
    <dxf>
      <fill>
        <patternFill patternType="solid">
          <fgColor rgb="FFD9E6FC"/>
          <bgColor rgb="FFD9E6FC"/>
        </patternFill>
      </fill>
    </dxf>
    <dxf>
      <fill>
        <patternFill patternType="solid">
          <fgColor theme="8"/>
          <bgColor theme="8"/>
        </patternFill>
      </fill>
    </dxf>
  </dxfs>
  <tableStyles count="1" defaultTableStyle="TableStyleMedium9" defaultPivotStyle="PivotStyleLight16">
    <tableStyle name="Versions-style" pivot="0" count="3" xr9:uid="{00000000-0011-0000-FFFF-FFFF00000000}">
      <tableStyleElement type="headerRow" dxfId="5"/>
      <tableStyleElement type="firstRowStripe" dxfId="4"/>
      <tableStyleElement type="secondRowStripe" dxfId="3"/>
    </tableStyle>
  </tableStyles>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ocumenttasks/documenttask1.xml><?xml version="1.0" encoding="utf-8"?>
<Tasks xmlns="http://schemas.microsoft.com/office/tasks/2019/documenttasks">
  <Task id="{8ACF4B25-3B90-4B93-BF75-34748BAAA401}">
    <Anchor>
      <Comment id="{5D5AC908-7134-4554-8C67-4AF3A968EC35}"/>
    </Anchor>
    <History>
      <Event time="2026-03-28T18:35:26.94" id="{459E0C32-0200-4EE8-85C4-EFDF3072D921}">
        <Attribution userId="S::Pkahuho@wwfint.org::0c4d0b07-f183-43da-9691-74f417427dc2" userName="Philip Kahuho" userProvider="AD"/>
        <Anchor>
          <Comment id="{5D5AC908-7134-4554-8C67-4AF3A968EC35}"/>
        </Anchor>
        <Create/>
      </Event>
      <Event time="2026-03-28T18:35:26.94" id="{B4C6BC7E-7DB9-4E99-A8A3-6AE91AE5F6F0}">
        <Attribution userId="S::Pkahuho@wwfint.org::0c4d0b07-f183-43da-9691-74f417427dc2" userName="Philip Kahuho" userProvider="AD"/>
        <Anchor>
          <Comment id="{5D5AC908-7134-4554-8C67-4AF3A968EC35}"/>
        </Anchor>
        <Assign userId="S::TESSOMBA-Consultant@wwfcam.org::019f4b32-201b-4a48-a880-e9c7780348ff" userName="ESSOMBA NKOULOU Thaddee  Ghislain" userProvider="AD"/>
      </Event>
      <Event time="2026-03-28T18:35:26.94" id="{91DFA7B0-5722-4632-9792-2C10B588EE38}">
        <Attribution userId="S::Pkahuho@wwfint.org::0c4d0b07-f183-43da-9691-74f417427dc2" userName="Philip Kahuho" userProvider="AD"/>
        <Anchor>
          <Comment id="{5D5AC908-7134-4554-8C67-4AF3A968EC35}"/>
        </Anchor>
        <SetTitle title="@ESSOMBA NKOULOU Thaddee  Ghislain , @Anne Ntongho , The panda Impact restrict the data collection tool to a specific list. Please map Column M to Column L based on the dropdown provided."/>
      </Event>
    </History>
  </Task>
</Tasks>
</file>

<file path=xl/externalLinks/_rels/externalLink1.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gram M&amp;E Plan"/>
    </sheetNames>
    <sheetDataSet>
      <sheetData sheetId="0" refreshError="1">
        <row r="29">
          <cell r="J29" t="str">
            <v>TNS:&gt;20millionXAF
CFP
RRT: 1,000,000XAF
Local Conservation Support Staff (LCSS): 400,000XAF
Cluster Facilitators: 1,000,000XAF
Average: 800,000XAF</v>
          </cell>
        </row>
        <row r="33">
          <cell r="J33" t="str">
            <v>CFP: Mapped 3 HCV forests (Korup-Oban, Bakossi-Bnayang Mbo, &amp; Mt. CMR)
0 HCV Forests classified</v>
          </cell>
        </row>
        <row r="34">
          <cell r="J34" t="str">
            <v>CFP: 1 Community-validated forest in Lower Mbo of the Banyang Mbo Wildlife Sanctuary integrated into land use plans</v>
          </cell>
        </row>
        <row r="35">
          <cell r="J35" t="str">
            <v>CFP: Rumpi Rata NP under creation: 47,600 ha
Muaku CF: 404 ha</v>
          </cell>
        </row>
      </sheetData>
    </sheetDataSet>
  </externalBook>
</externalLink>
</file>

<file path=xl/persons/person.xml><?xml version="1.0" encoding="utf-8"?>
<personList xmlns="http://schemas.microsoft.com/office/spreadsheetml/2018/threadedcomments" xmlns:x="http://schemas.openxmlformats.org/spreadsheetml/2006/main">
  <person displayName="Anne Ntongho" id="{6AE52744-8042-4D68-B51E-CC2C966F26CE}" userId="antongho@wwfcam.org" providerId="PeoplePicker"/>
  <person displayName="ESSOMBA NKOULOU Thaddee  Ghislain" id="{A16BF4A8-F583-4D32-BD34-9CB17FC2284B}" userId="TESSOMBA-Consultant@wwfcam.org" providerId="PeoplePicker"/>
  <person displayName="Philip Kahuho" id="{4CC74934-B509-4C65-BCCB-C64EFAA4624D}" userId="S::Pkahuho@wwfint.org::0c4d0b07-f183-43da-9691-74f417427dc2"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ETOGEKWE ESUA FOSSUNG" refreshedDate="46093.395923495373" createdVersion="8" refreshedVersion="8" minRefreshableVersion="3" recordCount="71" xr:uid="{00000000-000A-0000-FFFF-FFFF08000000}">
  <cacheSource type="worksheet">
    <worksheetSource name="Table1"/>
  </cacheSource>
  <cacheFields count="10">
    <cacheField name="(Do Not Modify) Indicator Association" numFmtId="0">
      <sharedItems/>
    </cacheField>
    <cacheField name="(Do Not Modify) Row Checksum" numFmtId="49">
      <sharedItems/>
    </cacheField>
    <cacheField name="(Do Not Modify) Modified On" numFmtId="22">
      <sharedItems containsSemiMixedTypes="0" containsNonDate="0" containsDate="1" containsString="0" minDate="2026-02-05T12:21:06" maxDate="2026-02-26T05:35:47"/>
    </cacheField>
    <cacheField name="Output Code (Output) (Output)" numFmtId="49">
      <sharedItems/>
    </cacheField>
    <cacheField name="Output" numFmtId="49">
      <sharedItems count="70" longText="1">
        <s v="A comprehensive baseline study completed at Campo Ma’an-monitored nesting beaches to assess nest predation rates (species-specific, predator types, and locations) and data used to identify high-risk nesting sites and main predators by December 2026"/>
        <s v="A monitoring system to track household income changes, particularly related to WWF-supported activities established and functional by June 2026."/>
        <s v="All CCO supported CHZs local management committees (COVAREFs) trained on related theme ( governance, conflict resolution, wildlife monitoring…) and are functional by December 2026"/>
        <s v="All related staff and partners including community-based rapid response team in CCO targeted landscapes are trained on C2C approach by June 2026"/>
        <s v="An assessment to identify gaps in existing policies regarding the rights of IPLCs, focusing on areas such as land tenure, natural resource use, cultural preservation, and governance conducted by December 2026"/>
        <s v="Annual monitoring and learning system for social impact and complaints established based on regular tracking of complaints, response rates, and resolution quality and used for adaptive management."/>
        <s v="Annual support provided in designing and implementation of benefit-sharing mechanisms showing effective sharing of revenue from legal hunting licenses, eco-tourism, or sustainable game meat schemes in all CCO supported landscapes"/>
        <s v="Annual surveys and focus groups conducted in targeted CCO landscapes to track changes in perception, evaluate impact of interventions, and adjust strategies accordingly done in May of every year"/>
        <s v="At least 75% of HWC hotspots identified and mapped in all CCO targeted landscapes to establish a new baseline by mid-2026"/>
        <s v="Baseline information on perception survey on HWC collected for CCO targeted landscapes by end of 2025"/>
        <s v="By 2028, multi-stakeholder platforms to ensure that IP&amp;LC concerns are heard and incorporated into policy recommendations facilitated by CCO in all CCO supported landscapes."/>
        <s v="By 2028; sustainable financing mechanisms piloted or expanded focusing on areas of establishing eco-tourism, conservation trust funds, or payment for ecosystem services (PES) schemes to increase financial sustainability for all CCO supported PAs"/>
        <s v="By 2030 at least 3 green diversified and climate-resilient livelihoods initiatives (agroforestry, organic farming, fisheries management, ecotourism, handicrafts, and small business development…) implemented with support from CCO in each supported landscape."/>
        <s v="By 2030 CCO is implementing an advocacy campaign action plan targeting relevant decision-makers, such as government officials, legislative bodies, and international organizations, to promote the proposed policy changes conducted."/>
        <s v="By 2030, access to national and at least 3 international markets for IP&amp;LC products, including the development of branding, packaging, and marketing strategies facilitated and support provided to boost IP&amp;LC capacity to engage in direct trade relationships and ensure fair pricing for their products."/>
        <s v="By 2030, CCO is carrying out formal consultations with government agencies and lawmakers to ensure that the proposed policy is reviewed and eventually adopted."/>
        <s v="By 2030, CCO is offering 100% support to sustainable eco-tourism and conservation-linked employment opportunities, such as eco-tourism opportunities (guides, rangers,…)  in line with community-based tourism initiatives that link conservation to income generation"/>
        <s v="By 2030, IP&amp;LC leaders and community representatives on policy analysis, legal frameworks, and advocacy strategies are empowered and effectively engaged with decision-makers and participate in the policy development process"/>
        <s v="By 2030, partnerships with local and international organizations, NGOs, and private sector players to enhance income opportunities for IP&amp;LCs, local businesses and NGOs to bring technical, financial, and market support to IP&amp;LC communities is strengthened in all CCO supported landscapes."/>
        <s v="By 2030, there is at least 50% increment in the involvement of IP&amp;LC participation in activities like wildlife monitoring or habitat restoration, …. in CCO supported landscapes"/>
        <s v="By 2030, there is effective collaboration with legal experts, researchers, and policymakers for synergy in drafting comprehensive policy proposals aimed at enhancing the rights and participation of IPLCs in governance and natural resource management."/>
        <s v="By December 2026, community governance and participation in local development strengthened through enhanced leadership and governance structures to empower IP&amp;LCs to manage and advocate for their needs and rights."/>
        <s v="By December 2027, technical support and capacity provided for targeted IP&amp;LC enterprises in areas like product development, quality control, marketing, business management and formation of cooperatives or community-based enterprises for efficient and sustainable production."/>
        <s v="By June 2026 baseline income and livelihood assessment conducted in CCO targeted landscapes through a survey to assess the current household income levels, income sources, and economic vulnerabilities of targeted IP&amp;LC communities."/>
        <s v="By June 2026, a comprehensive survey to evaluate the current levels of access to key materials such as clean water, energy, education, healthcare, sanitation, and housing within targeted IP&amp;LC communities carried out."/>
        <s v="By June 2026, a monitoring system to track access changes over time and identify priority areas for adaptive interventions is in place and being implemented."/>
        <s v="By June 2026, Conservation-related livelihood benefits delivered for IP&amp;LCs (e.g. employment, support for eco-friendly enterprises, access to resources…) in all CCO supported landscapes"/>
        <s v="By June 2026, policies and protocols developed or strengthened to support zoonotic disease prevention and response e.g. Standard Operating Procedures (SOPs) for outbreak response established and zoonotic risk mitigation are integrated into local development plans"/>
        <s v="By June 2028, IP&amp;LCs are involved in co-management and decision-making e.g. community members have representation in governance structures for PAs or other community-managed zones (CF, CHZs, …) and they are included in the elaboration of PA management plans or land-use decisions"/>
        <s v="C2C approach is 100% implemented in all targeted CCO landscapes by June 2029"/>
        <s v="C2C issues are captured in MSPs and other fora in CCO targeted landscapes starting Jan 2026."/>
        <s v="Capacity building for PA staff delivered with at least one training session carried out annually for ecoguards, managers, and technical staff in areas like monitoring, SMART, enforcement, GIS, and stakeholder engagement, human rights, …."/>
        <s v="CCO identifies and maps 100% of sea turtle nesting beaches and priority zones under its intervention for regular cleaning and monitoring by June 2027."/>
        <s v="CCO staff and partners trained on conflict sensitivity and human rights-based approaches (FPIC, gender-sensitive engagement, conflict resolution…) by June 2026"/>
        <s v="CCO supported PAs governance and co-management mechanisms strengthened with more inclusivity by June 2026."/>
        <s v="Clean-ups organized at least monthly during nesting seasons (and quarterly off-season) across 90% of beach length"/>
        <s v="Community awareness and engagement campaigns delivered starting June 2027"/>
        <s v="Community education and school outreach programs conducted each year to build awareness on plastic waste, its impact on turtles, and behaviour change"/>
        <s v="Community guardians incentivized through eco-benefits promoted by June 2027"/>
        <s v="Community-level and enforcement-level reporting systems operational for tracking elephant mortality causes by end of 2025"/>
        <s v="Comprehensive analysis of SMART (Spatial Monitoring and Reporting Tool) data from 2021-2024  conducted in CCO targeted landscapes to set a reliable benchmark for poaching indices per patrol effort and set the right baseline"/>
        <s v="Conflict mediation and GRM established in 100% of conflict-prone villages by June 2027"/>
        <s v="Coordination platforms and monitoring systems established with government and partners for annual review of hunting zone performance with MINFOF and joint missions carried out, and policy dialogue on community-based hunting in CCO supported landscapes."/>
        <s v="Degraded habitats restored and buffer zones established to limit human-wildlife interaction by 2030"/>
        <s v="Elephant/Great Apes Ambassadors and IP&amp;LC Champions in CCO landscapes coached and trained by June 2026"/>
        <s v="Equitable benefit-sharing mechanisms implemented and strengthened with IP&amp;LC perceive tangible benefits from conservation (e.g. jobs, services, micro-projects) in all CCO supported landscapes by December 2027,"/>
        <s v="Existing management plans  of CCO supported PAs revised or updated to reflect current threats, stakeholder needs, and conservation priorities starting June 2026"/>
        <s v="Functional One Health surveillance system established in CCO targeted landscapes (TNS, Campo Ma’an &amp; Lobeke) with annual monitoring of wildlife, livestock, and human populations and early detection and response mechanism for zoonotic outbreaks"/>
        <s v="Intersectoral coordination mechanism (One Health platform) operational at landscape level involving all the sectorial stakeholders (Health, agriculture, environment, and wildlife services) and information-sharing and joint planning annually conducted."/>
        <s v="IP&amp;LC  awareness and sensitization campaigns implemented in the CCO targeted landscapes from Jan 2026"/>
        <s v="IP&amp;LCs in CCO supported landscapes are annually sensitized and are practicing safe behaviours to reduce zoonotic risk through awareness campaigns against risky practices (e.g., bushmeat consumption, unsafe animal handling)"/>
        <s v="Law enforcement collaboration protocols refined between park staff, local authorities, and judiciary and with HRBA incorporated by December 2026"/>
        <s v="Lessons learned and successful approaches documented and shared with local and regional partners annually."/>
        <s v="Local teams formed and trained to conduct beach patrols, document pollution levels, and coordinate clean-up logistics by December 2027"/>
        <s v="Management plans for community hunting zones (CHZ) in CCO targeted landscapes developed or updated mainstreaming best practices by June 2030"/>
        <s v="Needs assessment and on types of culturally contextualise IGAs carried out in targeted CCO landscapes by June 2026"/>
        <s v="Nest protection measures implemented by January 2027"/>
        <s v="Operational equipment and infrastructure improved (e.g., radios, ranger posts, vehicles, GPS devices) for all CCO PAs by June 2026"/>
        <s v="Participatory wildlife monitoring and reporting systems implemented and informs adaptive management decisions by June 2026"/>
        <s v="Patrol coverage increased by at least 30% in high-risk zones of CCO targeted landscapes  by 2027."/>
        <s v="Perception surveys and participatory assessments carried out after every two years to understand and track IP&amp;LC attitudes, values, and concerns related to conservation"/>
        <s v="Regular analysis of patrol effort vs. detection rates as captured in SMART data shared with managers and MINFOF for decision making and reorientation of surveillance (adaptive management)."/>
        <s v="Regular and inclusive IP&amp;LC engagement processes (in project/programme design and MEL, structured dialogue platforms, …) functional in all CCO supported landscapes by December 2025"/>
        <s v="Reports generated every year showing percentage of beach cleaned, volume/type of plastic collected, and improvements over time."/>
        <s v="Support to alternative livelihoods to reduce human-wildlife contact and dependency on bushmeat (poultry, agroforestry…) provided in each landscape by 2030"/>
        <s v="Sustainable livelihood initiatives benefiting at least 50% of the conflict-affected households in the supported landscapes implemented to reduce economic pressure from elephant damage by end of 2029"/>
        <s v="Targeted awareness campaigns on elephant behaviour and conservation laws conducted annually in all high HWC zones of CCO targeted landscapes starting January 2026"/>
        <s v="The impact of the policy on IP&amp;LC rights and livelihoods, ensuring that it achieves the intended outcomes and remains responsive to the evolving needs of communities monitored and evaluated annually."/>
        <s v="Training and refresher course of new eco-guards and community rangers completed across all CCO intervention areas (training include HRBA…) by June 2026"/>
        <s v="Waste management system implemented, and partnerships established with municipal services or recycling companies by December 2027"/>
      </sharedItems>
    </cacheField>
    <cacheField name="Indicator" numFmtId="49">
      <sharedItems containsBlank="1"/>
    </cacheField>
    <cacheField name="Frequency of Measurement" numFmtId="49">
      <sharedItems/>
    </cacheField>
    <cacheField name="Landscape" numFmtId="49">
      <sharedItems containsBlank="1"/>
    </cacheField>
    <cacheField name="Baseline value" numFmtId="49">
      <sharedItems/>
    </cacheField>
    <cacheField name="Baseline Value Date" numFmtId="14">
      <sharedItems containsSemiMixedTypes="0" containsNonDate="0" containsDate="1" containsString="0" minDate="2025-06-30T00:00:00" maxDate="2025-07-01T00:00:00"/>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0">
    <pivotField showAll="0"/>
    <pivotField showAll="0"/>
    <pivotField numFmtId="22" showAll="0"/>
    <pivotField showAll="0"/>
    <pivotField dataField="1"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showAll="0"/>
    <pivotField showAll="0"/>
    <pivotField showAll="0"/>
    <pivotField numFmtId="14" showAll="0"/>
  </pivotFields>
  <rowItems count="1">
    <i/>
  </rowItems>
  <colItems count="1">
    <i/>
  </colItems>
  <dataFields count="1">
    <dataField name="Count of Output" fld="4" subtotal="count"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C15">
  <tableColumns count="3">
    <tableColumn id="1" xr3:uid="{00000000-0010-0000-0000-000001000000}" name="Version"/>
    <tableColumn id="2" xr3:uid="{00000000-0010-0000-0000-000002000000}" name="Date"/>
    <tableColumn id="3" xr3:uid="{00000000-0010-0000-0000-000003000000}" name="Changes"/>
  </tableColumns>
  <tableStyleInfo name="Version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1:J72" totalsRowShown="0">
  <autoFilter ref="A1:J72" xr:uid="{00000000-0009-0000-0100-000002000000}"/>
  <tableColumns count="10">
    <tableColumn id="1" xr3:uid="{00000000-0010-0000-0100-000001000000}" name="(Do Not Modify) Indicator Association"/>
    <tableColumn id="2" xr3:uid="{00000000-0010-0000-0100-000002000000}" name="(Do Not Modify) Row Checksum"/>
    <tableColumn id="3" xr3:uid="{00000000-0010-0000-0100-000003000000}" name="(Do Not Modify) Modified On"/>
    <tableColumn id="4" xr3:uid="{00000000-0010-0000-0100-000004000000}" name="Output Code (Output) (Output)"/>
    <tableColumn id="5" xr3:uid="{00000000-0010-0000-0100-000005000000}" name="Output"/>
    <tableColumn id="6" xr3:uid="{00000000-0010-0000-0100-000006000000}" name="Indicator"/>
    <tableColumn id="7" xr3:uid="{00000000-0010-0000-0100-000007000000}" name="Frequency of Measurement"/>
    <tableColumn id="8" xr3:uid="{00000000-0010-0000-0100-000008000000}" name="Landscape"/>
    <tableColumn id="9" xr3:uid="{00000000-0010-0000-0100-000009000000}" name="Baseline value"/>
    <tableColumn id="10" xr3:uid="{00000000-0010-0000-0100-00000A000000}" name="Baseline Value Date"/>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2" dT="2026-03-27T05:23:37.37" personId="{4CC74934-B509-4C65-BCCB-C64EFAA4624D}" id="{4F4ADAD8-F9CC-4335-B2CE-6FB01CFDD0B0}">
    <text>I note most of the definition explains what the indicator is measuring but now numerator and denominator when the indicator is a percentage</text>
  </threadedComment>
  <threadedComment ref="L2" dT="2026-03-28T18:35:26.94" personId="{4CC74934-B509-4C65-BCCB-C64EFAA4624D}" id="{5D5AC908-7134-4554-8C67-4AF3A968EC35}">
    <text>@ESSOMBA NKOULOU Thaddee  Ghislain , @Anne Ntongho , The panda Impact restrict the data collection tool to a specific list. Please map Column M to Column L based on the dropdown provided.</text>
    <mentions>
      <mention mentionpersonId="{A16BF4A8-F583-4D32-BD34-9CB17FC2284B}" mentionId="{AB7C97AD-3A54-40E1-9F8D-EF875D875193}" startIndex="0" length="34"/>
      <mention mentionpersonId="{6AE52744-8042-4D68-B51E-CC2C966F26CE}" mentionId="{8592EC97-E68B-4CF1-939D-4BEF00A57363}" startIndex="37" length="13"/>
    </mentions>
  </threadedComment>
  <threadedComment ref="D74" dT="2026-03-26T19:28:12.69" personId="{4CC74934-B509-4C65-BCCB-C64EFAA4624D}" id="{65577A89-FCDE-4A3C-B5F6-2B60CAABF3B6}" done="1">
    <text>I would recommend “% of identified HWC hotspots that are mapped/geo-referenced” or something close to it and have the value format as Numerator /Denominator</text>
  </threadedComment>
  <threadedComment ref="D75" dT="2026-03-26T19:34:36.42" personId="{4CC74934-B509-4C65-BCCB-C64EFAA4624D}" id="{D1C72B9B-19A4-4CCA-9FA6-FA511AFA7DCA}" done="1">
    <text xml:space="preserve">Please not in the system, there is no space for disaggregation. If you need any form of disaggregation, you have to have it as a separate indicators e.g. 
% of reported elephant mortality cases by natural caused
% of reported elephant mortality cases by HEC
% of reported elephant mortality cases by zoonotic diseases
…..
That said, 
1) mortality rate is outcome level because it relates to direct threats e.g HEC, zoonotics etc
2) the output is about operationability community and enforcement level reporting system. The indicator should focus on that aspect.
 </text>
  </threadedComment>
  <threadedComment ref="G76" dT="2026-03-26T19:35:32.47" personId="{4CC74934-B509-4C65-BCCB-C64EFAA4624D}" id="{F3E86ABA-67E8-4BAA-B220-9A84F2DC96ED}" done="1">
    <text>Since the indicator is part of a whole, the value format should be numerator / denominator</text>
  </threadedComment>
  <threadedComment ref="D78" dT="2026-03-26T19:37:27.13" personId="{4CC74934-B509-4C65-BCCB-C64EFAA4624D}" id="{4D839499-4822-4BE2-A23C-FF2C5CB9DA59}" done="1">
    <text>Can we be specific and say “Number of HWC conflicts cases managed through C2C”? Otherwise, someone who does not have the output might count even marital conflicts</text>
  </threadedComment>
  <threadedComment ref="D79" dT="2026-03-26T19:39:36.62" personId="{4CC74934-B509-4C65-BCCB-C64EFAA4624D}" id="{EAF6C7D7-3588-4320-9AA2-E1A7FAE8AF1A}" done="1">
    <text>Since the frequency is already annual, I would suggest removing per year and have it as “# of awareness campaigns conducted on HWC”</text>
  </threadedComment>
  <threadedComment ref="E79" dT="2026-03-26T19:41:29.43" personId="{4CC74934-B509-4C65-BCCB-C64EFAA4624D}" id="{42D97F26-CA40-435D-A11C-8BAC0DFA6D58}" done="1">
    <text>I doubt measuring # of campaigns gives us effectiveness.. If we want effectiveness, we can measure the knowledge os people reached.</text>
  </threadedComment>
  <threadedComment ref="G80" dT="2026-03-26T19:41:56.05" personId="{4CC74934-B509-4C65-BCCB-C64EFAA4624D}" id="{13384D41-3132-47B6-BAD5-656A13BEAF10}" done="1">
    <text>Num/denom</text>
  </threadedComment>
  <threadedComment ref="D81" dT="2026-03-26T19:44:02.47" personId="{4CC74934-B509-4C65-BCCB-C64EFAA4624D}" id="{2FAEAACA-EF5C-40D5-BC13-B763829AA8F2}" done="1">
    <text>Since we are measuring resolution, I would recommend we measure “% of reported grievances resolved through GRM mechanisms”</text>
  </threadedComment>
  <threadedComment ref="D83" dT="2026-03-26T19:48:12.95" personId="{4CC74934-B509-4C65-BCCB-C64EFAA4624D}" id="{DEC49D28-A5AB-4A42-8E25-B4512F0519BC}" done="1">
    <text>Need to be specific.. Which meeting?</text>
  </threadedComment>
  <threadedComment ref="D84" dT="2026-03-26T19:49:21.29" personId="{4CC74934-B509-4C65-BCCB-C64EFAA4624D}" id="{6B5D8F0B-A572-424D-9BF5-A2F02B87C598}" done="1">
    <text>Need to be specific, Which type of conflict, HWC. Political, etc?</text>
  </threadedComment>
  <threadedComment ref="D85" dT="2026-03-26T19:46:17.90" personId="{4CC74934-B509-4C65-BCCB-C64EFAA4624D}" id="{061AE123-3D2E-458D-A978-7BF6E27B32DE}" done="1">
    <text>Need to be specific, but would also recommend restructuring to “Existence of baseline report on HWC perception”</text>
  </threadedComment>
  <threadedComment ref="D86" dT="2026-03-26T19:47:33.22" personId="{4CC74934-B509-4C65-BCCB-C64EFAA4624D}" id="{BBA99128-F6D7-4938-9630-FBB0232D2C41}" done="1">
    <text>Need to be specific.. Which campaigns? Also, not the comment on disaggregation.</text>
  </threadedComment>
  <threadedComment ref="D87" dT="2026-03-26T19:51:08.63" personId="{4CC74934-B509-4C65-BCCB-C64EFAA4624D}" id="{CF491E8D-F1DF-42BB-A04C-FF4ECF8C3881}" done="1">
    <text>This would be better of as a % since we want to determine “of those trained, who is using the skills”</text>
  </threadedComment>
  <threadedComment ref="D89" dT="2026-03-26T19:52:47.61" personId="{4CC74934-B509-4C65-BCCB-C64EFAA4624D}" id="{4D879E22-712E-458D-B4E7-A7DE39EEEE24}" done="1">
    <text>“# of MSP’s resolutions or action points addressing C2C”</text>
  </threadedComment>
  <threadedComment ref="D90" dT="2026-03-26T19:53:42.64" personId="{4CC74934-B509-4C65-BCCB-C64EFAA4624D}" id="{87342A3C-859B-407D-87E4-B6A3985AF281}" done="1">
    <text>Need to be specific, Perception on what? Forest, species, WWF, Species.. Etc.</text>
  </threadedComment>
  <threadedComment ref="D93" dT="2026-03-27T05:07:11.63" personId="{4CC74934-B509-4C65-BCCB-C64EFAA4624D}" id="{E8C65F5F-84F5-4A59-9DEB-E9EF6DEF3EB1}" done="1">
    <text>Same comment as above on disaggregation, 
instead of staff, we could just say # of trained eco-guards and community rangers demonstrating …..
Also good to spell out acronyms ..</text>
  </threadedComment>
  <threadedComment ref="H94" dT="2026-03-27T05:09:14.63" personId="{4CC74934-B509-4C65-BCCB-C64EFAA4624D}" id="{8278BCF3-2214-4EDA-95EA-0B3D6804A083}">
    <text>These are indicated as outcomea but are associated to output statements</text>
  </threadedComment>
  <threadedComment ref="D97" dT="2026-03-27T05:12:35.95" personId="{4CC74934-B509-4C65-BCCB-C64EFAA4624D}" id="{24D6D1F6-AB0E-41CD-89E6-5D217CC6752D}" done="1">
    <text>Can we keep it simple to “Baseline study completed on marine turtle nesting” The rest of the information on what the report will contain can go to the indicator definition column</text>
  </threadedComment>
  <threadedComment ref="D98" dT="2026-03-27T05:14:32.98" personId="{4CC74934-B509-4C65-BCCB-C64EFAA4624D}" id="{42B9A6E5-90F9-4500-9E4B-A8EC142B0D80}" done="1">
    <text>Would suggest “Number of turtle patrols and nest monitoring teams established, trained or equipped”</text>
  </threadedComment>
  <threadedComment ref="D99" dT="2026-03-27T05:15:13.08" personId="{4CC74934-B509-4C65-BCCB-C64EFAA4624D}" id="{D1FF24A7-0B2D-4061-863C-0E9F0531D4EF}" done="1">
    <text xml:space="preserve">“% of protected turtle nests surviving to hatching”, However survival means reduction in threat level and I see that as an outcome.. The output is about “implementation of protection measures” and that should be the focus of your indicator. 
e.g. “Number of action/strategies implemented to protect turtle nests” or “% of planned turtle nest protection actions implemented or under implementation” </text>
  </threadedComment>
  <threadedComment ref="D100" dT="2026-03-27T05:17:28.30" personId="{4CC74934-B509-4C65-BCCB-C64EFAA4624D}" id="{396B0C61-C5FF-4437-A7AD-98C3927A514D}" done="1">
    <text>I think predation rate  is a direct threat thus an outcome level result.. The output here is about “development of Control and management strategies” and that is what the output indicator should focus on..</text>
  </threadedComment>
  <threadedComment ref="C101" dT="2026-03-27T05:30:41.31" personId="{4CC74934-B509-4C65-BCCB-C64EFAA4624D}" id="{AEA44247-418A-48CE-B356-8C7B2E500F6E}" done="1">
    <text>The output is not clear, campaigns on what?</text>
  </threadedComment>
  <threadedComment ref="D101" dT="2026-03-27T05:30:10.60" personId="{4CC74934-B509-4C65-BCCB-C64EFAA4624D}" id="{8FDB83F7-77B0-4A59-A639-32E5F776B71D}" done="1">
    <text>I am advising against having change in indicator. I would advise you to focus the indicator on  the knowledge score, then the change is done after analysis since this is done year by year.
The indicator should also be specific.. Knowledge on what</text>
  </threadedComment>
  <threadedComment ref="C102" dT="2026-03-27T05:33:16.91" personId="{4CC74934-B509-4C65-BCCB-C64EFAA4624D}" id="{709DFF6D-4679-470B-9ABB-26D1D0AD526B}" done="1">
    <text>Comm guardians on what...</text>
  </threadedComment>
  <threadedComment ref="D102" dT="2026-03-27T05:35:16.70" personId="{4CC74934-B509-4C65-BCCB-C64EFAA4624D}" id="{D80C2F36-B06D-4652-92AF-3B19F8DD31F8}">
    <text>Could be more specific on community guardians on ...</text>
  </threadedComment>
  <threadedComment ref="H102" dT="2026-03-27T05:34:25.39" personId="{4CC74934-B509-4C65-BCCB-C64EFAA4624D}" id="{91A6AD43-B459-4BC5-9EEC-D820BF8E5220}" done="1">
    <text>Should be output.</text>
  </threadedComment>
  <threadedComment ref="C103" dT="2026-03-27T05:36:17.58" personId="{4CC74934-B509-4C65-BCCB-C64EFAA4624D}" id="{2D6ACAF5-D3E6-4C17-8F05-C9793D0D5A0A}" done="1">
    <text xml:space="preserve">Lessons or successful approaches on what? </text>
  </threadedComment>
  <threadedComment ref="D103" dT="2026-03-27T05:37:39.51" personId="{4CC74934-B509-4C65-BCCB-C64EFAA4624D}" id="{5686BF1B-4AB8-45E3-B16F-A8481474D042}" done="1">
    <text>Same comment as output, knowledge on what...</text>
  </threadedComment>
  <threadedComment ref="D105" dT="2026-03-27T05:40:43.27" personId="{4CC74934-B509-4C65-BCCB-C64EFAA4624D}" id="{62E92B3F-F6E5-4807-B0DD-044AA896558C}" done="1">
    <text>Need to be specific, trained on … that said I would propose measuring this as a % so that it can also be measured in a survey much later esp since its freq is mid/endline... “% of trained individuals demonstrating knowledge and understanding of marine turtle protection practices”</text>
  </threadedComment>
  <threadedComment ref="D107" dT="2026-03-27T05:54:17.47" personId="{4CC74934-B509-4C65-BCCB-C64EFAA4624D}" id="{671FCC16-95CC-45D7-AE09-95825858C6E1}" done="1">
    <text>Would recommend being specific, “partnership on waste management.” However, if we want to measure of these established partnership how many have action plans, I would recommend “% of established waste management partnerships with a joint action plan in place ”</text>
  </threadedComment>
  <threadedComment ref="D108" dT="2026-03-27T06:01:51.75" personId="{4CC74934-B509-4C65-BCCB-C64EFAA4624D}" id="{0F064124-5ED7-447E-874A-FC6BFFFC0CEB}" done="1">
    <text>The indicator is not specific to a perception of what. Could we measure awareness instead of perception?  e.g. “% of students and community members who can correctly identify impacts of plastic waste on marine turtles”</text>
  </threadedComment>
  <threadedComment ref="D109" dT="2026-03-27T06:16:59.43" personId="{4CC74934-B509-4C65-BCCB-C64EFAA4624D}" id="{C1CACE86-2328-4B69-BBDF-8709883350EC}" done="1">
    <text>These are two indicators in one. Please separate. I think the indicator should be just on the existence of the report. The rest seem to be captured elsewher</text>
  </threadedComment>
  <threadedComment ref="D111" dT="2026-03-27T06:22:11.46" personId="{4CC74934-B509-4C65-BCCB-C64EFAA4624D}" id="{833EAEDF-9D4B-44F7-B3E6-1C9D753A5218}" done="1">
    <text>If we have a finite number of PAs.. We could measure % of Pas and have the indicator as num/denom</text>
  </threadedComment>
  <threadedComment ref="D113" dT="2026-03-27T06:28:01.55" personId="{4CC74934-B509-4C65-BCCB-C64EFAA4624D}" id="{4A2645DE-8100-4130-8C0F-2D6141D633DD}" done="1">
    <text xml:space="preserve">Need to make the indicator specific.. Trained on …… then since the freq is annual.. No need to specify per year
</text>
  </threadedComment>
  <threadedComment ref="D114" dT="2026-03-27T06:29:02.27" personId="{4CC74934-B509-4C65-BCCB-C64EFAA4624D}" id="{DE789F5A-7211-4485-A718-E824F74921FE}" done="1">
    <text>Can we change to % of targeted….. Then have value format as num / denom</text>
  </threadedComment>
  <threadedComment ref="D115" dT="2026-03-27T06:41:57.21" personId="{4CC74934-B509-4C65-BCCB-C64EFAA4624D}" id="{B341F7BC-FEF6-4F9A-BCF4-7D64B74A5B43}" done="1">
    <text xml:space="preserve">I see the output is related to species but this indicator is more general for fundraising.. Can we make it more specific  to PA financing? E.g. “Amount of revenue generated annually from sustainable financing mechanisms in WWF supported protected areas” </text>
  </threadedComment>
  <threadedComment ref="D118" dT="2026-03-27T06:51:05.49" personId="{4CC74934-B509-4C65-BCCB-C64EFAA4624D}" id="{E6096688-34EE-41B9-A838-3F1C4ED636C6}" done="1">
    <text>Would we also be interest to measure the number households supported with this initiatives.</text>
  </threadedComment>
  <threadedComment ref="C120" dT="2026-03-27T07:36:57.99" personId="{4CC74934-B509-4C65-BCCB-C64EFAA4624D}" id="{EB9921D9-9BCD-45D5-8B8F-317AE12F4BDC}">
    <text>Maybe update the output to be under restoration, not restored.. Please not where we edit output, we will need to update in Panda Impact. Not Deleting but editing.</text>
  </threadedComment>
  <threadedComment ref="D125" dT="2026-03-27T08:47:25.11" personId="{4CC74934-B509-4C65-BCCB-C64EFAA4624D}" id="{323FB7B6-3EC5-47A9-9893-2023B5299A97}" done="1">
    <text>Can we restructure to “Number of data-driven management decisions informed by wildlife monitoring systems”</text>
  </threadedComment>
  <threadedComment ref="D126" dT="2026-03-27T09:02:20.55" personId="{4CC74934-B509-4C65-BCCB-C64EFAA4624D}" id="{75A66688-8B18-4189-9628-456CD1D29DBF}" done="1">
    <text>Another option is to measure  “% of targeted community hunting zones households receiving benefits annually”
 This will show the extend or distribution way better than just #</text>
  </threadedComment>
  <threadedComment ref="D127" dT="2026-03-27T09:18:01.79" personId="{4CC74934-B509-4C65-BCCB-C64EFAA4624D}" id="{702E9536-BB31-47A7-A13E-6601B0DACE60}" done="1">
    <text xml:space="preserve">Recommend: # of joint monitoring missions or annual review meetings conducted to assess community hunting zone performance. </text>
  </threadedComment>
  <threadedComment ref="D128" dT="2026-03-27T09:18:41.10" personId="{4CC74934-B509-4C65-BCCB-C64EFAA4624D}" id="{3F20DEC8-56E7-4DBA-8AAE-5ED037112978}">
    <text>Change to percentage of .. and have value format as num/denom</text>
  </threadedComment>
  <threadedComment ref="D129" dT="2026-03-27T09:23:38.57" personId="{4CC74934-B509-4C65-BCCB-C64EFAA4624D}" id="{FFE157DD-96C1-47A2-9A52-AFABFCBEE15B}" done="1">
    <text>Same comment on disaggregation. Also would suggest “# of IP&amp;LC participating in MSPs”</text>
  </threadedComment>
  <threadedComment ref="D130" dT="2026-03-27T09:28:11.31" personId="{4CC74934-B509-4C65-BCCB-C64EFAA4624D}" id="{9CBD94E9-B293-4E56-BEDC-B9D372C399CC}" done="1">
    <text>If the interest is measuring application of knowledge, I would suggest “% of staff and partners trained on human rights based approached applying the knowledge”</text>
  </threadedComment>
  <threadedComment ref="D131" dT="2026-03-27T13:46:35.25" personId="{4CC74934-B509-4C65-BCCB-C64EFAA4624D}" id="{11BCEFF6-4ECC-4169-8BAC-0E29653EE493}" done="1">
    <text>The output is about “benefit-sharing mechanisms implemented and strengthened” and IPLC “perceive tangible benefit” so you might have two indicator, one on “number of benefit-sharing mechanisms established or strengthened” and a second one on “% of IPLC who report receiving benefit through the benefit sharing mechanism”</text>
  </threadedComment>
  <threadedComment ref="D133" dT="2026-03-27T13:53:30.68" personId="{4CC74934-B509-4C65-BCCB-C64EFAA4624D}" id="{674D5796-DC8A-4DD4-BE4B-BB1A3191C6B9}" done="1">
    <text>Could we measure maybe “Number of monitoring systems established for social and complaints monitoring” however, The second part on the complaints seem more GRM</text>
  </threadedComment>
  <threadedComment ref="H134" dT="2026-03-27T14:15:45.28" personId="{4CC74934-B509-4C65-BCCB-C64EFAA4624D}" id="{2D12C3D8-3C1A-4305-948E-F180029079EC}" done="1">
    <text>While I agree this is more of a process.. In CSI there are only three levels of results. Goal, outcome and Output.</text>
  </threadedComment>
  <threadedComment ref="D136" dT="2026-03-27T14:02:23.35" personId="{4CC74934-B509-4C65-BCCB-C64EFAA4624D}" id="{06FD0754-8ED8-4532-8DC3-324A7F0F1A8B}" done="1">
    <text>Very similar to row 127.. Would suggest we try to align the two to avoid double counting</text>
  </threadedComment>
  <threadedComment ref="D137" dT="2026-03-27T14:13:42.22" personId="{4CC74934-B509-4C65-BCCB-C64EFAA4624D}" id="{185A2963-9A33-47EF-ACAE-9A18A1B66D5E}" done="1">
    <text xml:space="preserve">Can we say “Existence of a report on assessment of income-generation activity”, though I would put this more as activity level </text>
  </threadedComment>
  <threadedComment ref="D143" dT="2026-03-27T14:31:28.37" personId="{4CC74934-B509-4C65-BCCB-C64EFAA4624D}" id="{3B38A08A-D6B3-4328-8AE7-DE519621FAB2}" done="1">
    <text>For this and similar indicators tracking change, it is preferable to measure the primary variable directly, allowing the change to be derived from the measured values over time.. E.g. here we measure “# of IP&amp;LC participating in conservation activities with WWF support”. The part which gives examples ( like wildlife monitoring or habitat restoration) can go in the definition column to define  conservation activities.</text>
  </threadedComment>
  <threadedComment ref="D144" dT="2026-03-27T14:46:06.16" personId="{4CC74934-B509-4C65-BCCB-C64EFAA4624D}" id="{A69CFEF6-AA16-4288-BCB8-CA74D26CBF06}" done="1">
    <text>Would this be the same as raws 132 and 133</text>
  </threadedComment>
  <threadedComment ref="D146" dT="2026-03-27T15:31:41.44" personId="{4CC74934-B509-4C65-BCCB-C64EFAA4624D}" id="{DBEFE332-2EAE-40C4-8A05-510966D54C66}" done="1">
    <text>Existence of a survey report on community access to material of good life.</text>
  </threadedComment>
  <threadedComment ref="D147" dT="2026-03-27T16:26:09.07" personId="{4CC74934-B509-4C65-BCCB-C64EFAA4624D}" id="{74C4F7F0-CB3A-45D1-A8A4-4B31B06E3725}">
    <text>To align to output.. Can we say “% of targeted IP&amp;LC households with access…. “ and have the value format as num/deno</text>
  </threadedComment>
  <threadedComment ref="D149" dT="2026-03-27T16:36:24.56" personId="{4CC74934-B509-4C65-BCCB-C64EFAA4624D}" id="{B826C595-BFDD-48F9-9A5B-C7F4377DF656}">
    <text>It would be good to specify it is a monitoring system to track community access to materials of good life. That said, these are processes which I would not have recommended as output results.</text>
  </threadedComment>
  <threadedComment ref="D150" dT="2026-03-27T16:39:14.03" personId="{4CC74934-B509-4C65-BCCB-C64EFAA4624D}" id="{34ADEC0A-102E-4D0B-8E01-FAE484C4FE34}" done="1">
    <text xml:space="preserve">The striked out part can go to the description. I would suggested “existence of an assessment report on gaps in existing policies on IPLC rights </text>
  </threadedComment>
  <threadedComment ref="D156" dT="2026-03-27T17:16:16.46" personId="{4CC74934-B509-4C65-BCCB-C64EFAA4624D}" id="{AB73B0E0-12A1-419B-BA15-048A0CF3CC1E}" done="1">
    <text>I am not sure this mesures the output and also the output is more of a process, “monitoring the impact of a policy” can we revise the output so that we develop an indicator that will measure the result.</text>
  </threadedComment>
  <threadedComment ref="D157" dT="2026-03-27T17:18:16.79" personId="{4CC74934-B509-4C65-BCCB-C64EFAA4624D}" id="{E406FD28-4B3D-4454-9002-25BED407494E}" done="1">
    <text>This is not an output or something that we can change, I see it as being an FYI in which case I would drop it.</text>
  </threadedComment>
  <threadedComment ref="D161" dT="2026-03-27T18:49:34.17" personId="{4CC74934-B509-4C65-BCCB-C64EFAA4624D}" id="{39ADA54B-1FF0-4D34-A90A-A5EBF2E507C9}" done="1">
    <text>Would suggest we frame as “% of identified High Conservation Value (HCV) forests gazetted or in process of being gazzeted”</text>
  </threadedComment>
  <threadedComment ref="D162" dT="2026-03-27T18:55:21.06" personId="{4CC74934-B509-4C65-BCCB-C64EFAA4624D}" id="{2E27FC5C-603D-4C96-8284-853DE9720A09}">
    <text>These seem like two indicators in one cell. I would recommend separating because while uploading, one row is on one indicator.
instead of presence of HCV language in strategies, I would recommend you go for “# of strategies that mention High Conservation Value forest protection/conservation”</text>
  </threadedComment>
  <threadedComment ref="D164" dT="2026-03-27T19:04:21.87" personId="{4CC74934-B509-4C65-BCCB-C64EFAA4624D}" id="{5E7B800B-2A89-47AD-97BE-9EFFDA0D90A2}">
    <text xml:space="preserve">Several indicators in one cell. The output is on IPLC engagement , so the indicator should be on that. </text>
  </threadedComment>
  <threadedComment ref="D165" dT="2026-03-27T19:05:05.47" personId="{4CC74934-B509-4C65-BCCB-C64EFAA4624D}" id="{C76086B8-15A4-4B26-B096-C5853F7FBF43}">
    <text>Same case, several indicators that are not SMART in one cell.</text>
  </threadedComment>
  <threadedComment ref="D166" dT="2026-03-27T19:05:26.01" personId="{4CC74934-B509-4C65-BCCB-C64EFAA4624D}" id="{0E3FE1D0-7595-4FA2-8B37-0D7E6F65AB73}" done="1">
    <text>Same comment as above..</text>
  </threadedComment>
  <threadedComment ref="D168" dT="2026-03-27T19:20:58.54" personId="{4CC74934-B509-4C65-BCCB-C64EFAA4624D}" id="{6BCB4A97-222F-4F65-8075-7335856A3882}" done="1">
    <text>Since forest loss is a direct threat, this is an outcome level indicator. It is also a bit tricky to frame it as baseline since it means the indicator will have only baseline and no target. Probably you want to have the “Existence of a baseline report on HCV Loss” since the output is on baseline.</text>
  </threadedComment>
  <threadedComment ref="D169" dT="2026-03-27T19:22:00.99" personId="{4CC74934-B509-4C65-BCCB-C64EFAA4624D}" id="{AFE2E212-ECF5-4043-8E99-1EF51016030E}" done="1">
    <text>How many are expected? Can we say “# of validated land use plans”</text>
  </threadedComment>
  <threadedComment ref="D170" dT="2026-03-27T19:52:34.71" personId="{4CC74934-B509-4C65-BCCB-C64EFAA4624D}" id="{5F2924EB-8B5C-4AAA-9D98-F477B5D4CE5D}" done="1">
    <text>“# of farmers trained on climate-smart farming practices”</text>
  </threadedComment>
  <threadedComment ref="D173" dT="2026-03-28T09:53:15.60" personId="{4CC74934-B509-4C65-BCCB-C64EFAA4624D}" id="{9137D6C3-1BBC-42D5-8EFE-34A39B420B89}" done="1">
    <text>The indicator is not so specific, and can be interpreted to mean any monitoring.. Maybe “Number of forest surveillance groups supported to conduct real-time forest clearance monitoring or “Number of forest clearance alerts received from supported forest surveillance groups.”</text>
  </threadedComment>
  <threadedComment ref="D174" dT="2026-03-28T09:34:02.72" personId="{4CC74934-B509-4C65-BCCB-C64EFAA4624D}" id="{2B577648-A3E0-4859-8087-A26768DD0278}" done="1">
    <text>Annual loss is a direct threat, so this indicator is at outcome level. The output is focuse on “Independent verification and tracking ha creard”, which is an activity and so the output could be “Number of forest loss verification carried out” or something close to it.</text>
  </threadedComment>
  <threadedComment ref="D175" dT="2026-03-28T09:55:04.49" personId="{4CC74934-B509-4C65-BCCB-C64EFAA4624D}" id="{BFAC1A25-B38F-406A-8C50-DDDC9E8D1D6B}">
    <text>Existence of a report documenting agricultural practices &amp; challenges</text>
  </threadedComment>
  <threadedComment ref="E175" dT="2026-03-28T09:57:28.24" personId="{4CC74934-B509-4C65-BCCB-C64EFAA4624D}" id="{45B42C17-2E34-47EA-BA9F-F978693040CB}">
    <text>This looks like another indicator</text>
  </threadedComment>
  <threadedComment ref="C177" dT="2026-03-28T09:58:51.57" personId="{4CC74934-B509-4C65-BCCB-C64EFAA4624D}" id="{49CEF124-FC45-48E5-9A36-59C46B88C51A}">
    <text>I suppose this should be improved agricultural practice</text>
  </threadedComment>
  <threadedComment ref="D177" dT="2026-03-28T09:59:35.09" personId="{4CC74934-B509-4C65-BCCB-C64EFAA4624D}" id="{444BE133-1234-4F1C-B444-59EFAE5A3308}">
    <text xml:space="preserve">Number of demo plots on improved agricultural practice established
</text>
  </threadedComment>
  <threadedComment ref="E177" dT="2026-03-28T09:57:43.26" personId="{4CC74934-B509-4C65-BCCB-C64EFAA4624D}" id="{756C219C-F193-4D5E-BC3C-70C5748482CF}">
    <text>Please revise the description</text>
  </threadedComment>
  <threadedComment ref="D179" dT="2026-03-28T10:02:27.72" personId="{4CC74934-B509-4C65-BCCB-C64EFAA4624D}" id="{30FE9BE7-F861-4E6E-8D0C-11D799A43097}" done="1">
    <text>“# of farmers provided with agricultural inputs with WFF support”. I think the second part “using them correctly,” could be a separate indicator measured through a survey.</text>
  </threadedComment>
  <threadedComment ref="D180" dT="2026-03-28T10:04:07.38" personId="{4CC74934-B509-4C65-BCCB-C64EFAA4624D}" id="{A804AFF7-F3C4-4AC1-94F9-8EF6C71E787E}" done="1">
    <text>“# of formal supplier–cooperative agreements established to link farmers with suppliers”</text>
  </threadedComment>
  <threadedComment ref="D181" dT="2026-03-28T10:05:05.18" personId="{4CC74934-B509-4C65-BCCB-C64EFAA4624D}" id="{6EE861C5-A583-489C-8634-4CAFA781E64F}" done="1">
    <text>The output and the indicator are not specific to awareness /behavior on what.</text>
  </threadedComment>
  <threadedComment ref="D182" dT="2026-03-28T10:07:00.40" personId="{4CC74934-B509-4C65-BCCB-C64EFAA4624D}" id="{FAE60557-34D2-4CB2-8235-2209F2803E4C}" done="1">
    <text xml:space="preserve">Isnt this the same as the output in row 171? Also wouldn’t every 6 months be a bit costly to monitor.
</text>
  </threadedComment>
  <threadedComment ref="D183" dT="2026-03-28T11:02:15.23" personId="{4CC74934-B509-4C65-BCCB-C64EFAA4624D}" id="{958B5BF3-6283-4335-A963-0DE28C90CC42}" done="1">
    <text>This will most likely be done in a survey and would therefore recommend it is measured as a %ge.  Maybe “% of farmers practicing improved agricultural practices” adoption is also an outcome level result thought the indicators is well aligned to the output.</text>
  </threadedComment>
  <threadedComment ref="D184" dT="2026-03-28T11:04:34.63" personId="{4CC74934-B509-4C65-BCCB-C64EFAA4624D}" id="{B1F2596D-12F8-4779-B231-D3C775071C27}" done="1">
    <text>The output is on strengthening of the agric platforms and cooperatives. Do we assume if the farmers are participating in cooperative is a measure of how strong the cooperative is.</text>
  </threadedComment>
  <threadedComment ref="D187" dT="2026-03-28T11:07:41.88" personId="{4CC74934-B509-4C65-BCCB-C64EFAA4624D}" id="{4F5EE173-32BD-486F-BBA2-81B632C4FE32}" done="1">
    <text>“% of committee members trained on forest management who demonstrate improved forest management practices”
if the goal is to measure adoption, I would recommend using %</text>
  </threadedComment>
  <threadedComment ref="C188" dT="2026-03-28T11:08:35.16" personId="{4CC74934-B509-4C65-BCCB-C64EFAA4624D}" id="{53A1CA30-0D4A-48DB-B1C5-D42CFEB06B73}">
    <text>The output is not so clear.. Monitoring system for what exactly.</text>
  </threadedComment>
  <threadedComment ref="D188" dT="2026-03-28T11:10:06.10" personId="{4CC74934-B509-4C65-BCCB-C64EFAA4624D}" id="{1135C72A-1CD8-48F7-AB8F-01324DA0376D}" done="1">
    <text>Not so clear is the intention here to establish how many of the monitored forest are compliant?</text>
  </threadedComment>
  <threadedComment ref="C192" dT="2026-03-28T11:12:08.75" personId="{4CC74934-B509-4C65-BCCB-C64EFAA4624D}" id="{5601981E-D7A1-4FC2-931B-9626E04AE08A}">
    <text>Both the output and the indicators are not specific.. Trained on what?</text>
  </threadedComment>
  <threadedComment ref="D192" dT="2026-03-28T11:13:30.15" personId="{4CC74934-B509-4C65-BCCB-C64EFAA4624D}" id="{5502FE87-726B-4D5B-8AD9-D63782FE61BA}" done="1">
    <text>The indicator has two measuring units which potentially overlap.. Companies and individuals. Also make it specific by indicating what they are being trained on.</text>
  </threadedComment>
  <threadedComment ref="D194" dT="2026-03-28T11:16:51.09" personId="{4CC74934-B509-4C65-BCCB-C64EFAA4624D}" id="{75086159-DA70-471B-97E3-F4C0C986BACF}" done="1">
    <text>The indicator is not specific. “% of established Grievance Redress Mechanisms (GRM) or Whistleblower systems that are operational” and then set the value format as num/denom. You might need to define functionality based on number of complaints received and resolved or any other way.</text>
  </threadedComment>
  <threadedComment ref="D196" dT="2026-03-28T14:40:59.48" personId="{4CC74934-B509-4C65-BCCB-C64EFAA4624D}" id="{4C7A5BDC-8AB9-4196-B2E0-C309FD09D6F5}" done="1">
    <text>The indicator is not specific. Is this a system for monitoring compliance with forest regulations? If so, we could have the indicator as “Number of systems developed to monitor compliance with forest regulations” if we want to focus on the operability of the systems developed. I would suggest something like “% of forest compliance monitoring systems established that are operational” and have the type as num/denom this way the numerator will be the the # operational and denominator # established.</text>
  </threadedComment>
  <threadedComment ref="D197" dT="2026-03-28T14:47:01.71" personId="{4CC74934-B509-4C65-BCCB-C64EFAA4624D}" id="{0BA3FBAE-8FA9-490C-875F-E02097F1E818}" done="1">
    <text>Since we have a finite landscape.. This would be better as % of landscape…..</text>
  </threadedComment>
  <threadedComment ref="E198" dT="2026-03-28T14:47:55.65" personId="{4CC74934-B509-4C65-BCCB-C64EFAA4624D}" id="{DC223F72-2B73-4F63-B9CE-919C33B5C6C6}">
    <text>The description is not giving info on indicators.</text>
  </threadedComment>
  <threadedComment ref="D200" dT="2026-03-28T16:00:46.55" personId="{4CC74934-B509-4C65-BCCB-C64EFAA4624D}" id="{0D937CB2-F028-4BC7-B147-11EFF04FA257}" done="1">
    <text>If we say its restored, that would be impact, because it would mean its functionality is restored. We could say under restoration</text>
  </threadedComment>
  <threadedComment ref="D201" dT="2026-03-28T16:01:19.05" personId="{4CC74934-B509-4C65-BCCB-C64EFAA4624D}" id="{84C247E3-F9F9-47B8-B8B6-7F06284B1992}">
    <text>Indicator not specific.. Trained on ____</text>
  </threadedComment>
  <threadedComment ref="D202" dT="2026-03-28T16:01:52.88" personId="{4CC74934-B509-4C65-BCCB-C64EFAA4624D}" id="{45D28786-716C-459E-B45D-78C3F2D1CB90}">
    <text>Areas under restoration.. Instead of restored</text>
  </threadedComment>
  <threadedComment ref="D203" dT="2026-03-28T16:09:40.17" personId="{4CC74934-B509-4C65-BCCB-C64EFAA4624D}" id="{8C305933-BB85-4A08-BB1F-307A8684A138}">
    <text>We could be more specfic by indicating what the peer-peer would be on.. Forest, IPLC rights, etc</text>
  </threadedComment>
  <threadedComment ref="D204" dT="2026-03-28T16:13:16.42" personId="{4CC74934-B509-4C65-BCCB-C64EFAA4624D}" id="{1769D5A6-EBEB-4E6D-AB25-BC0F2CD29CE5}">
    <text>“Number of comprehensive reviews on biodiversity policies and legal instruments  completed and validated” to make it more specific</text>
  </threadedComment>
  <threadedComment ref="D206" dT="2026-03-28T16:14:12.72" personId="{4CC74934-B509-4C65-BCCB-C64EFAA4624D}" id="{7338FA95-3AD8-4804-8C01-331D061B89B9}" done="1">
    <text># of CSO coalitions formed/engaged with joint actions undertaken to influence forest policy</text>
  </threadedComment>
  <threadedComment ref="D207" dT="2026-03-28T16:15:22.02" personId="{4CC74934-B509-4C65-BCCB-C64EFAA4624D}" id="{D2326800-A857-423D-A043-C325D2D27C16}">
    <text>“Number of drafted or revised legal and policy instruments on biodiversity protection officially submitted to government authorities”</text>
  </threadedComment>
  <threadedComment ref="D208" dT="2026-03-28T16:16:48.51" personId="{4CC74934-B509-4C65-BCCB-C64EFAA4624D}" id="{4060213F-4E0F-45AB-A5D8-D6E59066AD85}" done="1">
    <text>“# of high-level meetings/dialogues held with government representatives to advocate for natural resources conservation/protection policies”</text>
  </threadedComment>
  <threadedComment ref="D209" dT="2026-03-28T16:17:16.81" personId="{4CC74934-B509-4C65-BCCB-C64EFAA4624D}" id="{F1DB397C-B62C-4EEB-844B-17A4687E9462}" done="1">
    <text>Number of technical briefs or strategic policy documents officially published and disseminated on natural resources conservation/protection</text>
  </threadedComment>
  <threadedComment ref="D210" dT="2026-03-28T16:18:12.78" personId="{4CC74934-B509-4C65-BCCB-C64EFAA4624D}" id="{C51BF965-D042-4FD5-BC25-FD72A7366343}" done="1">
    <text xml:space="preserve">--- on  natural resources conservation/protection </text>
  </threadedComment>
  <threadedComment ref="D211" dT="2026-03-28T16:19:48.12" personId="{4CC74934-B509-4C65-BCCB-C64EFAA4624D}" id="{299BC85E-36D9-48D9-85BD-C8497CEEC9F5}" done="1">
    <text xml:space="preserve">… on natural resource conservation/protection </text>
  </threadedComment>
  <threadedComment ref="D218" dT="2026-03-28T17:23:29.11" personId="{4CC74934-B509-4C65-BCCB-C64EFAA4624D}" id="{67306550-D6D5-470E-9303-192FEB87211F}">
    <text>This seem like a status indicator, a yes/no kind of indicator. Would it be better to say “Existence of an operational logistics tool” then explain the tool and how it will be determined that is operational in the indicator definition.</text>
  </threadedComment>
  <threadedComment ref="D221" dT="2026-03-28T17:24:31.12" personId="{4CC74934-B509-4C65-BCCB-C64EFAA4624D}" id="{B9C9D745-6527-4820-A5B9-394EDD33B1F6}" done="1">
    <text>% of staff satisfied with logistic services offered by WWF</text>
  </threadedComment>
  <threadedComment ref="D223" dT="2026-03-28T17:32:41.91" personId="{4CC74934-B509-4C65-BCCB-C64EFAA4624D}" id="{51159342-B7DC-490F-A0CD-4E4EBE56CB28}" done="1">
    <text>% monthly internet connection uptime</text>
  </threadedComment>
  <threadedComment ref="D226" dT="2026-03-28T17:37:31.56" personId="{4CC74934-B509-4C65-BCCB-C64EFAA4624D}" id="{57D1025F-42C9-4AB9-897E-40724E88CDDD}" done="1">
    <text>Three indicators in one cell. 
donor compliance reports submitted on time-- &gt; “% of donor reports submitted on time”</text>
  </threadedComment>
  <threadedComment ref="D226" dT="2026-03-28T18:08:53.50" personId="{4CC74934-B509-4C65-BCCB-C64EFAA4624D}" id="{A8EF2769-0E25-41C1-8CA2-A89A672E72C6}" parentId="{57D1025F-42C9-4AB9-897E-40724E88CDDD}">
    <text xml:space="preserve"> % of staff and partners reporting increased trust --&gt; “Level of staff and stakeholder trust in the Country Office “ or “% of staff and partners reporting trust in the organization</text>
  </threadedComment>
  <threadedComment ref="D235" dT="2026-03-28T18:17:36.72" personId="{4CC74934-B509-4C65-BCCB-C64EFAA4624D}" id="{78B897E3-99B3-4241-8944-978B19C4A94C}" done="1">
    <text>Three items in one cell. Please separate and structure them better as indicators</text>
  </threadedComment>
  <threadedComment ref="D239" dT="2026-03-28T18:21:49.24" personId="{4CC74934-B509-4C65-BCCB-C64EFAA4624D}" id="{B02D0A83-1388-41E8-A8DA-1CCA476A011F}" done="1">
    <text>Same as above, separate and remove the targets as those have a different place, and measure just turn over instead of reduction..</text>
  </threadedComment>
  <threadedComment ref="D240" dT="2026-03-28T18:22:11.71" personId="{4CC74934-B509-4C65-BCCB-C64EFAA4624D}" id="{3E47C0F8-EB44-41EE-BBA6-C9F41FBC6025}" done="1">
    <text>Separate to different rows.</text>
  </threadedComment>
  <threadedComment ref="D242" dT="2026-03-28T18:23:15.87" personId="{4CC74934-B509-4C65-BCCB-C64EFAA4624D}" id="{C94634FF-C7F4-4FCC-85F6-B94B6D539F11}" done="1">
    <text>Separate. I don’t believe we need to measure number of updates..</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9/04/relationships/documenttask" Target="../documenttasks/documenttask1.xml"/><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cbd.int/gbf/targets/7/" TargetMode="External"/><Relationship Id="rId13" Type="http://schemas.openxmlformats.org/officeDocument/2006/relationships/hyperlink" Target="https://www.cbd.int/gbf/targets/12/" TargetMode="External"/><Relationship Id="rId18" Type="http://schemas.openxmlformats.org/officeDocument/2006/relationships/hyperlink" Target="https://www.cbd.int/gbf/targets/17/" TargetMode="External"/><Relationship Id="rId3" Type="http://schemas.openxmlformats.org/officeDocument/2006/relationships/hyperlink" Target="https://www.cbd.int/gbf/targets/2/" TargetMode="External"/><Relationship Id="rId21" Type="http://schemas.openxmlformats.org/officeDocument/2006/relationships/hyperlink" Target="https://www.cbd.int/gbf/targets/20/" TargetMode="External"/><Relationship Id="rId7" Type="http://schemas.openxmlformats.org/officeDocument/2006/relationships/hyperlink" Target="https://www.cbd.int/gbf/targets/6/" TargetMode="External"/><Relationship Id="rId12" Type="http://schemas.openxmlformats.org/officeDocument/2006/relationships/hyperlink" Target="https://www.cbd.int/gbf/targets/11/" TargetMode="External"/><Relationship Id="rId17" Type="http://schemas.openxmlformats.org/officeDocument/2006/relationships/hyperlink" Target="https://www.cbd.int/gbf/targets/16/" TargetMode="External"/><Relationship Id="rId2" Type="http://schemas.openxmlformats.org/officeDocument/2006/relationships/hyperlink" Target="https://www.cbd.int/gbf/targets/1" TargetMode="External"/><Relationship Id="rId16" Type="http://schemas.openxmlformats.org/officeDocument/2006/relationships/hyperlink" Target="https://www.cbd.int/gbf/targets/15/" TargetMode="External"/><Relationship Id="rId20" Type="http://schemas.openxmlformats.org/officeDocument/2006/relationships/hyperlink" Target="https://www.cbd.int/gbf/targets/19/" TargetMode="External"/><Relationship Id="rId1" Type="http://schemas.openxmlformats.org/officeDocument/2006/relationships/hyperlink" Target="https://www.cbd.int/gbf/targets/" TargetMode="External"/><Relationship Id="rId6" Type="http://schemas.openxmlformats.org/officeDocument/2006/relationships/hyperlink" Target="https://www.cbd.int/gbf/targets/5/" TargetMode="External"/><Relationship Id="rId11" Type="http://schemas.openxmlformats.org/officeDocument/2006/relationships/hyperlink" Target="https://www.cbd.int/gbf/targets/10/" TargetMode="External"/><Relationship Id="rId24" Type="http://schemas.openxmlformats.org/officeDocument/2006/relationships/hyperlink" Target="https://www.cbd.int/gbf/targets/23/" TargetMode="External"/><Relationship Id="rId5" Type="http://schemas.openxmlformats.org/officeDocument/2006/relationships/hyperlink" Target="https://www.cbd.int/gbf/targets/4/" TargetMode="External"/><Relationship Id="rId15" Type="http://schemas.openxmlformats.org/officeDocument/2006/relationships/hyperlink" Target="https://www.cbd.int/gbf/targets/14/" TargetMode="External"/><Relationship Id="rId23" Type="http://schemas.openxmlformats.org/officeDocument/2006/relationships/hyperlink" Target="https://www.cbd.int/gbf/targets/22/" TargetMode="External"/><Relationship Id="rId10" Type="http://schemas.openxmlformats.org/officeDocument/2006/relationships/hyperlink" Target="https://www.cbd.int/gbf/targets/9/" TargetMode="External"/><Relationship Id="rId19" Type="http://schemas.openxmlformats.org/officeDocument/2006/relationships/hyperlink" Target="https://www.cbd.int/gbf/targets/18/" TargetMode="External"/><Relationship Id="rId4" Type="http://schemas.openxmlformats.org/officeDocument/2006/relationships/hyperlink" Target="https://www.cbd.int/gbf/targets/3/" TargetMode="External"/><Relationship Id="rId9" Type="http://schemas.openxmlformats.org/officeDocument/2006/relationships/hyperlink" Target="https://www.cbd.int/gbf/targets/8/" TargetMode="External"/><Relationship Id="rId14" Type="http://schemas.openxmlformats.org/officeDocument/2006/relationships/hyperlink" Target="https://www.cbd.int/gbf/targets/13/" TargetMode="External"/><Relationship Id="rId22" Type="http://schemas.openxmlformats.org/officeDocument/2006/relationships/hyperlink" Target="https://www.cbd.int/gbf/targets/21/"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outlinePr summaryBelow="0" summaryRight="0"/>
  </sheetPr>
  <dimension ref="A1:AJ960"/>
  <sheetViews>
    <sheetView showGridLines="0" tabSelected="1" topLeftCell="W2" zoomScale="90" zoomScaleNormal="90" workbookViewId="0">
      <pane ySplit="1" topLeftCell="A72" activePane="bottomLeft" state="frozen"/>
      <selection pane="bottomLeft" activeCell="AB2" sqref="AB1:AB1048576"/>
    </sheetView>
  </sheetViews>
  <sheetFormatPr defaultColWidth="12.7265625" defaultRowHeight="15" customHeight="1"/>
  <cols>
    <col min="1" max="1" width="34.453125" style="100" customWidth="1"/>
    <col min="2" max="2" width="23.26953125" style="23" customWidth="1"/>
    <col min="3" max="3" width="43.453125" style="96" customWidth="1"/>
    <col min="4" max="4" width="40.81640625" style="96" customWidth="1"/>
    <col min="5" max="5" width="44.81640625" customWidth="1"/>
    <col min="6" max="8" width="13.26953125" customWidth="1"/>
    <col min="9" max="9" width="17.26953125" customWidth="1"/>
    <col min="10" max="10" width="17.1796875" customWidth="1"/>
    <col min="11" max="11" width="27.26953125" customWidth="1"/>
    <col min="12" max="12" width="24.54296875" style="547" customWidth="1"/>
    <col min="13" max="13" width="25.81640625" hidden="1" customWidth="1"/>
    <col min="14" max="14" width="48.7265625" customWidth="1"/>
    <col min="15" max="15" width="56.54296875" hidden="1" customWidth="1"/>
    <col min="16" max="16" width="16.81640625" customWidth="1"/>
    <col min="17" max="17" width="16.1796875" customWidth="1"/>
    <col min="18" max="18" width="14.26953125" customWidth="1"/>
    <col min="19" max="19" width="33.453125" customWidth="1"/>
    <col min="20" max="20" width="31.26953125" customWidth="1"/>
    <col min="21" max="21" width="17.26953125" customWidth="1"/>
    <col min="22" max="22" width="36.26953125" customWidth="1"/>
    <col min="23" max="23" width="57.26953125" customWidth="1"/>
    <col min="24" max="24" width="36.81640625" hidden="1" customWidth="1"/>
    <col min="25" max="25" width="27.26953125" hidden="1" customWidth="1"/>
    <col min="26" max="26" width="3" hidden="1" customWidth="1"/>
    <col min="28" max="28" width="30.7265625" style="894" customWidth="1"/>
  </cols>
  <sheetData>
    <row r="1" spans="1:35" ht="75" customHeight="1">
      <c r="A1" s="99"/>
      <c r="B1" s="78"/>
      <c r="C1" s="95"/>
      <c r="D1" s="95"/>
      <c r="E1" s="716" t="s">
        <v>0</v>
      </c>
      <c r="F1" s="717"/>
      <c r="G1" s="717"/>
      <c r="H1" s="717"/>
      <c r="I1" s="717"/>
      <c r="J1" s="717"/>
      <c r="K1" s="79"/>
      <c r="L1" s="79"/>
      <c r="M1" s="79"/>
      <c r="N1" s="79"/>
      <c r="O1" s="79"/>
      <c r="P1" s="79"/>
      <c r="Q1" s="79"/>
      <c r="R1" s="80"/>
      <c r="S1" s="80"/>
      <c r="T1" s="80"/>
      <c r="U1" s="80"/>
      <c r="V1" s="80"/>
      <c r="W1" s="80"/>
      <c r="X1" s="80"/>
      <c r="Y1" s="80"/>
      <c r="Z1" s="547"/>
      <c r="AA1" s="80"/>
      <c r="AB1" s="883"/>
      <c r="AC1" s="547"/>
      <c r="AD1" s="547"/>
      <c r="AE1" s="547"/>
      <c r="AF1" s="547"/>
      <c r="AG1" s="547"/>
      <c r="AH1" s="547"/>
      <c r="AI1" s="547"/>
    </row>
    <row r="2" spans="1:35" ht="63.65" customHeight="1">
      <c r="A2" s="97" t="s">
        <v>1</v>
      </c>
      <c r="B2" s="20" t="s">
        <v>2</v>
      </c>
      <c r="C2" s="20" t="s">
        <v>3</v>
      </c>
      <c r="D2" s="20" t="s">
        <v>4</v>
      </c>
      <c r="E2" s="579" t="s">
        <v>5</v>
      </c>
      <c r="F2" s="1" t="s">
        <v>6</v>
      </c>
      <c r="G2" s="1" t="s">
        <v>7</v>
      </c>
      <c r="H2" s="1" t="s">
        <v>8</v>
      </c>
      <c r="I2" s="1" t="s">
        <v>9</v>
      </c>
      <c r="J2" s="1" t="s">
        <v>10</v>
      </c>
      <c r="K2" s="1" t="s">
        <v>11</v>
      </c>
      <c r="L2" s="590" t="s">
        <v>12</v>
      </c>
      <c r="M2" s="1" t="s">
        <v>13</v>
      </c>
      <c r="N2" s="1" t="s">
        <v>14</v>
      </c>
      <c r="O2" s="1" t="s">
        <v>15</v>
      </c>
      <c r="P2" s="1" t="s">
        <v>16</v>
      </c>
      <c r="Q2" s="1" t="s">
        <v>17</v>
      </c>
      <c r="R2" s="1" t="s">
        <v>18</v>
      </c>
      <c r="S2" s="2" t="s">
        <v>19</v>
      </c>
      <c r="T2" s="1" t="s">
        <v>20</v>
      </c>
      <c r="U2" s="1" t="s">
        <v>21</v>
      </c>
      <c r="V2" s="1" t="s">
        <v>22</v>
      </c>
      <c r="W2" s="1" t="s">
        <v>23</v>
      </c>
      <c r="X2" s="1" t="s">
        <v>24</v>
      </c>
      <c r="Y2" s="1" t="s">
        <v>25</v>
      </c>
      <c r="Z2" s="548" t="s">
        <v>26</v>
      </c>
      <c r="AA2" s="20" t="s">
        <v>27</v>
      </c>
      <c r="AB2" s="579" t="s">
        <v>26</v>
      </c>
      <c r="AC2" s="20" t="s">
        <v>28</v>
      </c>
      <c r="AD2" s="20" t="s">
        <v>29</v>
      </c>
      <c r="AE2" s="20" t="s">
        <v>30</v>
      </c>
      <c r="AF2" s="20" t="s">
        <v>31</v>
      </c>
      <c r="AG2" s="20" t="s">
        <v>32</v>
      </c>
      <c r="AH2" s="20" t="s">
        <v>33</v>
      </c>
      <c r="AI2" s="20" t="s">
        <v>34</v>
      </c>
    </row>
    <row r="3" spans="1:35" ht="43.15" customHeight="1">
      <c r="A3" s="98" t="s">
        <v>35</v>
      </c>
      <c r="B3" s="94">
        <v>1.1000000000000001</v>
      </c>
      <c r="C3" s="92" t="s">
        <v>36</v>
      </c>
      <c r="D3" s="93" t="s">
        <v>37</v>
      </c>
      <c r="E3" s="93" t="s">
        <v>38</v>
      </c>
      <c r="F3" s="91" t="s">
        <v>39</v>
      </c>
      <c r="G3" s="5" t="s">
        <v>40</v>
      </c>
      <c r="H3" s="3" t="s">
        <v>41</v>
      </c>
      <c r="I3" s="3" t="s">
        <v>42</v>
      </c>
      <c r="J3" s="3" t="s">
        <v>43</v>
      </c>
      <c r="K3" s="90" t="s">
        <v>44</v>
      </c>
      <c r="L3" s="584"/>
      <c r="M3" s="3" t="s">
        <v>45</v>
      </c>
      <c r="N3" s="90" t="s">
        <v>46</v>
      </c>
      <c r="O3" s="3"/>
      <c r="P3" s="3"/>
      <c r="Q3" s="3"/>
      <c r="R3" s="3"/>
      <c r="S3" s="3"/>
      <c r="T3" s="3"/>
      <c r="U3" s="3"/>
      <c r="V3" s="21"/>
      <c r="W3" s="22"/>
      <c r="X3" s="3"/>
      <c r="Y3" s="4"/>
      <c r="Z3" s="339"/>
      <c r="AA3" s="596"/>
      <c r="AB3" s="884"/>
      <c r="AC3" s="547"/>
      <c r="AD3" s="547"/>
      <c r="AE3" s="547"/>
      <c r="AF3" s="547"/>
      <c r="AG3" s="547"/>
      <c r="AH3" s="547"/>
      <c r="AI3" s="547"/>
    </row>
    <row r="4" spans="1:35" ht="72.650000000000006" customHeight="1">
      <c r="A4" s="98" t="s">
        <v>35</v>
      </c>
      <c r="B4" s="94"/>
      <c r="C4" s="92"/>
      <c r="D4" s="93" t="s">
        <v>47</v>
      </c>
      <c r="E4" s="93" t="s">
        <v>48</v>
      </c>
      <c r="F4" s="91"/>
      <c r="G4" s="5"/>
      <c r="H4" s="3"/>
      <c r="I4" s="3" t="s">
        <v>49</v>
      </c>
      <c r="J4" s="3"/>
      <c r="K4" s="90" t="s">
        <v>44</v>
      </c>
      <c r="L4" s="584"/>
      <c r="M4" s="3"/>
      <c r="N4" s="90" t="s">
        <v>46</v>
      </c>
      <c r="O4" s="3"/>
      <c r="P4" s="3"/>
      <c r="Q4" s="3"/>
      <c r="R4" s="3"/>
      <c r="S4" s="3"/>
      <c r="T4" s="3"/>
      <c r="U4" s="3"/>
      <c r="V4" s="21"/>
      <c r="W4" s="22"/>
      <c r="X4" s="3"/>
      <c r="Y4" s="4" t="s">
        <v>50</v>
      </c>
      <c r="Z4" s="339"/>
      <c r="AA4" s="596"/>
      <c r="AB4" s="884"/>
      <c r="AC4" s="547"/>
      <c r="AD4" s="547"/>
      <c r="AE4" s="547"/>
      <c r="AF4" s="547"/>
      <c r="AG4" s="547"/>
      <c r="AH4" s="547"/>
      <c r="AI4" s="547"/>
    </row>
    <row r="5" spans="1:35" ht="72.650000000000006" customHeight="1">
      <c r="A5" s="98" t="s">
        <v>35</v>
      </c>
      <c r="B5" s="94"/>
      <c r="C5" s="92"/>
      <c r="D5" s="93" t="s">
        <v>51</v>
      </c>
      <c r="E5" s="93" t="s">
        <v>52</v>
      </c>
      <c r="F5" s="91"/>
      <c r="G5" s="5"/>
      <c r="H5" s="3"/>
      <c r="I5" s="3" t="s">
        <v>53</v>
      </c>
      <c r="J5" s="3"/>
      <c r="K5" s="90" t="s">
        <v>44</v>
      </c>
      <c r="L5" s="584"/>
      <c r="M5" s="3"/>
      <c r="N5" s="90" t="s">
        <v>54</v>
      </c>
      <c r="O5" s="3"/>
      <c r="P5" s="3"/>
      <c r="Q5" s="3"/>
      <c r="R5" s="3"/>
      <c r="S5" s="3"/>
      <c r="T5" s="3"/>
      <c r="U5" s="3"/>
      <c r="V5" s="21"/>
      <c r="W5" s="22"/>
      <c r="X5" s="3"/>
      <c r="Y5" s="4" t="s">
        <v>50</v>
      </c>
      <c r="Z5" s="339"/>
      <c r="AA5" s="596"/>
      <c r="AB5" s="884"/>
      <c r="AC5" s="547"/>
      <c r="AD5" s="547"/>
      <c r="AE5" s="547"/>
      <c r="AF5" s="547"/>
      <c r="AG5" s="547"/>
      <c r="AH5" s="547"/>
      <c r="AI5" s="547"/>
    </row>
    <row r="6" spans="1:35" ht="72.650000000000006" customHeight="1">
      <c r="A6" s="98" t="s">
        <v>35</v>
      </c>
      <c r="B6" s="94"/>
      <c r="C6" s="92"/>
      <c r="D6" s="93" t="s">
        <v>55</v>
      </c>
      <c r="E6" s="93" t="s">
        <v>56</v>
      </c>
      <c r="F6" s="91"/>
      <c r="G6" s="5"/>
      <c r="H6" s="3"/>
      <c r="I6" s="3" t="s">
        <v>53</v>
      </c>
      <c r="J6" s="3"/>
      <c r="K6" s="90" t="s">
        <v>44</v>
      </c>
      <c r="L6" s="584"/>
      <c r="M6" s="3"/>
      <c r="N6" s="90" t="s">
        <v>57</v>
      </c>
      <c r="O6" s="3"/>
      <c r="P6" s="3"/>
      <c r="Q6" s="3"/>
      <c r="R6" s="3"/>
      <c r="S6" s="3"/>
      <c r="T6" s="3"/>
      <c r="U6" s="3"/>
      <c r="V6" s="21"/>
      <c r="W6" s="22"/>
      <c r="X6" s="3"/>
      <c r="Y6" s="4" t="s">
        <v>50</v>
      </c>
      <c r="Z6" s="339"/>
      <c r="AA6" s="596"/>
      <c r="AB6" s="884"/>
      <c r="AC6" s="547"/>
      <c r="AD6" s="547"/>
      <c r="AE6" s="547"/>
      <c r="AF6" s="547"/>
      <c r="AG6" s="547"/>
      <c r="AH6" s="547"/>
      <c r="AI6" s="547"/>
    </row>
    <row r="7" spans="1:35" ht="72.650000000000006" customHeight="1">
      <c r="A7" s="98" t="s">
        <v>35</v>
      </c>
      <c r="B7" s="94"/>
      <c r="C7" s="92"/>
      <c r="D7" s="93" t="s">
        <v>58</v>
      </c>
      <c r="E7" s="93" t="s">
        <v>59</v>
      </c>
      <c r="F7" s="91"/>
      <c r="G7" s="5"/>
      <c r="H7" s="3"/>
      <c r="I7" s="3" t="s">
        <v>53</v>
      </c>
      <c r="J7" s="3"/>
      <c r="K7" s="90" t="s">
        <v>44</v>
      </c>
      <c r="L7" s="584"/>
      <c r="M7" s="3"/>
      <c r="N7" s="90" t="s">
        <v>60</v>
      </c>
      <c r="O7" s="3"/>
      <c r="P7" s="3"/>
      <c r="Q7" s="3"/>
      <c r="R7" s="3"/>
      <c r="S7" s="3"/>
      <c r="T7" s="3"/>
      <c r="U7" s="3"/>
      <c r="V7" s="21"/>
      <c r="W7" s="22"/>
      <c r="X7" s="3"/>
      <c r="Y7" s="4" t="s">
        <v>50</v>
      </c>
      <c r="Z7" s="339"/>
      <c r="AA7" s="596"/>
      <c r="AB7" s="884"/>
      <c r="AC7" s="547"/>
      <c r="AD7" s="547"/>
      <c r="AE7" s="547"/>
      <c r="AF7" s="547"/>
      <c r="AG7" s="547"/>
      <c r="AH7" s="547"/>
      <c r="AI7" s="547"/>
    </row>
    <row r="8" spans="1:35" ht="43.15" customHeight="1">
      <c r="A8" s="98" t="s">
        <v>35</v>
      </c>
      <c r="B8" s="94">
        <v>1.2</v>
      </c>
      <c r="C8" s="92" t="s">
        <v>61</v>
      </c>
      <c r="D8" s="93" t="s">
        <v>62</v>
      </c>
      <c r="E8" s="93" t="s">
        <v>38</v>
      </c>
      <c r="F8" s="91" t="s">
        <v>39</v>
      </c>
      <c r="G8" s="5" t="s">
        <v>40</v>
      </c>
      <c r="H8" s="3" t="s">
        <v>41</v>
      </c>
      <c r="I8" s="3" t="s">
        <v>42</v>
      </c>
      <c r="J8" s="3" t="s">
        <v>43</v>
      </c>
      <c r="K8" s="90" t="s">
        <v>63</v>
      </c>
      <c r="L8" s="584"/>
      <c r="M8" s="3" t="s">
        <v>64</v>
      </c>
      <c r="N8" s="90" t="s">
        <v>46</v>
      </c>
      <c r="O8" s="3"/>
      <c r="P8" s="3"/>
      <c r="Q8" s="3"/>
      <c r="R8" s="3"/>
      <c r="S8" s="3"/>
      <c r="T8" s="3"/>
      <c r="U8" s="3"/>
      <c r="V8" s="21"/>
      <c r="W8" s="22"/>
      <c r="X8" s="3"/>
      <c r="Y8" s="4"/>
      <c r="Z8" s="339"/>
      <c r="AA8" s="596"/>
      <c r="AB8" s="884"/>
      <c r="AC8" s="547"/>
      <c r="AD8" s="547"/>
      <c r="AE8" s="547"/>
      <c r="AF8" s="547"/>
      <c r="AG8" s="547"/>
      <c r="AH8" s="547"/>
      <c r="AI8" s="547"/>
    </row>
    <row r="9" spans="1:35" ht="101.5" customHeight="1">
      <c r="A9" s="98" t="s">
        <v>35</v>
      </c>
      <c r="B9" s="94"/>
      <c r="C9" s="92"/>
      <c r="D9" s="93" t="s">
        <v>65</v>
      </c>
      <c r="E9" s="93" t="s">
        <v>48</v>
      </c>
      <c r="F9" s="91"/>
      <c r="G9" s="5"/>
      <c r="H9" s="3"/>
      <c r="I9" s="3" t="s">
        <v>49</v>
      </c>
      <c r="J9" s="3"/>
      <c r="K9" s="90" t="s">
        <v>66</v>
      </c>
      <c r="L9" s="584"/>
      <c r="M9" s="3"/>
      <c r="N9" s="90" t="s">
        <v>67</v>
      </c>
      <c r="O9" s="3"/>
      <c r="P9" s="3"/>
      <c r="Q9" s="3"/>
      <c r="R9" s="3"/>
      <c r="S9" s="3"/>
      <c r="T9" s="3"/>
      <c r="U9" s="3"/>
      <c r="V9" s="21"/>
      <c r="W9" s="22"/>
      <c r="X9" s="3"/>
      <c r="Y9" s="4" t="s">
        <v>50</v>
      </c>
      <c r="Z9" s="339"/>
      <c r="AA9" s="596"/>
      <c r="AB9" s="884"/>
      <c r="AC9" s="547"/>
      <c r="AD9" s="547"/>
      <c r="AE9" s="547"/>
      <c r="AF9" s="547"/>
      <c r="AG9" s="547"/>
      <c r="AH9" s="547"/>
      <c r="AI9" s="547"/>
    </row>
    <row r="10" spans="1:35" ht="101.5" customHeight="1">
      <c r="A10" s="98" t="s">
        <v>35</v>
      </c>
      <c r="B10" s="94"/>
      <c r="C10" s="92"/>
      <c r="D10" s="93" t="s">
        <v>68</v>
      </c>
      <c r="E10" s="93" t="s">
        <v>52</v>
      </c>
      <c r="F10" s="91"/>
      <c r="G10" s="5"/>
      <c r="H10" s="3"/>
      <c r="I10" s="3" t="s">
        <v>53</v>
      </c>
      <c r="J10" s="3"/>
      <c r="K10" s="90" t="s">
        <v>66</v>
      </c>
      <c r="L10" s="584"/>
      <c r="M10" s="3"/>
      <c r="N10" s="90" t="s">
        <v>54</v>
      </c>
      <c r="O10" s="3"/>
      <c r="P10" s="3"/>
      <c r="Q10" s="3"/>
      <c r="R10" s="3"/>
      <c r="S10" s="3"/>
      <c r="T10" s="3"/>
      <c r="U10" s="3"/>
      <c r="V10" s="21"/>
      <c r="W10" s="22"/>
      <c r="X10" s="3"/>
      <c r="Y10" s="4" t="s">
        <v>50</v>
      </c>
      <c r="Z10" s="339"/>
      <c r="AA10" s="596"/>
      <c r="AB10" s="884"/>
      <c r="AC10" s="547"/>
      <c r="AD10" s="547"/>
      <c r="AE10" s="547"/>
      <c r="AF10" s="547"/>
      <c r="AG10" s="547"/>
      <c r="AH10" s="547"/>
      <c r="AI10" s="547"/>
    </row>
    <row r="11" spans="1:35" ht="101.5" customHeight="1">
      <c r="A11" s="98" t="s">
        <v>35</v>
      </c>
      <c r="B11" s="94"/>
      <c r="C11" s="92"/>
      <c r="D11" s="93" t="s">
        <v>69</v>
      </c>
      <c r="E11" s="93" t="s">
        <v>56</v>
      </c>
      <c r="F11" s="91"/>
      <c r="G11" s="5"/>
      <c r="H11" s="3"/>
      <c r="I11" s="3" t="s">
        <v>53</v>
      </c>
      <c r="J11" s="3"/>
      <c r="K11" s="90" t="s">
        <v>63</v>
      </c>
      <c r="L11" s="584"/>
      <c r="M11" s="3"/>
      <c r="N11" s="90" t="s">
        <v>57</v>
      </c>
      <c r="O11" s="3"/>
      <c r="P11" s="3"/>
      <c r="Q11" s="3"/>
      <c r="R11" s="3"/>
      <c r="S11" s="3"/>
      <c r="T11" s="3"/>
      <c r="U11" s="3"/>
      <c r="V11" s="21"/>
      <c r="W11" s="22"/>
      <c r="X11" s="3"/>
      <c r="Y11" s="4" t="s">
        <v>50</v>
      </c>
      <c r="Z11" s="339"/>
      <c r="AA11" s="596"/>
      <c r="AB11" s="884"/>
      <c r="AC11" s="547"/>
      <c r="AD11" s="547"/>
      <c r="AE11" s="547"/>
      <c r="AF11" s="547"/>
      <c r="AG11" s="547"/>
      <c r="AH11" s="547"/>
      <c r="AI11" s="547"/>
    </row>
    <row r="12" spans="1:35" ht="101.5" customHeight="1">
      <c r="A12" s="98" t="s">
        <v>35</v>
      </c>
      <c r="B12" s="94"/>
      <c r="C12" s="92"/>
      <c r="D12" s="93" t="s">
        <v>70</v>
      </c>
      <c r="E12" s="93" t="s">
        <v>59</v>
      </c>
      <c r="F12" s="91"/>
      <c r="G12" s="5"/>
      <c r="H12" s="3"/>
      <c r="I12" s="3" t="s">
        <v>53</v>
      </c>
      <c r="J12" s="3"/>
      <c r="K12" s="90" t="s">
        <v>63</v>
      </c>
      <c r="L12" s="584"/>
      <c r="M12" s="3"/>
      <c r="N12" s="90" t="s">
        <v>60</v>
      </c>
      <c r="O12" s="3"/>
      <c r="P12" s="3"/>
      <c r="Q12" s="3"/>
      <c r="R12" s="3"/>
      <c r="S12" s="3"/>
      <c r="T12" s="3"/>
      <c r="U12" s="3"/>
      <c r="V12" s="21"/>
      <c r="W12" s="22"/>
      <c r="X12" s="3"/>
      <c r="Y12" s="4" t="s">
        <v>50</v>
      </c>
      <c r="Z12" s="339"/>
      <c r="AA12" s="596"/>
      <c r="AB12" s="884"/>
      <c r="AC12" s="547"/>
      <c r="AD12" s="547"/>
      <c r="AE12" s="547"/>
      <c r="AF12" s="547"/>
      <c r="AG12" s="547"/>
      <c r="AH12" s="547"/>
      <c r="AI12" s="547"/>
    </row>
    <row r="13" spans="1:35" ht="43.15" customHeight="1">
      <c r="A13" s="98" t="s">
        <v>35</v>
      </c>
      <c r="B13" s="94">
        <v>1.3</v>
      </c>
      <c r="C13" s="92" t="s">
        <v>71</v>
      </c>
      <c r="D13" s="93" t="s">
        <v>72</v>
      </c>
      <c r="E13" s="93" t="s">
        <v>38</v>
      </c>
      <c r="F13" s="91" t="s">
        <v>39</v>
      </c>
      <c r="G13" s="5" t="s">
        <v>40</v>
      </c>
      <c r="H13" s="3" t="s">
        <v>41</v>
      </c>
      <c r="I13" s="3" t="s">
        <v>42</v>
      </c>
      <c r="J13" s="3" t="s">
        <v>43</v>
      </c>
      <c r="K13" s="90" t="s">
        <v>73</v>
      </c>
      <c r="L13" s="584"/>
      <c r="M13" s="3" t="s">
        <v>74</v>
      </c>
      <c r="N13" s="90" t="s">
        <v>46</v>
      </c>
      <c r="O13" s="3"/>
      <c r="P13" s="3"/>
      <c r="Q13" s="3"/>
      <c r="R13" s="3"/>
      <c r="S13" s="3"/>
      <c r="T13" s="3"/>
      <c r="U13" s="3"/>
      <c r="V13" s="21"/>
      <c r="W13" s="22"/>
      <c r="X13" s="3"/>
      <c r="Y13" s="4"/>
      <c r="Z13" s="339"/>
      <c r="AA13" s="596"/>
      <c r="AB13" s="884"/>
      <c r="AC13" s="547"/>
      <c r="AD13" s="547"/>
      <c r="AE13" s="547"/>
      <c r="AF13" s="547"/>
      <c r="AG13" s="547"/>
      <c r="AH13" s="547"/>
      <c r="AI13" s="547"/>
    </row>
    <row r="14" spans="1:35" ht="101.5" customHeight="1">
      <c r="A14" s="98" t="s">
        <v>35</v>
      </c>
      <c r="B14" s="94"/>
      <c r="C14" s="92"/>
      <c r="D14" s="93" t="s">
        <v>75</v>
      </c>
      <c r="E14" s="93" t="s">
        <v>48</v>
      </c>
      <c r="F14" s="91"/>
      <c r="G14" s="5"/>
      <c r="H14" s="3"/>
      <c r="I14" s="3" t="s">
        <v>49</v>
      </c>
      <c r="J14" s="3"/>
      <c r="K14" s="90" t="s">
        <v>73</v>
      </c>
      <c r="L14" s="584"/>
      <c r="M14" s="3"/>
      <c r="N14" s="90" t="s">
        <v>76</v>
      </c>
      <c r="O14" s="3"/>
      <c r="P14" s="3"/>
      <c r="Q14" s="3"/>
      <c r="R14" s="3"/>
      <c r="S14" s="3"/>
      <c r="T14" s="3"/>
      <c r="U14" s="3"/>
      <c r="V14" s="21"/>
      <c r="W14" s="22"/>
      <c r="X14" s="3"/>
      <c r="Y14" s="4" t="s">
        <v>50</v>
      </c>
      <c r="Z14" s="339"/>
      <c r="AA14" s="596"/>
      <c r="AB14" s="884"/>
      <c r="AC14" s="547"/>
      <c r="AD14" s="547"/>
      <c r="AE14" s="547"/>
      <c r="AF14" s="547"/>
      <c r="AG14" s="547"/>
      <c r="AH14" s="547"/>
      <c r="AI14" s="547"/>
    </row>
    <row r="15" spans="1:35" ht="101.5" customHeight="1">
      <c r="A15" s="98" t="s">
        <v>35</v>
      </c>
      <c r="B15" s="94"/>
      <c r="C15" s="92"/>
      <c r="D15" s="93" t="s">
        <v>77</v>
      </c>
      <c r="E15" s="93" t="s">
        <v>52</v>
      </c>
      <c r="F15" s="91"/>
      <c r="G15" s="5"/>
      <c r="H15" s="3"/>
      <c r="I15" s="3" t="s">
        <v>53</v>
      </c>
      <c r="J15" s="3"/>
      <c r="K15" s="90" t="s">
        <v>73</v>
      </c>
      <c r="L15" s="584"/>
      <c r="M15" s="3"/>
      <c r="N15" s="90" t="s">
        <v>78</v>
      </c>
      <c r="O15" s="3"/>
      <c r="P15" s="3"/>
      <c r="Q15" s="3"/>
      <c r="R15" s="3"/>
      <c r="S15" s="3"/>
      <c r="T15" s="3"/>
      <c r="U15" s="3"/>
      <c r="V15" s="21"/>
      <c r="W15" s="22"/>
      <c r="X15" s="3"/>
      <c r="Y15" s="4" t="s">
        <v>50</v>
      </c>
      <c r="Z15" s="339"/>
      <c r="AA15" s="596"/>
      <c r="AB15" s="884"/>
      <c r="AC15" s="547"/>
      <c r="AD15" s="547"/>
      <c r="AE15" s="547"/>
      <c r="AF15" s="547"/>
      <c r="AG15" s="547"/>
      <c r="AH15" s="547"/>
      <c r="AI15" s="547"/>
    </row>
    <row r="16" spans="1:35" ht="101.5" customHeight="1">
      <c r="A16" s="98" t="s">
        <v>35</v>
      </c>
      <c r="B16" s="94"/>
      <c r="C16" s="92"/>
      <c r="D16" s="93" t="s">
        <v>79</v>
      </c>
      <c r="E16" s="93" t="s">
        <v>80</v>
      </c>
      <c r="F16" s="91"/>
      <c r="G16" s="5"/>
      <c r="H16" s="3"/>
      <c r="I16" s="3" t="s">
        <v>53</v>
      </c>
      <c r="J16" s="3"/>
      <c r="K16" s="90" t="s">
        <v>73</v>
      </c>
      <c r="L16" s="584"/>
      <c r="M16" s="3"/>
      <c r="N16" s="90" t="s">
        <v>57</v>
      </c>
      <c r="O16" s="3"/>
      <c r="P16" s="3"/>
      <c r="Q16" s="3"/>
      <c r="R16" s="3"/>
      <c r="S16" s="3"/>
      <c r="T16" s="3"/>
      <c r="U16" s="3"/>
      <c r="V16" s="21"/>
      <c r="W16" s="22"/>
      <c r="X16" s="3"/>
      <c r="Y16" s="4" t="s">
        <v>50</v>
      </c>
      <c r="Z16" s="339"/>
      <c r="AA16" s="596"/>
      <c r="AB16" s="884"/>
      <c r="AC16" s="547"/>
      <c r="AD16" s="547"/>
      <c r="AE16" s="547"/>
      <c r="AF16" s="547"/>
      <c r="AG16" s="547"/>
      <c r="AH16" s="547"/>
      <c r="AI16" s="547"/>
    </row>
    <row r="17" spans="1:28" ht="101.5" customHeight="1">
      <c r="A17" s="98" t="s">
        <v>35</v>
      </c>
      <c r="B17" s="94"/>
      <c r="C17" s="92"/>
      <c r="D17" s="93" t="s">
        <v>81</v>
      </c>
      <c r="E17" s="93" t="s">
        <v>59</v>
      </c>
      <c r="F17" s="91"/>
      <c r="G17" s="5"/>
      <c r="H17" s="3"/>
      <c r="I17" s="3" t="s">
        <v>53</v>
      </c>
      <c r="J17" s="3"/>
      <c r="K17" s="90" t="s">
        <v>73</v>
      </c>
      <c r="L17" s="584"/>
      <c r="M17" s="3"/>
      <c r="N17" s="90" t="s">
        <v>60</v>
      </c>
      <c r="O17" s="3"/>
      <c r="P17" s="3"/>
      <c r="Q17" s="3"/>
      <c r="R17" s="3"/>
      <c r="S17" s="3"/>
      <c r="T17" s="3"/>
      <c r="U17" s="3"/>
      <c r="V17" s="21"/>
      <c r="W17" s="22"/>
      <c r="X17" s="3"/>
      <c r="Y17" s="4" t="s">
        <v>50</v>
      </c>
      <c r="Z17" s="339"/>
      <c r="AA17" s="596"/>
      <c r="AB17" s="884"/>
    </row>
    <row r="18" spans="1:28" ht="58" customHeight="1">
      <c r="A18" s="98" t="s">
        <v>35</v>
      </c>
      <c r="B18" s="94">
        <v>1.4</v>
      </c>
      <c r="C18" s="92" t="s">
        <v>82</v>
      </c>
      <c r="D18" s="93" t="s">
        <v>83</v>
      </c>
      <c r="E18" s="93" t="s">
        <v>84</v>
      </c>
      <c r="F18" s="91" t="s">
        <v>39</v>
      </c>
      <c r="G18" s="5" t="s">
        <v>85</v>
      </c>
      <c r="H18" s="3" t="s">
        <v>41</v>
      </c>
      <c r="I18" s="3" t="s">
        <v>86</v>
      </c>
      <c r="J18" s="3" t="s">
        <v>43</v>
      </c>
      <c r="K18" s="90" t="s">
        <v>87</v>
      </c>
      <c r="L18" s="584"/>
      <c r="M18" s="3" t="s">
        <v>88</v>
      </c>
      <c r="N18" s="90" t="s">
        <v>89</v>
      </c>
      <c r="O18" s="3"/>
      <c r="P18" s="3"/>
      <c r="Q18" s="3"/>
      <c r="R18" s="3"/>
      <c r="S18" s="3"/>
      <c r="T18" s="3"/>
      <c r="U18" s="3"/>
      <c r="V18" s="21"/>
      <c r="W18" s="22"/>
      <c r="X18" s="3"/>
      <c r="Y18" s="4"/>
      <c r="Z18" s="339"/>
      <c r="AA18" s="596"/>
      <c r="AB18" s="884"/>
    </row>
    <row r="19" spans="1:28" ht="72.650000000000006" customHeight="1">
      <c r="A19" s="98" t="s">
        <v>35</v>
      </c>
      <c r="B19" s="94">
        <v>3.1</v>
      </c>
      <c r="C19" s="92" t="s">
        <v>90</v>
      </c>
      <c r="D19" s="93" t="s">
        <v>91</v>
      </c>
      <c r="E19" s="93" t="s">
        <v>92</v>
      </c>
      <c r="F19" s="91" t="s">
        <v>39</v>
      </c>
      <c r="G19" s="5" t="s">
        <v>85</v>
      </c>
      <c r="H19" s="3" t="s">
        <v>41</v>
      </c>
      <c r="I19" s="3" t="s">
        <v>42</v>
      </c>
      <c r="J19" s="3" t="s">
        <v>43</v>
      </c>
      <c r="K19" s="90" t="s">
        <v>93</v>
      </c>
      <c r="L19" s="584"/>
      <c r="M19" s="3" t="s">
        <v>94</v>
      </c>
      <c r="N19" s="90" t="s">
        <v>95</v>
      </c>
      <c r="O19" s="3"/>
      <c r="P19" s="3"/>
      <c r="Q19" s="3"/>
      <c r="R19" s="3"/>
      <c r="S19" s="3"/>
      <c r="T19" s="3"/>
      <c r="U19" s="3"/>
      <c r="V19" s="21"/>
      <c r="W19" s="22"/>
      <c r="X19" s="3"/>
      <c r="Y19" s="4"/>
      <c r="Z19" s="339"/>
      <c r="AA19" s="596"/>
      <c r="AB19" s="884"/>
    </row>
    <row r="20" spans="1:28" ht="101.5" customHeight="1">
      <c r="A20" s="98" t="s">
        <v>96</v>
      </c>
      <c r="B20" s="94">
        <v>2.1</v>
      </c>
      <c r="C20" s="92" t="s">
        <v>97</v>
      </c>
      <c r="D20" s="93" t="s">
        <v>98</v>
      </c>
      <c r="E20" s="93" t="s">
        <v>99</v>
      </c>
      <c r="F20" s="91" t="s">
        <v>100</v>
      </c>
      <c r="G20" s="5" t="s">
        <v>101</v>
      </c>
      <c r="H20" s="3" t="s">
        <v>41</v>
      </c>
      <c r="I20" s="3" t="s">
        <v>102</v>
      </c>
      <c r="J20" s="3" t="s">
        <v>43</v>
      </c>
      <c r="K20" s="90" t="s">
        <v>103</v>
      </c>
      <c r="L20" s="584"/>
      <c r="M20" s="3" t="s">
        <v>104</v>
      </c>
      <c r="N20" s="90" t="s">
        <v>105</v>
      </c>
      <c r="O20" s="3"/>
      <c r="P20" s="3"/>
      <c r="Q20" s="3"/>
      <c r="R20" s="3"/>
      <c r="S20" s="3"/>
      <c r="T20" s="3"/>
      <c r="U20" s="3"/>
      <c r="V20" s="21"/>
      <c r="W20" s="22"/>
      <c r="X20" s="3"/>
      <c r="Y20" s="4"/>
      <c r="Z20" s="339"/>
      <c r="AA20" s="596"/>
      <c r="AB20" s="884"/>
    </row>
    <row r="21" spans="1:28" ht="43.15" customHeight="1">
      <c r="A21" s="98" t="s">
        <v>106</v>
      </c>
      <c r="B21" s="94"/>
      <c r="C21" s="92"/>
      <c r="D21" s="93" t="s">
        <v>107</v>
      </c>
      <c r="E21" s="93" t="s">
        <v>108</v>
      </c>
      <c r="F21" s="91"/>
      <c r="G21" s="5"/>
      <c r="H21" s="3"/>
      <c r="I21" s="3" t="s">
        <v>109</v>
      </c>
      <c r="J21" s="3"/>
      <c r="K21" s="90" t="s">
        <v>103</v>
      </c>
      <c r="L21" s="584"/>
      <c r="M21" s="3"/>
      <c r="N21" s="90" t="s">
        <v>110</v>
      </c>
      <c r="O21" s="3"/>
      <c r="P21" s="3"/>
      <c r="Q21" s="3"/>
      <c r="R21" s="3"/>
      <c r="S21" s="3"/>
      <c r="T21" s="3"/>
      <c r="U21" s="3"/>
      <c r="V21" s="21"/>
      <c r="W21" s="22"/>
      <c r="X21" s="3"/>
      <c r="Y21" s="4" t="s">
        <v>111</v>
      </c>
      <c r="Z21" s="339"/>
      <c r="AA21" s="596"/>
      <c r="AB21" s="884"/>
    </row>
    <row r="22" spans="1:28" ht="43.5" customHeight="1">
      <c r="A22" s="98" t="s">
        <v>96</v>
      </c>
      <c r="B22" s="94">
        <v>2.2000000000000002</v>
      </c>
      <c r="C22" s="92" t="s">
        <v>112</v>
      </c>
      <c r="D22" s="93" t="s">
        <v>113</v>
      </c>
      <c r="E22" s="93" t="s">
        <v>114</v>
      </c>
      <c r="F22" s="91" t="s">
        <v>100</v>
      </c>
      <c r="G22" s="5" t="s">
        <v>115</v>
      </c>
      <c r="H22" s="3" t="s">
        <v>41</v>
      </c>
      <c r="I22" s="3" t="s">
        <v>42</v>
      </c>
      <c r="J22" s="3" t="s">
        <v>43</v>
      </c>
      <c r="K22" s="90" t="s">
        <v>116</v>
      </c>
      <c r="L22" s="584"/>
      <c r="M22" s="3" t="s">
        <v>104</v>
      </c>
      <c r="N22" s="90" t="s">
        <v>117</v>
      </c>
      <c r="O22" s="3"/>
      <c r="P22" s="3"/>
      <c r="Q22" s="3"/>
      <c r="R22" s="3"/>
      <c r="S22" s="3"/>
      <c r="T22" s="3"/>
      <c r="U22" s="3"/>
      <c r="V22" s="21"/>
      <c r="W22" s="22"/>
      <c r="X22" s="3"/>
      <c r="Y22" s="4"/>
      <c r="Z22" s="339"/>
      <c r="AA22" s="596"/>
      <c r="AB22" s="884"/>
    </row>
    <row r="23" spans="1:28" ht="31.5" customHeight="1">
      <c r="A23" s="98" t="s">
        <v>106</v>
      </c>
      <c r="B23" s="94"/>
      <c r="C23" s="92"/>
      <c r="D23" s="93" t="s">
        <v>118</v>
      </c>
      <c r="E23" s="93" t="s">
        <v>114</v>
      </c>
      <c r="F23" s="91"/>
      <c r="G23" s="5"/>
      <c r="H23" s="3"/>
      <c r="I23" s="3" t="s">
        <v>119</v>
      </c>
      <c r="J23" s="3"/>
      <c r="K23" s="90" t="s">
        <v>116</v>
      </c>
      <c r="L23" s="584"/>
      <c r="M23" s="3"/>
      <c r="N23" s="90" t="s">
        <v>117</v>
      </c>
      <c r="O23" s="3"/>
      <c r="P23" s="3"/>
      <c r="Q23" s="3"/>
      <c r="R23" s="3"/>
      <c r="S23" s="3"/>
      <c r="T23" s="3"/>
      <c r="U23" s="3"/>
      <c r="V23" s="21"/>
      <c r="W23" s="22"/>
      <c r="X23" s="3"/>
      <c r="Y23" s="4" t="s">
        <v>111</v>
      </c>
      <c r="Z23" s="339"/>
      <c r="AA23" s="596"/>
      <c r="AB23" s="884"/>
    </row>
    <row r="24" spans="1:28" ht="43.5" customHeight="1">
      <c r="A24" s="98" t="s">
        <v>106</v>
      </c>
      <c r="B24" s="94"/>
      <c r="C24" s="92"/>
      <c r="D24" s="93" t="s">
        <v>120</v>
      </c>
      <c r="E24" s="93" t="s">
        <v>121</v>
      </c>
      <c r="F24" s="91"/>
      <c r="G24" s="5"/>
      <c r="H24" s="3"/>
      <c r="I24" s="3" t="s">
        <v>49</v>
      </c>
      <c r="J24" s="3"/>
      <c r="K24" s="90" t="s">
        <v>122</v>
      </c>
      <c r="L24" s="584"/>
      <c r="M24" s="3"/>
      <c r="N24" s="90" t="s">
        <v>123</v>
      </c>
      <c r="O24" s="3"/>
      <c r="P24" s="3"/>
      <c r="Q24" s="3"/>
      <c r="R24" s="3"/>
      <c r="S24" s="3"/>
      <c r="T24" s="3"/>
      <c r="U24" s="3"/>
      <c r="V24" s="21"/>
      <c r="W24" s="22"/>
      <c r="X24" s="3"/>
      <c r="Y24" s="4" t="s">
        <v>111</v>
      </c>
      <c r="Z24" s="339"/>
      <c r="AA24" s="596"/>
      <c r="AB24" s="884"/>
    </row>
    <row r="25" spans="1:28" ht="45.75" customHeight="1">
      <c r="A25" s="98" t="s">
        <v>96</v>
      </c>
      <c r="B25" s="94">
        <v>2.2999999999999998</v>
      </c>
      <c r="C25" s="92" t="s">
        <v>124</v>
      </c>
      <c r="D25" s="93" t="s">
        <v>125</v>
      </c>
      <c r="E25" s="93" t="s">
        <v>126</v>
      </c>
      <c r="F25" s="91" t="s">
        <v>100</v>
      </c>
      <c r="G25" s="5" t="s">
        <v>115</v>
      </c>
      <c r="H25" s="3" t="s">
        <v>41</v>
      </c>
      <c r="I25" s="3" t="s">
        <v>42</v>
      </c>
      <c r="J25" s="3" t="s">
        <v>43</v>
      </c>
      <c r="K25" s="90" t="s">
        <v>116</v>
      </c>
      <c r="L25" s="584"/>
      <c r="M25" s="3" t="s">
        <v>104</v>
      </c>
      <c r="N25" s="90" t="s">
        <v>117</v>
      </c>
      <c r="O25" s="3"/>
      <c r="P25" s="3"/>
      <c r="Q25" s="3"/>
      <c r="R25" s="3"/>
      <c r="S25" s="3"/>
      <c r="T25" s="3"/>
      <c r="U25" s="3"/>
      <c r="V25" s="21"/>
      <c r="W25" s="22"/>
      <c r="X25" s="3"/>
      <c r="Y25" s="4"/>
      <c r="Z25" s="339"/>
      <c r="AA25" s="596"/>
      <c r="AB25" s="884"/>
    </row>
    <row r="26" spans="1:28" ht="58" customHeight="1">
      <c r="A26" s="98" t="s">
        <v>35</v>
      </c>
      <c r="B26" s="94">
        <v>3.1</v>
      </c>
      <c r="C26" s="92" t="s">
        <v>90</v>
      </c>
      <c r="D26" s="93" t="s">
        <v>91</v>
      </c>
      <c r="E26" s="93" t="s">
        <v>92</v>
      </c>
      <c r="F26" s="91" t="s">
        <v>39</v>
      </c>
      <c r="G26" s="5" t="s">
        <v>85</v>
      </c>
      <c r="H26" s="547"/>
      <c r="I26" s="3" t="s">
        <v>42</v>
      </c>
      <c r="J26" s="3" t="s">
        <v>43</v>
      </c>
      <c r="K26" s="90" t="s">
        <v>93</v>
      </c>
      <c r="L26" s="584"/>
      <c r="M26" s="3" t="s">
        <v>94</v>
      </c>
      <c r="N26" s="90" t="s">
        <v>95</v>
      </c>
      <c r="O26" s="3"/>
      <c r="P26" s="3"/>
      <c r="Q26" s="3"/>
      <c r="R26" s="3"/>
      <c r="S26" s="3"/>
      <c r="T26" s="3"/>
      <c r="U26" s="3"/>
      <c r="V26" s="21"/>
      <c r="W26" s="22"/>
      <c r="X26" s="3"/>
      <c r="Y26" s="4"/>
      <c r="Z26" s="339"/>
      <c r="AA26" s="596"/>
      <c r="AB26" s="884"/>
    </row>
    <row r="27" spans="1:28" ht="53.15" customHeight="1">
      <c r="A27" s="98" t="s">
        <v>127</v>
      </c>
      <c r="B27" s="94">
        <v>1</v>
      </c>
      <c r="C27" s="92" t="s">
        <v>128</v>
      </c>
      <c r="D27" s="93" t="s">
        <v>129</v>
      </c>
      <c r="E27" s="93" t="s">
        <v>130</v>
      </c>
      <c r="F27" s="91" t="s">
        <v>39</v>
      </c>
      <c r="G27" s="5" t="s">
        <v>85</v>
      </c>
      <c r="H27" s="3" t="s">
        <v>41</v>
      </c>
      <c r="I27" s="3" t="s">
        <v>109</v>
      </c>
      <c r="J27" s="3" t="s">
        <v>43</v>
      </c>
      <c r="K27" s="90" t="s">
        <v>131</v>
      </c>
      <c r="L27" s="584" t="s">
        <v>132</v>
      </c>
      <c r="M27" s="3" t="s">
        <v>133</v>
      </c>
      <c r="N27" s="90" t="s">
        <v>134</v>
      </c>
      <c r="O27" s="3" t="s">
        <v>135</v>
      </c>
      <c r="P27" s="3" t="s">
        <v>136</v>
      </c>
      <c r="Q27" s="3"/>
      <c r="R27" s="3"/>
      <c r="S27" s="3"/>
      <c r="T27" s="3"/>
      <c r="U27" s="3"/>
      <c r="V27" s="21"/>
      <c r="W27" s="22"/>
      <c r="X27" s="3"/>
      <c r="Y27" s="4" t="s">
        <v>137</v>
      </c>
      <c r="Z27" s="339">
        <v>0</v>
      </c>
      <c r="AA27" s="596"/>
      <c r="AB27" s="884"/>
    </row>
    <row r="28" spans="1:28" ht="89.15" customHeight="1">
      <c r="A28" s="98" t="s">
        <v>127</v>
      </c>
      <c r="B28" s="94"/>
      <c r="C28" s="92"/>
      <c r="D28" s="93" t="s">
        <v>138</v>
      </c>
      <c r="E28" s="93" t="s">
        <v>139</v>
      </c>
      <c r="F28" s="91" t="s">
        <v>39</v>
      </c>
      <c r="G28" s="5" t="s">
        <v>85</v>
      </c>
      <c r="H28" s="3" t="s">
        <v>41</v>
      </c>
      <c r="I28" s="3" t="s">
        <v>109</v>
      </c>
      <c r="J28" s="3" t="s">
        <v>43</v>
      </c>
      <c r="K28" s="90" t="s">
        <v>140</v>
      </c>
      <c r="L28" s="584" t="s">
        <v>141</v>
      </c>
      <c r="M28" s="3" t="s">
        <v>142</v>
      </c>
      <c r="N28" s="90" t="s">
        <v>143</v>
      </c>
      <c r="O28" s="3" t="s">
        <v>144</v>
      </c>
      <c r="P28" s="3" t="s">
        <v>145</v>
      </c>
      <c r="Q28" s="3"/>
      <c r="R28" s="3"/>
      <c r="S28" s="3"/>
      <c r="T28" s="3"/>
      <c r="U28" s="3"/>
      <c r="V28" s="21"/>
      <c r="W28" s="22"/>
      <c r="X28" s="3"/>
      <c r="Y28" s="4" t="s">
        <v>146</v>
      </c>
      <c r="Z28" s="339">
        <v>0</v>
      </c>
      <c r="AA28" s="596"/>
      <c r="AB28" s="884"/>
    </row>
    <row r="29" spans="1:28" ht="58" customHeight="1">
      <c r="A29" s="98" t="s">
        <v>127</v>
      </c>
      <c r="B29" s="94"/>
      <c r="C29" s="92"/>
      <c r="D29" s="93" t="s">
        <v>147</v>
      </c>
      <c r="E29" s="93" t="s">
        <v>148</v>
      </c>
      <c r="F29" s="91" t="s">
        <v>39</v>
      </c>
      <c r="G29" s="5" t="s">
        <v>85</v>
      </c>
      <c r="H29" s="3" t="s">
        <v>41</v>
      </c>
      <c r="I29" s="3" t="s">
        <v>149</v>
      </c>
      <c r="J29" s="3" t="s">
        <v>43</v>
      </c>
      <c r="K29" s="90" t="s">
        <v>150</v>
      </c>
      <c r="L29" s="584" t="s">
        <v>151</v>
      </c>
      <c r="M29" s="3"/>
      <c r="N29" s="90" t="s">
        <v>152</v>
      </c>
      <c r="O29" s="3"/>
      <c r="P29" s="3" t="s">
        <v>145</v>
      </c>
      <c r="Q29" s="3"/>
      <c r="R29" s="3"/>
      <c r="S29" s="3"/>
      <c r="T29" s="3"/>
      <c r="U29" s="3"/>
      <c r="V29" s="21"/>
      <c r="W29" s="22"/>
      <c r="X29" s="3"/>
      <c r="Y29" s="4"/>
      <c r="Z29" s="339">
        <v>0</v>
      </c>
      <c r="AA29" s="596"/>
      <c r="AB29" s="884"/>
    </row>
    <row r="30" spans="1:28" ht="72.650000000000006" customHeight="1">
      <c r="A30" s="98" t="s">
        <v>127</v>
      </c>
      <c r="B30" s="94">
        <v>2</v>
      </c>
      <c r="C30" s="92" t="s">
        <v>153</v>
      </c>
      <c r="D30" s="93" t="s">
        <v>154</v>
      </c>
      <c r="E30" s="93" t="s">
        <v>155</v>
      </c>
      <c r="F30" s="91" t="s">
        <v>39</v>
      </c>
      <c r="G30" s="5" t="s">
        <v>85</v>
      </c>
      <c r="H30" s="3" t="s">
        <v>41</v>
      </c>
      <c r="I30" s="3" t="s">
        <v>109</v>
      </c>
      <c r="J30" s="3" t="s">
        <v>43</v>
      </c>
      <c r="K30" s="90" t="s">
        <v>156</v>
      </c>
      <c r="L30" s="584" t="s">
        <v>157</v>
      </c>
      <c r="M30" s="3" t="s">
        <v>158</v>
      </c>
      <c r="N30" s="90" t="s">
        <v>159</v>
      </c>
      <c r="O30" s="3" t="s">
        <v>160</v>
      </c>
      <c r="P30" s="3" t="s">
        <v>136</v>
      </c>
      <c r="Q30" s="3"/>
      <c r="R30" s="3"/>
      <c r="S30" s="3"/>
      <c r="T30" s="3"/>
      <c r="U30" s="3"/>
      <c r="V30" s="21"/>
      <c r="W30" s="22"/>
      <c r="X30" s="3"/>
      <c r="Y30" s="4" t="s">
        <v>161</v>
      </c>
      <c r="Z30" s="339">
        <v>0</v>
      </c>
      <c r="AA30" s="596"/>
      <c r="AB30" s="884"/>
    </row>
    <row r="31" spans="1:28" ht="43.5" customHeight="1">
      <c r="A31" s="98" t="s">
        <v>127</v>
      </c>
      <c r="B31" s="94"/>
      <c r="C31" s="92"/>
      <c r="D31" s="93" t="s">
        <v>162</v>
      </c>
      <c r="E31" s="93" t="s">
        <v>163</v>
      </c>
      <c r="F31" s="91" t="s">
        <v>39</v>
      </c>
      <c r="G31" s="5" t="s">
        <v>85</v>
      </c>
      <c r="H31" s="3" t="s">
        <v>41</v>
      </c>
      <c r="I31" s="3" t="s">
        <v>109</v>
      </c>
      <c r="J31" s="3" t="s">
        <v>43</v>
      </c>
      <c r="K31" s="90" t="s">
        <v>164</v>
      </c>
      <c r="L31" s="584" t="s">
        <v>165</v>
      </c>
      <c r="M31" s="3"/>
      <c r="N31" s="90" t="s">
        <v>166</v>
      </c>
      <c r="O31" s="3"/>
      <c r="P31" s="3" t="s">
        <v>136</v>
      </c>
      <c r="Q31" s="3"/>
      <c r="R31" s="3"/>
      <c r="S31" s="3"/>
      <c r="T31" s="3"/>
      <c r="U31" s="3"/>
      <c r="V31" s="21"/>
      <c r="W31" s="22"/>
      <c r="X31" s="3"/>
      <c r="Y31" s="4" t="s">
        <v>146</v>
      </c>
      <c r="Z31" s="339"/>
      <c r="AA31" s="596"/>
      <c r="AB31" s="884"/>
    </row>
    <row r="32" spans="1:28" ht="58" customHeight="1">
      <c r="A32" s="98" t="s">
        <v>127</v>
      </c>
      <c r="B32" s="94"/>
      <c r="C32" s="92"/>
      <c r="D32" s="93" t="s">
        <v>167</v>
      </c>
      <c r="E32" s="93" t="s">
        <v>168</v>
      </c>
      <c r="F32" s="668" t="s">
        <v>39</v>
      </c>
      <c r="G32" s="5" t="s">
        <v>85</v>
      </c>
      <c r="H32" s="3" t="s">
        <v>41</v>
      </c>
      <c r="I32" s="3" t="s">
        <v>109</v>
      </c>
      <c r="J32" s="3" t="s">
        <v>43</v>
      </c>
      <c r="K32" s="90" t="s">
        <v>169</v>
      </c>
      <c r="L32" s="584" t="s">
        <v>170</v>
      </c>
      <c r="M32" s="3"/>
      <c r="N32" s="90" t="s">
        <v>171</v>
      </c>
      <c r="O32" s="3"/>
      <c r="P32" s="3" t="s">
        <v>145</v>
      </c>
      <c r="Q32" s="3"/>
      <c r="R32" s="3"/>
      <c r="S32" s="3"/>
      <c r="T32" s="3"/>
      <c r="U32" s="3"/>
      <c r="V32" s="21"/>
      <c r="W32" s="22"/>
      <c r="X32" s="3"/>
      <c r="Y32" s="4" t="s">
        <v>172</v>
      </c>
      <c r="Z32" s="339"/>
      <c r="AA32" s="596"/>
      <c r="AB32" s="884"/>
    </row>
    <row r="33" spans="1:29" ht="72.650000000000006" customHeight="1">
      <c r="A33" s="98" t="s">
        <v>127</v>
      </c>
      <c r="B33" s="94">
        <v>3</v>
      </c>
      <c r="C33" s="92" t="s">
        <v>173</v>
      </c>
      <c r="D33" s="93" t="s">
        <v>174</v>
      </c>
      <c r="E33" s="93" t="s">
        <v>175</v>
      </c>
      <c r="F33" s="91" t="s">
        <v>39</v>
      </c>
      <c r="G33" s="5" t="s">
        <v>85</v>
      </c>
      <c r="H33" s="3" t="s">
        <v>41</v>
      </c>
      <c r="I33" s="3" t="s">
        <v>109</v>
      </c>
      <c r="J33" s="3" t="s">
        <v>43</v>
      </c>
      <c r="K33" s="90" t="s">
        <v>176</v>
      </c>
      <c r="L33" s="584" t="s">
        <v>177</v>
      </c>
      <c r="M33" s="3" t="s">
        <v>178</v>
      </c>
      <c r="N33" s="90" t="s">
        <v>179</v>
      </c>
      <c r="O33" s="3" t="s">
        <v>180</v>
      </c>
      <c r="P33" s="3" t="s">
        <v>145</v>
      </c>
      <c r="Q33" s="3"/>
      <c r="R33" s="3"/>
      <c r="S33" s="3"/>
      <c r="T33" s="3"/>
      <c r="U33" s="3"/>
      <c r="V33" s="21"/>
      <c r="W33" s="22"/>
      <c r="X33" s="3"/>
      <c r="Y33" s="4" t="s">
        <v>146</v>
      </c>
      <c r="Z33" s="339" t="s">
        <v>181</v>
      </c>
      <c r="AA33" s="596"/>
      <c r="AB33" s="884"/>
      <c r="AC33" s="547"/>
    </row>
    <row r="34" spans="1:29" ht="58" customHeight="1">
      <c r="A34" s="98" t="s">
        <v>127</v>
      </c>
      <c r="B34" s="94"/>
      <c r="C34" s="610"/>
      <c r="D34" s="93" t="s">
        <v>182</v>
      </c>
      <c r="E34" s="93" t="s">
        <v>183</v>
      </c>
      <c r="F34" s="91" t="s">
        <v>39</v>
      </c>
      <c r="G34" s="5" t="s">
        <v>85</v>
      </c>
      <c r="H34" s="3" t="s">
        <v>41</v>
      </c>
      <c r="I34" s="3" t="s">
        <v>109</v>
      </c>
      <c r="J34" s="3" t="s">
        <v>43</v>
      </c>
      <c r="K34" s="90" t="s">
        <v>184</v>
      </c>
      <c r="L34" s="584" t="s">
        <v>185</v>
      </c>
      <c r="M34" s="3"/>
      <c r="N34" s="90" t="s">
        <v>186</v>
      </c>
      <c r="O34" s="3"/>
      <c r="P34" s="3" t="s">
        <v>145</v>
      </c>
      <c r="Q34" s="3"/>
      <c r="R34" s="3"/>
      <c r="S34" s="3"/>
      <c r="T34" s="3"/>
      <c r="U34" s="3"/>
      <c r="V34" s="21"/>
      <c r="W34" s="22"/>
      <c r="X34" s="3"/>
      <c r="Y34" s="4"/>
      <c r="Z34" s="339" t="s">
        <v>187</v>
      </c>
      <c r="AA34" s="596"/>
      <c r="AB34" s="884"/>
      <c r="AC34" s="547"/>
    </row>
    <row r="35" spans="1:29" ht="130.5" customHeight="1">
      <c r="A35" s="98" t="s">
        <v>188</v>
      </c>
      <c r="B35" s="608">
        <v>3</v>
      </c>
      <c r="C35" s="607" t="s">
        <v>189</v>
      </c>
      <c r="D35" s="609" t="s">
        <v>190</v>
      </c>
      <c r="E35" s="93" t="s">
        <v>191</v>
      </c>
      <c r="F35" s="91" t="s">
        <v>39</v>
      </c>
      <c r="G35" s="5" t="s">
        <v>40</v>
      </c>
      <c r="H35" s="3" t="s">
        <v>41</v>
      </c>
      <c r="I35" s="3" t="s">
        <v>192</v>
      </c>
      <c r="J35" s="3" t="s">
        <v>43</v>
      </c>
      <c r="K35" s="90" t="s">
        <v>193</v>
      </c>
      <c r="L35" s="584" t="s">
        <v>194</v>
      </c>
      <c r="M35" s="3" t="s">
        <v>195</v>
      </c>
      <c r="N35" s="90" t="s">
        <v>196</v>
      </c>
      <c r="O35" s="3" t="s">
        <v>197</v>
      </c>
      <c r="P35" s="3" t="s">
        <v>136</v>
      </c>
      <c r="Q35" s="3"/>
      <c r="R35" s="3"/>
      <c r="S35" s="3"/>
      <c r="T35" s="3"/>
      <c r="U35" s="3"/>
      <c r="V35" s="21"/>
      <c r="W35" s="22"/>
      <c r="X35" s="3"/>
      <c r="Y35" s="4" t="s">
        <v>146</v>
      </c>
      <c r="Z35" s="339">
        <v>0</v>
      </c>
      <c r="AA35" s="596"/>
      <c r="AB35" s="884"/>
      <c r="AC35" s="547"/>
    </row>
    <row r="36" spans="1:29" s="547" customFormat="1" ht="63.65" customHeight="1">
      <c r="A36" s="98"/>
      <c r="B36" s="608"/>
      <c r="C36" s="607"/>
      <c r="D36" s="609" t="s">
        <v>198</v>
      </c>
      <c r="E36" s="93" t="s">
        <v>199</v>
      </c>
      <c r="F36" s="91" t="s">
        <v>39</v>
      </c>
      <c r="G36" s="5" t="s">
        <v>85</v>
      </c>
      <c r="H36" s="3"/>
      <c r="I36" s="3" t="s">
        <v>192</v>
      </c>
      <c r="J36" s="3" t="s">
        <v>43</v>
      </c>
      <c r="K36" s="90" t="s">
        <v>200</v>
      </c>
      <c r="L36" s="584" t="s">
        <v>194</v>
      </c>
      <c r="M36" s="3"/>
      <c r="N36" s="90" t="s">
        <v>201</v>
      </c>
      <c r="O36" s="3"/>
      <c r="P36" s="3" t="s">
        <v>136</v>
      </c>
      <c r="Q36" s="3"/>
      <c r="R36" s="3"/>
      <c r="S36" s="3"/>
      <c r="T36" s="3"/>
      <c r="U36" s="3"/>
      <c r="V36" s="21"/>
      <c r="W36" s="22"/>
      <c r="X36" s="3"/>
      <c r="Y36" s="4"/>
      <c r="Z36" s="339"/>
      <c r="AA36" s="596"/>
      <c r="AB36" s="884"/>
    </row>
    <row r="37" spans="1:29" s="547" customFormat="1" ht="72.650000000000006" customHeight="1">
      <c r="A37" s="98"/>
      <c r="B37" s="608"/>
      <c r="C37" s="607"/>
      <c r="D37" s="609" t="s">
        <v>202</v>
      </c>
      <c r="E37" s="93" t="s">
        <v>203</v>
      </c>
      <c r="F37" s="91" t="s">
        <v>39</v>
      </c>
      <c r="G37" s="5" t="s">
        <v>40</v>
      </c>
      <c r="H37" s="3"/>
      <c r="I37" s="3" t="s">
        <v>192</v>
      </c>
      <c r="J37" s="3" t="s">
        <v>43</v>
      </c>
      <c r="K37" s="90" t="s">
        <v>204</v>
      </c>
      <c r="L37" s="584" t="s">
        <v>205</v>
      </c>
      <c r="M37" s="3"/>
      <c r="N37" s="90" t="s">
        <v>206</v>
      </c>
      <c r="O37" s="3"/>
      <c r="P37" s="3" t="s">
        <v>136</v>
      </c>
      <c r="Q37" s="3"/>
      <c r="R37" s="3"/>
      <c r="S37" s="3"/>
      <c r="T37" s="3"/>
      <c r="U37" s="3"/>
      <c r="V37" s="21"/>
      <c r="W37" s="22"/>
      <c r="X37" s="3"/>
      <c r="Y37" s="4"/>
      <c r="Z37" s="339"/>
      <c r="AA37" s="596"/>
      <c r="AB37" s="884"/>
    </row>
    <row r="38" spans="1:29" ht="84.65" customHeight="1">
      <c r="A38" s="523" t="s">
        <v>35</v>
      </c>
      <c r="B38" s="524">
        <v>1</v>
      </c>
      <c r="C38" s="611" t="s">
        <v>207</v>
      </c>
      <c r="D38" s="526" t="s">
        <v>208</v>
      </c>
      <c r="E38" s="526" t="s">
        <v>209</v>
      </c>
      <c r="F38" s="527"/>
      <c r="G38" s="528"/>
      <c r="H38" s="529"/>
      <c r="I38" s="529" t="s">
        <v>109</v>
      </c>
      <c r="J38" s="529"/>
      <c r="K38" s="530" t="s">
        <v>210</v>
      </c>
      <c r="L38" s="585"/>
      <c r="M38" s="529"/>
      <c r="N38" s="530" t="s">
        <v>211</v>
      </c>
      <c r="O38" s="529" t="s">
        <v>212</v>
      </c>
      <c r="P38" s="529"/>
      <c r="Q38" s="529"/>
      <c r="R38" s="529"/>
      <c r="S38" s="529"/>
      <c r="T38" s="529"/>
      <c r="U38" s="529"/>
      <c r="V38" s="531"/>
      <c r="W38" s="532"/>
      <c r="X38" s="529"/>
      <c r="Y38" s="533" t="s">
        <v>213</v>
      </c>
      <c r="Z38" s="534"/>
      <c r="AA38" s="596"/>
      <c r="AB38" s="884"/>
      <c r="AC38" s="547"/>
    </row>
    <row r="39" spans="1:29" ht="29">
      <c r="A39" s="523" t="s">
        <v>35</v>
      </c>
      <c r="B39" s="524"/>
      <c r="C39" s="525"/>
      <c r="D39" s="526" t="s">
        <v>214</v>
      </c>
      <c r="E39" s="526" t="s">
        <v>215</v>
      </c>
      <c r="F39" s="527"/>
      <c r="G39" s="528"/>
      <c r="H39" s="529"/>
      <c r="I39" s="529" t="s">
        <v>216</v>
      </c>
      <c r="J39" s="529"/>
      <c r="K39" s="530" t="s">
        <v>210</v>
      </c>
      <c r="L39" s="585"/>
      <c r="M39" s="529"/>
      <c r="N39" s="530" t="s">
        <v>211</v>
      </c>
      <c r="O39" s="529"/>
      <c r="P39" s="529"/>
      <c r="Q39" s="529"/>
      <c r="R39" s="529"/>
      <c r="S39" s="529"/>
      <c r="T39" s="529"/>
      <c r="U39" s="529"/>
      <c r="V39" s="531"/>
      <c r="W39" s="532"/>
      <c r="X39" s="529"/>
      <c r="Y39" s="533"/>
      <c r="Z39" s="534"/>
      <c r="AA39" s="596"/>
      <c r="AB39" s="884"/>
      <c r="AC39" s="547"/>
    </row>
    <row r="40" spans="1:29" ht="24" customHeight="1">
      <c r="A40" s="523" t="s">
        <v>35</v>
      </c>
      <c r="B40" s="524" t="s">
        <v>217</v>
      </c>
      <c r="C40" s="525" t="s">
        <v>218</v>
      </c>
      <c r="D40" s="526" t="s">
        <v>219</v>
      </c>
      <c r="E40" s="526"/>
      <c r="F40" s="527" t="s">
        <v>39</v>
      </c>
      <c r="G40" s="528" t="s">
        <v>85</v>
      </c>
      <c r="H40" s="529" t="s">
        <v>220</v>
      </c>
      <c r="I40" s="529" t="s">
        <v>102</v>
      </c>
      <c r="J40" s="529" t="s">
        <v>43</v>
      </c>
      <c r="K40" s="530" t="s">
        <v>221</v>
      </c>
      <c r="L40" s="585"/>
      <c r="M40" s="529" t="s">
        <v>222</v>
      </c>
      <c r="N40" s="530" t="s">
        <v>223</v>
      </c>
      <c r="O40" s="529"/>
      <c r="P40" s="529"/>
      <c r="Q40" s="529"/>
      <c r="R40" s="529"/>
      <c r="S40" s="529"/>
      <c r="T40" s="529"/>
      <c r="U40" s="529"/>
      <c r="V40" s="531"/>
      <c r="W40" s="532"/>
      <c r="X40" s="529"/>
      <c r="Y40" s="533"/>
      <c r="Z40" s="534"/>
      <c r="AA40" s="596"/>
      <c r="AB40" s="884"/>
      <c r="AC40" s="547"/>
    </row>
    <row r="41" spans="1:29" ht="29.15" customHeight="1">
      <c r="A41" s="523" t="s">
        <v>35</v>
      </c>
      <c r="B41" s="524"/>
      <c r="C41" s="525"/>
      <c r="D41" s="526" t="s">
        <v>224</v>
      </c>
      <c r="E41" s="526" t="s">
        <v>225</v>
      </c>
      <c r="F41" s="527"/>
      <c r="G41" s="528"/>
      <c r="H41" s="529"/>
      <c r="I41" s="529" t="s">
        <v>109</v>
      </c>
      <c r="J41" s="529"/>
      <c r="K41" s="530" t="s">
        <v>226</v>
      </c>
      <c r="L41" s="585"/>
      <c r="M41" s="529"/>
      <c r="N41" s="530" t="s">
        <v>227</v>
      </c>
      <c r="O41" s="529"/>
      <c r="P41" s="529"/>
      <c r="Q41" s="529"/>
      <c r="R41" s="529"/>
      <c r="S41" s="529"/>
      <c r="T41" s="529"/>
      <c r="U41" s="529"/>
      <c r="V41" s="531"/>
      <c r="W41" s="532"/>
      <c r="X41" s="529"/>
      <c r="Y41" s="533"/>
      <c r="Z41" s="534"/>
      <c r="AA41" s="596"/>
      <c r="AB41" s="884"/>
      <c r="AC41" s="547"/>
    </row>
    <row r="42" spans="1:29" ht="39.65" customHeight="1">
      <c r="A42" s="523" t="s">
        <v>35</v>
      </c>
      <c r="B42" s="524" t="s">
        <v>228</v>
      </c>
      <c r="C42" s="525" t="s">
        <v>229</v>
      </c>
      <c r="D42" s="526" t="s">
        <v>230</v>
      </c>
      <c r="E42" s="526" t="s">
        <v>231</v>
      </c>
      <c r="F42" s="527" t="s">
        <v>39</v>
      </c>
      <c r="G42" s="528" t="s">
        <v>115</v>
      </c>
      <c r="H42" s="529" t="s">
        <v>220</v>
      </c>
      <c r="I42" s="529" t="s">
        <v>102</v>
      </c>
      <c r="J42" s="529" t="s">
        <v>232</v>
      </c>
      <c r="K42" s="530" t="s">
        <v>233</v>
      </c>
      <c r="L42" s="585"/>
      <c r="M42" s="529" t="s">
        <v>234</v>
      </c>
      <c r="N42" s="530" t="s">
        <v>235</v>
      </c>
      <c r="O42" s="529"/>
      <c r="P42" s="529"/>
      <c r="Q42" s="529"/>
      <c r="R42" s="529"/>
      <c r="S42" s="529"/>
      <c r="T42" s="529"/>
      <c r="U42" s="529"/>
      <c r="V42" s="531"/>
      <c r="W42" s="532"/>
      <c r="X42" s="529"/>
      <c r="Y42" s="533"/>
      <c r="Z42" s="534"/>
      <c r="AA42" s="596"/>
      <c r="AB42" s="884"/>
      <c r="AC42" s="547"/>
    </row>
    <row r="43" spans="1:29" ht="24.65" customHeight="1">
      <c r="A43" s="523" t="s">
        <v>35</v>
      </c>
      <c r="B43" s="524" t="s">
        <v>236</v>
      </c>
      <c r="C43" s="525" t="s">
        <v>237</v>
      </c>
      <c r="D43" s="526" t="s">
        <v>238</v>
      </c>
      <c r="E43" s="526" t="s">
        <v>239</v>
      </c>
      <c r="F43" s="527" t="s">
        <v>39</v>
      </c>
      <c r="G43" s="528" t="s">
        <v>85</v>
      </c>
      <c r="H43" s="529" t="s">
        <v>220</v>
      </c>
      <c r="I43" s="529" t="s">
        <v>86</v>
      </c>
      <c r="J43" s="529" t="s">
        <v>232</v>
      </c>
      <c r="K43" s="530" t="s">
        <v>87</v>
      </c>
      <c r="L43" s="585"/>
      <c r="M43" s="529" t="s">
        <v>234</v>
      </c>
      <c r="N43" s="530" t="s">
        <v>240</v>
      </c>
      <c r="O43" s="529"/>
      <c r="P43" s="529"/>
      <c r="Q43" s="529"/>
      <c r="R43" s="529"/>
      <c r="S43" s="529"/>
      <c r="T43" s="529"/>
      <c r="U43" s="529"/>
      <c r="V43" s="531"/>
      <c r="W43" s="532"/>
      <c r="X43" s="529"/>
      <c r="Y43" s="533"/>
      <c r="Z43" s="534"/>
      <c r="AA43" s="596"/>
      <c r="AB43" s="884"/>
      <c r="AC43" s="547"/>
    </row>
    <row r="44" spans="1:29" ht="23.15" customHeight="1">
      <c r="A44" s="523" t="s">
        <v>35</v>
      </c>
      <c r="B44" s="524" t="s">
        <v>241</v>
      </c>
      <c r="C44" s="525" t="s">
        <v>242</v>
      </c>
      <c r="D44" s="526" t="s">
        <v>243</v>
      </c>
      <c r="E44" s="526" t="s">
        <v>244</v>
      </c>
      <c r="F44" s="527" t="s">
        <v>245</v>
      </c>
      <c r="G44" s="528" t="s">
        <v>115</v>
      </c>
      <c r="H44" s="529" t="s">
        <v>220</v>
      </c>
      <c r="I44" s="529" t="s">
        <v>102</v>
      </c>
      <c r="J44" s="529" t="s">
        <v>43</v>
      </c>
      <c r="K44" s="530" t="s">
        <v>87</v>
      </c>
      <c r="L44" s="585"/>
      <c r="M44" s="529" t="s">
        <v>246</v>
      </c>
      <c r="N44" s="530" t="s">
        <v>247</v>
      </c>
      <c r="O44" s="529"/>
      <c r="P44" s="529"/>
      <c r="Q44" s="529"/>
      <c r="R44" s="529"/>
      <c r="S44" s="529"/>
      <c r="T44" s="529"/>
      <c r="U44" s="529"/>
      <c r="V44" s="531"/>
      <c r="W44" s="532"/>
      <c r="X44" s="529"/>
      <c r="Y44" s="533"/>
      <c r="Z44" s="534"/>
      <c r="AA44" s="596"/>
      <c r="AB44" s="884"/>
      <c r="AC44" s="547"/>
    </row>
    <row r="45" spans="1:29" ht="21.65" customHeight="1">
      <c r="A45" s="523" t="s">
        <v>35</v>
      </c>
      <c r="B45" s="524" t="s">
        <v>228</v>
      </c>
      <c r="C45" s="525" t="s">
        <v>248</v>
      </c>
      <c r="D45" s="526" t="s">
        <v>249</v>
      </c>
      <c r="E45" s="526"/>
      <c r="F45" s="527" t="s">
        <v>39</v>
      </c>
      <c r="G45" s="528" t="s">
        <v>85</v>
      </c>
      <c r="H45" s="529" t="s">
        <v>220</v>
      </c>
      <c r="I45" s="529" t="s">
        <v>102</v>
      </c>
      <c r="J45" s="529" t="s">
        <v>43</v>
      </c>
      <c r="K45" s="530" t="s">
        <v>250</v>
      </c>
      <c r="L45" s="585"/>
      <c r="M45" s="529" t="s">
        <v>251</v>
      </c>
      <c r="N45" s="530" t="s">
        <v>252</v>
      </c>
      <c r="O45" s="529"/>
      <c r="P45" s="529"/>
      <c r="Q45" s="529"/>
      <c r="R45" s="529"/>
      <c r="S45" s="529"/>
      <c r="T45" s="529"/>
      <c r="U45" s="529"/>
      <c r="V45" s="531"/>
      <c r="W45" s="532"/>
      <c r="X45" s="529"/>
      <c r="Y45" s="533"/>
      <c r="Z45" s="534"/>
      <c r="AA45" s="596"/>
      <c r="AB45" s="884"/>
      <c r="AC45" s="547"/>
    </row>
    <row r="46" spans="1:29" ht="23.5" customHeight="1">
      <c r="A46" s="523" t="s">
        <v>35</v>
      </c>
      <c r="B46" s="524" t="s">
        <v>253</v>
      </c>
      <c r="C46" s="525" t="s">
        <v>254</v>
      </c>
      <c r="D46" s="526" t="s">
        <v>255</v>
      </c>
      <c r="E46" s="526" t="s">
        <v>256</v>
      </c>
      <c r="F46" s="527" t="s">
        <v>39</v>
      </c>
      <c r="G46" s="528" t="s">
        <v>40</v>
      </c>
      <c r="H46" s="529" t="s">
        <v>220</v>
      </c>
      <c r="I46" s="529" t="s">
        <v>86</v>
      </c>
      <c r="J46" s="529" t="s">
        <v>232</v>
      </c>
      <c r="K46" s="530" t="s">
        <v>257</v>
      </c>
      <c r="L46" s="585"/>
      <c r="M46" s="529" t="s">
        <v>258</v>
      </c>
      <c r="N46" s="530" t="s">
        <v>259</v>
      </c>
      <c r="O46" s="529"/>
      <c r="P46" s="529"/>
      <c r="Q46" s="529"/>
      <c r="R46" s="529"/>
      <c r="S46" s="529"/>
      <c r="T46" s="529"/>
      <c r="U46" s="529"/>
      <c r="V46" s="531"/>
      <c r="W46" s="532"/>
      <c r="X46" s="529"/>
      <c r="Y46" s="533"/>
      <c r="Z46" s="534"/>
      <c r="AA46" s="596"/>
      <c r="AB46" s="884"/>
      <c r="AC46" s="547"/>
    </row>
    <row r="47" spans="1:29" ht="25.5" customHeight="1">
      <c r="A47" s="523" t="s">
        <v>35</v>
      </c>
      <c r="B47" s="524"/>
      <c r="C47" s="525"/>
      <c r="D47" s="526" t="s">
        <v>260</v>
      </c>
      <c r="E47" s="526" t="s">
        <v>261</v>
      </c>
      <c r="F47" s="527"/>
      <c r="G47" s="528"/>
      <c r="H47" s="529"/>
      <c r="I47" s="529" t="s">
        <v>109</v>
      </c>
      <c r="J47" s="529"/>
      <c r="K47" s="530" t="s">
        <v>257</v>
      </c>
      <c r="L47" s="585"/>
      <c r="M47" s="529"/>
      <c r="N47" s="530" t="s">
        <v>259</v>
      </c>
      <c r="O47" s="529"/>
      <c r="P47" s="529"/>
      <c r="Q47" s="529"/>
      <c r="R47" s="529"/>
      <c r="S47" s="529"/>
      <c r="T47" s="529"/>
      <c r="U47" s="529"/>
      <c r="V47" s="531"/>
      <c r="W47" s="532"/>
      <c r="X47" s="529"/>
      <c r="Y47" s="533" t="s">
        <v>50</v>
      </c>
      <c r="Z47" s="534"/>
      <c r="AA47" s="596"/>
      <c r="AB47" s="884"/>
      <c r="AC47" s="547"/>
    </row>
    <row r="48" spans="1:29" ht="33.65" customHeight="1">
      <c r="A48" s="523" t="s">
        <v>35</v>
      </c>
      <c r="B48" s="524" t="s">
        <v>228</v>
      </c>
      <c r="C48" s="525" t="s">
        <v>262</v>
      </c>
      <c r="D48" s="526" t="s">
        <v>263</v>
      </c>
      <c r="E48" s="526" t="s">
        <v>264</v>
      </c>
      <c r="F48" s="527" t="s">
        <v>39</v>
      </c>
      <c r="G48" s="528" t="s">
        <v>101</v>
      </c>
      <c r="H48" s="529" t="s">
        <v>220</v>
      </c>
      <c r="I48" s="529" t="s">
        <v>102</v>
      </c>
      <c r="J48" s="529" t="s">
        <v>43</v>
      </c>
      <c r="K48" s="530" t="s">
        <v>265</v>
      </c>
      <c r="L48" s="585"/>
      <c r="M48" s="529" t="s">
        <v>266</v>
      </c>
      <c r="N48" s="530" t="s">
        <v>267</v>
      </c>
      <c r="O48" s="529"/>
      <c r="P48" s="529"/>
      <c r="Q48" s="529"/>
      <c r="R48" s="529"/>
      <c r="S48" s="529"/>
      <c r="T48" s="529"/>
      <c r="U48" s="529"/>
      <c r="V48" s="531"/>
      <c r="W48" s="532"/>
      <c r="X48" s="529"/>
      <c r="Y48" s="533"/>
      <c r="Z48" s="534"/>
      <c r="AA48" s="596"/>
      <c r="AB48" s="884"/>
      <c r="AC48" s="547"/>
    </row>
    <row r="49" spans="1:29" ht="30.65" customHeight="1">
      <c r="A49" s="523" t="s">
        <v>268</v>
      </c>
      <c r="B49" s="524" t="s">
        <v>269</v>
      </c>
      <c r="C49" s="525" t="s">
        <v>270</v>
      </c>
      <c r="D49" s="526" t="s">
        <v>271</v>
      </c>
      <c r="E49" s="526" t="s">
        <v>272</v>
      </c>
      <c r="F49" s="527" t="s">
        <v>39</v>
      </c>
      <c r="G49" s="528" t="s">
        <v>101</v>
      </c>
      <c r="H49" s="529" t="s">
        <v>220</v>
      </c>
      <c r="I49" s="529" t="s">
        <v>102</v>
      </c>
      <c r="J49" s="529" t="s">
        <v>232</v>
      </c>
      <c r="K49" s="530" t="s">
        <v>226</v>
      </c>
      <c r="L49" s="585"/>
      <c r="M49" s="529" t="s">
        <v>227</v>
      </c>
      <c r="N49" s="530" t="s">
        <v>227</v>
      </c>
      <c r="O49" s="529"/>
      <c r="P49" s="529"/>
      <c r="Q49" s="529"/>
      <c r="R49" s="529"/>
      <c r="S49" s="529"/>
      <c r="T49" s="529"/>
      <c r="U49" s="529"/>
      <c r="V49" s="531"/>
      <c r="W49" s="532"/>
      <c r="X49" s="529"/>
      <c r="Y49" s="533"/>
      <c r="Z49" s="534"/>
      <c r="AA49" s="604"/>
      <c r="AB49" s="885"/>
      <c r="AC49" s="547"/>
    </row>
    <row r="50" spans="1:29" ht="36" customHeight="1">
      <c r="A50" s="523" t="s">
        <v>35</v>
      </c>
      <c r="B50" s="524"/>
      <c r="C50" s="525"/>
      <c r="D50" s="526" t="s">
        <v>273</v>
      </c>
      <c r="E50" s="526"/>
      <c r="F50" s="527"/>
      <c r="G50" s="528"/>
      <c r="H50" s="529"/>
      <c r="I50" s="529"/>
      <c r="J50" s="529"/>
      <c r="K50" s="530"/>
      <c r="L50" s="585"/>
      <c r="M50" s="529"/>
      <c r="N50" s="530"/>
      <c r="O50" s="529"/>
      <c r="P50" s="529"/>
      <c r="Q50" s="529"/>
      <c r="R50" s="529"/>
      <c r="S50" s="529"/>
      <c r="T50" s="529"/>
      <c r="U50" s="529"/>
      <c r="V50" s="531"/>
      <c r="W50" s="532"/>
      <c r="X50" s="529"/>
      <c r="Y50" s="533" t="s">
        <v>274</v>
      </c>
      <c r="Z50" s="534"/>
      <c r="AA50" s="596"/>
      <c r="AB50" s="884"/>
      <c r="AC50" s="547"/>
    </row>
    <row r="51" spans="1:29" ht="29.15" customHeight="1">
      <c r="A51" s="523" t="s">
        <v>268</v>
      </c>
      <c r="B51" s="524" t="s">
        <v>275</v>
      </c>
      <c r="C51" s="525" t="s">
        <v>276</v>
      </c>
      <c r="D51" s="526" t="s">
        <v>277</v>
      </c>
      <c r="E51" s="526" t="s">
        <v>278</v>
      </c>
      <c r="F51" s="527" t="s">
        <v>39</v>
      </c>
      <c r="G51" s="528" t="s">
        <v>85</v>
      </c>
      <c r="H51" s="529" t="s">
        <v>220</v>
      </c>
      <c r="I51" s="529" t="s">
        <v>102</v>
      </c>
      <c r="J51" s="529" t="s">
        <v>43</v>
      </c>
      <c r="K51" s="530" t="s">
        <v>221</v>
      </c>
      <c r="L51" s="585"/>
      <c r="M51" s="529" t="s">
        <v>222</v>
      </c>
      <c r="N51" s="530" t="s">
        <v>223</v>
      </c>
      <c r="O51" s="529"/>
      <c r="P51" s="529"/>
      <c r="Q51" s="529"/>
      <c r="R51" s="529"/>
      <c r="S51" s="529"/>
      <c r="T51" s="529"/>
      <c r="U51" s="529"/>
      <c r="V51" s="531"/>
      <c r="W51" s="532"/>
      <c r="X51" s="529"/>
      <c r="Y51" s="533"/>
      <c r="Z51" s="534"/>
      <c r="AA51" s="604"/>
      <c r="AB51" s="885"/>
      <c r="AC51" s="547"/>
    </row>
    <row r="52" spans="1:29" ht="34" customHeight="1">
      <c r="A52" s="523" t="s">
        <v>268</v>
      </c>
      <c r="B52" s="524" t="s">
        <v>279</v>
      </c>
      <c r="C52" s="525" t="s">
        <v>280</v>
      </c>
      <c r="D52" s="526" t="s">
        <v>281</v>
      </c>
      <c r="E52" s="526" t="s">
        <v>282</v>
      </c>
      <c r="F52" s="527" t="s">
        <v>283</v>
      </c>
      <c r="G52" s="528" t="s">
        <v>115</v>
      </c>
      <c r="H52" s="529" t="s">
        <v>220</v>
      </c>
      <c r="I52" s="529" t="s">
        <v>102</v>
      </c>
      <c r="J52" s="529" t="s">
        <v>43</v>
      </c>
      <c r="K52" s="530" t="s">
        <v>284</v>
      </c>
      <c r="L52" s="585"/>
      <c r="M52" s="529" t="s">
        <v>222</v>
      </c>
      <c r="N52" s="530" t="s">
        <v>285</v>
      </c>
      <c r="O52" s="529"/>
      <c r="P52" s="529"/>
      <c r="Q52" s="529"/>
      <c r="R52" s="529"/>
      <c r="S52" s="529"/>
      <c r="T52" s="529"/>
      <c r="U52" s="529"/>
      <c r="V52" s="531"/>
      <c r="W52" s="532"/>
      <c r="X52" s="529"/>
      <c r="Y52" s="533"/>
      <c r="Z52" s="534"/>
      <c r="AA52" s="604"/>
      <c r="AB52" s="885"/>
      <c r="AC52" s="547"/>
    </row>
    <row r="53" spans="1:29" ht="36.65" customHeight="1">
      <c r="A53" s="523" t="s">
        <v>35</v>
      </c>
      <c r="B53" s="524"/>
      <c r="C53" s="525"/>
      <c r="D53" s="526" t="s">
        <v>286</v>
      </c>
      <c r="E53" s="526" t="s">
        <v>287</v>
      </c>
      <c r="F53" s="527"/>
      <c r="G53" s="528"/>
      <c r="H53" s="529"/>
      <c r="I53" s="529" t="s">
        <v>109</v>
      </c>
      <c r="J53" s="529"/>
      <c r="K53" s="530" t="s">
        <v>288</v>
      </c>
      <c r="L53" s="585"/>
      <c r="M53" s="529"/>
      <c r="N53" s="530" t="s">
        <v>289</v>
      </c>
      <c r="O53" s="529"/>
      <c r="P53" s="529"/>
      <c r="Q53" s="529"/>
      <c r="R53" s="529"/>
      <c r="S53" s="529"/>
      <c r="T53" s="529"/>
      <c r="U53" s="529"/>
      <c r="V53" s="531"/>
      <c r="W53" s="532"/>
      <c r="X53" s="529"/>
      <c r="Y53" s="533" t="s">
        <v>290</v>
      </c>
      <c r="Z53" s="534"/>
      <c r="AA53" s="596"/>
      <c r="AB53" s="884"/>
      <c r="AC53" s="547"/>
    </row>
    <row r="54" spans="1:29" ht="25" customHeight="1">
      <c r="A54" s="523" t="s">
        <v>268</v>
      </c>
      <c r="B54" s="524" t="s">
        <v>291</v>
      </c>
      <c r="C54" s="525" t="s">
        <v>292</v>
      </c>
      <c r="D54" s="526" t="s">
        <v>293</v>
      </c>
      <c r="E54" s="526" t="s">
        <v>294</v>
      </c>
      <c r="F54" s="527" t="s">
        <v>39</v>
      </c>
      <c r="G54" s="528" t="s">
        <v>85</v>
      </c>
      <c r="H54" s="529" t="s">
        <v>220</v>
      </c>
      <c r="I54" s="529" t="s">
        <v>102</v>
      </c>
      <c r="J54" s="529" t="s">
        <v>43</v>
      </c>
      <c r="K54" s="530" t="s">
        <v>295</v>
      </c>
      <c r="L54" s="585"/>
      <c r="M54" s="529" t="s">
        <v>296</v>
      </c>
      <c r="N54" s="530" t="s">
        <v>297</v>
      </c>
      <c r="O54" s="529"/>
      <c r="P54" s="529"/>
      <c r="Q54" s="529"/>
      <c r="R54" s="529"/>
      <c r="S54" s="529"/>
      <c r="T54" s="529"/>
      <c r="U54" s="529"/>
      <c r="V54" s="531"/>
      <c r="W54" s="532"/>
      <c r="X54" s="529"/>
      <c r="Y54" s="533"/>
      <c r="Z54" s="534"/>
      <c r="AA54" s="604"/>
      <c r="AB54" s="885"/>
      <c r="AC54" s="547"/>
    </row>
    <row r="55" spans="1:29" ht="33" customHeight="1">
      <c r="A55" s="523" t="s">
        <v>268</v>
      </c>
      <c r="B55" s="524" t="s">
        <v>298</v>
      </c>
      <c r="C55" s="525" t="s">
        <v>299</v>
      </c>
      <c r="D55" s="526" t="s">
        <v>300</v>
      </c>
      <c r="E55" s="526" t="s">
        <v>301</v>
      </c>
      <c r="F55" s="527" t="s">
        <v>39</v>
      </c>
      <c r="G55" s="528" t="s">
        <v>101</v>
      </c>
      <c r="H55" s="529" t="s">
        <v>220</v>
      </c>
      <c r="I55" s="529" t="s">
        <v>102</v>
      </c>
      <c r="J55" s="529" t="s">
        <v>43</v>
      </c>
      <c r="K55" s="530" t="s">
        <v>302</v>
      </c>
      <c r="L55" s="585"/>
      <c r="M55" s="529" t="s">
        <v>303</v>
      </c>
      <c r="N55" s="530" t="s">
        <v>304</v>
      </c>
      <c r="O55" s="529"/>
      <c r="P55" s="529"/>
      <c r="Q55" s="529"/>
      <c r="R55" s="529"/>
      <c r="S55" s="529"/>
      <c r="T55" s="529"/>
      <c r="U55" s="529"/>
      <c r="V55" s="531"/>
      <c r="W55" s="532"/>
      <c r="X55" s="529"/>
      <c r="Y55" s="533"/>
      <c r="Z55" s="534"/>
      <c r="AA55" s="604"/>
      <c r="AB55" s="885"/>
      <c r="AC55" s="547"/>
    </row>
    <row r="56" spans="1:29" ht="55.5" customHeight="1">
      <c r="A56" s="523" t="s">
        <v>96</v>
      </c>
      <c r="B56" s="524" t="s">
        <v>305</v>
      </c>
      <c r="C56" s="525" t="s">
        <v>306</v>
      </c>
      <c r="D56" s="526" t="s">
        <v>307</v>
      </c>
      <c r="E56" s="526"/>
      <c r="F56" s="527" t="s">
        <v>100</v>
      </c>
      <c r="G56" s="528" t="s">
        <v>115</v>
      </c>
      <c r="H56" s="529" t="s">
        <v>220</v>
      </c>
      <c r="I56" s="529" t="s">
        <v>102</v>
      </c>
      <c r="J56" s="529" t="s">
        <v>232</v>
      </c>
      <c r="K56" s="530" t="s">
        <v>308</v>
      </c>
      <c r="L56" s="585"/>
      <c r="M56" s="529"/>
      <c r="N56" s="530" t="s">
        <v>309</v>
      </c>
      <c r="O56" s="529"/>
      <c r="P56" s="529"/>
      <c r="Q56" s="529"/>
      <c r="R56" s="529"/>
      <c r="S56" s="529"/>
      <c r="T56" s="529"/>
      <c r="U56" s="529"/>
      <c r="V56" s="531"/>
      <c r="W56" s="532"/>
      <c r="X56" s="529"/>
      <c r="Y56" s="533"/>
      <c r="Z56" s="534"/>
      <c r="AA56" s="596"/>
      <c r="AB56" s="884"/>
      <c r="AC56" s="547"/>
    </row>
    <row r="57" spans="1:29" ht="48.75" customHeight="1">
      <c r="A57" s="523" t="s">
        <v>96</v>
      </c>
      <c r="B57" s="524" t="s">
        <v>310</v>
      </c>
      <c r="C57" s="525" t="s">
        <v>311</v>
      </c>
      <c r="D57" s="526" t="s">
        <v>312</v>
      </c>
      <c r="E57" s="526" t="s">
        <v>313</v>
      </c>
      <c r="F57" s="527" t="s">
        <v>100</v>
      </c>
      <c r="G57" s="528" t="s">
        <v>115</v>
      </c>
      <c r="H57" s="529" t="s">
        <v>220</v>
      </c>
      <c r="I57" s="529" t="s">
        <v>102</v>
      </c>
      <c r="J57" s="529" t="s">
        <v>232</v>
      </c>
      <c r="K57" s="530" t="s">
        <v>308</v>
      </c>
      <c r="L57" s="585"/>
      <c r="M57" s="529" t="s">
        <v>104</v>
      </c>
      <c r="N57" s="530" t="s">
        <v>309</v>
      </c>
      <c r="O57" s="529"/>
      <c r="P57" s="529"/>
      <c r="Q57" s="529"/>
      <c r="R57" s="529"/>
      <c r="S57" s="529"/>
      <c r="T57" s="529"/>
      <c r="U57" s="529"/>
      <c r="V57" s="531"/>
      <c r="W57" s="532"/>
      <c r="X57" s="529"/>
      <c r="Y57" s="533"/>
      <c r="Z57" s="534"/>
      <c r="AA57" s="596"/>
      <c r="AB57" s="884"/>
      <c r="AC57" s="547"/>
    </row>
    <row r="58" spans="1:29" ht="39" customHeight="1">
      <c r="A58" s="523" t="s">
        <v>96</v>
      </c>
      <c r="B58" s="524" t="s">
        <v>314</v>
      </c>
      <c r="C58" s="525" t="s">
        <v>315</v>
      </c>
      <c r="D58" s="526" t="s">
        <v>316</v>
      </c>
      <c r="E58" s="526" t="s">
        <v>317</v>
      </c>
      <c r="F58" s="527" t="s">
        <v>39</v>
      </c>
      <c r="G58" s="528" t="s">
        <v>85</v>
      </c>
      <c r="H58" s="529" t="s">
        <v>220</v>
      </c>
      <c r="I58" s="529" t="s">
        <v>102</v>
      </c>
      <c r="J58" s="529" t="s">
        <v>43</v>
      </c>
      <c r="K58" s="530" t="s">
        <v>318</v>
      </c>
      <c r="L58" s="585"/>
      <c r="M58" s="529" t="s">
        <v>319</v>
      </c>
      <c r="N58" s="530" t="s">
        <v>320</v>
      </c>
      <c r="O58" s="529"/>
      <c r="P58" s="529"/>
      <c r="Q58" s="529"/>
      <c r="R58" s="529"/>
      <c r="S58" s="529"/>
      <c r="T58" s="529"/>
      <c r="U58" s="529"/>
      <c r="V58" s="531"/>
      <c r="W58" s="532"/>
      <c r="X58" s="529"/>
      <c r="Y58" s="533"/>
      <c r="Z58" s="534"/>
      <c r="AA58" s="596"/>
      <c r="AB58" s="884"/>
      <c r="AC58" s="547"/>
    </row>
    <row r="59" spans="1:29" ht="36" customHeight="1">
      <c r="A59" s="523" t="s">
        <v>106</v>
      </c>
      <c r="B59" s="524"/>
      <c r="C59" s="525"/>
      <c r="D59" s="526" t="s">
        <v>321</v>
      </c>
      <c r="E59" s="526" t="s">
        <v>317</v>
      </c>
      <c r="F59" s="527"/>
      <c r="G59" s="528"/>
      <c r="H59" s="529"/>
      <c r="I59" s="529" t="s">
        <v>109</v>
      </c>
      <c r="J59" s="529"/>
      <c r="K59" s="530" t="s">
        <v>318</v>
      </c>
      <c r="L59" s="585"/>
      <c r="M59" s="529"/>
      <c r="N59" s="530" t="s">
        <v>320</v>
      </c>
      <c r="O59" s="529"/>
      <c r="P59" s="529"/>
      <c r="Q59" s="529"/>
      <c r="R59" s="529"/>
      <c r="S59" s="529"/>
      <c r="T59" s="529"/>
      <c r="U59" s="529"/>
      <c r="V59" s="531"/>
      <c r="W59" s="532"/>
      <c r="X59" s="529"/>
      <c r="Y59" s="533" t="s">
        <v>111</v>
      </c>
      <c r="Z59" s="534"/>
      <c r="AA59" s="596"/>
      <c r="AB59" s="884"/>
      <c r="AC59" s="547"/>
    </row>
    <row r="60" spans="1:29" ht="35.15" customHeight="1">
      <c r="A60" s="523" t="s">
        <v>96</v>
      </c>
      <c r="B60" s="524" t="s">
        <v>322</v>
      </c>
      <c r="C60" s="525" t="s">
        <v>323</v>
      </c>
      <c r="D60" s="526" t="s">
        <v>324</v>
      </c>
      <c r="E60" s="526" t="s">
        <v>325</v>
      </c>
      <c r="F60" s="527" t="s">
        <v>100</v>
      </c>
      <c r="G60" s="528" t="s">
        <v>101</v>
      </c>
      <c r="H60" s="529" t="s">
        <v>220</v>
      </c>
      <c r="I60" s="529" t="s">
        <v>102</v>
      </c>
      <c r="J60" s="529" t="s">
        <v>43</v>
      </c>
      <c r="K60" s="530" t="s">
        <v>326</v>
      </c>
      <c r="L60" s="585"/>
      <c r="M60" s="529" t="s">
        <v>327</v>
      </c>
      <c r="N60" s="530" t="s">
        <v>328</v>
      </c>
      <c r="O60" s="529"/>
      <c r="P60" s="529"/>
      <c r="Q60" s="529"/>
      <c r="R60" s="529"/>
      <c r="S60" s="529"/>
      <c r="T60" s="529"/>
      <c r="U60" s="529"/>
      <c r="V60" s="531"/>
      <c r="W60" s="532"/>
      <c r="X60" s="529"/>
      <c r="Y60" s="533"/>
      <c r="Z60" s="534"/>
      <c r="AA60" s="596"/>
      <c r="AB60" s="884"/>
      <c r="AC60" s="547"/>
    </row>
    <row r="61" spans="1:29" ht="45.75" customHeight="1">
      <c r="A61" s="523" t="s">
        <v>96</v>
      </c>
      <c r="B61" s="524" t="s">
        <v>329</v>
      </c>
      <c r="C61" s="525" t="s">
        <v>330</v>
      </c>
      <c r="D61" s="526" t="s">
        <v>331</v>
      </c>
      <c r="E61" s="526" t="s">
        <v>332</v>
      </c>
      <c r="F61" s="527" t="s">
        <v>39</v>
      </c>
      <c r="G61" s="528" t="s">
        <v>85</v>
      </c>
      <c r="H61" s="529" t="s">
        <v>220</v>
      </c>
      <c r="I61" s="529" t="s">
        <v>102</v>
      </c>
      <c r="J61" s="529" t="s">
        <v>43</v>
      </c>
      <c r="K61" s="530" t="s">
        <v>333</v>
      </c>
      <c r="L61" s="585"/>
      <c r="M61" s="529" t="s">
        <v>334</v>
      </c>
      <c r="N61" s="530" t="s">
        <v>335</v>
      </c>
      <c r="O61" s="529"/>
      <c r="P61" s="529"/>
      <c r="Q61" s="529"/>
      <c r="R61" s="529"/>
      <c r="S61" s="529"/>
      <c r="T61" s="529"/>
      <c r="U61" s="529"/>
      <c r="V61" s="531"/>
      <c r="W61" s="532"/>
      <c r="X61" s="529"/>
      <c r="Y61" s="533"/>
      <c r="Z61" s="534"/>
      <c r="AA61" s="604"/>
      <c r="AB61" s="885"/>
      <c r="AC61" s="547"/>
    </row>
    <row r="62" spans="1:29" ht="29.15" customHeight="1">
      <c r="A62" s="523" t="s">
        <v>96</v>
      </c>
      <c r="B62" s="524" t="s">
        <v>336</v>
      </c>
      <c r="C62" s="525" t="s">
        <v>337</v>
      </c>
      <c r="D62" s="526" t="s">
        <v>338</v>
      </c>
      <c r="E62" s="526" t="s">
        <v>339</v>
      </c>
      <c r="F62" s="527" t="s">
        <v>100</v>
      </c>
      <c r="G62" s="528" t="s">
        <v>115</v>
      </c>
      <c r="H62" s="529" t="s">
        <v>220</v>
      </c>
      <c r="I62" s="529" t="s">
        <v>102</v>
      </c>
      <c r="J62" s="529" t="s">
        <v>43</v>
      </c>
      <c r="K62" s="530" t="s">
        <v>340</v>
      </c>
      <c r="L62" s="585"/>
      <c r="M62" s="529" t="s">
        <v>341</v>
      </c>
      <c r="N62" s="530" t="s">
        <v>342</v>
      </c>
      <c r="O62" s="529"/>
      <c r="P62" s="529"/>
      <c r="Q62" s="529"/>
      <c r="R62" s="529"/>
      <c r="S62" s="529"/>
      <c r="T62" s="529"/>
      <c r="U62" s="529"/>
      <c r="V62" s="531"/>
      <c r="W62" s="532"/>
      <c r="X62" s="529"/>
      <c r="Y62" s="533"/>
      <c r="Z62" s="534"/>
      <c r="AA62" s="604"/>
      <c r="AB62" s="885"/>
      <c r="AC62" s="547"/>
    </row>
    <row r="63" spans="1:29" ht="34.5" customHeight="1">
      <c r="A63" s="523" t="s">
        <v>106</v>
      </c>
      <c r="B63" s="524"/>
      <c r="C63" s="525" t="s">
        <v>343</v>
      </c>
      <c r="D63" s="526" t="s">
        <v>344</v>
      </c>
      <c r="E63" s="526" t="s">
        <v>345</v>
      </c>
      <c r="F63" s="527"/>
      <c r="G63" s="528"/>
      <c r="H63" s="529" t="s">
        <v>220</v>
      </c>
      <c r="I63" s="529" t="s">
        <v>109</v>
      </c>
      <c r="J63" s="529"/>
      <c r="K63" s="530" t="s">
        <v>302</v>
      </c>
      <c r="L63" s="585"/>
      <c r="M63" s="529"/>
      <c r="N63" s="530" t="s">
        <v>304</v>
      </c>
      <c r="O63" s="529" t="s">
        <v>346</v>
      </c>
      <c r="P63" s="529"/>
      <c r="Q63" s="529"/>
      <c r="R63" s="529"/>
      <c r="S63" s="529"/>
      <c r="T63" s="529"/>
      <c r="U63" s="529"/>
      <c r="V63" s="531"/>
      <c r="W63" s="532"/>
      <c r="X63" s="529"/>
      <c r="Y63" s="533" t="s">
        <v>347</v>
      </c>
      <c r="Z63" s="534"/>
      <c r="AA63" s="596"/>
      <c r="AB63" s="884"/>
      <c r="AC63" s="547"/>
    </row>
    <row r="64" spans="1:29" ht="31.5" customHeight="1">
      <c r="A64" s="523" t="s">
        <v>106</v>
      </c>
      <c r="B64" s="524"/>
      <c r="C64" s="525"/>
      <c r="D64" s="526" t="s">
        <v>348</v>
      </c>
      <c r="E64" s="526" t="s">
        <v>349</v>
      </c>
      <c r="F64" s="527"/>
      <c r="G64" s="528"/>
      <c r="H64" s="529" t="s">
        <v>220</v>
      </c>
      <c r="I64" s="529" t="s">
        <v>109</v>
      </c>
      <c r="J64" s="529"/>
      <c r="K64" s="530" t="s">
        <v>302</v>
      </c>
      <c r="L64" s="585"/>
      <c r="M64" s="529"/>
      <c r="N64" s="530" t="s">
        <v>304</v>
      </c>
      <c r="O64" s="529"/>
      <c r="P64" s="529"/>
      <c r="Q64" s="529"/>
      <c r="R64" s="529"/>
      <c r="S64" s="529"/>
      <c r="T64" s="529"/>
      <c r="U64" s="529"/>
      <c r="V64" s="531"/>
      <c r="W64" s="532"/>
      <c r="X64" s="529"/>
      <c r="Y64" s="533" t="s">
        <v>347</v>
      </c>
      <c r="Z64" s="534"/>
      <c r="AA64" s="596"/>
      <c r="AB64" s="884"/>
      <c r="AC64" s="547"/>
    </row>
    <row r="65" spans="1:36" ht="41.5" customHeight="1">
      <c r="A65" s="523" t="s">
        <v>127</v>
      </c>
      <c r="B65" s="524">
        <v>1.1000000000000001</v>
      </c>
      <c r="C65" s="525" t="s">
        <v>350</v>
      </c>
      <c r="D65" s="526" t="s">
        <v>351</v>
      </c>
      <c r="E65" s="526" t="s">
        <v>352</v>
      </c>
      <c r="F65" s="527" t="s">
        <v>39</v>
      </c>
      <c r="G65" s="528" t="s">
        <v>40</v>
      </c>
      <c r="H65" s="529" t="s">
        <v>220</v>
      </c>
      <c r="I65" s="529" t="s">
        <v>109</v>
      </c>
      <c r="J65" s="529" t="s">
        <v>232</v>
      </c>
      <c r="K65" s="530" t="s">
        <v>353</v>
      </c>
      <c r="L65" s="585" t="s">
        <v>354</v>
      </c>
      <c r="M65" s="529" t="s">
        <v>355</v>
      </c>
      <c r="N65" s="530" t="s">
        <v>356</v>
      </c>
      <c r="O65" s="529" t="s">
        <v>357</v>
      </c>
      <c r="P65" s="529" t="s">
        <v>136</v>
      </c>
      <c r="Q65" s="529"/>
      <c r="R65" s="529"/>
      <c r="S65" s="529"/>
      <c r="T65" s="529"/>
      <c r="U65" s="529"/>
      <c r="V65" s="531"/>
      <c r="W65" s="532"/>
      <c r="X65" s="529"/>
      <c r="Y65" s="533" t="s">
        <v>358</v>
      </c>
      <c r="Z65" s="534">
        <v>0</v>
      </c>
      <c r="AA65" s="596"/>
      <c r="AB65" s="884"/>
      <c r="AC65" s="547"/>
      <c r="AD65" s="547"/>
      <c r="AE65" s="547"/>
      <c r="AF65" s="547"/>
      <c r="AG65" s="547"/>
      <c r="AH65" s="547"/>
      <c r="AI65" s="547"/>
      <c r="AJ65" s="547"/>
    </row>
    <row r="66" spans="1:36" ht="60" customHeight="1">
      <c r="A66" s="523" t="s">
        <v>127</v>
      </c>
      <c r="B66" s="524">
        <v>1.2</v>
      </c>
      <c r="C66" s="525" t="s">
        <v>359</v>
      </c>
      <c r="D66" s="526" t="s">
        <v>360</v>
      </c>
      <c r="E66" s="526" t="s">
        <v>361</v>
      </c>
      <c r="F66" s="527" t="s">
        <v>39</v>
      </c>
      <c r="G66" s="528" t="s">
        <v>85</v>
      </c>
      <c r="H66" s="529" t="s">
        <v>220</v>
      </c>
      <c r="I66" s="529" t="s">
        <v>109</v>
      </c>
      <c r="J66" s="529" t="s">
        <v>43</v>
      </c>
      <c r="K66" s="530" t="s">
        <v>362</v>
      </c>
      <c r="L66" s="585" t="s">
        <v>363</v>
      </c>
      <c r="M66" s="529" t="s">
        <v>364</v>
      </c>
      <c r="N66" s="530" t="s">
        <v>365</v>
      </c>
      <c r="O66" s="529" t="s">
        <v>366</v>
      </c>
      <c r="P66" s="529" t="s">
        <v>136</v>
      </c>
      <c r="Q66" s="529"/>
      <c r="R66" s="529"/>
      <c r="S66" s="529"/>
      <c r="T66" s="529"/>
      <c r="U66" s="529"/>
      <c r="V66" s="531"/>
      <c r="W66" s="532"/>
      <c r="X66" s="529"/>
      <c r="Y66" s="533" t="s">
        <v>367</v>
      </c>
      <c r="Z66" s="534">
        <v>0</v>
      </c>
      <c r="AA66" s="596"/>
      <c r="AB66" s="884"/>
      <c r="AC66" s="547"/>
      <c r="AD66" s="547"/>
      <c r="AE66" s="547"/>
      <c r="AF66" s="547"/>
      <c r="AG66" s="547"/>
      <c r="AH66" s="547"/>
      <c r="AI66" s="547"/>
      <c r="AJ66" s="547"/>
    </row>
    <row r="67" spans="1:36" ht="50.5" customHeight="1">
      <c r="A67" s="523" t="s">
        <v>127</v>
      </c>
      <c r="B67" s="524">
        <v>1.3</v>
      </c>
      <c r="C67" s="525" t="s">
        <v>368</v>
      </c>
      <c r="D67" s="526" t="s">
        <v>369</v>
      </c>
      <c r="E67" s="526" t="s">
        <v>370</v>
      </c>
      <c r="F67" s="527" t="s">
        <v>39</v>
      </c>
      <c r="G67" s="528" t="s">
        <v>85</v>
      </c>
      <c r="H67" s="529" t="s">
        <v>220</v>
      </c>
      <c r="I67" s="529" t="s">
        <v>109</v>
      </c>
      <c r="J67" s="529" t="s">
        <v>43</v>
      </c>
      <c r="K67" s="530" t="s">
        <v>371</v>
      </c>
      <c r="L67" s="585" t="s">
        <v>372</v>
      </c>
      <c r="M67" s="529" t="s">
        <v>373</v>
      </c>
      <c r="N67" s="530" t="s">
        <v>374</v>
      </c>
      <c r="O67" s="529" t="s">
        <v>375</v>
      </c>
      <c r="P67" s="529" t="s">
        <v>145</v>
      </c>
      <c r="Q67" s="529"/>
      <c r="R67" s="529"/>
      <c r="S67" s="529"/>
      <c r="T67" s="529"/>
      <c r="U67" s="529"/>
      <c r="V67" s="531"/>
      <c r="W67" s="532"/>
      <c r="X67" s="529"/>
      <c r="Y67" s="533" t="s">
        <v>376</v>
      </c>
      <c r="Z67" s="534" t="s">
        <v>377</v>
      </c>
      <c r="AA67" s="596"/>
      <c r="AB67" s="884"/>
      <c r="AC67" s="547"/>
      <c r="AD67" s="547"/>
      <c r="AE67" s="547"/>
      <c r="AF67" s="547"/>
      <c r="AG67" s="547"/>
      <c r="AH67" s="547"/>
      <c r="AI67" s="547"/>
      <c r="AJ67" s="547"/>
    </row>
    <row r="68" spans="1:36" ht="56.15" customHeight="1">
      <c r="A68" s="523" t="s">
        <v>127</v>
      </c>
      <c r="B68" s="524">
        <v>2.1</v>
      </c>
      <c r="C68" s="525" t="s">
        <v>378</v>
      </c>
      <c r="D68" s="526" t="s">
        <v>379</v>
      </c>
      <c r="E68" s="526" t="s">
        <v>380</v>
      </c>
      <c r="F68" s="527" t="s">
        <v>39</v>
      </c>
      <c r="G68" s="528" t="s">
        <v>85</v>
      </c>
      <c r="H68" s="529" t="s">
        <v>220</v>
      </c>
      <c r="I68" s="529" t="s">
        <v>109</v>
      </c>
      <c r="J68" s="529" t="s">
        <v>43</v>
      </c>
      <c r="K68" s="530" t="s">
        <v>381</v>
      </c>
      <c r="L68" s="585" t="s">
        <v>382</v>
      </c>
      <c r="M68" s="529" t="s">
        <v>383</v>
      </c>
      <c r="N68" s="530" t="s">
        <v>384</v>
      </c>
      <c r="O68" s="529" t="s">
        <v>385</v>
      </c>
      <c r="P68" s="529" t="s">
        <v>136</v>
      </c>
      <c r="Q68" s="529"/>
      <c r="R68" s="529"/>
      <c r="S68" s="529"/>
      <c r="T68" s="529"/>
      <c r="U68" s="529"/>
      <c r="V68" s="531"/>
      <c r="W68" s="532"/>
      <c r="X68" s="529"/>
      <c r="Y68" s="533" t="s">
        <v>146</v>
      </c>
      <c r="Z68" s="534">
        <v>0</v>
      </c>
      <c r="AA68" s="596"/>
      <c r="AB68" s="884"/>
      <c r="AC68" s="547"/>
      <c r="AD68" s="547"/>
      <c r="AE68" s="547"/>
      <c r="AF68" s="547"/>
      <c r="AG68" s="547"/>
      <c r="AH68" s="547"/>
      <c r="AI68" s="547"/>
      <c r="AJ68" s="547"/>
    </row>
    <row r="69" spans="1:36" ht="64" customHeight="1">
      <c r="A69" s="523" t="s">
        <v>127</v>
      </c>
      <c r="B69" s="524">
        <v>2.2000000000000002</v>
      </c>
      <c r="C69" s="525" t="s">
        <v>386</v>
      </c>
      <c r="D69" s="526" t="s">
        <v>387</v>
      </c>
      <c r="E69" s="526" t="s">
        <v>388</v>
      </c>
      <c r="F69" s="527" t="s">
        <v>39</v>
      </c>
      <c r="G69" s="528" t="s">
        <v>85</v>
      </c>
      <c r="H69" s="529" t="s">
        <v>220</v>
      </c>
      <c r="I69" s="529" t="s">
        <v>109</v>
      </c>
      <c r="J69" s="529" t="s">
        <v>43</v>
      </c>
      <c r="K69" s="530" t="s">
        <v>389</v>
      </c>
      <c r="L69" s="585" t="s">
        <v>170</v>
      </c>
      <c r="M69" s="529" t="s">
        <v>390</v>
      </c>
      <c r="N69" s="530" t="s">
        <v>391</v>
      </c>
      <c r="O69" s="529" t="s">
        <v>392</v>
      </c>
      <c r="P69" s="529" t="s">
        <v>136</v>
      </c>
      <c r="Q69" s="529"/>
      <c r="R69" s="529"/>
      <c r="S69" s="529"/>
      <c r="T69" s="529"/>
      <c r="U69" s="529"/>
      <c r="V69" s="531"/>
      <c r="W69" s="532"/>
      <c r="X69" s="529"/>
      <c r="Y69" s="533" t="s">
        <v>146</v>
      </c>
      <c r="Z69" s="534" t="s">
        <v>393</v>
      </c>
      <c r="AA69" s="596"/>
      <c r="AB69" s="884"/>
      <c r="AC69" s="547"/>
      <c r="AD69" s="547"/>
      <c r="AE69" s="547"/>
      <c r="AF69" s="547"/>
      <c r="AG69" s="547"/>
      <c r="AH69" s="547"/>
      <c r="AI69" s="547"/>
      <c r="AJ69" s="547"/>
    </row>
    <row r="70" spans="1:36" ht="80.150000000000006" customHeight="1">
      <c r="A70" s="523" t="s">
        <v>127</v>
      </c>
      <c r="B70" s="524">
        <v>3.1</v>
      </c>
      <c r="C70" s="525" t="s">
        <v>394</v>
      </c>
      <c r="D70" s="526" t="s">
        <v>395</v>
      </c>
      <c r="E70" s="526" t="s">
        <v>396</v>
      </c>
      <c r="F70" s="527" t="s">
        <v>39</v>
      </c>
      <c r="G70" s="528" t="s">
        <v>85</v>
      </c>
      <c r="H70" s="529" t="s">
        <v>220</v>
      </c>
      <c r="I70" s="529" t="s">
        <v>109</v>
      </c>
      <c r="J70" s="529" t="s">
        <v>43</v>
      </c>
      <c r="K70" s="530" t="s">
        <v>397</v>
      </c>
      <c r="L70" s="585" t="s">
        <v>398</v>
      </c>
      <c r="M70" s="529" t="s">
        <v>399</v>
      </c>
      <c r="N70" s="530" t="s">
        <v>400</v>
      </c>
      <c r="O70" s="529" t="s">
        <v>401</v>
      </c>
      <c r="P70" s="529" t="s">
        <v>145</v>
      </c>
      <c r="Q70" s="529"/>
      <c r="R70" s="529"/>
      <c r="S70" s="529"/>
      <c r="T70" s="529"/>
      <c r="U70" s="529"/>
      <c r="V70" s="531"/>
      <c r="W70" s="532"/>
      <c r="X70" s="529"/>
      <c r="Y70" s="533" t="s">
        <v>146</v>
      </c>
      <c r="Z70" s="534">
        <v>0</v>
      </c>
      <c r="AA70" s="596"/>
      <c r="AB70" s="884"/>
      <c r="AC70" s="547"/>
      <c r="AD70" s="547"/>
      <c r="AE70" s="547"/>
      <c r="AF70" s="547"/>
      <c r="AG70" s="547"/>
      <c r="AH70" s="547"/>
      <c r="AI70" s="547"/>
      <c r="AJ70" s="547"/>
    </row>
    <row r="71" spans="1:36" ht="35.15" customHeight="1">
      <c r="A71" s="523" t="s">
        <v>188</v>
      </c>
      <c r="B71" s="524">
        <v>5</v>
      </c>
      <c r="C71" s="525" t="s">
        <v>402</v>
      </c>
      <c r="D71" s="526" t="s">
        <v>403</v>
      </c>
      <c r="E71" s="526" t="s">
        <v>404</v>
      </c>
      <c r="F71" s="527" t="s">
        <v>39</v>
      </c>
      <c r="G71" s="528" t="s">
        <v>85</v>
      </c>
      <c r="H71" s="529" t="s">
        <v>220</v>
      </c>
      <c r="I71" s="529" t="s">
        <v>192</v>
      </c>
      <c r="J71" s="529" t="s">
        <v>43</v>
      </c>
      <c r="K71" s="530" t="s">
        <v>405</v>
      </c>
      <c r="L71" s="585" t="s">
        <v>205</v>
      </c>
      <c r="M71" s="529" t="s">
        <v>406</v>
      </c>
      <c r="N71" s="530" t="s">
        <v>407</v>
      </c>
      <c r="O71" s="529" t="s">
        <v>408</v>
      </c>
      <c r="P71" s="529" t="s">
        <v>136</v>
      </c>
      <c r="Q71" s="529"/>
      <c r="R71" s="529"/>
      <c r="S71" s="529"/>
      <c r="T71" s="529"/>
      <c r="U71" s="529"/>
      <c r="V71" s="531"/>
      <c r="W71" s="532"/>
      <c r="X71" s="529"/>
      <c r="Y71" s="533" t="s">
        <v>358</v>
      </c>
      <c r="Z71" s="534"/>
      <c r="AA71" s="596"/>
      <c r="AB71" s="884"/>
      <c r="AC71" s="547"/>
      <c r="AD71" s="547"/>
      <c r="AE71" s="547"/>
      <c r="AF71" s="547"/>
      <c r="AG71" s="547"/>
      <c r="AH71" s="547"/>
      <c r="AI71" s="547"/>
      <c r="AJ71" s="547"/>
    </row>
    <row r="72" spans="1:36" s="547" customFormat="1" ht="41.15" customHeight="1">
      <c r="A72" s="523"/>
      <c r="B72" s="524"/>
      <c r="C72" s="525"/>
      <c r="D72" s="526" t="s">
        <v>409</v>
      </c>
      <c r="E72" s="526" t="s">
        <v>410</v>
      </c>
      <c r="F72" s="527" t="s">
        <v>39</v>
      </c>
      <c r="G72" s="528" t="s">
        <v>40</v>
      </c>
      <c r="H72" s="529" t="s">
        <v>220</v>
      </c>
      <c r="I72" s="529" t="s">
        <v>192</v>
      </c>
      <c r="J72" s="529" t="s">
        <v>43</v>
      </c>
      <c r="K72" s="530" t="s">
        <v>411</v>
      </c>
      <c r="L72" s="585" t="s">
        <v>205</v>
      </c>
      <c r="M72" s="529"/>
      <c r="N72" s="530" t="s">
        <v>412</v>
      </c>
      <c r="O72" s="529"/>
      <c r="P72" s="529" t="s">
        <v>136</v>
      </c>
      <c r="Q72" s="529"/>
      <c r="R72" s="529"/>
      <c r="S72" s="529"/>
      <c r="T72" s="529"/>
      <c r="U72" s="529"/>
      <c r="V72" s="531"/>
      <c r="W72" s="532"/>
      <c r="X72" s="529"/>
      <c r="Y72" s="533"/>
      <c r="Z72" s="534"/>
      <c r="AA72" s="596"/>
      <c r="AB72" s="884"/>
    </row>
    <row r="73" spans="1:36" s="547" customFormat="1" ht="52.5" customHeight="1">
      <c r="A73" s="523" t="s">
        <v>188</v>
      </c>
      <c r="B73" s="524"/>
      <c r="C73" s="525" t="s">
        <v>413</v>
      </c>
      <c r="D73" s="526" t="s">
        <v>414</v>
      </c>
      <c r="E73" s="526" t="s">
        <v>415</v>
      </c>
      <c r="F73" s="527" t="s">
        <v>39</v>
      </c>
      <c r="G73" s="528" t="s">
        <v>40</v>
      </c>
      <c r="H73" s="529" t="s">
        <v>220</v>
      </c>
      <c r="I73" s="529" t="s">
        <v>109</v>
      </c>
      <c r="J73" s="529" t="s">
        <v>43</v>
      </c>
      <c r="K73" s="530" t="s">
        <v>416</v>
      </c>
      <c r="L73" s="585" t="s">
        <v>195</v>
      </c>
      <c r="M73" s="529"/>
      <c r="N73" s="530" t="s">
        <v>417</v>
      </c>
      <c r="O73" s="529"/>
      <c r="P73" s="529" t="s">
        <v>136</v>
      </c>
      <c r="Q73" s="529"/>
      <c r="R73" s="529"/>
      <c r="S73" s="529"/>
      <c r="T73" s="529"/>
      <c r="U73" s="529"/>
      <c r="V73" s="531"/>
      <c r="W73" s="532"/>
      <c r="X73" s="529"/>
      <c r="Y73" s="533"/>
      <c r="Z73" s="534"/>
      <c r="AA73" s="596"/>
      <c r="AB73" s="884"/>
    </row>
    <row r="74" spans="1:36" ht="81.650000000000006" customHeight="1">
      <c r="A74" s="535" t="s">
        <v>418</v>
      </c>
      <c r="B74" s="536" t="s">
        <v>419</v>
      </c>
      <c r="C74" s="537" t="s">
        <v>420</v>
      </c>
      <c r="D74" s="576" t="s">
        <v>421</v>
      </c>
      <c r="E74" s="538" t="s">
        <v>422</v>
      </c>
      <c r="F74" s="539" t="s">
        <v>39</v>
      </c>
      <c r="G74" s="540" t="s">
        <v>101</v>
      </c>
      <c r="H74" s="541" t="s">
        <v>423</v>
      </c>
      <c r="I74" s="541" t="s">
        <v>86</v>
      </c>
      <c r="J74" s="541" t="s">
        <v>43</v>
      </c>
      <c r="K74" s="542" t="s">
        <v>424</v>
      </c>
      <c r="L74" s="586" t="s">
        <v>425</v>
      </c>
      <c r="M74" s="541" t="s">
        <v>426</v>
      </c>
      <c r="N74" s="542" t="s">
        <v>427</v>
      </c>
      <c r="O74" s="541" t="s">
        <v>428</v>
      </c>
      <c r="P74" s="541" t="s">
        <v>145</v>
      </c>
      <c r="Q74" s="541" t="s">
        <v>429</v>
      </c>
      <c r="R74" s="541" t="s">
        <v>430</v>
      </c>
      <c r="S74" s="541" t="s">
        <v>431</v>
      </c>
      <c r="T74" s="541" t="s">
        <v>432</v>
      </c>
      <c r="U74" s="541"/>
      <c r="V74" s="543" t="s">
        <v>433</v>
      </c>
      <c r="W74" s="544" t="s">
        <v>434</v>
      </c>
      <c r="X74" s="541"/>
      <c r="Y74" s="545"/>
      <c r="Z74" s="546"/>
      <c r="AA74" s="605" t="s">
        <v>435</v>
      </c>
      <c r="AB74" s="886" t="s">
        <v>436</v>
      </c>
      <c r="AC74" s="596"/>
      <c r="AD74" s="596"/>
      <c r="AE74" s="596"/>
      <c r="AF74" s="596"/>
      <c r="AG74" s="596"/>
      <c r="AH74" s="596"/>
      <c r="AI74" s="596"/>
      <c r="AJ74" s="547"/>
    </row>
    <row r="75" spans="1:36" ht="80.25" customHeight="1">
      <c r="A75" s="535" t="s">
        <v>418</v>
      </c>
      <c r="B75" s="536" t="s">
        <v>437</v>
      </c>
      <c r="C75" s="537" t="s">
        <v>438</v>
      </c>
      <c r="D75" s="576" t="s">
        <v>439</v>
      </c>
      <c r="E75" s="538" t="s">
        <v>440</v>
      </c>
      <c r="F75" s="539" t="s">
        <v>39</v>
      </c>
      <c r="G75" s="540" t="s">
        <v>101</v>
      </c>
      <c r="H75" s="541" t="s">
        <v>423</v>
      </c>
      <c r="I75" s="541" t="s">
        <v>102</v>
      </c>
      <c r="J75" s="541" t="s">
        <v>43</v>
      </c>
      <c r="K75" s="542" t="s">
        <v>441</v>
      </c>
      <c r="L75" s="586" t="s">
        <v>442</v>
      </c>
      <c r="M75" s="541" t="s">
        <v>443</v>
      </c>
      <c r="N75" s="542" t="s">
        <v>444</v>
      </c>
      <c r="O75" s="541" t="s">
        <v>445</v>
      </c>
      <c r="P75" s="541" t="s">
        <v>145</v>
      </c>
      <c r="Q75" s="541" t="s">
        <v>446</v>
      </c>
      <c r="R75" s="541" t="s">
        <v>430</v>
      </c>
      <c r="S75" s="541" t="s">
        <v>430</v>
      </c>
      <c r="T75" s="541" t="s">
        <v>432</v>
      </c>
      <c r="U75" s="541"/>
      <c r="V75" s="543" t="s">
        <v>433</v>
      </c>
      <c r="W75" s="544" t="s">
        <v>434</v>
      </c>
      <c r="X75" s="541"/>
      <c r="Y75" s="545"/>
      <c r="Z75" s="546"/>
      <c r="AA75" s="605" t="s">
        <v>435</v>
      </c>
      <c r="AB75" s="886" t="s">
        <v>436</v>
      </c>
      <c r="AC75" s="596"/>
      <c r="AD75" s="596"/>
      <c r="AE75" s="596"/>
      <c r="AF75" s="596"/>
      <c r="AG75" s="596"/>
      <c r="AH75" s="596"/>
      <c r="AI75" s="596"/>
      <c r="AJ75" s="547"/>
    </row>
    <row r="76" spans="1:36" ht="70" customHeight="1">
      <c r="A76" s="535" t="s">
        <v>418</v>
      </c>
      <c r="B76" s="536" t="s">
        <v>447</v>
      </c>
      <c r="C76" s="537" t="s">
        <v>448</v>
      </c>
      <c r="D76" s="538" t="s">
        <v>449</v>
      </c>
      <c r="E76" s="538" t="s">
        <v>450</v>
      </c>
      <c r="F76" s="539" t="s">
        <v>39</v>
      </c>
      <c r="G76" s="540" t="s">
        <v>101</v>
      </c>
      <c r="H76" s="541" t="s">
        <v>423</v>
      </c>
      <c r="I76" s="541" t="s">
        <v>102</v>
      </c>
      <c r="J76" s="541" t="s">
        <v>43</v>
      </c>
      <c r="K76" s="542" t="s">
        <v>451</v>
      </c>
      <c r="L76" s="586" t="s">
        <v>442</v>
      </c>
      <c r="M76" s="541" t="s">
        <v>452</v>
      </c>
      <c r="N76" s="542" t="s">
        <v>453</v>
      </c>
      <c r="O76" s="541" t="s">
        <v>454</v>
      </c>
      <c r="P76" s="541" t="s">
        <v>136</v>
      </c>
      <c r="Q76" s="541" t="s">
        <v>429</v>
      </c>
      <c r="R76" s="541" t="s">
        <v>455</v>
      </c>
      <c r="S76" s="541" t="s">
        <v>456</v>
      </c>
      <c r="T76" s="541" t="s">
        <v>457</v>
      </c>
      <c r="U76" s="541"/>
      <c r="V76" s="543" t="s">
        <v>458</v>
      </c>
      <c r="W76" s="544" t="s">
        <v>459</v>
      </c>
      <c r="X76" s="541"/>
      <c r="Y76" s="545"/>
      <c r="Z76" s="546"/>
      <c r="AA76" s="605" t="s">
        <v>435</v>
      </c>
      <c r="AB76" s="886" t="s">
        <v>436</v>
      </c>
      <c r="AC76" s="596"/>
      <c r="AD76" s="596"/>
      <c r="AE76" s="596"/>
      <c r="AF76" s="596"/>
      <c r="AG76" s="596"/>
      <c r="AH76" s="596"/>
      <c r="AI76" s="596"/>
      <c r="AJ76" s="547"/>
    </row>
    <row r="77" spans="1:36" ht="65.25" customHeight="1">
      <c r="A77" s="535" t="s">
        <v>418</v>
      </c>
      <c r="B77" s="536" t="s">
        <v>460</v>
      </c>
      <c r="C77" s="537" t="s">
        <v>461</v>
      </c>
      <c r="D77" s="538" t="s">
        <v>462</v>
      </c>
      <c r="E77" s="538" t="s">
        <v>463</v>
      </c>
      <c r="F77" s="539" t="s">
        <v>39</v>
      </c>
      <c r="G77" s="540" t="s">
        <v>101</v>
      </c>
      <c r="H77" s="595" t="s">
        <v>423</v>
      </c>
      <c r="I77" s="541" t="s">
        <v>102</v>
      </c>
      <c r="J77" s="541" t="s">
        <v>43</v>
      </c>
      <c r="K77" s="542" t="s">
        <v>464</v>
      </c>
      <c r="L77" s="592" t="s">
        <v>442</v>
      </c>
      <c r="M77" s="541" t="s">
        <v>465</v>
      </c>
      <c r="N77" s="542" t="s">
        <v>466</v>
      </c>
      <c r="O77" s="541" t="s">
        <v>467</v>
      </c>
      <c r="P77" s="541" t="s">
        <v>145</v>
      </c>
      <c r="Q77" s="541" t="s">
        <v>468</v>
      </c>
      <c r="R77" s="541" t="s">
        <v>455</v>
      </c>
      <c r="S77" s="541" t="s">
        <v>431</v>
      </c>
      <c r="T77" s="541" t="s">
        <v>469</v>
      </c>
      <c r="U77" s="541"/>
      <c r="V77" s="543" t="s">
        <v>470</v>
      </c>
      <c r="W77" s="544" t="s">
        <v>434</v>
      </c>
      <c r="X77" s="541"/>
      <c r="Y77" s="545"/>
      <c r="Z77" s="546"/>
      <c r="AA77" s="605" t="s">
        <v>435</v>
      </c>
      <c r="AB77" s="886" t="s">
        <v>471</v>
      </c>
      <c r="AC77" s="596"/>
      <c r="AD77" s="596"/>
      <c r="AE77" s="596"/>
      <c r="AF77" s="596"/>
      <c r="AG77" s="596"/>
      <c r="AH77" s="596"/>
      <c r="AI77" s="596"/>
      <c r="AJ77" s="547"/>
    </row>
    <row r="78" spans="1:36" ht="65.25" customHeight="1">
      <c r="A78" s="535" t="s">
        <v>35</v>
      </c>
      <c r="B78" s="536" t="s">
        <v>460</v>
      </c>
      <c r="C78" s="537" t="s">
        <v>461</v>
      </c>
      <c r="D78" s="576" t="s">
        <v>472</v>
      </c>
      <c r="E78" s="538" t="s">
        <v>473</v>
      </c>
      <c r="F78" s="539" t="s">
        <v>39</v>
      </c>
      <c r="G78" s="540" t="s">
        <v>40</v>
      </c>
      <c r="H78" s="541" t="s">
        <v>423</v>
      </c>
      <c r="I78" s="541" t="s">
        <v>474</v>
      </c>
      <c r="J78" s="541" t="s">
        <v>43</v>
      </c>
      <c r="K78" s="542" t="s">
        <v>475</v>
      </c>
      <c r="L78" s="586" t="s">
        <v>442</v>
      </c>
      <c r="M78" s="541" t="s">
        <v>476</v>
      </c>
      <c r="N78" s="542" t="s">
        <v>477</v>
      </c>
      <c r="O78" s="541" t="s">
        <v>478</v>
      </c>
      <c r="P78" s="541" t="s">
        <v>136</v>
      </c>
      <c r="Q78" s="541" t="s">
        <v>429</v>
      </c>
      <c r="R78" s="541" t="s">
        <v>430</v>
      </c>
      <c r="S78" s="541" t="s">
        <v>431</v>
      </c>
      <c r="T78" s="541" t="s">
        <v>469</v>
      </c>
      <c r="U78" s="541"/>
      <c r="V78" s="543" t="s">
        <v>433</v>
      </c>
      <c r="W78" s="544" t="s">
        <v>434</v>
      </c>
      <c r="X78" s="541"/>
      <c r="Y78" s="545"/>
      <c r="Z78" s="546"/>
      <c r="AA78" s="605" t="s">
        <v>435</v>
      </c>
      <c r="AB78" s="886" t="s">
        <v>436</v>
      </c>
      <c r="AC78" s="596"/>
      <c r="AD78" s="596"/>
      <c r="AE78" s="596"/>
      <c r="AF78" s="596"/>
      <c r="AG78" s="596"/>
      <c r="AH78" s="596"/>
      <c r="AI78" s="596"/>
      <c r="AJ78" s="547"/>
    </row>
    <row r="79" spans="1:36" ht="81.650000000000006" customHeight="1">
      <c r="A79" s="535" t="s">
        <v>418</v>
      </c>
      <c r="B79" s="536" t="s">
        <v>479</v>
      </c>
      <c r="C79" s="537" t="s">
        <v>480</v>
      </c>
      <c r="D79" s="576" t="s">
        <v>481</v>
      </c>
      <c r="E79" s="576" t="s">
        <v>482</v>
      </c>
      <c r="F79" s="539" t="s">
        <v>39</v>
      </c>
      <c r="G79" s="540" t="s">
        <v>40</v>
      </c>
      <c r="H79" s="541" t="s">
        <v>423</v>
      </c>
      <c r="I79" s="541" t="s">
        <v>102</v>
      </c>
      <c r="J79" s="541" t="s">
        <v>43</v>
      </c>
      <c r="K79" s="542" t="s">
        <v>483</v>
      </c>
      <c r="L79" s="586" t="s">
        <v>442</v>
      </c>
      <c r="M79" s="541" t="s">
        <v>484</v>
      </c>
      <c r="N79" s="542" t="s">
        <v>485</v>
      </c>
      <c r="O79" s="541" t="s">
        <v>486</v>
      </c>
      <c r="P79" s="541" t="s">
        <v>145</v>
      </c>
      <c r="Q79" s="541" t="s">
        <v>468</v>
      </c>
      <c r="R79" s="541" t="s">
        <v>430</v>
      </c>
      <c r="S79" s="541" t="s">
        <v>431</v>
      </c>
      <c r="T79" s="541" t="s">
        <v>487</v>
      </c>
      <c r="U79" s="541"/>
      <c r="V79" s="543" t="s">
        <v>433</v>
      </c>
      <c r="W79" s="544" t="s">
        <v>434</v>
      </c>
      <c r="X79" s="541"/>
      <c r="Y79" s="545"/>
      <c r="Z79" s="546"/>
      <c r="AA79" s="605" t="s">
        <v>435</v>
      </c>
      <c r="AB79" s="886" t="s">
        <v>488</v>
      </c>
      <c r="AC79" s="596"/>
      <c r="AD79" s="596"/>
      <c r="AE79" s="596"/>
      <c r="AF79" s="596"/>
      <c r="AG79" s="596"/>
      <c r="AH79" s="596"/>
      <c r="AI79" s="596"/>
      <c r="AJ79" s="547"/>
    </row>
    <row r="80" spans="1:36" ht="72" customHeight="1">
      <c r="A80" s="535" t="s">
        <v>418</v>
      </c>
      <c r="B80" s="536" t="s">
        <v>489</v>
      </c>
      <c r="C80" s="537" t="s">
        <v>490</v>
      </c>
      <c r="D80" s="538" t="s">
        <v>491</v>
      </c>
      <c r="E80" s="538" t="s">
        <v>492</v>
      </c>
      <c r="F80" s="539" t="s">
        <v>39</v>
      </c>
      <c r="G80" s="577" t="s">
        <v>101</v>
      </c>
      <c r="H80" s="541" t="s">
        <v>423</v>
      </c>
      <c r="I80" s="541" t="s">
        <v>102</v>
      </c>
      <c r="J80" s="541" t="s">
        <v>43</v>
      </c>
      <c r="K80" s="542" t="s">
        <v>493</v>
      </c>
      <c r="L80" s="586" t="s">
        <v>442</v>
      </c>
      <c r="M80" s="541" t="s">
        <v>494</v>
      </c>
      <c r="N80" s="542" t="s">
        <v>495</v>
      </c>
      <c r="O80" s="541" t="s">
        <v>496</v>
      </c>
      <c r="P80" s="541" t="s">
        <v>136</v>
      </c>
      <c r="Q80" s="541" t="s">
        <v>468</v>
      </c>
      <c r="R80" s="541" t="s">
        <v>455</v>
      </c>
      <c r="S80" s="541" t="s">
        <v>431</v>
      </c>
      <c r="T80" s="541" t="s">
        <v>469</v>
      </c>
      <c r="U80" s="541"/>
      <c r="V80" s="543" t="s">
        <v>497</v>
      </c>
      <c r="W80" s="544" t="s">
        <v>459</v>
      </c>
      <c r="X80" s="541"/>
      <c r="Y80" s="545"/>
      <c r="Z80" s="546"/>
      <c r="AA80" s="605" t="s">
        <v>435</v>
      </c>
      <c r="AB80" s="886" t="s">
        <v>498</v>
      </c>
      <c r="AC80" s="596"/>
      <c r="AD80" s="596"/>
      <c r="AE80" s="596"/>
      <c r="AF80" s="596"/>
      <c r="AG80" s="596"/>
      <c r="AH80" s="596"/>
      <c r="AI80" s="596"/>
      <c r="AJ80" s="547"/>
    </row>
    <row r="81" spans="1:36" ht="92.5" customHeight="1">
      <c r="A81" s="535" t="s">
        <v>35</v>
      </c>
      <c r="B81" s="536" t="s">
        <v>489</v>
      </c>
      <c r="C81" s="537" t="s">
        <v>490</v>
      </c>
      <c r="D81" s="576" t="s">
        <v>499</v>
      </c>
      <c r="E81" s="538" t="s">
        <v>500</v>
      </c>
      <c r="F81" s="539" t="s">
        <v>39</v>
      </c>
      <c r="G81" s="540" t="s">
        <v>40</v>
      </c>
      <c r="H81" s="541" t="s">
        <v>423</v>
      </c>
      <c r="I81" s="541" t="s">
        <v>474</v>
      </c>
      <c r="J81" s="541" t="s">
        <v>43</v>
      </c>
      <c r="K81" s="542" t="s">
        <v>501</v>
      </c>
      <c r="L81" s="586" t="s">
        <v>442</v>
      </c>
      <c r="M81" s="541" t="s">
        <v>502</v>
      </c>
      <c r="N81" s="542" t="s">
        <v>503</v>
      </c>
      <c r="O81" s="541" t="s">
        <v>504</v>
      </c>
      <c r="P81" s="541" t="s">
        <v>136</v>
      </c>
      <c r="Q81" s="541" t="s">
        <v>429</v>
      </c>
      <c r="R81" s="541" t="s">
        <v>455</v>
      </c>
      <c r="S81" s="541" t="s">
        <v>431</v>
      </c>
      <c r="T81" s="541" t="s">
        <v>469</v>
      </c>
      <c r="U81" s="541"/>
      <c r="V81" s="543" t="s">
        <v>505</v>
      </c>
      <c r="W81" s="544" t="s">
        <v>459</v>
      </c>
      <c r="X81" s="541"/>
      <c r="Y81" s="545"/>
      <c r="Z81" s="546"/>
      <c r="AA81" s="605" t="s">
        <v>435</v>
      </c>
      <c r="AB81" s="886" t="s">
        <v>436</v>
      </c>
      <c r="AC81" s="596"/>
      <c r="AD81" s="596"/>
      <c r="AE81" s="596"/>
      <c r="AF81" s="596"/>
      <c r="AG81" s="596"/>
      <c r="AH81" s="596"/>
      <c r="AI81" s="596"/>
      <c r="AJ81" s="547"/>
    </row>
    <row r="82" spans="1:36" ht="62.5" customHeight="1">
      <c r="A82" s="535" t="s">
        <v>418</v>
      </c>
      <c r="B82" s="536" t="s">
        <v>506</v>
      </c>
      <c r="C82" s="537" t="s">
        <v>507</v>
      </c>
      <c r="D82" s="538" t="s">
        <v>508</v>
      </c>
      <c r="E82" s="538" t="s">
        <v>509</v>
      </c>
      <c r="F82" s="539" t="s">
        <v>39</v>
      </c>
      <c r="G82" s="540" t="s">
        <v>40</v>
      </c>
      <c r="H82" s="541" t="s">
        <v>423</v>
      </c>
      <c r="I82" s="541" t="s">
        <v>474</v>
      </c>
      <c r="J82" s="541" t="s">
        <v>43</v>
      </c>
      <c r="K82" s="542" t="s">
        <v>510</v>
      </c>
      <c r="L82" s="586" t="s">
        <v>511</v>
      </c>
      <c r="M82" s="541" t="s">
        <v>512</v>
      </c>
      <c r="N82" s="542" t="s">
        <v>513</v>
      </c>
      <c r="O82" s="541" t="s">
        <v>514</v>
      </c>
      <c r="P82" s="541" t="s">
        <v>136</v>
      </c>
      <c r="Q82" s="541" t="s">
        <v>515</v>
      </c>
      <c r="R82" s="541" t="s">
        <v>430</v>
      </c>
      <c r="S82" s="541" t="s">
        <v>516</v>
      </c>
      <c r="T82" s="541" t="s">
        <v>469</v>
      </c>
      <c r="U82" s="541"/>
      <c r="V82" s="543" t="s">
        <v>517</v>
      </c>
      <c r="W82" s="544" t="s">
        <v>434</v>
      </c>
      <c r="X82" s="541"/>
      <c r="Y82" s="545"/>
      <c r="Z82" s="546"/>
      <c r="AA82" s="605" t="s">
        <v>518</v>
      </c>
      <c r="AB82" s="886" t="s">
        <v>436</v>
      </c>
      <c r="AC82" s="596"/>
      <c r="AD82" s="596"/>
      <c r="AE82" s="596"/>
      <c r="AF82" s="596"/>
      <c r="AG82" s="596"/>
      <c r="AH82" s="596"/>
      <c r="AI82" s="596"/>
      <c r="AJ82" s="547"/>
    </row>
    <row r="83" spans="1:36" ht="102.65" customHeight="1">
      <c r="A83" s="535" t="s">
        <v>418</v>
      </c>
      <c r="B83" s="536" t="s">
        <v>519</v>
      </c>
      <c r="C83" s="537" t="s">
        <v>520</v>
      </c>
      <c r="D83" s="576" t="s">
        <v>521</v>
      </c>
      <c r="E83" s="538" t="s">
        <v>522</v>
      </c>
      <c r="F83" s="539" t="s">
        <v>39</v>
      </c>
      <c r="G83" s="540" t="s">
        <v>40</v>
      </c>
      <c r="H83" s="541" t="s">
        <v>423</v>
      </c>
      <c r="I83" s="541" t="s">
        <v>102</v>
      </c>
      <c r="J83" s="541" t="s">
        <v>43</v>
      </c>
      <c r="K83" s="542" t="s">
        <v>523</v>
      </c>
      <c r="L83" s="586" t="s">
        <v>442</v>
      </c>
      <c r="M83" s="541" t="s">
        <v>524</v>
      </c>
      <c r="N83" s="542" t="s">
        <v>525</v>
      </c>
      <c r="O83" s="541" t="s">
        <v>526</v>
      </c>
      <c r="P83" s="541" t="s">
        <v>136</v>
      </c>
      <c r="Q83" s="541" t="s">
        <v>429</v>
      </c>
      <c r="R83" s="541" t="s">
        <v>455</v>
      </c>
      <c r="S83" s="541" t="s">
        <v>456</v>
      </c>
      <c r="T83" s="541" t="s">
        <v>527</v>
      </c>
      <c r="U83" s="541"/>
      <c r="V83" s="543" t="s">
        <v>517</v>
      </c>
      <c r="W83" s="544" t="s">
        <v>528</v>
      </c>
      <c r="X83" s="541"/>
      <c r="Y83" s="545"/>
      <c r="Z83" s="546"/>
      <c r="AA83" s="605" t="s">
        <v>435</v>
      </c>
      <c r="AB83" s="886" t="s">
        <v>436</v>
      </c>
      <c r="AC83" s="596"/>
      <c r="AD83" s="596"/>
      <c r="AE83" s="596"/>
      <c r="AF83" s="596"/>
      <c r="AG83" s="596"/>
      <c r="AH83" s="596"/>
      <c r="AI83" s="596"/>
      <c r="AJ83" s="547"/>
    </row>
    <row r="84" spans="1:36" ht="130.5">
      <c r="A84" s="535" t="s">
        <v>418</v>
      </c>
      <c r="B84" s="536" t="s">
        <v>529</v>
      </c>
      <c r="C84" s="537" t="s">
        <v>530</v>
      </c>
      <c r="D84" s="576" t="s">
        <v>531</v>
      </c>
      <c r="E84" s="538" t="s">
        <v>532</v>
      </c>
      <c r="F84" s="539" t="s">
        <v>39</v>
      </c>
      <c r="G84" s="540" t="s">
        <v>101</v>
      </c>
      <c r="H84" s="541" t="s">
        <v>423</v>
      </c>
      <c r="I84" s="541" t="s">
        <v>102</v>
      </c>
      <c r="J84" s="541" t="s">
        <v>43</v>
      </c>
      <c r="K84" s="542" t="s">
        <v>533</v>
      </c>
      <c r="L84" s="586" t="s">
        <v>442</v>
      </c>
      <c r="M84" s="541" t="s">
        <v>534</v>
      </c>
      <c r="N84" s="542" t="s">
        <v>535</v>
      </c>
      <c r="O84" s="541" t="s">
        <v>536</v>
      </c>
      <c r="P84" s="541" t="s">
        <v>145</v>
      </c>
      <c r="Q84" s="541" t="s">
        <v>468</v>
      </c>
      <c r="R84" s="541" t="s">
        <v>537</v>
      </c>
      <c r="S84" s="541" t="s">
        <v>431</v>
      </c>
      <c r="T84" s="541" t="s">
        <v>538</v>
      </c>
      <c r="U84" s="541"/>
      <c r="V84" s="543" t="s">
        <v>539</v>
      </c>
      <c r="W84" s="544" t="s">
        <v>540</v>
      </c>
      <c r="X84" s="541"/>
      <c r="Y84" s="545"/>
      <c r="Z84" s="546"/>
      <c r="AA84" s="605" t="s">
        <v>435</v>
      </c>
      <c r="AB84" s="886" t="s">
        <v>436</v>
      </c>
      <c r="AC84" s="596"/>
      <c r="AD84" s="596"/>
      <c r="AE84" s="596"/>
      <c r="AF84" s="596"/>
      <c r="AG84" s="596"/>
      <c r="AH84" s="596"/>
      <c r="AI84" s="596"/>
      <c r="AJ84" s="547"/>
    </row>
    <row r="85" spans="1:36" ht="74.150000000000006" customHeight="1">
      <c r="A85" s="535" t="s">
        <v>418</v>
      </c>
      <c r="B85" s="536" t="s">
        <v>541</v>
      </c>
      <c r="C85" s="537" t="s">
        <v>542</v>
      </c>
      <c r="D85" s="576" t="s">
        <v>543</v>
      </c>
      <c r="E85" s="538" t="s">
        <v>544</v>
      </c>
      <c r="F85" s="539" t="s">
        <v>545</v>
      </c>
      <c r="G85" s="540" t="s">
        <v>546</v>
      </c>
      <c r="H85" s="541" t="s">
        <v>423</v>
      </c>
      <c r="I85" s="541" t="s">
        <v>102</v>
      </c>
      <c r="J85" s="541" t="s">
        <v>43</v>
      </c>
      <c r="K85" s="542" t="s">
        <v>547</v>
      </c>
      <c r="L85" s="592" t="s">
        <v>442</v>
      </c>
      <c r="M85" s="541" t="s">
        <v>548</v>
      </c>
      <c r="N85" s="542" t="s">
        <v>549</v>
      </c>
      <c r="O85" s="541" t="s">
        <v>550</v>
      </c>
      <c r="P85" s="541" t="s">
        <v>145</v>
      </c>
      <c r="Q85" s="541" t="s">
        <v>429</v>
      </c>
      <c r="R85" s="541" t="s">
        <v>430</v>
      </c>
      <c r="S85" s="541" t="s">
        <v>431</v>
      </c>
      <c r="T85" s="541" t="s">
        <v>551</v>
      </c>
      <c r="U85" s="541"/>
      <c r="V85" s="543" t="s">
        <v>517</v>
      </c>
      <c r="W85" s="544" t="s">
        <v>459</v>
      </c>
      <c r="X85" s="541"/>
      <c r="Y85" s="545"/>
      <c r="Z85" s="546"/>
      <c r="AA85" s="605" t="s">
        <v>435</v>
      </c>
      <c r="AB85" s="886" t="s">
        <v>436</v>
      </c>
      <c r="AC85" s="596"/>
      <c r="AD85" s="596"/>
      <c r="AE85" s="596"/>
      <c r="AF85" s="596"/>
      <c r="AG85" s="596"/>
      <c r="AH85" s="596"/>
      <c r="AI85" s="596"/>
      <c r="AJ85" s="547"/>
    </row>
    <row r="86" spans="1:36" ht="58" customHeight="1">
      <c r="A86" s="535" t="s">
        <v>418</v>
      </c>
      <c r="B86" s="536" t="s">
        <v>552</v>
      </c>
      <c r="C86" s="537" t="s">
        <v>553</v>
      </c>
      <c r="D86" s="606" t="s">
        <v>554</v>
      </c>
      <c r="E86" s="538" t="s">
        <v>555</v>
      </c>
      <c r="F86" s="539" t="s">
        <v>39</v>
      </c>
      <c r="G86" s="540" t="s">
        <v>101</v>
      </c>
      <c r="H86" s="541" t="s">
        <v>423</v>
      </c>
      <c r="I86" s="541" t="s">
        <v>102</v>
      </c>
      <c r="J86" s="541" t="s">
        <v>43</v>
      </c>
      <c r="K86" s="542" t="s">
        <v>556</v>
      </c>
      <c r="L86" s="586" t="s">
        <v>442</v>
      </c>
      <c r="M86" s="541" t="s">
        <v>557</v>
      </c>
      <c r="N86" s="542" t="s">
        <v>558</v>
      </c>
      <c r="O86" s="541" t="s">
        <v>559</v>
      </c>
      <c r="P86" s="541" t="s">
        <v>136</v>
      </c>
      <c r="Q86" s="541" t="s">
        <v>468</v>
      </c>
      <c r="R86" s="541" t="s">
        <v>430</v>
      </c>
      <c r="S86" s="541" t="s">
        <v>431</v>
      </c>
      <c r="T86" s="541" t="s">
        <v>487</v>
      </c>
      <c r="U86" s="541"/>
      <c r="V86" s="543" t="s">
        <v>497</v>
      </c>
      <c r="W86" s="544" t="s">
        <v>528</v>
      </c>
      <c r="X86" s="541"/>
      <c r="Y86" s="545"/>
      <c r="Z86" s="546"/>
      <c r="AA86" s="605" t="s">
        <v>518</v>
      </c>
      <c r="AB86" s="886" t="s">
        <v>436</v>
      </c>
      <c r="AC86" s="596"/>
      <c r="AD86" s="596"/>
      <c r="AE86" s="596"/>
      <c r="AF86" s="596"/>
      <c r="AG86" s="596"/>
      <c r="AH86" s="596"/>
      <c r="AI86" s="596"/>
      <c r="AJ86" s="547"/>
    </row>
    <row r="87" spans="1:36" ht="72.5">
      <c r="A87" s="535" t="s">
        <v>418</v>
      </c>
      <c r="B87" s="536" t="s">
        <v>560</v>
      </c>
      <c r="C87" s="537" t="s">
        <v>561</v>
      </c>
      <c r="D87" s="576" t="s">
        <v>562</v>
      </c>
      <c r="E87" s="538" t="s">
        <v>563</v>
      </c>
      <c r="F87" s="539" t="s">
        <v>39</v>
      </c>
      <c r="G87" s="540" t="s">
        <v>40</v>
      </c>
      <c r="H87" s="541" t="s">
        <v>423</v>
      </c>
      <c r="I87" s="541" t="s">
        <v>102</v>
      </c>
      <c r="J87" s="541" t="s">
        <v>43</v>
      </c>
      <c r="K87" s="542" t="s">
        <v>564</v>
      </c>
      <c r="L87" s="586" t="s">
        <v>442</v>
      </c>
      <c r="M87" s="541" t="s">
        <v>565</v>
      </c>
      <c r="N87" s="542" t="s">
        <v>566</v>
      </c>
      <c r="O87" s="541" t="s">
        <v>567</v>
      </c>
      <c r="P87" s="541" t="s">
        <v>136</v>
      </c>
      <c r="Q87" s="541" t="s">
        <v>568</v>
      </c>
      <c r="R87" s="541" t="s">
        <v>430</v>
      </c>
      <c r="S87" s="541" t="s">
        <v>431</v>
      </c>
      <c r="T87" s="541" t="s">
        <v>487</v>
      </c>
      <c r="U87" s="541"/>
      <c r="V87" s="543" t="s">
        <v>433</v>
      </c>
      <c r="W87" s="544" t="s">
        <v>434</v>
      </c>
      <c r="X87" s="541"/>
      <c r="Y87" s="545"/>
      <c r="Z87" s="546"/>
      <c r="AA87" s="605" t="s">
        <v>435</v>
      </c>
      <c r="AB87" s="886" t="s">
        <v>436</v>
      </c>
      <c r="AC87" s="596"/>
      <c r="AD87" s="596"/>
      <c r="AE87" s="596"/>
      <c r="AF87" s="596"/>
      <c r="AG87" s="596"/>
      <c r="AH87" s="596"/>
      <c r="AI87" s="596"/>
      <c r="AJ87" s="547"/>
    </row>
    <row r="88" spans="1:36" ht="50.15" customHeight="1">
      <c r="A88" s="535" t="s">
        <v>418</v>
      </c>
      <c r="B88" s="536" t="s">
        <v>569</v>
      </c>
      <c r="C88" s="537" t="s">
        <v>570</v>
      </c>
      <c r="D88" s="538" t="s">
        <v>571</v>
      </c>
      <c r="E88" s="538" t="s">
        <v>572</v>
      </c>
      <c r="F88" s="539" t="s">
        <v>39</v>
      </c>
      <c r="G88" s="540" t="s">
        <v>40</v>
      </c>
      <c r="H88" s="541" t="s">
        <v>423</v>
      </c>
      <c r="I88" s="541" t="s">
        <v>102</v>
      </c>
      <c r="J88" s="541" t="s">
        <v>43</v>
      </c>
      <c r="K88" s="542" t="s">
        <v>573</v>
      </c>
      <c r="L88" s="586" t="s">
        <v>442</v>
      </c>
      <c r="M88" s="541" t="s">
        <v>574</v>
      </c>
      <c r="N88" s="542" t="s">
        <v>575</v>
      </c>
      <c r="O88" s="541" t="s">
        <v>576</v>
      </c>
      <c r="P88" s="541" t="s">
        <v>136</v>
      </c>
      <c r="Q88" s="541" t="s">
        <v>468</v>
      </c>
      <c r="R88" s="541" t="s">
        <v>455</v>
      </c>
      <c r="S88" s="541" t="s">
        <v>577</v>
      </c>
      <c r="T88" s="541" t="s">
        <v>487</v>
      </c>
      <c r="U88" s="541"/>
      <c r="V88" s="543" t="s">
        <v>497</v>
      </c>
      <c r="W88" s="544" t="s">
        <v>528</v>
      </c>
      <c r="X88" s="541"/>
      <c r="Y88" s="545"/>
      <c r="Z88" s="546"/>
      <c r="AA88" s="605" t="s">
        <v>435</v>
      </c>
      <c r="AB88" s="886" t="s">
        <v>436</v>
      </c>
      <c r="AC88" s="596"/>
      <c r="AD88" s="596"/>
      <c r="AE88" s="596"/>
      <c r="AF88" s="596"/>
      <c r="AG88" s="596"/>
      <c r="AH88" s="596"/>
      <c r="AI88" s="596"/>
      <c r="AJ88" s="547"/>
    </row>
    <row r="89" spans="1:36" ht="72.5">
      <c r="A89" s="535" t="s">
        <v>35</v>
      </c>
      <c r="B89" s="536" t="s">
        <v>569</v>
      </c>
      <c r="C89" s="537" t="s">
        <v>570</v>
      </c>
      <c r="D89" s="576" t="s">
        <v>578</v>
      </c>
      <c r="E89" s="538" t="s">
        <v>579</v>
      </c>
      <c r="F89" s="539" t="s">
        <v>39</v>
      </c>
      <c r="G89" s="540" t="s">
        <v>40</v>
      </c>
      <c r="H89" s="541" t="s">
        <v>423</v>
      </c>
      <c r="I89" s="541" t="s">
        <v>102</v>
      </c>
      <c r="J89" s="541" t="s">
        <v>43</v>
      </c>
      <c r="K89" s="542" t="s">
        <v>580</v>
      </c>
      <c r="L89" s="586" t="s">
        <v>442</v>
      </c>
      <c r="M89" s="541" t="s">
        <v>581</v>
      </c>
      <c r="N89" s="542" t="s">
        <v>582</v>
      </c>
      <c r="O89" s="541" t="s">
        <v>583</v>
      </c>
      <c r="P89" s="541" t="s">
        <v>136</v>
      </c>
      <c r="Q89" s="541" t="s">
        <v>468</v>
      </c>
      <c r="R89" s="541" t="s">
        <v>455</v>
      </c>
      <c r="S89" s="541" t="s">
        <v>584</v>
      </c>
      <c r="T89" s="541" t="s">
        <v>487</v>
      </c>
      <c r="U89" s="541"/>
      <c r="V89" s="543" t="s">
        <v>505</v>
      </c>
      <c r="W89" s="544" t="s">
        <v>528</v>
      </c>
      <c r="X89" s="541"/>
      <c r="Y89" s="545"/>
      <c r="Z89" s="546"/>
      <c r="AA89" s="605" t="s">
        <v>435</v>
      </c>
      <c r="AB89" s="886" t="s">
        <v>436</v>
      </c>
      <c r="AC89" s="596"/>
      <c r="AD89" s="596"/>
      <c r="AE89" s="596"/>
      <c r="AF89" s="596"/>
      <c r="AG89" s="596"/>
      <c r="AH89" s="596"/>
      <c r="AI89" s="596"/>
      <c r="AJ89" s="547"/>
    </row>
    <row r="90" spans="1:36" ht="73" customHeight="1">
      <c r="A90" s="535" t="s">
        <v>418</v>
      </c>
      <c r="B90" s="536" t="s">
        <v>585</v>
      </c>
      <c r="C90" s="537" t="s">
        <v>586</v>
      </c>
      <c r="D90" s="576" t="s">
        <v>587</v>
      </c>
      <c r="E90" s="538" t="s">
        <v>588</v>
      </c>
      <c r="F90" s="539" t="s">
        <v>545</v>
      </c>
      <c r="G90" s="540" t="s">
        <v>546</v>
      </c>
      <c r="H90" s="541" t="s">
        <v>423</v>
      </c>
      <c r="I90" s="541" t="s">
        <v>102</v>
      </c>
      <c r="J90" s="541" t="s">
        <v>43</v>
      </c>
      <c r="K90" s="542" t="s">
        <v>589</v>
      </c>
      <c r="L90" s="586" t="s">
        <v>442</v>
      </c>
      <c r="M90" s="541" t="s">
        <v>590</v>
      </c>
      <c r="N90" s="542" t="s">
        <v>591</v>
      </c>
      <c r="O90" s="541" t="s">
        <v>592</v>
      </c>
      <c r="P90" s="541" t="s">
        <v>145</v>
      </c>
      <c r="Q90" s="541" t="s">
        <v>468</v>
      </c>
      <c r="R90" s="541" t="s">
        <v>455</v>
      </c>
      <c r="S90" s="541" t="s">
        <v>431</v>
      </c>
      <c r="T90" s="541" t="s">
        <v>527</v>
      </c>
      <c r="U90" s="541"/>
      <c r="V90" s="543" t="s">
        <v>517</v>
      </c>
      <c r="W90" s="544" t="s">
        <v>459</v>
      </c>
      <c r="X90" s="541"/>
      <c r="Y90" s="545"/>
      <c r="Z90" s="546"/>
      <c r="AA90" s="605" t="s">
        <v>435</v>
      </c>
      <c r="AB90" s="886" t="s">
        <v>593</v>
      </c>
      <c r="AC90" s="596"/>
      <c r="AD90" s="596"/>
      <c r="AE90" s="596"/>
      <c r="AF90" s="596"/>
      <c r="AG90" s="596"/>
      <c r="AH90" s="596"/>
      <c r="AI90" s="596"/>
      <c r="AJ90" s="547"/>
    </row>
    <row r="91" spans="1:36" ht="86.15" customHeight="1">
      <c r="A91" s="535" t="s">
        <v>418</v>
      </c>
      <c r="B91" s="536" t="s">
        <v>594</v>
      </c>
      <c r="C91" s="537" t="s">
        <v>595</v>
      </c>
      <c r="D91" s="538" t="s">
        <v>596</v>
      </c>
      <c r="E91" s="538" t="s">
        <v>597</v>
      </c>
      <c r="F91" s="539" t="s">
        <v>39</v>
      </c>
      <c r="G91" s="540" t="s">
        <v>101</v>
      </c>
      <c r="H91" s="541" t="s">
        <v>423</v>
      </c>
      <c r="I91" s="541" t="s">
        <v>102</v>
      </c>
      <c r="J91" s="541" t="s">
        <v>43</v>
      </c>
      <c r="K91" s="542" t="s">
        <v>598</v>
      </c>
      <c r="L91" s="586" t="s">
        <v>511</v>
      </c>
      <c r="M91" s="541" t="s">
        <v>599</v>
      </c>
      <c r="N91" s="542" t="s">
        <v>600</v>
      </c>
      <c r="O91" s="541" t="s">
        <v>601</v>
      </c>
      <c r="P91" s="541" t="s">
        <v>136</v>
      </c>
      <c r="Q91" s="541" t="s">
        <v>515</v>
      </c>
      <c r="R91" s="541" t="s">
        <v>430</v>
      </c>
      <c r="S91" s="541" t="s">
        <v>602</v>
      </c>
      <c r="T91" s="541" t="s">
        <v>469</v>
      </c>
      <c r="U91" s="541"/>
      <c r="V91" s="543" t="s">
        <v>517</v>
      </c>
      <c r="W91" s="544" t="s">
        <v>434</v>
      </c>
      <c r="X91" s="541"/>
      <c r="Y91" s="545"/>
      <c r="Z91" s="546"/>
      <c r="AA91" s="605" t="s">
        <v>518</v>
      </c>
      <c r="AB91" s="886" t="s">
        <v>436</v>
      </c>
      <c r="AC91" s="596"/>
      <c r="AD91" s="596"/>
      <c r="AE91" s="596"/>
      <c r="AF91" s="596"/>
      <c r="AG91" s="596"/>
      <c r="AH91" s="596"/>
      <c r="AI91" s="596"/>
      <c r="AJ91" s="547"/>
    </row>
    <row r="92" spans="1:36" ht="50.15" customHeight="1">
      <c r="A92" s="535" t="s">
        <v>418</v>
      </c>
      <c r="B92" s="536" t="s">
        <v>603</v>
      </c>
      <c r="C92" s="537" t="s">
        <v>604</v>
      </c>
      <c r="D92" s="538" t="s">
        <v>605</v>
      </c>
      <c r="E92" s="538" t="s">
        <v>606</v>
      </c>
      <c r="F92" s="539" t="s">
        <v>245</v>
      </c>
      <c r="G92" s="540" t="s">
        <v>115</v>
      </c>
      <c r="H92" s="541" t="s">
        <v>423</v>
      </c>
      <c r="I92" s="541" t="s">
        <v>607</v>
      </c>
      <c r="J92" s="541" t="s">
        <v>43</v>
      </c>
      <c r="K92" s="542" t="s">
        <v>608</v>
      </c>
      <c r="L92" s="586" t="s">
        <v>511</v>
      </c>
      <c r="M92" s="541" t="s">
        <v>609</v>
      </c>
      <c r="N92" s="542" t="s">
        <v>610</v>
      </c>
      <c r="O92" s="541" t="s">
        <v>611</v>
      </c>
      <c r="P92" s="541" t="s">
        <v>145</v>
      </c>
      <c r="Q92" s="541" t="s">
        <v>515</v>
      </c>
      <c r="R92" s="541" t="s">
        <v>430</v>
      </c>
      <c r="S92" s="541" t="s">
        <v>430</v>
      </c>
      <c r="T92" s="541" t="s">
        <v>612</v>
      </c>
      <c r="U92" s="541"/>
      <c r="V92" s="543" t="s">
        <v>433</v>
      </c>
      <c r="W92" s="544" t="s">
        <v>434</v>
      </c>
      <c r="X92" s="541"/>
      <c r="Y92" s="545"/>
      <c r="Z92" s="546"/>
      <c r="AA92" s="605" t="s">
        <v>435</v>
      </c>
      <c r="AB92" s="886" t="s">
        <v>436</v>
      </c>
      <c r="AC92" s="596"/>
      <c r="AD92" s="596"/>
      <c r="AE92" s="596"/>
      <c r="AF92" s="596"/>
      <c r="AG92" s="596"/>
      <c r="AH92" s="596"/>
      <c r="AI92" s="596"/>
      <c r="AJ92" s="547"/>
    </row>
    <row r="93" spans="1:36" ht="50.15" customHeight="1">
      <c r="A93" s="535" t="s">
        <v>418</v>
      </c>
      <c r="B93" s="536" t="s">
        <v>613</v>
      </c>
      <c r="C93" s="537" t="s">
        <v>614</v>
      </c>
      <c r="D93" s="576" t="s">
        <v>615</v>
      </c>
      <c r="E93" s="538" t="s">
        <v>616</v>
      </c>
      <c r="F93" s="539" t="s">
        <v>39</v>
      </c>
      <c r="G93" s="540" t="s">
        <v>40</v>
      </c>
      <c r="H93" s="541" t="s">
        <v>423</v>
      </c>
      <c r="I93" s="541" t="s">
        <v>102</v>
      </c>
      <c r="J93" s="541" t="s">
        <v>43</v>
      </c>
      <c r="K93" s="542" t="s">
        <v>617</v>
      </c>
      <c r="L93" s="586" t="s">
        <v>442</v>
      </c>
      <c r="M93" s="541" t="s">
        <v>565</v>
      </c>
      <c r="N93" s="542" t="s">
        <v>618</v>
      </c>
      <c r="O93" s="541" t="s">
        <v>619</v>
      </c>
      <c r="P93" s="541" t="s">
        <v>136</v>
      </c>
      <c r="Q93" s="541" t="s">
        <v>515</v>
      </c>
      <c r="R93" s="541" t="s">
        <v>455</v>
      </c>
      <c r="S93" s="541" t="s">
        <v>620</v>
      </c>
      <c r="T93" s="541" t="s">
        <v>457</v>
      </c>
      <c r="U93" s="541"/>
      <c r="V93" s="543" t="s">
        <v>458</v>
      </c>
      <c r="W93" s="544" t="s">
        <v>459</v>
      </c>
      <c r="X93" s="541"/>
      <c r="Y93" s="545"/>
      <c r="Z93" s="546"/>
      <c r="AA93" s="605" t="s">
        <v>435</v>
      </c>
      <c r="AB93" s="886" t="s">
        <v>621</v>
      </c>
      <c r="AC93" s="596"/>
      <c r="AD93" s="596"/>
      <c r="AE93" s="596"/>
      <c r="AF93" s="596"/>
      <c r="AG93" s="596"/>
      <c r="AH93" s="596"/>
      <c r="AI93" s="596"/>
      <c r="AJ93" s="547"/>
    </row>
    <row r="94" spans="1:36" ht="81.650000000000006" customHeight="1">
      <c r="A94" s="535" t="s">
        <v>35</v>
      </c>
      <c r="B94" s="536" t="s">
        <v>622</v>
      </c>
      <c r="C94" s="537" t="s">
        <v>623</v>
      </c>
      <c r="D94" s="538" t="s">
        <v>624</v>
      </c>
      <c r="E94" s="538" t="s">
        <v>625</v>
      </c>
      <c r="F94" s="539" t="s">
        <v>39</v>
      </c>
      <c r="G94" s="540" t="s">
        <v>40</v>
      </c>
      <c r="H94" s="578" t="s">
        <v>423</v>
      </c>
      <c r="I94" s="541" t="s">
        <v>474</v>
      </c>
      <c r="J94" s="541" t="s">
        <v>43</v>
      </c>
      <c r="K94" s="542" t="s">
        <v>626</v>
      </c>
      <c r="L94" s="586" t="s">
        <v>442</v>
      </c>
      <c r="M94" s="541" t="s">
        <v>627</v>
      </c>
      <c r="N94" s="542" t="s">
        <v>628</v>
      </c>
      <c r="O94" s="541" t="s">
        <v>629</v>
      </c>
      <c r="P94" s="541" t="s">
        <v>136</v>
      </c>
      <c r="Q94" s="541" t="s">
        <v>515</v>
      </c>
      <c r="R94" s="541" t="s">
        <v>430</v>
      </c>
      <c r="S94" s="541" t="s">
        <v>516</v>
      </c>
      <c r="T94" s="541" t="s">
        <v>527</v>
      </c>
      <c r="U94" s="541"/>
      <c r="V94" s="543" t="s">
        <v>630</v>
      </c>
      <c r="W94" s="544" t="s">
        <v>459</v>
      </c>
      <c r="X94" s="541"/>
      <c r="Y94" s="545"/>
      <c r="Z94" s="546"/>
      <c r="AA94" s="605" t="s">
        <v>435</v>
      </c>
      <c r="AB94" s="886" t="s">
        <v>631</v>
      </c>
      <c r="AC94" s="596"/>
      <c r="AD94" s="596"/>
      <c r="AE94" s="596"/>
      <c r="AF94" s="596"/>
      <c r="AG94" s="596"/>
      <c r="AH94" s="596"/>
      <c r="AI94" s="596"/>
      <c r="AJ94" s="547"/>
    </row>
    <row r="95" spans="1:36" ht="54" customHeight="1">
      <c r="A95" s="535" t="s">
        <v>418</v>
      </c>
      <c r="B95" s="536" t="s">
        <v>632</v>
      </c>
      <c r="C95" s="537" t="s">
        <v>633</v>
      </c>
      <c r="D95" s="538" t="s">
        <v>634</v>
      </c>
      <c r="E95" s="538" t="s">
        <v>635</v>
      </c>
      <c r="F95" s="539" t="s">
        <v>39</v>
      </c>
      <c r="G95" s="540" t="s">
        <v>40</v>
      </c>
      <c r="H95" s="578" t="s">
        <v>423</v>
      </c>
      <c r="I95" s="541" t="s">
        <v>474</v>
      </c>
      <c r="J95" s="541" t="s">
        <v>43</v>
      </c>
      <c r="K95" s="542" t="s">
        <v>636</v>
      </c>
      <c r="L95" s="586" t="s">
        <v>442</v>
      </c>
      <c r="M95" s="541" t="s">
        <v>637</v>
      </c>
      <c r="N95" s="542" t="s">
        <v>638</v>
      </c>
      <c r="O95" s="541" t="s">
        <v>639</v>
      </c>
      <c r="P95" s="541" t="s">
        <v>145</v>
      </c>
      <c r="Q95" s="541" t="s">
        <v>446</v>
      </c>
      <c r="R95" s="541" t="s">
        <v>430</v>
      </c>
      <c r="S95" s="541" t="s">
        <v>431</v>
      </c>
      <c r="T95" s="541" t="s">
        <v>612</v>
      </c>
      <c r="U95" s="541"/>
      <c r="V95" s="543" t="s">
        <v>433</v>
      </c>
      <c r="W95" s="544" t="s">
        <v>459</v>
      </c>
      <c r="X95" s="541"/>
      <c r="Y95" s="545"/>
      <c r="Z95" s="546"/>
      <c r="AA95" s="605" t="s">
        <v>518</v>
      </c>
      <c r="AB95" s="886" t="s">
        <v>631</v>
      </c>
      <c r="AC95" s="596"/>
      <c r="AD95" s="596"/>
      <c r="AE95" s="596"/>
      <c r="AF95" s="596"/>
      <c r="AG95" s="596"/>
      <c r="AH95" s="596"/>
      <c r="AI95" s="596"/>
      <c r="AJ95" s="547"/>
    </row>
    <row r="96" spans="1:36" ht="51" customHeight="1">
      <c r="A96" s="535" t="s">
        <v>418</v>
      </c>
      <c r="B96" s="536" t="s">
        <v>640</v>
      </c>
      <c r="C96" s="537" t="s">
        <v>641</v>
      </c>
      <c r="D96" s="538" t="s">
        <v>642</v>
      </c>
      <c r="E96" s="538" t="s">
        <v>643</v>
      </c>
      <c r="F96" s="539" t="s">
        <v>39</v>
      </c>
      <c r="G96" s="540" t="s">
        <v>40</v>
      </c>
      <c r="H96" s="578" t="s">
        <v>423</v>
      </c>
      <c r="I96" s="541" t="s">
        <v>474</v>
      </c>
      <c r="J96" s="541" t="s">
        <v>43</v>
      </c>
      <c r="K96" s="542" t="s">
        <v>644</v>
      </c>
      <c r="L96" s="586" t="s">
        <v>442</v>
      </c>
      <c r="M96" s="541" t="s">
        <v>645</v>
      </c>
      <c r="N96" s="542" t="s">
        <v>646</v>
      </c>
      <c r="O96" s="541" t="s">
        <v>647</v>
      </c>
      <c r="P96" s="541" t="s">
        <v>145</v>
      </c>
      <c r="Q96" s="541" t="s">
        <v>515</v>
      </c>
      <c r="R96" s="541" t="s">
        <v>455</v>
      </c>
      <c r="S96" s="541" t="s">
        <v>516</v>
      </c>
      <c r="T96" s="541" t="s">
        <v>612</v>
      </c>
      <c r="U96" s="541"/>
      <c r="V96" s="543" t="s">
        <v>433</v>
      </c>
      <c r="W96" s="544" t="s">
        <v>459</v>
      </c>
      <c r="X96" s="541"/>
      <c r="Y96" s="545"/>
      <c r="Z96" s="546"/>
      <c r="AA96" s="605" t="s">
        <v>518</v>
      </c>
      <c r="AB96" s="886" t="s">
        <v>631</v>
      </c>
      <c r="AC96" s="596"/>
      <c r="AD96" s="596"/>
      <c r="AE96" s="596"/>
      <c r="AF96" s="596"/>
      <c r="AG96" s="596"/>
      <c r="AH96" s="596"/>
      <c r="AI96" s="596"/>
      <c r="AJ96" s="547"/>
    </row>
    <row r="97" spans="1:36" ht="101.5">
      <c r="A97" s="535" t="s">
        <v>418</v>
      </c>
      <c r="B97" s="536" t="s">
        <v>269</v>
      </c>
      <c r="C97" s="537" t="s">
        <v>648</v>
      </c>
      <c r="D97" s="576" t="s">
        <v>649</v>
      </c>
      <c r="E97" s="538" t="s">
        <v>650</v>
      </c>
      <c r="F97" s="539" t="s">
        <v>545</v>
      </c>
      <c r="G97" s="540" t="s">
        <v>546</v>
      </c>
      <c r="H97" s="541" t="s">
        <v>423</v>
      </c>
      <c r="I97" s="541" t="s">
        <v>86</v>
      </c>
      <c r="J97" s="541" t="s">
        <v>43</v>
      </c>
      <c r="K97" s="542" t="s">
        <v>651</v>
      </c>
      <c r="L97" s="586" t="s">
        <v>442</v>
      </c>
      <c r="M97" s="541" t="s">
        <v>652</v>
      </c>
      <c r="N97" s="542" t="s">
        <v>653</v>
      </c>
      <c r="O97" s="541" t="s">
        <v>654</v>
      </c>
      <c r="P97" s="541" t="s">
        <v>145</v>
      </c>
      <c r="Q97" s="541" t="s">
        <v>568</v>
      </c>
      <c r="R97" s="541" t="s">
        <v>430</v>
      </c>
      <c r="S97" s="541" t="s">
        <v>430</v>
      </c>
      <c r="T97" s="541" t="s">
        <v>551</v>
      </c>
      <c r="U97" s="541"/>
      <c r="V97" s="543" t="s">
        <v>433</v>
      </c>
      <c r="W97" s="544" t="s">
        <v>434</v>
      </c>
      <c r="X97" s="541"/>
      <c r="Y97" s="545"/>
      <c r="Z97" s="546"/>
      <c r="AA97" s="605" t="s">
        <v>435</v>
      </c>
      <c r="AB97" s="886" t="s">
        <v>631</v>
      </c>
      <c r="AC97" s="596"/>
      <c r="AD97" s="596"/>
      <c r="AE97" s="596"/>
      <c r="AF97" s="596"/>
      <c r="AG97" s="596"/>
      <c r="AH97" s="596"/>
      <c r="AI97" s="596"/>
      <c r="AJ97" s="547"/>
    </row>
    <row r="98" spans="1:36" ht="101.5">
      <c r="A98" s="535" t="s">
        <v>418</v>
      </c>
      <c r="B98" s="536" t="s">
        <v>275</v>
      </c>
      <c r="C98" s="537" t="s">
        <v>655</v>
      </c>
      <c r="D98" s="576" t="s">
        <v>656</v>
      </c>
      <c r="E98" s="538" t="s">
        <v>657</v>
      </c>
      <c r="F98" s="539" t="s">
        <v>39</v>
      </c>
      <c r="G98" s="540" t="s">
        <v>40</v>
      </c>
      <c r="H98" s="541" t="s">
        <v>423</v>
      </c>
      <c r="I98" s="541" t="s">
        <v>102</v>
      </c>
      <c r="J98" s="541" t="s">
        <v>43</v>
      </c>
      <c r="K98" s="542" t="s">
        <v>658</v>
      </c>
      <c r="L98" s="586" t="s">
        <v>442</v>
      </c>
      <c r="M98" s="541" t="s">
        <v>659</v>
      </c>
      <c r="N98" s="542" t="s">
        <v>660</v>
      </c>
      <c r="O98" s="541" t="s">
        <v>661</v>
      </c>
      <c r="P98" s="541" t="s">
        <v>145</v>
      </c>
      <c r="Q98" s="541" t="s">
        <v>662</v>
      </c>
      <c r="R98" s="541" t="s">
        <v>663</v>
      </c>
      <c r="S98" s="541" t="s">
        <v>664</v>
      </c>
      <c r="T98" s="541" t="s">
        <v>432</v>
      </c>
      <c r="U98" s="541"/>
      <c r="V98" s="543" t="s">
        <v>665</v>
      </c>
      <c r="W98" s="544" t="s">
        <v>666</v>
      </c>
      <c r="X98" s="541"/>
      <c r="Y98" s="545"/>
      <c r="Z98" s="546"/>
      <c r="AA98" s="605" t="s">
        <v>435</v>
      </c>
      <c r="AB98" s="886" t="s">
        <v>631</v>
      </c>
      <c r="AC98" s="596"/>
      <c r="AD98" s="596"/>
      <c r="AE98" s="596"/>
      <c r="AF98" s="596"/>
      <c r="AG98" s="596"/>
      <c r="AH98" s="596"/>
      <c r="AI98" s="596"/>
      <c r="AJ98" s="547"/>
    </row>
    <row r="99" spans="1:36" ht="116">
      <c r="A99" s="535" t="s">
        <v>418</v>
      </c>
      <c r="B99" s="536" t="s">
        <v>667</v>
      </c>
      <c r="C99" s="537" t="s">
        <v>668</v>
      </c>
      <c r="D99" s="576" t="s">
        <v>669</v>
      </c>
      <c r="E99" s="538" t="s">
        <v>670</v>
      </c>
      <c r="F99" s="539" t="s">
        <v>39</v>
      </c>
      <c r="G99" s="540" t="s">
        <v>101</v>
      </c>
      <c r="H99" s="541" t="s">
        <v>423</v>
      </c>
      <c r="I99" s="541" t="s">
        <v>102</v>
      </c>
      <c r="J99" s="541" t="s">
        <v>43</v>
      </c>
      <c r="K99" s="542" t="s">
        <v>671</v>
      </c>
      <c r="L99" s="586" t="s">
        <v>442</v>
      </c>
      <c r="M99" s="541" t="s">
        <v>672</v>
      </c>
      <c r="N99" s="542" t="s">
        <v>673</v>
      </c>
      <c r="O99" s="541" t="s">
        <v>674</v>
      </c>
      <c r="P99" s="541" t="s">
        <v>145</v>
      </c>
      <c r="Q99" s="541" t="s">
        <v>662</v>
      </c>
      <c r="R99" s="541" t="s">
        <v>663</v>
      </c>
      <c r="S99" s="541" t="s">
        <v>430</v>
      </c>
      <c r="T99" s="541" t="s">
        <v>432</v>
      </c>
      <c r="U99" s="541"/>
      <c r="V99" s="543" t="s">
        <v>433</v>
      </c>
      <c r="W99" s="544" t="s">
        <v>666</v>
      </c>
      <c r="X99" s="541"/>
      <c r="Y99" s="545"/>
      <c r="Z99" s="546"/>
      <c r="AA99" s="605" t="s">
        <v>435</v>
      </c>
      <c r="AB99" s="886" t="s">
        <v>631</v>
      </c>
      <c r="AC99" s="596"/>
      <c r="AD99" s="596"/>
      <c r="AE99" s="596"/>
      <c r="AF99" s="596"/>
      <c r="AG99" s="596"/>
      <c r="AH99" s="596"/>
      <c r="AI99" s="596"/>
      <c r="AJ99" s="547"/>
    </row>
    <row r="100" spans="1:36" ht="43.5" customHeight="1">
      <c r="A100" s="535" t="s">
        <v>418</v>
      </c>
      <c r="B100" s="536" t="s">
        <v>279</v>
      </c>
      <c r="C100" s="537" t="s">
        <v>675</v>
      </c>
      <c r="D100" s="576" t="s">
        <v>676</v>
      </c>
      <c r="E100" s="538" t="s">
        <v>677</v>
      </c>
      <c r="F100" s="539" t="s">
        <v>39</v>
      </c>
      <c r="G100" s="540" t="s">
        <v>101</v>
      </c>
      <c r="H100" s="541" t="s">
        <v>423</v>
      </c>
      <c r="I100" s="541" t="s">
        <v>102</v>
      </c>
      <c r="J100" s="541" t="s">
        <v>678</v>
      </c>
      <c r="K100" s="542" t="s">
        <v>679</v>
      </c>
      <c r="L100" s="586" t="s">
        <v>442</v>
      </c>
      <c r="M100" s="541" t="s">
        <v>680</v>
      </c>
      <c r="N100" s="542" t="s">
        <v>681</v>
      </c>
      <c r="O100" s="541" t="s">
        <v>682</v>
      </c>
      <c r="P100" s="541" t="s">
        <v>145</v>
      </c>
      <c r="Q100" s="541" t="s">
        <v>683</v>
      </c>
      <c r="R100" s="541" t="s">
        <v>430</v>
      </c>
      <c r="S100" s="541" t="s">
        <v>430</v>
      </c>
      <c r="T100" s="541" t="s">
        <v>432</v>
      </c>
      <c r="U100" s="541"/>
      <c r="V100" s="543" t="s">
        <v>433</v>
      </c>
      <c r="W100" s="544" t="s">
        <v>434</v>
      </c>
      <c r="X100" s="541"/>
      <c r="Y100" s="545"/>
      <c r="Z100" s="546"/>
      <c r="AA100" s="605" t="s">
        <v>435</v>
      </c>
      <c r="AB100" s="886" t="s">
        <v>631</v>
      </c>
      <c r="AC100" s="596"/>
      <c r="AD100" s="596"/>
      <c r="AE100" s="596"/>
      <c r="AF100" s="596"/>
      <c r="AG100" s="596"/>
      <c r="AH100" s="596"/>
      <c r="AI100" s="596"/>
      <c r="AJ100" s="547"/>
    </row>
    <row r="101" spans="1:36" ht="43.5" customHeight="1">
      <c r="A101" s="535" t="s">
        <v>418</v>
      </c>
      <c r="B101" s="593" t="s">
        <v>684</v>
      </c>
      <c r="C101" s="580" t="s">
        <v>685</v>
      </c>
      <c r="D101" s="576" t="s">
        <v>686</v>
      </c>
      <c r="E101" s="538" t="s">
        <v>687</v>
      </c>
      <c r="F101" s="539" t="s">
        <v>39</v>
      </c>
      <c r="G101" s="540" t="s">
        <v>115</v>
      </c>
      <c r="H101" s="581" t="s">
        <v>423</v>
      </c>
      <c r="I101" s="541" t="s">
        <v>102</v>
      </c>
      <c r="J101" s="541" t="s">
        <v>43</v>
      </c>
      <c r="K101" s="542" t="s">
        <v>688</v>
      </c>
      <c r="L101" s="586" t="s">
        <v>442</v>
      </c>
      <c r="M101" s="541" t="s">
        <v>689</v>
      </c>
      <c r="N101" s="542" t="s">
        <v>690</v>
      </c>
      <c r="O101" s="541" t="s">
        <v>691</v>
      </c>
      <c r="P101" s="541" t="s">
        <v>145</v>
      </c>
      <c r="Q101" s="541" t="s">
        <v>468</v>
      </c>
      <c r="R101" s="541" t="s">
        <v>663</v>
      </c>
      <c r="S101" s="541" t="s">
        <v>431</v>
      </c>
      <c r="T101" s="541" t="s">
        <v>487</v>
      </c>
      <c r="U101" s="541"/>
      <c r="V101" s="543" t="s">
        <v>630</v>
      </c>
      <c r="W101" s="544" t="s">
        <v>692</v>
      </c>
      <c r="X101" s="541"/>
      <c r="Y101" s="545"/>
      <c r="Z101" s="546"/>
      <c r="AA101" s="605" t="s">
        <v>435</v>
      </c>
      <c r="AB101" s="886" t="s">
        <v>631</v>
      </c>
      <c r="AC101" s="596"/>
      <c r="AD101" s="596"/>
      <c r="AE101" s="596"/>
      <c r="AF101" s="596"/>
      <c r="AG101" s="596"/>
      <c r="AH101" s="596"/>
      <c r="AI101" s="596"/>
      <c r="AJ101" s="547"/>
    </row>
    <row r="102" spans="1:36" ht="43.5" customHeight="1">
      <c r="A102" s="535" t="s">
        <v>418</v>
      </c>
      <c r="B102" s="536" t="s">
        <v>291</v>
      </c>
      <c r="C102" s="580" t="s">
        <v>693</v>
      </c>
      <c r="D102" s="576" t="s">
        <v>694</v>
      </c>
      <c r="E102" s="538" t="s">
        <v>695</v>
      </c>
      <c r="F102" s="539" t="s">
        <v>39</v>
      </c>
      <c r="G102" s="540" t="s">
        <v>40</v>
      </c>
      <c r="H102" s="578" t="s">
        <v>423</v>
      </c>
      <c r="I102" s="541" t="s">
        <v>102</v>
      </c>
      <c r="J102" s="541" t="s">
        <v>43</v>
      </c>
      <c r="K102" s="542" t="s">
        <v>696</v>
      </c>
      <c r="L102" s="592" t="s">
        <v>442</v>
      </c>
      <c r="M102" s="541" t="s">
        <v>697</v>
      </c>
      <c r="N102" s="542" t="s">
        <v>698</v>
      </c>
      <c r="O102" s="541" t="s">
        <v>699</v>
      </c>
      <c r="P102" s="541" t="s">
        <v>136</v>
      </c>
      <c r="Q102" s="541" t="s">
        <v>700</v>
      </c>
      <c r="R102" s="541" t="s">
        <v>701</v>
      </c>
      <c r="S102" s="541" t="s">
        <v>431</v>
      </c>
      <c r="T102" s="541" t="s">
        <v>702</v>
      </c>
      <c r="U102" s="541"/>
      <c r="V102" s="543" t="s">
        <v>433</v>
      </c>
      <c r="W102" s="544" t="s">
        <v>666</v>
      </c>
      <c r="X102" s="541"/>
      <c r="Y102" s="545"/>
      <c r="Z102" s="546"/>
      <c r="AA102" s="605" t="s">
        <v>435</v>
      </c>
      <c r="AB102" s="886" t="s">
        <v>631</v>
      </c>
      <c r="AC102" s="596"/>
      <c r="AD102" s="596"/>
      <c r="AE102" s="596"/>
      <c r="AF102" s="596"/>
      <c r="AG102" s="596"/>
      <c r="AH102" s="596"/>
      <c r="AI102" s="596"/>
      <c r="AJ102" s="547"/>
    </row>
    <row r="103" spans="1:36" ht="71.25" customHeight="1">
      <c r="A103" s="535" t="s">
        <v>418</v>
      </c>
      <c r="B103" s="536" t="s">
        <v>298</v>
      </c>
      <c r="C103" s="580" t="s">
        <v>703</v>
      </c>
      <c r="D103" s="576" t="s">
        <v>704</v>
      </c>
      <c r="E103" s="538" t="s">
        <v>705</v>
      </c>
      <c r="F103" s="539" t="s">
        <v>39</v>
      </c>
      <c r="G103" s="540" t="s">
        <v>40</v>
      </c>
      <c r="H103" s="541" t="s">
        <v>423</v>
      </c>
      <c r="I103" s="541" t="s">
        <v>102</v>
      </c>
      <c r="J103" s="541" t="s">
        <v>43</v>
      </c>
      <c r="K103" s="542" t="s">
        <v>706</v>
      </c>
      <c r="L103" s="586" t="s">
        <v>442</v>
      </c>
      <c r="M103" s="541" t="s">
        <v>707</v>
      </c>
      <c r="N103" s="542" t="s">
        <v>708</v>
      </c>
      <c r="O103" s="541" t="s">
        <v>709</v>
      </c>
      <c r="P103" s="541" t="s">
        <v>136</v>
      </c>
      <c r="Q103" s="541" t="s">
        <v>683</v>
      </c>
      <c r="R103" s="541" t="s">
        <v>701</v>
      </c>
      <c r="S103" s="541" t="s">
        <v>710</v>
      </c>
      <c r="T103" s="541" t="s">
        <v>527</v>
      </c>
      <c r="U103" s="541"/>
      <c r="V103" s="543" t="s">
        <v>517</v>
      </c>
      <c r="W103" s="544" t="s">
        <v>666</v>
      </c>
      <c r="X103" s="541"/>
      <c r="Y103" s="545"/>
      <c r="Z103" s="546"/>
      <c r="AA103" s="605" t="s">
        <v>435</v>
      </c>
      <c r="AB103" s="886" t="s">
        <v>631</v>
      </c>
      <c r="AC103" s="596"/>
      <c r="AD103" s="596"/>
      <c r="AE103" s="596"/>
      <c r="AF103" s="596"/>
      <c r="AG103" s="596"/>
      <c r="AH103" s="596"/>
      <c r="AI103" s="596"/>
      <c r="AJ103" s="547"/>
    </row>
    <row r="104" spans="1:36" ht="130.5">
      <c r="A104" s="535" t="s">
        <v>418</v>
      </c>
      <c r="B104" s="536" t="s">
        <v>711</v>
      </c>
      <c r="C104" s="537" t="s">
        <v>712</v>
      </c>
      <c r="D104" s="538" t="s">
        <v>713</v>
      </c>
      <c r="E104" s="538" t="s">
        <v>714</v>
      </c>
      <c r="F104" s="539" t="s">
        <v>39</v>
      </c>
      <c r="G104" s="540" t="s">
        <v>101</v>
      </c>
      <c r="H104" s="541" t="s">
        <v>423</v>
      </c>
      <c r="I104" s="541" t="s">
        <v>102</v>
      </c>
      <c r="J104" s="541" t="s">
        <v>43</v>
      </c>
      <c r="K104" s="542" t="s">
        <v>715</v>
      </c>
      <c r="L104" s="586" t="s">
        <v>511</v>
      </c>
      <c r="M104" s="541" t="s">
        <v>716</v>
      </c>
      <c r="N104" s="542" t="s">
        <v>717</v>
      </c>
      <c r="O104" s="541" t="s">
        <v>718</v>
      </c>
      <c r="P104" s="541" t="s">
        <v>145</v>
      </c>
      <c r="Q104" s="541" t="s">
        <v>662</v>
      </c>
      <c r="R104" s="541" t="s">
        <v>663</v>
      </c>
      <c r="S104" s="541" t="s">
        <v>430</v>
      </c>
      <c r="T104" s="541" t="s">
        <v>551</v>
      </c>
      <c r="U104" s="541"/>
      <c r="V104" s="543" t="s">
        <v>433</v>
      </c>
      <c r="W104" s="544" t="s">
        <v>666</v>
      </c>
      <c r="X104" s="541"/>
      <c r="Y104" s="545"/>
      <c r="Z104" s="546"/>
      <c r="AA104" s="605" t="s">
        <v>435</v>
      </c>
      <c r="AB104" s="886" t="s">
        <v>631</v>
      </c>
      <c r="AC104" s="596"/>
      <c r="AD104" s="596"/>
      <c r="AE104" s="596"/>
      <c r="AF104" s="596"/>
      <c r="AG104" s="596"/>
      <c r="AH104" s="596"/>
      <c r="AI104" s="596"/>
      <c r="AJ104" s="547"/>
    </row>
    <row r="105" spans="1:36" s="19" customFormat="1" ht="50.15" customHeight="1">
      <c r="A105" s="535" t="s">
        <v>418</v>
      </c>
      <c r="B105" s="593" t="s">
        <v>719</v>
      </c>
      <c r="C105" s="537" t="s">
        <v>720</v>
      </c>
      <c r="D105" s="576" t="s">
        <v>721</v>
      </c>
      <c r="E105" s="538" t="s">
        <v>722</v>
      </c>
      <c r="F105" s="539" t="s">
        <v>39</v>
      </c>
      <c r="G105" s="540" t="s">
        <v>40</v>
      </c>
      <c r="H105" s="541" t="s">
        <v>423</v>
      </c>
      <c r="I105" s="541" t="s">
        <v>86</v>
      </c>
      <c r="J105" s="541" t="s">
        <v>43</v>
      </c>
      <c r="K105" s="542" t="s">
        <v>564</v>
      </c>
      <c r="L105" s="586" t="s">
        <v>442</v>
      </c>
      <c r="M105" s="541" t="s">
        <v>723</v>
      </c>
      <c r="N105" s="542" t="s">
        <v>724</v>
      </c>
      <c r="O105" s="541" t="s">
        <v>725</v>
      </c>
      <c r="P105" s="541" t="s">
        <v>145</v>
      </c>
      <c r="Q105" s="541" t="s">
        <v>515</v>
      </c>
      <c r="R105" s="541" t="s">
        <v>663</v>
      </c>
      <c r="S105" s="541" t="s">
        <v>726</v>
      </c>
      <c r="T105" s="541" t="s">
        <v>457</v>
      </c>
      <c r="U105" s="541"/>
      <c r="V105" s="543" t="s">
        <v>458</v>
      </c>
      <c r="W105" s="544" t="s">
        <v>666</v>
      </c>
      <c r="X105" s="541"/>
      <c r="Y105" s="545"/>
      <c r="Z105" s="546"/>
      <c r="AA105" s="605" t="s">
        <v>435</v>
      </c>
      <c r="AB105" s="886" t="s">
        <v>631</v>
      </c>
      <c r="AC105" s="715"/>
      <c r="AD105" s="715"/>
      <c r="AE105" s="715"/>
      <c r="AF105" s="715"/>
      <c r="AG105" s="715"/>
      <c r="AH105" s="715"/>
      <c r="AI105" s="715"/>
      <c r="AJ105" s="582"/>
    </row>
    <row r="106" spans="1:36" s="19" customFormat="1" ht="61.5" customHeight="1">
      <c r="A106" s="535" t="s">
        <v>418</v>
      </c>
      <c r="B106" s="536" t="s">
        <v>727</v>
      </c>
      <c r="C106" s="537" t="s">
        <v>728</v>
      </c>
      <c r="D106" s="538" t="s">
        <v>729</v>
      </c>
      <c r="E106" s="538" t="s">
        <v>730</v>
      </c>
      <c r="F106" s="539" t="s">
        <v>39</v>
      </c>
      <c r="G106" s="540" t="s">
        <v>101</v>
      </c>
      <c r="H106" s="541" t="s">
        <v>423</v>
      </c>
      <c r="I106" s="541" t="s">
        <v>102</v>
      </c>
      <c r="J106" s="541" t="s">
        <v>43</v>
      </c>
      <c r="K106" s="542" t="s">
        <v>731</v>
      </c>
      <c r="L106" s="586" t="s">
        <v>442</v>
      </c>
      <c r="M106" s="541" t="s">
        <v>732</v>
      </c>
      <c r="N106" s="542" t="s">
        <v>733</v>
      </c>
      <c r="O106" s="541" t="s">
        <v>734</v>
      </c>
      <c r="P106" s="541" t="s">
        <v>136</v>
      </c>
      <c r="Q106" s="541" t="s">
        <v>662</v>
      </c>
      <c r="R106" s="541" t="s">
        <v>663</v>
      </c>
      <c r="S106" s="541" t="s">
        <v>430</v>
      </c>
      <c r="T106" s="541" t="s">
        <v>735</v>
      </c>
      <c r="U106" s="541"/>
      <c r="V106" s="543" t="s">
        <v>736</v>
      </c>
      <c r="W106" s="544" t="s">
        <v>666</v>
      </c>
      <c r="X106" s="541"/>
      <c r="Y106" s="545"/>
      <c r="Z106" s="546"/>
      <c r="AA106" s="605" t="s">
        <v>518</v>
      </c>
      <c r="AB106" s="886" t="s">
        <v>631</v>
      </c>
      <c r="AC106" s="715"/>
      <c r="AD106" s="715"/>
      <c r="AE106" s="715"/>
      <c r="AF106" s="715"/>
      <c r="AG106" s="715"/>
      <c r="AH106" s="715"/>
      <c r="AI106" s="715"/>
      <c r="AJ106" s="582"/>
    </row>
    <row r="107" spans="1:36" s="19" customFormat="1" ht="50.15" customHeight="1">
      <c r="A107" s="535" t="s">
        <v>418</v>
      </c>
      <c r="B107" s="536" t="s">
        <v>737</v>
      </c>
      <c r="C107" s="537" t="s">
        <v>738</v>
      </c>
      <c r="D107" s="576" t="s">
        <v>739</v>
      </c>
      <c r="E107" s="538" t="s">
        <v>740</v>
      </c>
      <c r="F107" s="539" t="s">
        <v>39</v>
      </c>
      <c r="G107" s="540" t="s">
        <v>101</v>
      </c>
      <c r="H107" s="541" t="s">
        <v>423</v>
      </c>
      <c r="I107" s="541" t="s">
        <v>102</v>
      </c>
      <c r="J107" s="541" t="s">
        <v>43</v>
      </c>
      <c r="K107" s="542" t="s">
        <v>741</v>
      </c>
      <c r="L107" s="586" t="s">
        <v>442</v>
      </c>
      <c r="M107" s="541" t="s">
        <v>742</v>
      </c>
      <c r="N107" s="542" t="s">
        <v>743</v>
      </c>
      <c r="O107" s="541" t="s">
        <v>744</v>
      </c>
      <c r="P107" s="541" t="s">
        <v>136</v>
      </c>
      <c r="Q107" s="541" t="s">
        <v>468</v>
      </c>
      <c r="R107" s="541" t="s">
        <v>455</v>
      </c>
      <c r="S107" s="541" t="s">
        <v>664</v>
      </c>
      <c r="T107" s="541" t="s">
        <v>745</v>
      </c>
      <c r="U107" s="541"/>
      <c r="V107" s="543" t="s">
        <v>470</v>
      </c>
      <c r="W107" s="544" t="s">
        <v>528</v>
      </c>
      <c r="X107" s="541"/>
      <c r="Y107" s="545"/>
      <c r="Z107" s="546"/>
      <c r="AA107" s="605" t="s">
        <v>518</v>
      </c>
      <c r="AB107" s="886" t="s">
        <v>631</v>
      </c>
      <c r="AC107" s="715"/>
      <c r="AD107" s="715"/>
      <c r="AE107" s="715"/>
      <c r="AF107" s="715"/>
      <c r="AG107" s="715"/>
      <c r="AH107" s="715"/>
      <c r="AI107" s="715"/>
      <c r="AJ107" s="582"/>
    </row>
    <row r="108" spans="1:36" s="19" customFormat="1" ht="52.9" customHeight="1">
      <c r="A108" s="535" t="s">
        <v>418</v>
      </c>
      <c r="B108" s="593" t="s">
        <v>746</v>
      </c>
      <c r="C108" s="537" t="s">
        <v>747</v>
      </c>
      <c r="D108" s="576" t="s">
        <v>748</v>
      </c>
      <c r="E108" s="538" t="s">
        <v>749</v>
      </c>
      <c r="F108" s="539" t="s">
        <v>39</v>
      </c>
      <c r="G108" s="540" t="s">
        <v>40</v>
      </c>
      <c r="H108" s="541" t="s">
        <v>423</v>
      </c>
      <c r="I108" s="541" t="s">
        <v>102</v>
      </c>
      <c r="J108" s="541" t="s">
        <v>43</v>
      </c>
      <c r="K108" s="542" t="s">
        <v>750</v>
      </c>
      <c r="L108" s="586" t="s">
        <v>442</v>
      </c>
      <c r="M108" s="541" t="s">
        <v>751</v>
      </c>
      <c r="N108" s="542" t="s">
        <v>752</v>
      </c>
      <c r="O108" s="541" t="s">
        <v>753</v>
      </c>
      <c r="P108" s="541" t="s">
        <v>145</v>
      </c>
      <c r="Q108" s="541" t="s">
        <v>700</v>
      </c>
      <c r="R108" s="541" t="s">
        <v>663</v>
      </c>
      <c r="S108" s="541" t="s">
        <v>431</v>
      </c>
      <c r="T108" s="541" t="s">
        <v>487</v>
      </c>
      <c r="U108" s="541"/>
      <c r="V108" s="543" t="s">
        <v>517</v>
      </c>
      <c r="W108" s="544" t="s">
        <v>666</v>
      </c>
      <c r="X108" s="541"/>
      <c r="Y108" s="545"/>
      <c r="Z108" s="546"/>
      <c r="AA108" s="605" t="s">
        <v>518</v>
      </c>
      <c r="AB108" s="886" t="s">
        <v>631</v>
      </c>
      <c r="AC108" s="715"/>
      <c r="AD108" s="715"/>
      <c r="AE108" s="715"/>
      <c r="AF108" s="715"/>
      <c r="AG108" s="715"/>
      <c r="AH108" s="715"/>
      <c r="AI108" s="715"/>
      <c r="AJ108" s="582"/>
    </row>
    <row r="109" spans="1:36" s="19" customFormat="1" ht="51" customHeight="1">
      <c r="A109" s="535" t="s">
        <v>418</v>
      </c>
      <c r="B109" s="536" t="s">
        <v>754</v>
      </c>
      <c r="C109" s="537" t="s">
        <v>755</v>
      </c>
      <c r="D109" s="576" t="s">
        <v>756</v>
      </c>
      <c r="E109" s="538" t="s">
        <v>757</v>
      </c>
      <c r="F109" s="539" t="s">
        <v>545</v>
      </c>
      <c r="G109" s="540" t="s">
        <v>546</v>
      </c>
      <c r="H109" s="541" t="s">
        <v>423</v>
      </c>
      <c r="I109" s="541" t="s">
        <v>102</v>
      </c>
      <c r="J109" s="541" t="s">
        <v>43</v>
      </c>
      <c r="K109" s="542" t="s">
        <v>758</v>
      </c>
      <c r="L109" s="586" t="s">
        <v>442</v>
      </c>
      <c r="M109" s="541" t="s">
        <v>524</v>
      </c>
      <c r="N109" s="542" t="s">
        <v>759</v>
      </c>
      <c r="O109" s="541" t="s">
        <v>760</v>
      </c>
      <c r="P109" s="541" t="s">
        <v>136</v>
      </c>
      <c r="Q109" s="541" t="s">
        <v>468</v>
      </c>
      <c r="R109" s="541" t="s">
        <v>663</v>
      </c>
      <c r="S109" s="541" t="s">
        <v>664</v>
      </c>
      <c r="T109" s="541" t="s">
        <v>527</v>
      </c>
      <c r="U109" s="541"/>
      <c r="V109" s="543" t="s">
        <v>736</v>
      </c>
      <c r="W109" s="544" t="s">
        <v>666</v>
      </c>
      <c r="X109" s="541"/>
      <c r="Y109" s="545"/>
      <c r="Z109" s="546"/>
      <c r="AA109" s="605" t="s">
        <v>435</v>
      </c>
      <c r="AB109" s="886" t="s">
        <v>631</v>
      </c>
      <c r="AC109" s="715"/>
      <c r="AD109" s="715"/>
      <c r="AE109" s="715"/>
      <c r="AF109" s="715"/>
      <c r="AG109" s="715"/>
      <c r="AH109" s="715"/>
      <c r="AI109" s="715"/>
      <c r="AJ109" s="582"/>
    </row>
    <row r="110" spans="1:36" s="19" customFormat="1" ht="108.65" customHeight="1">
      <c r="A110" s="535" t="s">
        <v>418</v>
      </c>
      <c r="B110" s="536" t="s">
        <v>236</v>
      </c>
      <c r="C110" s="537" t="s">
        <v>761</v>
      </c>
      <c r="D110" s="538" t="s">
        <v>762</v>
      </c>
      <c r="E110" s="538" t="s">
        <v>763</v>
      </c>
      <c r="F110" s="539" t="s">
        <v>39</v>
      </c>
      <c r="G110" s="540" t="s">
        <v>40</v>
      </c>
      <c r="H110" s="595" t="s">
        <v>423</v>
      </c>
      <c r="I110" s="541" t="s">
        <v>102</v>
      </c>
      <c r="J110" s="541" t="s">
        <v>43</v>
      </c>
      <c r="K110" s="542" t="s">
        <v>764</v>
      </c>
      <c r="L110" s="586" t="s">
        <v>442</v>
      </c>
      <c r="M110" s="541" t="s">
        <v>765</v>
      </c>
      <c r="N110" s="542" t="s">
        <v>766</v>
      </c>
      <c r="O110" s="541" t="s">
        <v>767</v>
      </c>
      <c r="P110" s="541" t="s">
        <v>136</v>
      </c>
      <c r="Q110" s="541" t="s">
        <v>515</v>
      </c>
      <c r="R110" s="541" t="s">
        <v>455</v>
      </c>
      <c r="S110" s="541" t="s">
        <v>431</v>
      </c>
      <c r="T110" s="541" t="s">
        <v>745</v>
      </c>
      <c r="U110" s="541"/>
      <c r="V110" s="543" t="s">
        <v>497</v>
      </c>
      <c r="W110" s="544" t="s">
        <v>459</v>
      </c>
      <c r="X110" s="541"/>
      <c r="Y110" s="545"/>
      <c r="Z110" s="546"/>
      <c r="AA110" s="605" t="s">
        <v>435</v>
      </c>
      <c r="AB110" s="886" t="s">
        <v>631</v>
      </c>
      <c r="AC110" s="715"/>
      <c r="AD110" s="715"/>
      <c r="AE110" s="715"/>
      <c r="AF110" s="715"/>
      <c r="AG110" s="715"/>
      <c r="AH110" s="715"/>
      <c r="AI110" s="715"/>
      <c r="AJ110" s="582"/>
    </row>
    <row r="111" spans="1:36" s="19" customFormat="1" ht="101.5">
      <c r="A111" s="535" t="s">
        <v>418</v>
      </c>
      <c r="B111" s="536" t="s">
        <v>241</v>
      </c>
      <c r="C111" s="537" t="s">
        <v>768</v>
      </c>
      <c r="D111" s="576" t="s">
        <v>769</v>
      </c>
      <c r="E111" s="538" t="s">
        <v>770</v>
      </c>
      <c r="F111" s="539" t="s">
        <v>39</v>
      </c>
      <c r="G111" s="540" t="s">
        <v>101</v>
      </c>
      <c r="H111" s="541" t="s">
        <v>423</v>
      </c>
      <c r="I111" s="541" t="s">
        <v>102</v>
      </c>
      <c r="J111" s="541" t="s">
        <v>43</v>
      </c>
      <c r="K111" s="542" t="s">
        <v>771</v>
      </c>
      <c r="L111" s="586" t="s">
        <v>442</v>
      </c>
      <c r="M111" s="541" t="s">
        <v>772</v>
      </c>
      <c r="N111" s="542" t="s">
        <v>773</v>
      </c>
      <c r="O111" s="541" t="s">
        <v>774</v>
      </c>
      <c r="P111" s="541" t="s">
        <v>145</v>
      </c>
      <c r="Q111" s="541" t="s">
        <v>515</v>
      </c>
      <c r="R111" s="541" t="s">
        <v>455</v>
      </c>
      <c r="S111" s="541" t="s">
        <v>775</v>
      </c>
      <c r="T111" s="541" t="s">
        <v>527</v>
      </c>
      <c r="U111" s="541"/>
      <c r="V111" s="543" t="s">
        <v>665</v>
      </c>
      <c r="W111" s="544" t="s">
        <v>434</v>
      </c>
      <c r="X111" s="541"/>
      <c r="Y111" s="545"/>
      <c r="Z111" s="546"/>
      <c r="AA111" s="605" t="s">
        <v>435</v>
      </c>
      <c r="AB111" s="886" t="s">
        <v>631</v>
      </c>
      <c r="AC111" s="715"/>
      <c r="AD111" s="715"/>
      <c r="AE111" s="715"/>
      <c r="AF111" s="715"/>
      <c r="AG111" s="715"/>
      <c r="AH111" s="715"/>
      <c r="AI111" s="715"/>
      <c r="AJ111" s="582"/>
    </row>
    <row r="112" spans="1:36" s="19" customFormat="1" ht="116">
      <c r="A112" s="535" t="s">
        <v>418</v>
      </c>
      <c r="B112" s="536" t="s">
        <v>776</v>
      </c>
      <c r="C112" s="537" t="s">
        <v>777</v>
      </c>
      <c r="D112" s="538" t="s">
        <v>778</v>
      </c>
      <c r="E112" s="538" t="s">
        <v>779</v>
      </c>
      <c r="F112" s="539" t="s">
        <v>39</v>
      </c>
      <c r="G112" s="540" t="s">
        <v>101</v>
      </c>
      <c r="H112" s="541" t="s">
        <v>423</v>
      </c>
      <c r="I112" s="541" t="s">
        <v>102</v>
      </c>
      <c r="J112" s="541" t="s">
        <v>43</v>
      </c>
      <c r="K112" s="542" t="s">
        <v>780</v>
      </c>
      <c r="L112" s="586" t="s">
        <v>442</v>
      </c>
      <c r="M112" s="541" t="s">
        <v>524</v>
      </c>
      <c r="N112" s="542" t="s">
        <v>781</v>
      </c>
      <c r="O112" s="541" t="s">
        <v>782</v>
      </c>
      <c r="P112" s="541" t="s">
        <v>136</v>
      </c>
      <c r="Q112" s="541" t="s">
        <v>515</v>
      </c>
      <c r="R112" s="541" t="s">
        <v>455</v>
      </c>
      <c r="S112" s="541" t="s">
        <v>516</v>
      </c>
      <c r="T112" s="541" t="s">
        <v>783</v>
      </c>
      <c r="U112" s="541"/>
      <c r="V112" s="543" t="s">
        <v>665</v>
      </c>
      <c r="W112" s="544" t="s">
        <v>434</v>
      </c>
      <c r="X112" s="541"/>
      <c r="Y112" s="545"/>
      <c r="Z112" s="546"/>
      <c r="AA112" s="605" t="s">
        <v>435</v>
      </c>
      <c r="AB112" s="886" t="s">
        <v>631</v>
      </c>
      <c r="AC112" s="715"/>
      <c r="AD112" s="715"/>
      <c r="AE112" s="715"/>
      <c r="AF112" s="715"/>
      <c r="AG112" s="715"/>
      <c r="AH112" s="715"/>
      <c r="AI112" s="715"/>
      <c r="AJ112" s="582"/>
    </row>
    <row r="113" spans="1:36" s="19" customFormat="1" ht="87">
      <c r="A113" s="535" t="s">
        <v>418</v>
      </c>
      <c r="B113" s="536" t="s">
        <v>784</v>
      </c>
      <c r="C113" s="537" t="s">
        <v>785</v>
      </c>
      <c r="D113" s="583" t="s">
        <v>786</v>
      </c>
      <c r="E113" s="538" t="s">
        <v>787</v>
      </c>
      <c r="F113" s="539" t="s">
        <v>39</v>
      </c>
      <c r="G113" s="540" t="s">
        <v>40</v>
      </c>
      <c r="H113" s="541" t="s">
        <v>423</v>
      </c>
      <c r="I113" s="541" t="s">
        <v>102</v>
      </c>
      <c r="J113" s="541" t="s">
        <v>43</v>
      </c>
      <c r="K113" s="542" t="s">
        <v>788</v>
      </c>
      <c r="L113" s="586" t="s">
        <v>442</v>
      </c>
      <c r="M113" s="541" t="s">
        <v>789</v>
      </c>
      <c r="N113" s="542" t="s">
        <v>790</v>
      </c>
      <c r="O113" s="541" t="s">
        <v>791</v>
      </c>
      <c r="P113" s="541" t="s">
        <v>136</v>
      </c>
      <c r="Q113" s="541" t="s">
        <v>515</v>
      </c>
      <c r="R113" s="541" t="s">
        <v>455</v>
      </c>
      <c r="S113" s="541" t="s">
        <v>792</v>
      </c>
      <c r="T113" s="541" t="s">
        <v>457</v>
      </c>
      <c r="U113" s="541"/>
      <c r="V113" s="543" t="s">
        <v>793</v>
      </c>
      <c r="W113" s="544" t="s">
        <v>434</v>
      </c>
      <c r="X113" s="541"/>
      <c r="Y113" s="545"/>
      <c r="Z113" s="546"/>
      <c r="AA113" s="605" t="s">
        <v>435</v>
      </c>
      <c r="AB113" s="886" t="s">
        <v>436</v>
      </c>
      <c r="AC113" s="715"/>
      <c r="AD113" s="715"/>
      <c r="AE113" s="715"/>
      <c r="AF113" s="715"/>
      <c r="AG113" s="715"/>
      <c r="AH113" s="715"/>
      <c r="AI113" s="715"/>
      <c r="AJ113" s="582"/>
    </row>
    <row r="114" spans="1:36" s="19" customFormat="1" ht="130.5">
      <c r="A114" s="535" t="s">
        <v>418</v>
      </c>
      <c r="B114" s="536" t="s">
        <v>794</v>
      </c>
      <c r="C114" s="537" t="s">
        <v>795</v>
      </c>
      <c r="D114" s="576" t="s">
        <v>796</v>
      </c>
      <c r="E114" s="538" t="s">
        <v>797</v>
      </c>
      <c r="F114" s="539" t="s">
        <v>39</v>
      </c>
      <c r="G114" s="540" t="s">
        <v>101</v>
      </c>
      <c r="H114" s="541" t="s">
        <v>423</v>
      </c>
      <c r="I114" s="541" t="s">
        <v>102</v>
      </c>
      <c r="J114" s="541" t="s">
        <v>43</v>
      </c>
      <c r="K114" s="542" t="s">
        <v>798</v>
      </c>
      <c r="L114" s="586" t="s">
        <v>442</v>
      </c>
      <c r="M114" s="541" t="s">
        <v>799</v>
      </c>
      <c r="N114" s="542" t="s">
        <v>800</v>
      </c>
      <c r="O114" s="541" t="s">
        <v>801</v>
      </c>
      <c r="P114" s="541" t="s">
        <v>145</v>
      </c>
      <c r="Q114" s="541" t="s">
        <v>515</v>
      </c>
      <c r="R114" s="541" t="s">
        <v>455</v>
      </c>
      <c r="S114" s="541" t="s">
        <v>802</v>
      </c>
      <c r="T114" s="541" t="s">
        <v>803</v>
      </c>
      <c r="U114" s="541"/>
      <c r="V114" s="543" t="s">
        <v>665</v>
      </c>
      <c r="W114" s="544" t="s">
        <v>434</v>
      </c>
      <c r="X114" s="541"/>
      <c r="Y114" s="545"/>
      <c r="Z114" s="546"/>
      <c r="AA114" s="605" t="s">
        <v>435</v>
      </c>
      <c r="AB114" s="886" t="s">
        <v>804</v>
      </c>
      <c r="AC114" s="715"/>
      <c r="AD114" s="715"/>
      <c r="AE114" s="715"/>
      <c r="AF114" s="715"/>
      <c r="AG114" s="715"/>
      <c r="AH114" s="715"/>
      <c r="AI114" s="715"/>
      <c r="AJ114" s="582"/>
    </row>
    <row r="115" spans="1:36" s="19" customFormat="1" ht="87">
      <c r="A115" s="535" t="s">
        <v>418</v>
      </c>
      <c r="B115" s="536" t="s">
        <v>805</v>
      </c>
      <c r="C115" s="537" t="s">
        <v>806</v>
      </c>
      <c r="D115" s="576" t="s">
        <v>807</v>
      </c>
      <c r="E115" s="538" t="s">
        <v>808</v>
      </c>
      <c r="F115" s="539" t="s">
        <v>283</v>
      </c>
      <c r="G115" s="540" t="s">
        <v>40</v>
      </c>
      <c r="H115" s="541" t="s">
        <v>423</v>
      </c>
      <c r="I115" s="541" t="s">
        <v>102</v>
      </c>
      <c r="J115" s="541" t="s">
        <v>43</v>
      </c>
      <c r="K115" s="542" t="s">
        <v>809</v>
      </c>
      <c r="L115" s="586" t="s">
        <v>442</v>
      </c>
      <c r="M115" s="541" t="s">
        <v>810</v>
      </c>
      <c r="N115" s="542" t="s">
        <v>811</v>
      </c>
      <c r="O115" s="541" t="s">
        <v>812</v>
      </c>
      <c r="P115" s="541" t="s">
        <v>136</v>
      </c>
      <c r="Q115" s="541" t="s">
        <v>515</v>
      </c>
      <c r="R115" s="541" t="s">
        <v>813</v>
      </c>
      <c r="S115" s="541" t="s">
        <v>814</v>
      </c>
      <c r="T115" s="541" t="s">
        <v>815</v>
      </c>
      <c r="U115" s="541"/>
      <c r="V115" s="543" t="s">
        <v>816</v>
      </c>
      <c r="W115" s="544" t="s">
        <v>434</v>
      </c>
      <c r="X115" s="541"/>
      <c r="Y115" s="545"/>
      <c r="Z115" s="546"/>
      <c r="AA115" s="605" t="s">
        <v>435</v>
      </c>
      <c r="AB115" s="886" t="s">
        <v>436</v>
      </c>
      <c r="AC115" s="715"/>
      <c r="AD115" s="715"/>
      <c r="AE115" s="715"/>
      <c r="AF115" s="715"/>
      <c r="AG115" s="715"/>
      <c r="AH115" s="715"/>
      <c r="AI115" s="715"/>
      <c r="AJ115" s="582"/>
    </row>
    <row r="116" spans="1:36" s="19" customFormat="1" ht="159.5">
      <c r="A116" s="535" t="s">
        <v>418</v>
      </c>
      <c r="B116" s="536" t="s">
        <v>817</v>
      </c>
      <c r="C116" s="537" t="s">
        <v>818</v>
      </c>
      <c r="D116" s="538" t="s">
        <v>819</v>
      </c>
      <c r="E116" s="538" t="s">
        <v>820</v>
      </c>
      <c r="F116" s="539" t="s">
        <v>39</v>
      </c>
      <c r="G116" s="540" t="s">
        <v>101</v>
      </c>
      <c r="H116" s="541" t="s">
        <v>423</v>
      </c>
      <c r="I116" s="541" t="s">
        <v>474</v>
      </c>
      <c r="J116" s="541" t="s">
        <v>43</v>
      </c>
      <c r="K116" s="542" t="s">
        <v>821</v>
      </c>
      <c r="L116" s="586" t="s">
        <v>442</v>
      </c>
      <c r="M116" s="541" t="s">
        <v>822</v>
      </c>
      <c r="N116" s="542" t="s">
        <v>823</v>
      </c>
      <c r="O116" s="541" t="s">
        <v>824</v>
      </c>
      <c r="P116" s="541" t="s">
        <v>145</v>
      </c>
      <c r="Q116" s="541" t="s">
        <v>468</v>
      </c>
      <c r="R116" s="541" t="s">
        <v>430</v>
      </c>
      <c r="S116" s="541" t="s">
        <v>431</v>
      </c>
      <c r="T116" s="541" t="s">
        <v>551</v>
      </c>
      <c r="U116" s="541"/>
      <c r="V116" s="543" t="s">
        <v>825</v>
      </c>
      <c r="W116" s="544" t="s">
        <v>826</v>
      </c>
      <c r="X116" s="541"/>
      <c r="Y116" s="545"/>
      <c r="Z116" s="546"/>
      <c r="AA116" s="605" t="s">
        <v>435</v>
      </c>
      <c r="AB116" s="886" t="s">
        <v>827</v>
      </c>
      <c r="AC116" s="715"/>
      <c r="AD116" s="715"/>
      <c r="AE116" s="715"/>
      <c r="AF116" s="715"/>
      <c r="AG116" s="715"/>
      <c r="AH116" s="715"/>
      <c r="AI116" s="715"/>
      <c r="AJ116" s="582"/>
    </row>
    <row r="117" spans="1:36" s="19" customFormat="1" ht="145">
      <c r="A117" s="535" t="s">
        <v>418</v>
      </c>
      <c r="B117" s="593" t="s">
        <v>828</v>
      </c>
      <c r="C117" s="537" t="s">
        <v>829</v>
      </c>
      <c r="D117" s="538" t="s">
        <v>830</v>
      </c>
      <c r="E117" s="538" t="s">
        <v>831</v>
      </c>
      <c r="F117" s="539" t="s">
        <v>39</v>
      </c>
      <c r="G117" s="540" t="s">
        <v>85</v>
      </c>
      <c r="H117" s="595" t="s">
        <v>423</v>
      </c>
      <c r="I117" s="541" t="s">
        <v>102</v>
      </c>
      <c r="J117" s="541" t="s">
        <v>43</v>
      </c>
      <c r="K117" s="542" t="s">
        <v>832</v>
      </c>
      <c r="L117" s="586" t="s">
        <v>833</v>
      </c>
      <c r="M117" s="541" t="s">
        <v>834</v>
      </c>
      <c r="N117" s="542" t="s">
        <v>835</v>
      </c>
      <c r="O117" s="541" t="s">
        <v>836</v>
      </c>
      <c r="P117" s="541" t="s">
        <v>145</v>
      </c>
      <c r="Q117" s="541" t="s">
        <v>468</v>
      </c>
      <c r="R117" s="541" t="s">
        <v>430</v>
      </c>
      <c r="S117" s="541" t="s">
        <v>431</v>
      </c>
      <c r="T117" s="541" t="s">
        <v>487</v>
      </c>
      <c r="U117" s="541"/>
      <c r="V117" s="543" t="s">
        <v>825</v>
      </c>
      <c r="W117" s="544" t="s">
        <v>826</v>
      </c>
      <c r="X117" s="541"/>
      <c r="Y117" s="545"/>
      <c r="Z117" s="546"/>
      <c r="AA117" s="605" t="s">
        <v>435</v>
      </c>
      <c r="AB117" s="886" t="s">
        <v>436</v>
      </c>
      <c r="AC117" s="715"/>
      <c r="AD117" s="715"/>
      <c r="AE117" s="715"/>
      <c r="AF117" s="715"/>
      <c r="AG117" s="715"/>
      <c r="AH117" s="715"/>
      <c r="AI117" s="715"/>
      <c r="AJ117" s="582"/>
    </row>
    <row r="118" spans="1:36" s="19" customFormat="1" ht="101.5">
      <c r="A118" s="535" t="s">
        <v>418</v>
      </c>
      <c r="B118" s="536" t="s">
        <v>837</v>
      </c>
      <c r="C118" s="537" t="s">
        <v>838</v>
      </c>
      <c r="D118" s="576" t="s">
        <v>839</v>
      </c>
      <c r="E118" s="538" t="s">
        <v>840</v>
      </c>
      <c r="F118" s="539" t="s">
        <v>39</v>
      </c>
      <c r="G118" s="540" t="s">
        <v>40</v>
      </c>
      <c r="H118" s="541" t="s">
        <v>423</v>
      </c>
      <c r="I118" s="541" t="s">
        <v>474</v>
      </c>
      <c r="J118" s="541" t="s">
        <v>43</v>
      </c>
      <c r="K118" s="542" t="s">
        <v>841</v>
      </c>
      <c r="L118" s="586" t="s">
        <v>442</v>
      </c>
      <c r="M118" s="541" t="s">
        <v>842</v>
      </c>
      <c r="N118" s="542" t="s">
        <v>843</v>
      </c>
      <c r="O118" s="541" t="s">
        <v>844</v>
      </c>
      <c r="P118" s="541" t="s">
        <v>145</v>
      </c>
      <c r="Q118" s="541" t="s">
        <v>468</v>
      </c>
      <c r="R118" s="541" t="s">
        <v>537</v>
      </c>
      <c r="S118" s="541" t="s">
        <v>431</v>
      </c>
      <c r="T118" s="541" t="s">
        <v>538</v>
      </c>
      <c r="U118" s="541"/>
      <c r="V118" s="543" t="s">
        <v>539</v>
      </c>
      <c r="W118" s="544" t="s">
        <v>845</v>
      </c>
      <c r="X118" s="541"/>
      <c r="Y118" s="545"/>
      <c r="Z118" s="546"/>
      <c r="AA118" s="605" t="s">
        <v>518</v>
      </c>
      <c r="AB118" s="886" t="s">
        <v>436</v>
      </c>
      <c r="AC118" s="715"/>
      <c r="AD118" s="715"/>
      <c r="AE118" s="715"/>
      <c r="AF118" s="715"/>
      <c r="AG118" s="715"/>
      <c r="AH118" s="715"/>
      <c r="AI118" s="715"/>
      <c r="AJ118" s="582"/>
    </row>
    <row r="119" spans="1:36" s="582" customFormat="1" ht="101.5">
      <c r="A119" s="535" t="s">
        <v>418</v>
      </c>
      <c r="B119" s="536" t="s">
        <v>846</v>
      </c>
      <c r="C119" s="537" t="s">
        <v>838</v>
      </c>
      <c r="D119" s="576" t="s">
        <v>839</v>
      </c>
      <c r="E119" s="538" t="s">
        <v>847</v>
      </c>
      <c r="F119" s="539" t="s">
        <v>39</v>
      </c>
      <c r="G119" s="540" t="s">
        <v>40</v>
      </c>
      <c r="H119" s="541" t="s">
        <v>423</v>
      </c>
      <c r="I119" s="541" t="s">
        <v>474</v>
      </c>
      <c r="J119" s="541" t="s">
        <v>43</v>
      </c>
      <c r="K119" s="542" t="s">
        <v>848</v>
      </c>
      <c r="L119" s="586" t="s">
        <v>442</v>
      </c>
      <c r="M119" s="541" t="s">
        <v>849</v>
      </c>
      <c r="N119" s="542" t="s">
        <v>850</v>
      </c>
      <c r="O119" s="541" t="s">
        <v>851</v>
      </c>
      <c r="P119" s="541" t="s">
        <v>136</v>
      </c>
      <c r="Q119" s="541" t="s">
        <v>468</v>
      </c>
      <c r="R119" s="541" t="s">
        <v>537</v>
      </c>
      <c r="S119" s="541" t="s">
        <v>431</v>
      </c>
      <c r="T119" s="541" t="s">
        <v>538</v>
      </c>
      <c r="U119" s="541"/>
      <c r="V119" s="543" t="s">
        <v>539</v>
      </c>
      <c r="W119" s="544" t="s">
        <v>845</v>
      </c>
      <c r="X119" s="541"/>
      <c r="Y119" s="545"/>
      <c r="Z119" s="546"/>
      <c r="AA119" s="605" t="s">
        <v>435</v>
      </c>
      <c r="AB119" s="886" t="s">
        <v>436</v>
      </c>
      <c r="AC119" s="715"/>
      <c r="AD119" s="715"/>
      <c r="AE119" s="715"/>
      <c r="AF119" s="715"/>
      <c r="AG119" s="715"/>
      <c r="AH119" s="715"/>
      <c r="AI119" s="715"/>
    </row>
    <row r="120" spans="1:36" s="19" customFormat="1" ht="75">
      <c r="A120" s="535" t="s">
        <v>418</v>
      </c>
      <c r="B120" s="536" t="s">
        <v>852</v>
      </c>
      <c r="C120" s="580" t="s">
        <v>853</v>
      </c>
      <c r="D120" s="538" t="s">
        <v>854</v>
      </c>
      <c r="E120" s="538" t="s">
        <v>855</v>
      </c>
      <c r="F120" s="539" t="s">
        <v>100</v>
      </c>
      <c r="G120" s="540" t="s">
        <v>115</v>
      </c>
      <c r="H120" s="541" t="s">
        <v>423</v>
      </c>
      <c r="I120" s="541" t="s">
        <v>102</v>
      </c>
      <c r="J120" s="541" t="s">
        <v>43</v>
      </c>
      <c r="K120" s="542" t="s">
        <v>856</v>
      </c>
      <c r="L120" s="586" t="s">
        <v>425</v>
      </c>
      <c r="M120" s="541" t="s">
        <v>857</v>
      </c>
      <c r="N120" s="542" t="s">
        <v>858</v>
      </c>
      <c r="O120" s="541" t="s">
        <v>859</v>
      </c>
      <c r="P120" s="541" t="s">
        <v>145</v>
      </c>
      <c r="Q120" s="541" t="s">
        <v>860</v>
      </c>
      <c r="R120" s="541" t="s">
        <v>861</v>
      </c>
      <c r="S120" s="541" t="s">
        <v>862</v>
      </c>
      <c r="T120" s="541" t="s">
        <v>735</v>
      </c>
      <c r="U120" s="541"/>
      <c r="V120" s="543" t="s">
        <v>863</v>
      </c>
      <c r="W120" s="544" t="s">
        <v>434</v>
      </c>
      <c r="X120" s="541"/>
      <c r="Y120" s="545"/>
      <c r="Z120" s="546"/>
      <c r="AA120" s="605" t="s">
        <v>435</v>
      </c>
      <c r="AB120" s="886" t="s">
        <v>436</v>
      </c>
      <c r="AC120" s="715"/>
      <c r="AD120" s="715"/>
      <c r="AE120" s="715"/>
      <c r="AF120" s="715"/>
      <c r="AG120" s="715"/>
      <c r="AH120" s="715"/>
      <c r="AI120" s="715"/>
      <c r="AJ120" s="582"/>
    </row>
    <row r="121" spans="1:36" s="19" customFormat="1" ht="87">
      <c r="A121" s="535" t="s">
        <v>418</v>
      </c>
      <c r="B121" s="536" t="s">
        <v>864</v>
      </c>
      <c r="C121" s="537" t="s">
        <v>865</v>
      </c>
      <c r="D121" s="538" t="s">
        <v>866</v>
      </c>
      <c r="E121" s="538" t="s">
        <v>867</v>
      </c>
      <c r="F121" s="539" t="s">
        <v>39</v>
      </c>
      <c r="G121" s="540" t="s">
        <v>40</v>
      </c>
      <c r="H121" s="541" t="s">
        <v>423</v>
      </c>
      <c r="I121" s="541" t="s">
        <v>102</v>
      </c>
      <c r="J121" s="541" t="s">
        <v>43</v>
      </c>
      <c r="K121" s="542" t="s">
        <v>868</v>
      </c>
      <c r="L121" s="586" t="s">
        <v>442</v>
      </c>
      <c r="M121" s="541" t="s">
        <v>869</v>
      </c>
      <c r="N121" s="542" t="s">
        <v>870</v>
      </c>
      <c r="O121" s="541" t="s">
        <v>871</v>
      </c>
      <c r="P121" s="541" t="s">
        <v>136</v>
      </c>
      <c r="Q121" s="541" t="s">
        <v>468</v>
      </c>
      <c r="R121" s="541" t="s">
        <v>455</v>
      </c>
      <c r="S121" s="541" t="s">
        <v>664</v>
      </c>
      <c r="T121" s="541" t="s">
        <v>745</v>
      </c>
      <c r="U121" s="541"/>
      <c r="V121" s="543" t="s">
        <v>470</v>
      </c>
      <c r="W121" s="544" t="s">
        <v>528</v>
      </c>
      <c r="X121" s="541"/>
      <c r="Y121" s="545"/>
      <c r="Z121" s="546"/>
      <c r="AA121" s="605" t="s">
        <v>518</v>
      </c>
      <c r="AB121" s="886" t="s">
        <v>436</v>
      </c>
      <c r="AC121" s="715"/>
      <c r="AD121" s="715"/>
      <c r="AE121" s="715"/>
      <c r="AF121" s="715"/>
      <c r="AG121" s="715"/>
      <c r="AH121" s="715"/>
      <c r="AI121" s="715"/>
      <c r="AJ121" s="582"/>
    </row>
    <row r="122" spans="1:36" s="19" customFormat="1" ht="87">
      <c r="A122" s="535" t="s">
        <v>418</v>
      </c>
      <c r="B122" s="536" t="s">
        <v>872</v>
      </c>
      <c r="C122" s="537" t="s">
        <v>873</v>
      </c>
      <c r="D122" s="538" t="s">
        <v>874</v>
      </c>
      <c r="E122" s="538" t="s">
        <v>875</v>
      </c>
      <c r="F122" s="539" t="s">
        <v>39</v>
      </c>
      <c r="G122" s="540" t="s">
        <v>40</v>
      </c>
      <c r="H122" s="595" t="s">
        <v>423</v>
      </c>
      <c r="I122" s="541" t="s">
        <v>102</v>
      </c>
      <c r="J122" s="541" t="s">
        <v>43</v>
      </c>
      <c r="K122" s="542" t="s">
        <v>876</v>
      </c>
      <c r="L122" s="586" t="s">
        <v>442</v>
      </c>
      <c r="M122" s="541" t="s">
        <v>877</v>
      </c>
      <c r="N122" s="542" t="s">
        <v>878</v>
      </c>
      <c r="O122" s="541" t="s">
        <v>879</v>
      </c>
      <c r="P122" s="541" t="s">
        <v>136</v>
      </c>
      <c r="Q122" s="541" t="s">
        <v>468</v>
      </c>
      <c r="R122" s="541" t="s">
        <v>430</v>
      </c>
      <c r="S122" s="541" t="s">
        <v>664</v>
      </c>
      <c r="T122" s="541" t="s">
        <v>880</v>
      </c>
      <c r="U122" s="541"/>
      <c r="V122" s="543" t="s">
        <v>825</v>
      </c>
      <c r="W122" s="544" t="s">
        <v>826</v>
      </c>
      <c r="X122" s="541"/>
      <c r="Y122" s="545"/>
      <c r="Z122" s="546"/>
      <c r="AA122" s="605" t="s">
        <v>435</v>
      </c>
      <c r="AB122" s="886" t="s">
        <v>436</v>
      </c>
      <c r="AC122" s="715"/>
      <c r="AD122" s="715"/>
      <c r="AE122" s="715"/>
      <c r="AF122" s="715"/>
      <c r="AG122" s="715"/>
      <c r="AH122" s="715"/>
      <c r="AI122" s="715"/>
      <c r="AJ122" s="582"/>
    </row>
    <row r="123" spans="1:36" s="19" customFormat="1" ht="85.15" customHeight="1">
      <c r="A123" s="535" t="s">
        <v>418</v>
      </c>
      <c r="B123" s="536" t="s">
        <v>881</v>
      </c>
      <c r="C123" s="537" t="s">
        <v>882</v>
      </c>
      <c r="D123" s="538" t="s">
        <v>883</v>
      </c>
      <c r="E123" s="538" t="s">
        <v>884</v>
      </c>
      <c r="F123" s="539" t="s">
        <v>39</v>
      </c>
      <c r="G123" s="540" t="s">
        <v>101</v>
      </c>
      <c r="H123" s="541" t="s">
        <v>423</v>
      </c>
      <c r="I123" s="541" t="s">
        <v>102</v>
      </c>
      <c r="J123" s="541" t="s">
        <v>43</v>
      </c>
      <c r="K123" s="542" t="s">
        <v>885</v>
      </c>
      <c r="L123" s="586" t="s">
        <v>442</v>
      </c>
      <c r="M123" s="541" t="s">
        <v>886</v>
      </c>
      <c r="N123" s="542" t="s">
        <v>887</v>
      </c>
      <c r="O123" s="541" t="s">
        <v>888</v>
      </c>
      <c r="P123" s="541" t="s">
        <v>136</v>
      </c>
      <c r="Q123" s="541" t="s">
        <v>889</v>
      </c>
      <c r="R123" s="541" t="s">
        <v>430</v>
      </c>
      <c r="S123" s="541" t="s">
        <v>431</v>
      </c>
      <c r="T123" s="541" t="s">
        <v>469</v>
      </c>
      <c r="U123" s="541"/>
      <c r="V123" s="543" t="s">
        <v>825</v>
      </c>
      <c r="W123" s="544" t="s">
        <v>434</v>
      </c>
      <c r="X123" s="541"/>
      <c r="Y123" s="545"/>
      <c r="Z123" s="546"/>
      <c r="AA123" s="605" t="s">
        <v>435</v>
      </c>
      <c r="AB123" s="886" t="s">
        <v>436</v>
      </c>
      <c r="AC123" s="715"/>
      <c r="AD123" s="715"/>
      <c r="AE123" s="715"/>
      <c r="AF123" s="715"/>
      <c r="AG123" s="715"/>
      <c r="AH123" s="715"/>
      <c r="AI123" s="715"/>
      <c r="AJ123" s="582"/>
    </row>
    <row r="124" spans="1:36" s="19" customFormat="1" ht="75">
      <c r="A124" s="535" t="s">
        <v>418</v>
      </c>
      <c r="B124" s="536" t="s">
        <v>890</v>
      </c>
      <c r="C124" s="537" t="s">
        <v>891</v>
      </c>
      <c r="D124" s="538" t="s">
        <v>892</v>
      </c>
      <c r="E124" s="538" t="s">
        <v>893</v>
      </c>
      <c r="F124" s="539" t="s">
        <v>39</v>
      </c>
      <c r="G124" s="540" t="s">
        <v>40</v>
      </c>
      <c r="H124" s="595" t="s">
        <v>423</v>
      </c>
      <c r="I124" s="541" t="s">
        <v>102</v>
      </c>
      <c r="J124" s="541" t="s">
        <v>43</v>
      </c>
      <c r="K124" s="542" t="s">
        <v>894</v>
      </c>
      <c r="L124" s="586" t="s">
        <v>442</v>
      </c>
      <c r="M124" s="541" t="s">
        <v>895</v>
      </c>
      <c r="N124" s="542" t="s">
        <v>896</v>
      </c>
      <c r="O124" s="541" t="s">
        <v>897</v>
      </c>
      <c r="P124" s="541" t="s">
        <v>136</v>
      </c>
      <c r="Q124" s="541" t="s">
        <v>468</v>
      </c>
      <c r="R124" s="541" t="s">
        <v>455</v>
      </c>
      <c r="S124" s="541" t="s">
        <v>431</v>
      </c>
      <c r="T124" s="541" t="s">
        <v>469</v>
      </c>
      <c r="U124" s="541"/>
      <c r="V124" s="543" t="s">
        <v>825</v>
      </c>
      <c r="W124" s="544" t="s">
        <v>434</v>
      </c>
      <c r="X124" s="541"/>
      <c r="Y124" s="545"/>
      <c r="Z124" s="546"/>
      <c r="AA124" s="605" t="s">
        <v>518</v>
      </c>
      <c r="AB124" s="886" t="s">
        <v>898</v>
      </c>
      <c r="AC124" s="715"/>
      <c r="AD124" s="715"/>
      <c r="AE124" s="715"/>
      <c r="AF124" s="715"/>
      <c r="AG124" s="715"/>
      <c r="AH124" s="715"/>
      <c r="AI124" s="715"/>
      <c r="AJ124" s="582"/>
    </row>
    <row r="125" spans="1:36" s="19" customFormat="1" ht="87.5">
      <c r="A125" s="535" t="s">
        <v>35</v>
      </c>
      <c r="B125" s="536" t="s">
        <v>899</v>
      </c>
      <c r="C125" s="537" t="s">
        <v>900</v>
      </c>
      <c r="D125" s="576" t="s">
        <v>901</v>
      </c>
      <c r="E125" s="538" t="s">
        <v>902</v>
      </c>
      <c r="F125" s="539" t="s">
        <v>39</v>
      </c>
      <c r="G125" s="540" t="s">
        <v>40</v>
      </c>
      <c r="H125" s="595" t="s">
        <v>423</v>
      </c>
      <c r="I125" s="541" t="s">
        <v>474</v>
      </c>
      <c r="J125" s="541" t="s">
        <v>43</v>
      </c>
      <c r="K125" s="542" t="s">
        <v>903</v>
      </c>
      <c r="L125" s="586" t="s">
        <v>442</v>
      </c>
      <c r="M125" s="541" t="s">
        <v>904</v>
      </c>
      <c r="N125" s="542" t="s">
        <v>905</v>
      </c>
      <c r="O125" s="541" t="s">
        <v>906</v>
      </c>
      <c r="P125" s="541" t="s">
        <v>145</v>
      </c>
      <c r="Q125" s="541" t="s">
        <v>889</v>
      </c>
      <c r="R125" s="541" t="s">
        <v>430</v>
      </c>
      <c r="S125" s="541" t="s">
        <v>907</v>
      </c>
      <c r="T125" s="541" t="s">
        <v>527</v>
      </c>
      <c r="U125" s="541"/>
      <c r="V125" s="543" t="s">
        <v>825</v>
      </c>
      <c r="W125" s="544" t="s">
        <v>434</v>
      </c>
      <c r="X125" s="541"/>
      <c r="Y125" s="545"/>
      <c r="Z125" s="546"/>
      <c r="AA125" s="605" t="s">
        <v>435</v>
      </c>
      <c r="AB125" s="886" t="s">
        <v>436</v>
      </c>
      <c r="AC125" s="715"/>
      <c r="AD125" s="715"/>
      <c r="AE125" s="715"/>
      <c r="AF125" s="715"/>
      <c r="AG125" s="715"/>
      <c r="AH125" s="715"/>
      <c r="AI125" s="715"/>
      <c r="AJ125" s="582"/>
    </row>
    <row r="126" spans="1:36" s="19" customFormat="1" ht="87">
      <c r="A126" s="535" t="s">
        <v>418</v>
      </c>
      <c r="B126" s="536" t="s">
        <v>908</v>
      </c>
      <c r="C126" s="537" t="s">
        <v>909</v>
      </c>
      <c r="D126" s="576" t="s">
        <v>910</v>
      </c>
      <c r="E126" s="538" t="s">
        <v>911</v>
      </c>
      <c r="F126" s="539" t="s">
        <v>39</v>
      </c>
      <c r="G126" s="540" t="s">
        <v>40</v>
      </c>
      <c r="H126" s="541" t="s">
        <v>423</v>
      </c>
      <c r="I126" s="541" t="s">
        <v>102</v>
      </c>
      <c r="J126" s="541" t="s">
        <v>43</v>
      </c>
      <c r="K126" s="542" t="s">
        <v>912</v>
      </c>
      <c r="L126" s="586" t="s">
        <v>442</v>
      </c>
      <c r="M126" s="541" t="s">
        <v>913</v>
      </c>
      <c r="N126" s="542" t="s">
        <v>914</v>
      </c>
      <c r="O126" s="541" t="s">
        <v>915</v>
      </c>
      <c r="P126" s="541" t="s">
        <v>145</v>
      </c>
      <c r="Q126" s="541" t="s">
        <v>889</v>
      </c>
      <c r="R126" s="541" t="s">
        <v>430</v>
      </c>
      <c r="S126" s="541" t="s">
        <v>431</v>
      </c>
      <c r="T126" s="541" t="s">
        <v>702</v>
      </c>
      <c r="U126" s="541"/>
      <c r="V126" s="543" t="s">
        <v>539</v>
      </c>
      <c r="W126" s="544" t="s">
        <v>540</v>
      </c>
      <c r="X126" s="541"/>
      <c r="Y126" s="545"/>
      <c r="Z126" s="546"/>
      <c r="AA126" s="605" t="s">
        <v>435</v>
      </c>
      <c r="AB126" s="886" t="s">
        <v>436</v>
      </c>
      <c r="AC126" s="715"/>
      <c r="AD126" s="715"/>
      <c r="AE126" s="715"/>
      <c r="AF126" s="715"/>
      <c r="AG126" s="715"/>
      <c r="AH126" s="715"/>
      <c r="AI126" s="715"/>
      <c r="AJ126" s="582"/>
    </row>
    <row r="127" spans="1:36" s="19" customFormat="1" ht="101.5">
      <c r="A127" s="535" t="s">
        <v>418</v>
      </c>
      <c r="B127" s="536" t="s">
        <v>916</v>
      </c>
      <c r="C127" s="537" t="s">
        <v>917</v>
      </c>
      <c r="D127" s="576" t="s">
        <v>918</v>
      </c>
      <c r="E127" s="538" t="s">
        <v>919</v>
      </c>
      <c r="F127" s="539" t="s">
        <v>39</v>
      </c>
      <c r="G127" s="540" t="s">
        <v>40</v>
      </c>
      <c r="H127" s="541" t="s">
        <v>423</v>
      </c>
      <c r="I127" s="541" t="s">
        <v>102</v>
      </c>
      <c r="J127" s="541" t="s">
        <v>43</v>
      </c>
      <c r="K127" s="542" t="s">
        <v>920</v>
      </c>
      <c r="L127" s="586" t="s">
        <v>442</v>
      </c>
      <c r="M127" s="541" t="s">
        <v>921</v>
      </c>
      <c r="N127" s="542" t="s">
        <v>922</v>
      </c>
      <c r="O127" s="541" t="s">
        <v>923</v>
      </c>
      <c r="P127" s="541" t="s">
        <v>145</v>
      </c>
      <c r="Q127" s="541" t="s">
        <v>515</v>
      </c>
      <c r="R127" s="541" t="s">
        <v>455</v>
      </c>
      <c r="S127" s="541" t="s">
        <v>924</v>
      </c>
      <c r="T127" s="541" t="s">
        <v>527</v>
      </c>
      <c r="U127" s="541"/>
      <c r="V127" s="543" t="s">
        <v>517</v>
      </c>
      <c r="W127" s="544" t="s">
        <v>528</v>
      </c>
      <c r="X127" s="541"/>
      <c r="Y127" s="545"/>
      <c r="Z127" s="546"/>
      <c r="AA127" s="605" t="s">
        <v>925</v>
      </c>
      <c r="AB127" s="886" t="s">
        <v>436</v>
      </c>
      <c r="AC127" s="715"/>
      <c r="AD127" s="715"/>
      <c r="AE127" s="715"/>
      <c r="AF127" s="715"/>
      <c r="AG127" s="715"/>
      <c r="AH127" s="715"/>
      <c r="AI127" s="715"/>
      <c r="AJ127" s="582"/>
    </row>
    <row r="128" spans="1:36" s="19" customFormat="1" ht="116">
      <c r="A128" s="535" t="s">
        <v>418</v>
      </c>
      <c r="B128" s="536" t="s">
        <v>926</v>
      </c>
      <c r="C128" s="537" t="s">
        <v>927</v>
      </c>
      <c r="D128" s="538" t="s">
        <v>928</v>
      </c>
      <c r="E128" s="538" t="s">
        <v>929</v>
      </c>
      <c r="F128" s="539" t="s">
        <v>39</v>
      </c>
      <c r="G128" s="540" t="s">
        <v>101</v>
      </c>
      <c r="H128" s="595" t="s">
        <v>423</v>
      </c>
      <c r="I128" s="541" t="s">
        <v>474</v>
      </c>
      <c r="J128" s="541" t="s">
        <v>43</v>
      </c>
      <c r="K128" s="542" t="s">
        <v>930</v>
      </c>
      <c r="L128" s="586" t="s">
        <v>442</v>
      </c>
      <c r="M128" s="541" t="s">
        <v>931</v>
      </c>
      <c r="N128" s="542" t="s">
        <v>932</v>
      </c>
      <c r="O128" s="541" t="s">
        <v>933</v>
      </c>
      <c r="P128" s="541" t="s">
        <v>136</v>
      </c>
      <c r="Q128" s="541" t="s">
        <v>468</v>
      </c>
      <c r="R128" s="541" t="s">
        <v>455</v>
      </c>
      <c r="S128" s="541" t="s">
        <v>431</v>
      </c>
      <c r="T128" s="541" t="s">
        <v>469</v>
      </c>
      <c r="U128" s="541"/>
      <c r="V128" s="543" t="s">
        <v>497</v>
      </c>
      <c r="W128" s="544" t="s">
        <v>459</v>
      </c>
      <c r="X128" s="541"/>
      <c r="Y128" s="545"/>
      <c r="Z128" s="546"/>
      <c r="AA128" s="605" t="s">
        <v>435</v>
      </c>
      <c r="AB128" s="887" t="s">
        <v>827</v>
      </c>
      <c r="AC128" s="715"/>
      <c r="AD128" s="715"/>
      <c r="AE128" s="715"/>
      <c r="AF128" s="715"/>
      <c r="AG128" s="715"/>
      <c r="AH128" s="715"/>
      <c r="AI128" s="715"/>
      <c r="AJ128" s="582"/>
    </row>
    <row r="129" spans="1:36" s="19" customFormat="1" ht="87">
      <c r="A129" s="535" t="s">
        <v>418</v>
      </c>
      <c r="B129" s="536" t="s">
        <v>934</v>
      </c>
      <c r="C129" s="537" t="s">
        <v>935</v>
      </c>
      <c r="D129" s="576" t="s">
        <v>936</v>
      </c>
      <c r="E129" s="538" t="s">
        <v>937</v>
      </c>
      <c r="F129" s="539" t="s">
        <v>39</v>
      </c>
      <c r="G129" s="540" t="s">
        <v>40</v>
      </c>
      <c r="H129" s="541" t="s">
        <v>423</v>
      </c>
      <c r="I129" s="541" t="s">
        <v>102</v>
      </c>
      <c r="J129" s="541" t="s">
        <v>43</v>
      </c>
      <c r="K129" s="542" t="s">
        <v>938</v>
      </c>
      <c r="L129" s="586" t="s">
        <v>442</v>
      </c>
      <c r="M129" s="541" t="s">
        <v>939</v>
      </c>
      <c r="N129" s="542" t="s">
        <v>940</v>
      </c>
      <c r="O129" s="541" t="s">
        <v>941</v>
      </c>
      <c r="P129" s="541" t="s">
        <v>136</v>
      </c>
      <c r="Q129" s="541" t="s">
        <v>468</v>
      </c>
      <c r="R129" s="541" t="s">
        <v>455</v>
      </c>
      <c r="S129" s="541" t="s">
        <v>942</v>
      </c>
      <c r="T129" s="541" t="s">
        <v>745</v>
      </c>
      <c r="U129" s="541"/>
      <c r="V129" s="543" t="s">
        <v>497</v>
      </c>
      <c r="W129" s="544" t="s">
        <v>943</v>
      </c>
      <c r="X129" s="541"/>
      <c r="Y129" s="545"/>
      <c r="Z129" s="546"/>
      <c r="AA129" s="605" t="s">
        <v>435</v>
      </c>
      <c r="AB129" s="888" t="s">
        <v>436</v>
      </c>
      <c r="AC129" s="715"/>
      <c r="AD129" s="715"/>
      <c r="AE129" s="715"/>
      <c r="AF129" s="715"/>
      <c r="AG129" s="715"/>
      <c r="AH129" s="715"/>
      <c r="AI129" s="715"/>
      <c r="AJ129" s="582"/>
    </row>
    <row r="130" spans="1:36" s="19" customFormat="1" ht="68.5" customHeight="1">
      <c r="A130" s="535" t="s">
        <v>418</v>
      </c>
      <c r="B130" s="536" t="s">
        <v>944</v>
      </c>
      <c r="C130" s="537" t="s">
        <v>945</v>
      </c>
      <c r="D130" s="576" t="s">
        <v>946</v>
      </c>
      <c r="E130" s="538" t="s">
        <v>947</v>
      </c>
      <c r="F130" s="539" t="s">
        <v>39</v>
      </c>
      <c r="G130" s="540" t="s">
        <v>40</v>
      </c>
      <c r="H130" s="541" t="s">
        <v>423</v>
      </c>
      <c r="I130" s="541" t="s">
        <v>474</v>
      </c>
      <c r="J130" s="541" t="s">
        <v>43</v>
      </c>
      <c r="K130" s="542" t="s">
        <v>564</v>
      </c>
      <c r="L130" s="586" t="s">
        <v>442</v>
      </c>
      <c r="M130" s="541" t="s">
        <v>723</v>
      </c>
      <c r="N130" s="542" t="s">
        <v>948</v>
      </c>
      <c r="O130" s="541" t="s">
        <v>949</v>
      </c>
      <c r="P130" s="541" t="s">
        <v>145</v>
      </c>
      <c r="Q130" s="541" t="s">
        <v>468</v>
      </c>
      <c r="R130" s="541" t="s">
        <v>455</v>
      </c>
      <c r="S130" s="541" t="s">
        <v>950</v>
      </c>
      <c r="T130" s="541" t="s">
        <v>951</v>
      </c>
      <c r="U130" s="541"/>
      <c r="V130" s="543" t="s">
        <v>952</v>
      </c>
      <c r="W130" s="544" t="s">
        <v>953</v>
      </c>
      <c r="X130" s="541"/>
      <c r="Y130" s="545"/>
      <c r="Z130" s="546"/>
      <c r="AA130" s="605" t="s">
        <v>435</v>
      </c>
      <c r="AB130" s="889" t="s">
        <v>954</v>
      </c>
      <c r="AC130" s="715"/>
      <c r="AD130" s="715"/>
      <c r="AE130" s="715"/>
      <c r="AF130" s="715"/>
      <c r="AG130" s="715"/>
      <c r="AH130" s="715"/>
      <c r="AI130" s="715"/>
      <c r="AJ130" s="582"/>
    </row>
    <row r="131" spans="1:36" s="19" customFormat="1" ht="95.5" customHeight="1">
      <c r="A131" s="535" t="s">
        <v>418</v>
      </c>
      <c r="B131" s="536" t="s">
        <v>955</v>
      </c>
      <c r="C131" s="537" t="s">
        <v>956</v>
      </c>
      <c r="D131" s="576" t="s">
        <v>957</v>
      </c>
      <c r="E131" s="538" t="s">
        <v>958</v>
      </c>
      <c r="F131" s="539" t="s">
        <v>39</v>
      </c>
      <c r="G131" s="540" t="s">
        <v>40</v>
      </c>
      <c r="H131" s="541" t="s">
        <v>423</v>
      </c>
      <c r="I131" s="541" t="s">
        <v>102</v>
      </c>
      <c r="J131" s="541" t="s">
        <v>43</v>
      </c>
      <c r="K131" s="542" t="s">
        <v>959</v>
      </c>
      <c r="L131" s="586" t="s">
        <v>442</v>
      </c>
      <c r="M131" s="541" t="s">
        <v>960</v>
      </c>
      <c r="N131" s="542" t="s">
        <v>961</v>
      </c>
      <c r="O131" s="541" t="s">
        <v>962</v>
      </c>
      <c r="P131" s="541" t="s">
        <v>136</v>
      </c>
      <c r="Q131" s="541" t="s">
        <v>468</v>
      </c>
      <c r="R131" s="541" t="s">
        <v>455</v>
      </c>
      <c r="S131" s="541" t="s">
        <v>431</v>
      </c>
      <c r="T131" s="541" t="s">
        <v>702</v>
      </c>
      <c r="U131" s="541"/>
      <c r="V131" s="543" t="s">
        <v>539</v>
      </c>
      <c r="W131" s="544" t="s">
        <v>540</v>
      </c>
      <c r="X131" s="541"/>
      <c r="Y131" s="545"/>
      <c r="Z131" s="546"/>
      <c r="AA131" s="605" t="s">
        <v>518</v>
      </c>
      <c r="AB131" s="888" t="s">
        <v>436</v>
      </c>
      <c r="AC131" s="715"/>
      <c r="AD131" s="715"/>
      <c r="AE131" s="715"/>
      <c r="AF131" s="715"/>
      <c r="AG131" s="715"/>
      <c r="AH131" s="715"/>
      <c r="AI131" s="715"/>
      <c r="AJ131" s="582"/>
    </row>
    <row r="132" spans="1:36" s="582" customFormat="1" ht="95.5" customHeight="1">
      <c r="A132" s="535" t="s">
        <v>418</v>
      </c>
      <c r="B132" s="536" t="s">
        <v>963</v>
      </c>
      <c r="C132" s="537" t="s">
        <v>964</v>
      </c>
      <c r="D132" s="576" t="s">
        <v>965</v>
      </c>
      <c r="E132" s="538" t="s">
        <v>966</v>
      </c>
      <c r="F132" s="539" t="s">
        <v>39</v>
      </c>
      <c r="G132" s="540" t="s">
        <v>85</v>
      </c>
      <c r="H132" s="595" t="s">
        <v>423</v>
      </c>
      <c r="I132" s="541" t="s">
        <v>102</v>
      </c>
      <c r="J132" s="541" t="s">
        <v>43</v>
      </c>
      <c r="K132" s="542" t="s">
        <v>967</v>
      </c>
      <c r="L132" s="586" t="s">
        <v>833</v>
      </c>
      <c r="M132" s="541" t="s">
        <v>968</v>
      </c>
      <c r="N132" s="542" t="s">
        <v>969</v>
      </c>
      <c r="O132" s="541" t="s">
        <v>970</v>
      </c>
      <c r="P132" s="541" t="s">
        <v>145</v>
      </c>
      <c r="Q132" s="541" t="s">
        <v>468</v>
      </c>
      <c r="R132" s="541" t="s">
        <v>537</v>
      </c>
      <c r="S132" s="541" t="s">
        <v>431</v>
      </c>
      <c r="T132" s="541" t="s">
        <v>971</v>
      </c>
      <c r="U132" s="541"/>
      <c r="V132" s="543" t="s">
        <v>539</v>
      </c>
      <c r="W132" s="544" t="s">
        <v>540</v>
      </c>
      <c r="X132" s="541"/>
      <c r="Y132" s="545"/>
      <c r="Z132" s="546"/>
      <c r="AA132" s="605" t="s">
        <v>435</v>
      </c>
      <c r="AB132" s="888" t="s">
        <v>436</v>
      </c>
      <c r="AC132" s="715"/>
      <c r="AD132" s="715"/>
      <c r="AE132" s="715"/>
      <c r="AF132" s="715"/>
      <c r="AG132" s="715"/>
      <c r="AH132" s="715"/>
      <c r="AI132" s="715"/>
    </row>
    <row r="133" spans="1:36" s="19" customFormat="1" ht="58" customHeight="1">
      <c r="A133" s="535" t="s">
        <v>418</v>
      </c>
      <c r="B133" s="536" t="s">
        <v>972</v>
      </c>
      <c r="C133" s="537" t="s">
        <v>973</v>
      </c>
      <c r="D133" s="576" t="s">
        <v>974</v>
      </c>
      <c r="E133" s="538" t="s">
        <v>975</v>
      </c>
      <c r="F133" s="539" t="s">
        <v>39</v>
      </c>
      <c r="G133" s="540" t="s">
        <v>40</v>
      </c>
      <c r="H133" s="595" t="s">
        <v>423</v>
      </c>
      <c r="I133" s="541" t="s">
        <v>102</v>
      </c>
      <c r="J133" s="541" t="s">
        <v>43</v>
      </c>
      <c r="K133" s="542" t="s">
        <v>976</v>
      </c>
      <c r="L133" s="586" t="s">
        <v>442</v>
      </c>
      <c r="M133" s="541" t="s">
        <v>977</v>
      </c>
      <c r="N133" s="542" t="s">
        <v>978</v>
      </c>
      <c r="O133" s="541" t="s">
        <v>979</v>
      </c>
      <c r="P133" s="541" t="s">
        <v>145</v>
      </c>
      <c r="Q133" s="541" t="s">
        <v>468</v>
      </c>
      <c r="R133" s="541" t="s">
        <v>455</v>
      </c>
      <c r="S133" s="541" t="s">
        <v>980</v>
      </c>
      <c r="T133" s="541" t="s">
        <v>527</v>
      </c>
      <c r="U133" s="541"/>
      <c r="V133" s="543" t="s">
        <v>517</v>
      </c>
      <c r="W133" s="544" t="s">
        <v>459</v>
      </c>
      <c r="X133" s="541"/>
      <c r="Y133" s="545"/>
      <c r="Z133" s="546"/>
      <c r="AA133" s="605" t="s">
        <v>435</v>
      </c>
      <c r="AB133" s="888" t="s">
        <v>981</v>
      </c>
      <c r="AC133" s="715"/>
      <c r="AD133" s="715"/>
      <c r="AE133" s="715"/>
      <c r="AF133" s="715"/>
      <c r="AG133" s="715"/>
      <c r="AH133" s="715"/>
      <c r="AI133" s="715"/>
      <c r="AJ133" s="582"/>
    </row>
    <row r="134" spans="1:36" s="19" customFormat="1" ht="56.5" customHeight="1">
      <c r="A134" s="535" t="s">
        <v>418</v>
      </c>
      <c r="B134" s="536" t="s">
        <v>982</v>
      </c>
      <c r="C134" s="537" t="s">
        <v>983</v>
      </c>
      <c r="D134" s="538" t="s">
        <v>984</v>
      </c>
      <c r="E134" s="538" t="s">
        <v>985</v>
      </c>
      <c r="F134" s="539" t="s">
        <v>39</v>
      </c>
      <c r="G134" s="540" t="s">
        <v>40</v>
      </c>
      <c r="H134" s="541" t="s">
        <v>423</v>
      </c>
      <c r="I134" s="541" t="s">
        <v>86</v>
      </c>
      <c r="J134" s="541" t="s">
        <v>43</v>
      </c>
      <c r="K134" s="542" t="s">
        <v>986</v>
      </c>
      <c r="L134" s="586" t="s">
        <v>442</v>
      </c>
      <c r="M134" s="541" t="s">
        <v>987</v>
      </c>
      <c r="N134" s="542" t="s">
        <v>988</v>
      </c>
      <c r="O134" s="541" t="s">
        <v>989</v>
      </c>
      <c r="P134" s="541" t="s">
        <v>145</v>
      </c>
      <c r="Q134" s="541" t="s">
        <v>468</v>
      </c>
      <c r="R134" s="541" t="s">
        <v>455</v>
      </c>
      <c r="S134" s="541" t="s">
        <v>431</v>
      </c>
      <c r="T134" s="541" t="s">
        <v>527</v>
      </c>
      <c r="U134" s="541"/>
      <c r="V134" s="543" t="s">
        <v>517</v>
      </c>
      <c r="W134" s="544" t="s">
        <v>459</v>
      </c>
      <c r="X134" s="541"/>
      <c r="Y134" s="545"/>
      <c r="Z134" s="546"/>
      <c r="AA134" s="605" t="s">
        <v>435</v>
      </c>
      <c r="AB134" s="888" t="s">
        <v>436</v>
      </c>
      <c r="AC134" s="715"/>
      <c r="AD134" s="715"/>
      <c r="AE134" s="715"/>
      <c r="AF134" s="715"/>
      <c r="AG134" s="715"/>
      <c r="AH134" s="715"/>
      <c r="AI134" s="715"/>
      <c r="AJ134" s="582"/>
    </row>
    <row r="135" spans="1:36" s="19" customFormat="1" ht="78" customHeight="1">
      <c r="A135" s="535" t="s">
        <v>418</v>
      </c>
      <c r="B135" s="536" t="s">
        <v>990</v>
      </c>
      <c r="C135" s="537" t="s">
        <v>991</v>
      </c>
      <c r="D135" s="538" t="s">
        <v>992</v>
      </c>
      <c r="E135" s="538" t="s">
        <v>993</v>
      </c>
      <c r="F135" s="539" t="s">
        <v>39</v>
      </c>
      <c r="G135" s="540" t="s">
        <v>40</v>
      </c>
      <c r="H135" s="595" t="s">
        <v>423</v>
      </c>
      <c r="I135" s="541" t="s">
        <v>102</v>
      </c>
      <c r="J135" s="541" t="s">
        <v>43</v>
      </c>
      <c r="K135" s="542" t="s">
        <v>994</v>
      </c>
      <c r="L135" s="586" t="s">
        <v>442</v>
      </c>
      <c r="M135" s="541" t="s">
        <v>995</v>
      </c>
      <c r="N135" s="542" t="s">
        <v>996</v>
      </c>
      <c r="O135" s="541" t="s">
        <v>997</v>
      </c>
      <c r="P135" s="541" t="s">
        <v>136</v>
      </c>
      <c r="Q135" s="541" t="s">
        <v>468</v>
      </c>
      <c r="R135" s="541" t="s">
        <v>455</v>
      </c>
      <c r="S135" s="541" t="s">
        <v>431</v>
      </c>
      <c r="T135" s="541" t="s">
        <v>745</v>
      </c>
      <c r="U135" s="541"/>
      <c r="V135" s="543" t="s">
        <v>497</v>
      </c>
      <c r="W135" s="544" t="s">
        <v>943</v>
      </c>
      <c r="X135" s="541"/>
      <c r="Y135" s="545"/>
      <c r="Z135" s="546"/>
      <c r="AA135" s="605" t="s">
        <v>435</v>
      </c>
      <c r="AB135" s="888" t="s">
        <v>436</v>
      </c>
      <c r="AC135" s="715"/>
      <c r="AD135" s="715"/>
      <c r="AE135" s="715"/>
      <c r="AF135" s="715"/>
      <c r="AG135" s="715"/>
      <c r="AH135" s="715"/>
      <c r="AI135" s="715"/>
      <c r="AJ135" s="582"/>
    </row>
    <row r="136" spans="1:36" s="19" customFormat="1" ht="98.5" customHeight="1">
      <c r="A136" s="535" t="s">
        <v>418</v>
      </c>
      <c r="B136" s="536" t="s">
        <v>998</v>
      </c>
      <c r="C136" s="537" t="s">
        <v>999</v>
      </c>
      <c r="D136" s="576" t="s">
        <v>1000</v>
      </c>
      <c r="E136" s="538" t="s">
        <v>1001</v>
      </c>
      <c r="F136" s="539" t="s">
        <v>39</v>
      </c>
      <c r="G136" s="540" t="s">
        <v>40</v>
      </c>
      <c r="H136" s="541" t="s">
        <v>423</v>
      </c>
      <c r="I136" s="541" t="s">
        <v>102</v>
      </c>
      <c r="J136" s="541" t="s">
        <v>43</v>
      </c>
      <c r="K136" s="542" t="s">
        <v>1002</v>
      </c>
      <c r="L136" s="586" t="s">
        <v>442</v>
      </c>
      <c r="M136" s="541" t="s">
        <v>1003</v>
      </c>
      <c r="N136" s="542" t="s">
        <v>1004</v>
      </c>
      <c r="O136" s="541" t="s">
        <v>1005</v>
      </c>
      <c r="P136" s="541" t="s">
        <v>145</v>
      </c>
      <c r="Q136" s="541" t="s">
        <v>468</v>
      </c>
      <c r="R136" s="541" t="s">
        <v>537</v>
      </c>
      <c r="S136" s="541" t="s">
        <v>431</v>
      </c>
      <c r="T136" s="541" t="s">
        <v>538</v>
      </c>
      <c r="U136" s="541"/>
      <c r="V136" s="543" t="s">
        <v>539</v>
      </c>
      <c r="W136" s="544" t="s">
        <v>845</v>
      </c>
      <c r="X136" s="541"/>
      <c r="Y136" s="545"/>
      <c r="Z136" s="546"/>
      <c r="AA136" s="605" t="s">
        <v>435</v>
      </c>
      <c r="AB136" s="888" t="s">
        <v>436</v>
      </c>
      <c r="AC136" s="715"/>
      <c r="AD136" s="715"/>
      <c r="AE136" s="715"/>
      <c r="AF136" s="715"/>
      <c r="AG136" s="715"/>
      <c r="AH136" s="715"/>
      <c r="AI136" s="715"/>
      <c r="AJ136" s="582"/>
    </row>
    <row r="137" spans="1:36" s="19" customFormat="1" ht="50.15" customHeight="1">
      <c r="A137" s="535" t="s">
        <v>418</v>
      </c>
      <c r="B137" s="536" t="s">
        <v>1006</v>
      </c>
      <c r="C137" s="537" t="s">
        <v>1007</v>
      </c>
      <c r="D137" s="576" t="s">
        <v>1008</v>
      </c>
      <c r="E137" s="538" t="s">
        <v>1009</v>
      </c>
      <c r="F137" s="539" t="s">
        <v>545</v>
      </c>
      <c r="G137" s="540" t="s">
        <v>546</v>
      </c>
      <c r="H137" s="541" t="s">
        <v>423</v>
      </c>
      <c r="I137" s="541" t="s">
        <v>102</v>
      </c>
      <c r="J137" s="541" t="s">
        <v>43</v>
      </c>
      <c r="K137" s="542" t="s">
        <v>758</v>
      </c>
      <c r="L137" s="586" t="s">
        <v>442</v>
      </c>
      <c r="M137" s="541" t="s">
        <v>524</v>
      </c>
      <c r="N137" s="542" t="s">
        <v>1010</v>
      </c>
      <c r="O137" s="541" t="s">
        <v>1011</v>
      </c>
      <c r="P137" s="541" t="s">
        <v>136</v>
      </c>
      <c r="Q137" s="541" t="s">
        <v>468</v>
      </c>
      <c r="R137" s="541" t="s">
        <v>537</v>
      </c>
      <c r="S137" s="541" t="s">
        <v>431</v>
      </c>
      <c r="T137" s="541" t="s">
        <v>551</v>
      </c>
      <c r="U137" s="541"/>
      <c r="V137" s="543" t="s">
        <v>539</v>
      </c>
      <c r="W137" s="544" t="s">
        <v>540</v>
      </c>
      <c r="X137" s="541"/>
      <c r="Y137" s="545"/>
      <c r="Z137" s="546"/>
      <c r="AA137" s="605" t="s">
        <v>435</v>
      </c>
      <c r="AB137" s="888" t="s">
        <v>436</v>
      </c>
      <c r="AC137" s="715"/>
      <c r="AD137" s="715"/>
      <c r="AE137" s="715"/>
      <c r="AF137" s="715"/>
      <c r="AG137" s="715"/>
      <c r="AH137" s="715"/>
      <c r="AI137" s="715"/>
      <c r="AJ137" s="582"/>
    </row>
    <row r="138" spans="1:36" s="19" customFormat="1" ht="66.75" customHeight="1">
      <c r="A138" s="535" t="s">
        <v>418</v>
      </c>
      <c r="B138" s="536" t="s">
        <v>1012</v>
      </c>
      <c r="C138" s="537" t="s">
        <v>1013</v>
      </c>
      <c r="D138" s="538" t="s">
        <v>1014</v>
      </c>
      <c r="E138" s="538" t="s">
        <v>1015</v>
      </c>
      <c r="F138" s="539" t="s">
        <v>545</v>
      </c>
      <c r="G138" s="540" t="s">
        <v>546</v>
      </c>
      <c r="H138" s="541" t="s">
        <v>423</v>
      </c>
      <c r="I138" s="541" t="s">
        <v>102</v>
      </c>
      <c r="J138" s="541" t="s">
        <v>43</v>
      </c>
      <c r="K138" s="542" t="s">
        <v>1016</v>
      </c>
      <c r="L138" s="586" t="s">
        <v>442</v>
      </c>
      <c r="M138" s="541" t="s">
        <v>524</v>
      </c>
      <c r="N138" s="542" t="s">
        <v>1017</v>
      </c>
      <c r="O138" s="541" t="s">
        <v>1018</v>
      </c>
      <c r="P138" s="541" t="s">
        <v>145</v>
      </c>
      <c r="Q138" s="541" t="s">
        <v>468</v>
      </c>
      <c r="R138" s="541" t="s">
        <v>537</v>
      </c>
      <c r="S138" s="541" t="s">
        <v>431</v>
      </c>
      <c r="T138" s="541" t="s">
        <v>538</v>
      </c>
      <c r="U138" s="541"/>
      <c r="V138" s="543" t="s">
        <v>539</v>
      </c>
      <c r="W138" s="544" t="s">
        <v>540</v>
      </c>
      <c r="X138" s="541"/>
      <c r="Y138" s="545"/>
      <c r="Z138" s="546"/>
      <c r="AA138" s="605" t="s">
        <v>435</v>
      </c>
      <c r="AB138" s="888" t="s">
        <v>436</v>
      </c>
      <c r="AC138" s="715"/>
      <c r="AD138" s="715"/>
      <c r="AE138" s="715"/>
      <c r="AF138" s="715"/>
      <c r="AG138" s="715"/>
      <c r="AH138" s="715"/>
      <c r="AI138" s="715"/>
      <c r="AJ138" s="582"/>
    </row>
    <row r="139" spans="1:36" s="19" customFormat="1" ht="87">
      <c r="A139" s="535" t="s">
        <v>418</v>
      </c>
      <c r="B139" s="536" t="s">
        <v>1019</v>
      </c>
      <c r="C139" s="537" t="s">
        <v>1020</v>
      </c>
      <c r="D139" s="538" t="s">
        <v>1021</v>
      </c>
      <c r="E139" s="538" t="s">
        <v>1022</v>
      </c>
      <c r="F139" s="539" t="s">
        <v>39</v>
      </c>
      <c r="G139" s="540" t="s">
        <v>40</v>
      </c>
      <c r="H139" s="541" t="s">
        <v>423</v>
      </c>
      <c r="I139" s="541" t="s">
        <v>102</v>
      </c>
      <c r="J139" s="541" t="s">
        <v>43</v>
      </c>
      <c r="K139" s="542" t="s">
        <v>1023</v>
      </c>
      <c r="L139" s="586" t="s">
        <v>442</v>
      </c>
      <c r="M139" s="541" t="s">
        <v>1024</v>
      </c>
      <c r="N139" s="542" t="s">
        <v>1025</v>
      </c>
      <c r="O139" s="541" t="s">
        <v>1026</v>
      </c>
      <c r="P139" s="541" t="s">
        <v>145</v>
      </c>
      <c r="Q139" s="541" t="s">
        <v>468</v>
      </c>
      <c r="R139" s="541" t="s">
        <v>537</v>
      </c>
      <c r="S139" s="541" t="s">
        <v>431</v>
      </c>
      <c r="T139" s="541" t="s">
        <v>538</v>
      </c>
      <c r="U139" s="541"/>
      <c r="V139" s="543" t="s">
        <v>539</v>
      </c>
      <c r="W139" s="544" t="s">
        <v>540</v>
      </c>
      <c r="X139" s="541"/>
      <c r="Y139" s="545"/>
      <c r="Z139" s="546"/>
      <c r="AA139" s="605" t="s">
        <v>435</v>
      </c>
      <c r="AB139" s="888" t="s">
        <v>1027</v>
      </c>
      <c r="AC139" s="715"/>
      <c r="AD139" s="715"/>
      <c r="AE139" s="715"/>
      <c r="AF139" s="715"/>
      <c r="AG139" s="715"/>
      <c r="AH139" s="715"/>
      <c r="AI139" s="715"/>
      <c r="AJ139" s="582"/>
    </row>
    <row r="140" spans="1:36" s="19" customFormat="1" ht="101.5">
      <c r="A140" s="535" t="s">
        <v>418</v>
      </c>
      <c r="B140" s="536" t="s">
        <v>1028</v>
      </c>
      <c r="C140" s="537" t="s">
        <v>1029</v>
      </c>
      <c r="D140" s="538" t="s">
        <v>1030</v>
      </c>
      <c r="E140" s="538" t="s">
        <v>1031</v>
      </c>
      <c r="F140" s="539" t="s">
        <v>39</v>
      </c>
      <c r="G140" s="540" t="s">
        <v>40</v>
      </c>
      <c r="H140" s="541" t="s">
        <v>423</v>
      </c>
      <c r="I140" s="541" t="s">
        <v>102</v>
      </c>
      <c r="J140" s="541" t="s">
        <v>43</v>
      </c>
      <c r="K140" s="542" t="s">
        <v>1032</v>
      </c>
      <c r="L140" s="586" t="s">
        <v>442</v>
      </c>
      <c r="M140" s="541" t="s">
        <v>1033</v>
      </c>
      <c r="N140" s="542" t="s">
        <v>1034</v>
      </c>
      <c r="O140" s="541" t="s">
        <v>1035</v>
      </c>
      <c r="P140" s="541" t="s">
        <v>145</v>
      </c>
      <c r="Q140" s="541" t="s">
        <v>468</v>
      </c>
      <c r="R140" s="541" t="s">
        <v>537</v>
      </c>
      <c r="S140" s="541" t="s">
        <v>431</v>
      </c>
      <c r="T140" s="541" t="s">
        <v>457</v>
      </c>
      <c r="U140" s="541"/>
      <c r="V140" s="543" t="s">
        <v>539</v>
      </c>
      <c r="W140" s="544" t="s">
        <v>845</v>
      </c>
      <c r="X140" s="541"/>
      <c r="Y140" s="545"/>
      <c r="Z140" s="546"/>
      <c r="AA140" s="605" t="s">
        <v>435</v>
      </c>
      <c r="AB140" s="888" t="s">
        <v>436</v>
      </c>
      <c r="AC140" s="715"/>
      <c r="AD140" s="715"/>
      <c r="AE140" s="715"/>
      <c r="AF140" s="715"/>
      <c r="AG140" s="715"/>
      <c r="AH140" s="715"/>
      <c r="AI140" s="715"/>
      <c r="AJ140" s="582"/>
    </row>
    <row r="141" spans="1:36" s="19" customFormat="1" ht="101.5">
      <c r="A141" s="535" t="s">
        <v>418</v>
      </c>
      <c r="B141" s="536" t="s">
        <v>1036</v>
      </c>
      <c r="C141" s="537" t="s">
        <v>1037</v>
      </c>
      <c r="D141" s="538" t="s">
        <v>1038</v>
      </c>
      <c r="E141" s="538" t="s">
        <v>1039</v>
      </c>
      <c r="F141" s="539" t="s">
        <v>39</v>
      </c>
      <c r="G141" s="540" t="s">
        <v>40</v>
      </c>
      <c r="H141" s="578" t="s">
        <v>423</v>
      </c>
      <c r="I141" s="541" t="s">
        <v>102</v>
      </c>
      <c r="J141" s="541" t="s">
        <v>43</v>
      </c>
      <c r="K141" s="542" t="s">
        <v>1040</v>
      </c>
      <c r="L141" s="586" t="s">
        <v>442</v>
      </c>
      <c r="M141" s="541" t="s">
        <v>1041</v>
      </c>
      <c r="N141" s="542" t="s">
        <v>1042</v>
      </c>
      <c r="O141" s="541" t="s">
        <v>1043</v>
      </c>
      <c r="P141" s="541" t="s">
        <v>145</v>
      </c>
      <c r="Q141" s="541" t="s">
        <v>468</v>
      </c>
      <c r="R141" s="541" t="s">
        <v>537</v>
      </c>
      <c r="S141" s="541" t="s">
        <v>431</v>
      </c>
      <c r="T141" s="541" t="s">
        <v>538</v>
      </c>
      <c r="U141" s="541"/>
      <c r="V141" s="543" t="s">
        <v>539</v>
      </c>
      <c r="W141" s="544" t="s">
        <v>845</v>
      </c>
      <c r="X141" s="541"/>
      <c r="Y141" s="545"/>
      <c r="Z141" s="546"/>
      <c r="AA141" s="605" t="s">
        <v>435</v>
      </c>
      <c r="AB141" s="888" t="s">
        <v>1044</v>
      </c>
      <c r="AC141" s="715"/>
      <c r="AD141" s="715"/>
      <c r="AE141" s="715"/>
      <c r="AF141" s="715"/>
      <c r="AG141" s="715"/>
      <c r="AH141" s="715"/>
      <c r="AI141" s="715"/>
      <c r="AJ141" s="582"/>
    </row>
    <row r="142" spans="1:36" s="19" customFormat="1" ht="101.5">
      <c r="A142" s="535" t="s">
        <v>418</v>
      </c>
      <c r="B142" s="536" t="s">
        <v>1045</v>
      </c>
      <c r="C142" s="537" t="s">
        <v>1046</v>
      </c>
      <c r="D142" s="538" t="s">
        <v>1047</v>
      </c>
      <c r="E142" s="538" t="s">
        <v>1048</v>
      </c>
      <c r="F142" s="539" t="s">
        <v>39</v>
      </c>
      <c r="G142" s="540" t="s">
        <v>40</v>
      </c>
      <c r="H142" s="578" t="s">
        <v>423</v>
      </c>
      <c r="I142" s="541" t="s">
        <v>102</v>
      </c>
      <c r="J142" s="541" t="s">
        <v>43</v>
      </c>
      <c r="K142" s="542" t="s">
        <v>1049</v>
      </c>
      <c r="L142" s="586" t="s">
        <v>442</v>
      </c>
      <c r="M142" s="541" t="s">
        <v>1003</v>
      </c>
      <c r="N142" s="542" t="s">
        <v>1050</v>
      </c>
      <c r="O142" s="541" t="s">
        <v>1051</v>
      </c>
      <c r="P142" s="541" t="s">
        <v>136</v>
      </c>
      <c r="Q142" s="541" t="s">
        <v>468</v>
      </c>
      <c r="R142" s="541" t="s">
        <v>537</v>
      </c>
      <c r="S142" s="541" t="s">
        <v>431</v>
      </c>
      <c r="T142" s="541" t="s">
        <v>538</v>
      </c>
      <c r="U142" s="541"/>
      <c r="V142" s="543" t="s">
        <v>539</v>
      </c>
      <c r="W142" s="544" t="s">
        <v>845</v>
      </c>
      <c r="X142" s="541"/>
      <c r="Y142" s="545"/>
      <c r="Z142" s="546"/>
      <c r="AA142" s="605" t="s">
        <v>435</v>
      </c>
      <c r="AB142" s="888" t="s">
        <v>1052</v>
      </c>
      <c r="AC142" s="715"/>
      <c r="AD142" s="715"/>
      <c r="AE142" s="715"/>
      <c r="AF142" s="715"/>
      <c r="AG142" s="715"/>
      <c r="AH142" s="715"/>
      <c r="AI142" s="715"/>
      <c r="AJ142" s="582"/>
    </row>
    <row r="143" spans="1:36" s="19" customFormat="1" ht="87">
      <c r="A143" s="535" t="s">
        <v>418</v>
      </c>
      <c r="B143" s="536" t="s">
        <v>1053</v>
      </c>
      <c r="C143" s="537" t="s">
        <v>1054</v>
      </c>
      <c r="D143" s="576" t="s">
        <v>1055</v>
      </c>
      <c r="E143" s="538" t="s">
        <v>1056</v>
      </c>
      <c r="F143" s="539" t="s">
        <v>39</v>
      </c>
      <c r="G143" s="540" t="s">
        <v>40</v>
      </c>
      <c r="H143" s="541" t="s">
        <v>423</v>
      </c>
      <c r="I143" s="541" t="s">
        <v>102</v>
      </c>
      <c r="J143" s="541" t="s">
        <v>43</v>
      </c>
      <c r="K143" s="542" t="s">
        <v>1057</v>
      </c>
      <c r="L143" s="586" t="s">
        <v>442</v>
      </c>
      <c r="M143" s="541" t="s">
        <v>1058</v>
      </c>
      <c r="N143" s="542" t="s">
        <v>1059</v>
      </c>
      <c r="O143" s="541" t="s">
        <v>1060</v>
      </c>
      <c r="P143" s="541" t="s">
        <v>136</v>
      </c>
      <c r="Q143" s="541" t="s">
        <v>468</v>
      </c>
      <c r="R143" s="541" t="s">
        <v>455</v>
      </c>
      <c r="S143" s="541" t="s">
        <v>431</v>
      </c>
      <c r="T143" s="541" t="s">
        <v>469</v>
      </c>
      <c r="U143" s="541"/>
      <c r="V143" s="543" t="s">
        <v>497</v>
      </c>
      <c r="W143" s="544" t="s">
        <v>943</v>
      </c>
      <c r="X143" s="541"/>
      <c r="Y143" s="545"/>
      <c r="Z143" s="546"/>
      <c r="AA143" s="605" t="s">
        <v>435</v>
      </c>
      <c r="AB143" s="888" t="s">
        <v>436</v>
      </c>
      <c r="AC143" s="715"/>
      <c r="AD143" s="715"/>
      <c r="AE143" s="715"/>
      <c r="AF143" s="715"/>
      <c r="AG143" s="715"/>
      <c r="AH143" s="715"/>
      <c r="AI143" s="715"/>
      <c r="AJ143" s="582"/>
    </row>
    <row r="144" spans="1:36" s="19" customFormat="1" ht="130.5">
      <c r="A144" s="535" t="s">
        <v>418</v>
      </c>
      <c r="B144" s="536" t="s">
        <v>1061</v>
      </c>
      <c r="C144" s="537" t="s">
        <v>1062</v>
      </c>
      <c r="D144" s="576" t="s">
        <v>1063</v>
      </c>
      <c r="E144" s="538" t="s">
        <v>1064</v>
      </c>
      <c r="F144" s="539" t="s">
        <v>39</v>
      </c>
      <c r="G144" s="540" t="s">
        <v>101</v>
      </c>
      <c r="H144" s="541" t="s">
        <v>423</v>
      </c>
      <c r="I144" s="541" t="s">
        <v>102</v>
      </c>
      <c r="J144" s="541" t="s">
        <v>43</v>
      </c>
      <c r="K144" s="542" t="s">
        <v>1065</v>
      </c>
      <c r="L144" s="586" t="s">
        <v>442</v>
      </c>
      <c r="M144" s="541" t="s">
        <v>1066</v>
      </c>
      <c r="N144" s="542" t="s">
        <v>1067</v>
      </c>
      <c r="O144" s="541" t="s">
        <v>1068</v>
      </c>
      <c r="P144" s="541" t="s">
        <v>136</v>
      </c>
      <c r="Q144" s="541" t="s">
        <v>889</v>
      </c>
      <c r="R144" s="541" t="s">
        <v>537</v>
      </c>
      <c r="S144" s="541" t="s">
        <v>1069</v>
      </c>
      <c r="T144" s="541" t="s">
        <v>527</v>
      </c>
      <c r="U144" s="541"/>
      <c r="V144" s="543" t="s">
        <v>630</v>
      </c>
      <c r="W144" s="544" t="s">
        <v>540</v>
      </c>
      <c r="X144" s="541"/>
      <c r="Y144" s="545"/>
      <c r="Z144" s="546"/>
      <c r="AA144" s="605" t="s">
        <v>435</v>
      </c>
      <c r="AB144" s="888" t="s">
        <v>436</v>
      </c>
      <c r="AC144" s="715"/>
      <c r="AD144" s="715"/>
      <c r="AE144" s="715"/>
      <c r="AF144" s="715"/>
      <c r="AG144" s="715"/>
      <c r="AH144" s="715"/>
      <c r="AI144" s="715"/>
      <c r="AJ144" s="582"/>
    </row>
    <row r="145" spans="1:36" s="19" customFormat="1" ht="100">
      <c r="A145" s="535" t="s">
        <v>418</v>
      </c>
      <c r="B145" s="536" t="s">
        <v>1070</v>
      </c>
      <c r="C145" s="537" t="s">
        <v>1071</v>
      </c>
      <c r="D145" s="538" t="s">
        <v>1072</v>
      </c>
      <c r="E145" s="538" t="s">
        <v>1073</v>
      </c>
      <c r="F145" s="539" t="s">
        <v>39</v>
      </c>
      <c r="G145" s="540" t="s">
        <v>40</v>
      </c>
      <c r="H145" s="595" t="s">
        <v>423</v>
      </c>
      <c r="I145" s="541" t="s">
        <v>102</v>
      </c>
      <c r="J145" s="541" t="s">
        <v>43</v>
      </c>
      <c r="K145" s="542" t="s">
        <v>1074</v>
      </c>
      <c r="L145" s="586" t="s">
        <v>442</v>
      </c>
      <c r="M145" s="541" t="s">
        <v>1075</v>
      </c>
      <c r="N145" s="542" t="s">
        <v>1076</v>
      </c>
      <c r="O145" s="541" t="s">
        <v>1077</v>
      </c>
      <c r="P145" s="541" t="s">
        <v>136</v>
      </c>
      <c r="Q145" s="541" t="s">
        <v>468</v>
      </c>
      <c r="R145" s="541" t="s">
        <v>455</v>
      </c>
      <c r="S145" s="541" t="s">
        <v>1078</v>
      </c>
      <c r="T145" s="541" t="s">
        <v>745</v>
      </c>
      <c r="U145" s="541"/>
      <c r="V145" s="543" t="s">
        <v>470</v>
      </c>
      <c r="W145" s="544" t="s">
        <v>528</v>
      </c>
      <c r="X145" s="541"/>
      <c r="Y145" s="545"/>
      <c r="Z145" s="546"/>
      <c r="AA145" s="605" t="s">
        <v>435</v>
      </c>
      <c r="AB145" s="888" t="s">
        <v>1079</v>
      </c>
      <c r="AC145" s="715"/>
      <c r="AD145" s="715"/>
      <c r="AE145" s="715"/>
      <c r="AF145" s="715"/>
      <c r="AG145" s="715"/>
      <c r="AH145" s="715"/>
      <c r="AI145" s="715"/>
      <c r="AJ145" s="582"/>
    </row>
    <row r="146" spans="1:36" s="19" customFormat="1" ht="101.5">
      <c r="A146" s="535" t="s">
        <v>418</v>
      </c>
      <c r="B146" s="536" t="s">
        <v>1080</v>
      </c>
      <c r="C146" s="537" t="s">
        <v>1081</v>
      </c>
      <c r="D146" s="576" t="s">
        <v>1082</v>
      </c>
      <c r="E146" s="538" t="s">
        <v>1083</v>
      </c>
      <c r="F146" s="539" t="s">
        <v>545</v>
      </c>
      <c r="G146" s="540" t="s">
        <v>546</v>
      </c>
      <c r="H146" s="541" t="s">
        <v>423</v>
      </c>
      <c r="I146" s="541" t="s">
        <v>102</v>
      </c>
      <c r="J146" s="541" t="s">
        <v>43</v>
      </c>
      <c r="K146" s="542" t="s">
        <v>1084</v>
      </c>
      <c r="L146" s="586" t="s">
        <v>442</v>
      </c>
      <c r="M146" s="541" t="s">
        <v>524</v>
      </c>
      <c r="N146" s="542" t="s">
        <v>1085</v>
      </c>
      <c r="O146" s="541" t="s">
        <v>1086</v>
      </c>
      <c r="P146" s="541" t="s">
        <v>145</v>
      </c>
      <c r="Q146" s="541" t="s">
        <v>889</v>
      </c>
      <c r="R146" s="541" t="s">
        <v>455</v>
      </c>
      <c r="S146" s="541" t="s">
        <v>431</v>
      </c>
      <c r="T146" s="541" t="s">
        <v>1087</v>
      </c>
      <c r="U146" s="541"/>
      <c r="V146" s="543" t="s">
        <v>517</v>
      </c>
      <c r="W146" s="544" t="s">
        <v>540</v>
      </c>
      <c r="X146" s="541"/>
      <c r="Y146" s="545"/>
      <c r="Z146" s="546"/>
      <c r="AA146" s="605" t="s">
        <v>435</v>
      </c>
      <c r="AB146" s="888" t="s">
        <v>436</v>
      </c>
      <c r="AC146" s="715"/>
      <c r="AD146" s="715"/>
      <c r="AE146" s="715"/>
      <c r="AF146" s="715"/>
      <c r="AG146" s="715"/>
      <c r="AH146" s="715"/>
      <c r="AI146" s="715"/>
      <c r="AJ146" s="582"/>
    </row>
    <row r="147" spans="1:36" s="19" customFormat="1" ht="145">
      <c r="A147" s="535" t="s">
        <v>35</v>
      </c>
      <c r="B147" s="593" t="s">
        <v>1088</v>
      </c>
      <c r="C147" s="594" t="s">
        <v>1089</v>
      </c>
      <c r="D147" s="538" t="s">
        <v>1090</v>
      </c>
      <c r="E147" s="538" t="s">
        <v>1091</v>
      </c>
      <c r="F147" s="539" t="s">
        <v>39</v>
      </c>
      <c r="G147" s="540" t="s">
        <v>85</v>
      </c>
      <c r="H147" s="595" t="s">
        <v>423</v>
      </c>
      <c r="I147" s="541" t="s">
        <v>102</v>
      </c>
      <c r="J147" s="541" t="s">
        <v>43</v>
      </c>
      <c r="K147" s="542" t="s">
        <v>1092</v>
      </c>
      <c r="L147" s="586" t="s">
        <v>425</v>
      </c>
      <c r="M147" s="541" t="s">
        <v>1093</v>
      </c>
      <c r="N147" s="542" t="s">
        <v>1094</v>
      </c>
      <c r="O147" s="541" t="s">
        <v>1095</v>
      </c>
      <c r="P147" s="541" t="s">
        <v>1096</v>
      </c>
      <c r="Q147" s="541" t="s">
        <v>468</v>
      </c>
      <c r="R147" s="541" t="s">
        <v>455</v>
      </c>
      <c r="S147" s="541" t="s">
        <v>431</v>
      </c>
      <c r="T147" s="541" t="s">
        <v>803</v>
      </c>
      <c r="U147" s="541"/>
      <c r="V147" s="543" t="s">
        <v>1097</v>
      </c>
      <c r="W147" s="544" t="s">
        <v>1098</v>
      </c>
      <c r="X147" s="541"/>
      <c r="Y147" s="545"/>
      <c r="Z147" s="546"/>
      <c r="AA147" s="605" t="s">
        <v>518</v>
      </c>
      <c r="AB147" s="888" t="s">
        <v>436</v>
      </c>
      <c r="AC147" s="715"/>
      <c r="AD147" s="715"/>
      <c r="AE147" s="715"/>
      <c r="AF147" s="715"/>
      <c r="AG147" s="715"/>
      <c r="AH147" s="715"/>
      <c r="AI147" s="715"/>
      <c r="AJ147" s="582"/>
    </row>
    <row r="148" spans="1:36" s="19" customFormat="1" ht="101.5">
      <c r="A148" s="535" t="s">
        <v>418</v>
      </c>
      <c r="B148" s="536" t="s">
        <v>1099</v>
      </c>
      <c r="C148" s="537" t="s">
        <v>1100</v>
      </c>
      <c r="D148" s="538" t="s">
        <v>1101</v>
      </c>
      <c r="E148" s="538" t="s">
        <v>1102</v>
      </c>
      <c r="F148" s="539" t="s">
        <v>39</v>
      </c>
      <c r="G148" s="540" t="s">
        <v>40</v>
      </c>
      <c r="H148" s="595" t="s">
        <v>423</v>
      </c>
      <c r="I148" s="541" t="s">
        <v>102</v>
      </c>
      <c r="J148" s="541" t="s">
        <v>43</v>
      </c>
      <c r="K148" s="542" t="s">
        <v>1103</v>
      </c>
      <c r="L148" s="586" t="s">
        <v>442</v>
      </c>
      <c r="M148" s="541" t="s">
        <v>1104</v>
      </c>
      <c r="N148" s="542" t="s">
        <v>1105</v>
      </c>
      <c r="O148" s="541" t="s">
        <v>1106</v>
      </c>
      <c r="P148" s="541" t="s">
        <v>136</v>
      </c>
      <c r="Q148" s="541" t="s">
        <v>468</v>
      </c>
      <c r="R148" s="541" t="s">
        <v>455</v>
      </c>
      <c r="S148" s="541" t="s">
        <v>431</v>
      </c>
      <c r="T148" s="541" t="s">
        <v>1107</v>
      </c>
      <c r="U148" s="541"/>
      <c r="V148" s="543" t="s">
        <v>497</v>
      </c>
      <c r="W148" s="544" t="s">
        <v>459</v>
      </c>
      <c r="X148" s="541"/>
      <c r="Y148" s="545"/>
      <c r="Z148" s="546"/>
      <c r="AA148" s="605" t="s">
        <v>518</v>
      </c>
      <c r="AB148" s="888" t="s">
        <v>1108</v>
      </c>
      <c r="AC148" s="715"/>
      <c r="AD148" s="715"/>
      <c r="AE148" s="715"/>
      <c r="AF148" s="715"/>
      <c r="AG148" s="715"/>
      <c r="AH148" s="715"/>
      <c r="AI148" s="715"/>
      <c r="AJ148" s="582"/>
    </row>
    <row r="149" spans="1:36" s="19" customFormat="1" ht="72.5">
      <c r="A149" s="535" t="s">
        <v>418</v>
      </c>
      <c r="B149" s="536" t="s">
        <v>1109</v>
      </c>
      <c r="C149" s="537" t="s">
        <v>1110</v>
      </c>
      <c r="D149" s="538" t="s">
        <v>1111</v>
      </c>
      <c r="E149" s="538" t="s">
        <v>1112</v>
      </c>
      <c r="F149" s="539" t="s">
        <v>39</v>
      </c>
      <c r="G149" s="540" t="s">
        <v>40</v>
      </c>
      <c r="H149" s="541" t="s">
        <v>423</v>
      </c>
      <c r="I149" s="541" t="s">
        <v>102</v>
      </c>
      <c r="J149" s="541" t="s">
        <v>43</v>
      </c>
      <c r="K149" s="542" t="s">
        <v>1113</v>
      </c>
      <c r="L149" s="586" t="s">
        <v>442</v>
      </c>
      <c r="M149" s="541" t="s">
        <v>1114</v>
      </c>
      <c r="N149" s="542" t="s">
        <v>1115</v>
      </c>
      <c r="O149" s="541" t="s">
        <v>1116</v>
      </c>
      <c r="P149" s="541" t="s">
        <v>145</v>
      </c>
      <c r="Q149" s="541" t="s">
        <v>468</v>
      </c>
      <c r="R149" s="541" t="s">
        <v>455</v>
      </c>
      <c r="S149" s="541" t="s">
        <v>980</v>
      </c>
      <c r="T149" s="541" t="s">
        <v>527</v>
      </c>
      <c r="U149" s="541"/>
      <c r="V149" s="543" t="s">
        <v>517</v>
      </c>
      <c r="W149" s="544" t="s">
        <v>459</v>
      </c>
      <c r="X149" s="541"/>
      <c r="Y149" s="545"/>
      <c r="Z149" s="546"/>
      <c r="AA149" s="605" t="s">
        <v>435</v>
      </c>
      <c r="AB149" s="890" t="s">
        <v>1117</v>
      </c>
      <c r="AC149" s="715"/>
      <c r="AD149" s="715"/>
      <c r="AE149" s="715"/>
      <c r="AF149" s="715"/>
      <c r="AG149" s="715"/>
      <c r="AH149" s="715"/>
      <c r="AI149" s="715"/>
      <c r="AJ149" s="582"/>
    </row>
    <row r="150" spans="1:36" s="19" customFormat="1" ht="101.5">
      <c r="A150" s="535" t="s">
        <v>418</v>
      </c>
      <c r="B150" s="536" t="s">
        <v>1118</v>
      </c>
      <c r="C150" s="537" t="s">
        <v>1119</v>
      </c>
      <c r="D150" s="583" t="s">
        <v>1120</v>
      </c>
      <c r="E150" s="538" t="s">
        <v>1121</v>
      </c>
      <c r="F150" s="539" t="s">
        <v>545</v>
      </c>
      <c r="G150" s="540" t="s">
        <v>546</v>
      </c>
      <c r="H150" s="541" t="s">
        <v>423</v>
      </c>
      <c r="I150" s="541" t="s">
        <v>102</v>
      </c>
      <c r="J150" s="541" t="s">
        <v>43</v>
      </c>
      <c r="K150" s="542" t="s">
        <v>1122</v>
      </c>
      <c r="L150" s="586" t="s">
        <v>442</v>
      </c>
      <c r="M150" s="541" t="s">
        <v>524</v>
      </c>
      <c r="N150" s="542" t="s">
        <v>1123</v>
      </c>
      <c r="O150" s="541" t="s">
        <v>1124</v>
      </c>
      <c r="P150" s="541" t="s">
        <v>136</v>
      </c>
      <c r="Q150" s="541" t="s">
        <v>468</v>
      </c>
      <c r="R150" s="541" t="s">
        <v>455</v>
      </c>
      <c r="S150" s="541" t="s">
        <v>1125</v>
      </c>
      <c r="T150" s="541" t="s">
        <v>551</v>
      </c>
      <c r="U150" s="541"/>
      <c r="V150" s="543" t="s">
        <v>470</v>
      </c>
      <c r="W150" s="544" t="s">
        <v>459</v>
      </c>
      <c r="X150" s="541"/>
      <c r="Y150" s="545"/>
      <c r="Z150" s="546"/>
      <c r="AA150" s="605" t="s">
        <v>435</v>
      </c>
      <c r="AB150" s="888" t="s">
        <v>436</v>
      </c>
      <c r="AC150" s="715"/>
      <c r="AD150" s="715"/>
      <c r="AE150" s="715"/>
      <c r="AF150" s="715"/>
      <c r="AG150" s="715"/>
      <c r="AH150" s="715"/>
      <c r="AI150" s="715"/>
      <c r="AJ150" s="582"/>
    </row>
    <row r="151" spans="1:36" s="19" customFormat="1" ht="87">
      <c r="A151" s="535" t="s">
        <v>418</v>
      </c>
      <c r="B151" s="536" t="s">
        <v>1126</v>
      </c>
      <c r="C151" s="537" t="s">
        <v>1127</v>
      </c>
      <c r="D151" s="538" t="s">
        <v>1128</v>
      </c>
      <c r="E151" s="538" t="s">
        <v>1129</v>
      </c>
      <c r="F151" s="539" t="s">
        <v>39</v>
      </c>
      <c r="G151" s="540" t="s">
        <v>40</v>
      </c>
      <c r="H151" s="541" t="s">
        <v>423</v>
      </c>
      <c r="I151" s="541" t="s">
        <v>102</v>
      </c>
      <c r="J151" s="541" t="s">
        <v>43</v>
      </c>
      <c r="K151" s="542" t="s">
        <v>1130</v>
      </c>
      <c r="L151" s="586" t="s">
        <v>442</v>
      </c>
      <c r="M151" s="541" t="s">
        <v>1131</v>
      </c>
      <c r="N151" s="542" t="s">
        <v>1132</v>
      </c>
      <c r="O151" s="541" t="s">
        <v>1133</v>
      </c>
      <c r="P151" s="541" t="s">
        <v>136</v>
      </c>
      <c r="Q151" s="541" t="s">
        <v>468</v>
      </c>
      <c r="R151" s="541" t="s">
        <v>455</v>
      </c>
      <c r="S151" s="541" t="s">
        <v>431</v>
      </c>
      <c r="T151" s="541" t="s">
        <v>745</v>
      </c>
      <c r="U151" s="541"/>
      <c r="V151" s="543" t="s">
        <v>497</v>
      </c>
      <c r="W151" s="544" t="s">
        <v>528</v>
      </c>
      <c r="X151" s="541"/>
      <c r="Y151" s="545"/>
      <c r="Z151" s="546"/>
      <c r="AA151" s="605" t="s">
        <v>518</v>
      </c>
      <c r="AB151" s="891" t="s">
        <v>1134</v>
      </c>
      <c r="AC151" s="715"/>
      <c r="AD151" s="715"/>
      <c r="AE151" s="715"/>
      <c r="AF151" s="715"/>
      <c r="AG151" s="715"/>
      <c r="AH151" s="715"/>
      <c r="AI151" s="715"/>
      <c r="AJ151" s="582"/>
    </row>
    <row r="152" spans="1:36" s="19" customFormat="1" ht="75">
      <c r="A152" s="535" t="s">
        <v>418</v>
      </c>
      <c r="B152" s="536" t="s">
        <v>1135</v>
      </c>
      <c r="C152" s="537" t="s">
        <v>1136</v>
      </c>
      <c r="D152" s="538" t="s">
        <v>1137</v>
      </c>
      <c r="E152" s="538" t="s">
        <v>1138</v>
      </c>
      <c r="F152" s="539" t="s">
        <v>39</v>
      </c>
      <c r="G152" s="540" t="s">
        <v>40</v>
      </c>
      <c r="H152" s="541" t="s">
        <v>423</v>
      </c>
      <c r="I152" s="541" t="s">
        <v>102</v>
      </c>
      <c r="J152" s="541" t="s">
        <v>43</v>
      </c>
      <c r="K152" s="542" t="s">
        <v>1139</v>
      </c>
      <c r="L152" s="586" t="s">
        <v>442</v>
      </c>
      <c r="M152" s="541" t="s">
        <v>1140</v>
      </c>
      <c r="N152" s="542" t="s">
        <v>1141</v>
      </c>
      <c r="O152" s="541" t="s">
        <v>1142</v>
      </c>
      <c r="P152" s="541" t="s">
        <v>136</v>
      </c>
      <c r="Q152" s="541" t="s">
        <v>468</v>
      </c>
      <c r="R152" s="541" t="s">
        <v>455</v>
      </c>
      <c r="S152" s="541" t="s">
        <v>431</v>
      </c>
      <c r="T152" s="541" t="s">
        <v>457</v>
      </c>
      <c r="U152" s="541"/>
      <c r="V152" s="543" t="s">
        <v>497</v>
      </c>
      <c r="W152" s="544" t="s">
        <v>459</v>
      </c>
      <c r="X152" s="541"/>
      <c r="Y152" s="545"/>
      <c r="Z152" s="546"/>
      <c r="AA152" s="605" t="s">
        <v>435</v>
      </c>
      <c r="AB152" s="891" t="s">
        <v>436</v>
      </c>
      <c r="AC152" s="715"/>
      <c r="AD152" s="715"/>
      <c r="AE152" s="715"/>
      <c r="AF152" s="715"/>
      <c r="AG152" s="715"/>
      <c r="AH152" s="715"/>
      <c r="AI152" s="715"/>
      <c r="AJ152" s="582"/>
    </row>
    <row r="153" spans="1:36" s="19" customFormat="1" ht="87">
      <c r="A153" s="535" t="s">
        <v>418</v>
      </c>
      <c r="B153" s="536" t="s">
        <v>1143</v>
      </c>
      <c r="C153" s="537" t="s">
        <v>1144</v>
      </c>
      <c r="D153" s="538" t="s">
        <v>1145</v>
      </c>
      <c r="E153" s="538" t="s">
        <v>1146</v>
      </c>
      <c r="F153" s="539" t="s">
        <v>39</v>
      </c>
      <c r="G153" s="540" t="s">
        <v>40</v>
      </c>
      <c r="H153" s="541" t="s">
        <v>423</v>
      </c>
      <c r="I153" s="541" t="s">
        <v>102</v>
      </c>
      <c r="J153" s="541" t="s">
        <v>43</v>
      </c>
      <c r="K153" s="542" t="s">
        <v>1147</v>
      </c>
      <c r="L153" s="586" t="s">
        <v>442</v>
      </c>
      <c r="M153" s="541" t="s">
        <v>524</v>
      </c>
      <c r="N153" s="542" t="s">
        <v>1148</v>
      </c>
      <c r="O153" s="541" t="s">
        <v>1149</v>
      </c>
      <c r="P153" s="541" t="s">
        <v>136</v>
      </c>
      <c r="Q153" s="541" t="s">
        <v>468</v>
      </c>
      <c r="R153" s="541" t="s">
        <v>455</v>
      </c>
      <c r="S153" s="541" t="s">
        <v>431</v>
      </c>
      <c r="T153" s="541" t="s">
        <v>880</v>
      </c>
      <c r="U153" s="541"/>
      <c r="V153" s="543" t="s">
        <v>470</v>
      </c>
      <c r="W153" s="544" t="s">
        <v>459</v>
      </c>
      <c r="X153" s="541"/>
      <c r="Y153" s="545"/>
      <c r="Z153" s="546"/>
      <c r="AA153" s="605" t="s">
        <v>435</v>
      </c>
      <c r="AB153" s="891" t="s">
        <v>436</v>
      </c>
      <c r="AC153" s="715"/>
      <c r="AD153" s="715"/>
      <c r="AE153" s="715"/>
      <c r="AF153" s="715"/>
      <c r="AG153" s="715"/>
      <c r="AH153" s="715"/>
      <c r="AI153" s="715"/>
      <c r="AJ153" s="582"/>
    </row>
    <row r="154" spans="1:36" s="19" customFormat="1" ht="87">
      <c r="A154" s="535" t="s">
        <v>418</v>
      </c>
      <c r="B154" s="536" t="s">
        <v>1150</v>
      </c>
      <c r="C154" s="537" t="s">
        <v>1151</v>
      </c>
      <c r="D154" s="538" t="s">
        <v>1152</v>
      </c>
      <c r="E154" s="538" t="s">
        <v>1153</v>
      </c>
      <c r="F154" s="539" t="s">
        <v>39</v>
      </c>
      <c r="G154" s="540" t="s">
        <v>40</v>
      </c>
      <c r="H154" s="541" t="s">
        <v>423</v>
      </c>
      <c r="I154" s="541" t="s">
        <v>474</v>
      </c>
      <c r="J154" s="541" t="s">
        <v>43</v>
      </c>
      <c r="K154" s="542" t="s">
        <v>1154</v>
      </c>
      <c r="L154" s="586" t="s">
        <v>442</v>
      </c>
      <c r="M154" s="541" t="s">
        <v>1155</v>
      </c>
      <c r="N154" s="542" t="s">
        <v>1156</v>
      </c>
      <c r="O154" s="541" t="s">
        <v>1157</v>
      </c>
      <c r="P154" s="541" t="s">
        <v>136</v>
      </c>
      <c r="Q154" s="541" t="s">
        <v>468</v>
      </c>
      <c r="R154" s="541" t="s">
        <v>455</v>
      </c>
      <c r="S154" s="541" t="s">
        <v>1158</v>
      </c>
      <c r="T154" s="541" t="s">
        <v>880</v>
      </c>
      <c r="U154" s="541"/>
      <c r="V154" s="543" t="s">
        <v>470</v>
      </c>
      <c r="W154" s="544" t="s">
        <v>459</v>
      </c>
      <c r="X154" s="541"/>
      <c r="Y154" s="545"/>
      <c r="Z154" s="546"/>
      <c r="AA154" s="605" t="s">
        <v>518</v>
      </c>
      <c r="AB154" s="891" t="s">
        <v>436</v>
      </c>
      <c r="AC154" s="715"/>
      <c r="AD154" s="715"/>
      <c r="AE154" s="715"/>
      <c r="AF154" s="715"/>
      <c r="AG154" s="715"/>
      <c r="AH154" s="715"/>
      <c r="AI154" s="715"/>
      <c r="AJ154" s="582"/>
    </row>
    <row r="155" spans="1:36" s="19" customFormat="1" ht="101.5">
      <c r="A155" s="535" t="s">
        <v>35</v>
      </c>
      <c r="B155" s="536" t="s">
        <v>1159</v>
      </c>
      <c r="C155" s="537" t="s">
        <v>1160</v>
      </c>
      <c r="D155" s="538" t="s">
        <v>1161</v>
      </c>
      <c r="E155" s="538" t="s">
        <v>1162</v>
      </c>
      <c r="F155" s="539" t="s">
        <v>39</v>
      </c>
      <c r="G155" s="540" t="s">
        <v>40</v>
      </c>
      <c r="H155" s="541" t="s">
        <v>423</v>
      </c>
      <c r="I155" s="541" t="s">
        <v>102</v>
      </c>
      <c r="J155" s="541" t="s">
        <v>43</v>
      </c>
      <c r="K155" s="542" t="s">
        <v>1163</v>
      </c>
      <c r="L155" s="586" t="s">
        <v>442</v>
      </c>
      <c r="M155" s="541" t="s">
        <v>1164</v>
      </c>
      <c r="N155" s="542" t="s">
        <v>1165</v>
      </c>
      <c r="O155" s="541" t="s">
        <v>1166</v>
      </c>
      <c r="P155" s="541" t="s">
        <v>145</v>
      </c>
      <c r="Q155" s="541" t="s">
        <v>468</v>
      </c>
      <c r="R155" s="541" t="s">
        <v>455</v>
      </c>
      <c r="S155" s="541" t="s">
        <v>1158</v>
      </c>
      <c r="T155" s="541" t="s">
        <v>880</v>
      </c>
      <c r="U155" s="541"/>
      <c r="V155" s="543" t="s">
        <v>470</v>
      </c>
      <c r="W155" s="544" t="s">
        <v>459</v>
      </c>
      <c r="X155" s="541"/>
      <c r="Y155" s="545"/>
      <c r="Z155" s="546"/>
      <c r="AA155" s="605" t="s">
        <v>518</v>
      </c>
      <c r="AB155" s="891" t="s">
        <v>436</v>
      </c>
      <c r="AC155" s="715"/>
      <c r="AD155" s="715"/>
      <c r="AE155" s="715"/>
      <c r="AF155" s="715"/>
      <c r="AG155" s="715"/>
      <c r="AH155" s="715"/>
      <c r="AI155" s="715"/>
      <c r="AJ155" s="582"/>
    </row>
    <row r="156" spans="1:36" s="19" customFormat="1" ht="159.5">
      <c r="A156" s="535" t="s">
        <v>418</v>
      </c>
      <c r="B156" s="536" t="s">
        <v>1167</v>
      </c>
      <c r="C156" s="537" t="s">
        <v>1168</v>
      </c>
      <c r="D156" s="576" t="s">
        <v>1169</v>
      </c>
      <c r="E156" s="538" t="s">
        <v>1170</v>
      </c>
      <c r="F156" s="539" t="s">
        <v>39</v>
      </c>
      <c r="G156" s="540" t="s">
        <v>85</v>
      </c>
      <c r="H156" s="595" t="s">
        <v>423</v>
      </c>
      <c r="I156" s="541" t="s">
        <v>102</v>
      </c>
      <c r="J156" s="541" t="s">
        <v>43</v>
      </c>
      <c r="K156" s="542" t="s">
        <v>1171</v>
      </c>
      <c r="L156" s="586" t="s">
        <v>442</v>
      </c>
      <c r="M156" s="541" t="s">
        <v>1172</v>
      </c>
      <c r="N156" s="542" t="s">
        <v>1173</v>
      </c>
      <c r="O156" s="541" t="s">
        <v>1174</v>
      </c>
      <c r="P156" s="541" t="s">
        <v>145</v>
      </c>
      <c r="Q156" s="541" t="s">
        <v>889</v>
      </c>
      <c r="R156" s="541" t="s">
        <v>455</v>
      </c>
      <c r="S156" s="541" t="s">
        <v>431</v>
      </c>
      <c r="T156" s="541" t="s">
        <v>880</v>
      </c>
      <c r="U156" s="541"/>
      <c r="V156" s="543" t="s">
        <v>497</v>
      </c>
      <c r="W156" s="544" t="s">
        <v>459</v>
      </c>
      <c r="X156" s="541"/>
      <c r="Y156" s="545"/>
      <c r="Z156" s="546"/>
      <c r="AA156" s="605" t="s">
        <v>435</v>
      </c>
      <c r="AB156" s="891" t="s">
        <v>436</v>
      </c>
      <c r="AC156" s="715"/>
      <c r="AD156" s="715"/>
      <c r="AE156" s="715"/>
      <c r="AF156" s="715"/>
      <c r="AG156" s="715"/>
      <c r="AH156" s="715"/>
      <c r="AI156" s="715"/>
      <c r="AJ156" s="582"/>
    </row>
    <row r="157" spans="1:36" s="19" customFormat="1" ht="116">
      <c r="A157" s="535" t="s">
        <v>106</v>
      </c>
      <c r="B157" s="536" t="s">
        <v>1175</v>
      </c>
      <c r="C157" s="537" t="s">
        <v>1176</v>
      </c>
      <c r="D157" s="576" t="s">
        <v>1177</v>
      </c>
      <c r="E157" s="538" t="s">
        <v>1178</v>
      </c>
      <c r="F157" s="539" t="s">
        <v>39</v>
      </c>
      <c r="G157" s="540" t="s">
        <v>101</v>
      </c>
      <c r="H157" s="541" t="s">
        <v>423</v>
      </c>
      <c r="I157" s="541" t="s">
        <v>102</v>
      </c>
      <c r="J157" s="541" t="s">
        <v>43</v>
      </c>
      <c r="K157" s="542" t="s">
        <v>1179</v>
      </c>
      <c r="L157" s="586" t="s">
        <v>442</v>
      </c>
      <c r="M157" s="541" t="s">
        <v>1180</v>
      </c>
      <c r="N157" s="542" t="s">
        <v>1181</v>
      </c>
      <c r="O157" s="541" t="s">
        <v>1182</v>
      </c>
      <c r="P157" s="541" t="s">
        <v>145</v>
      </c>
      <c r="Q157" s="541" t="s">
        <v>1183</v>
      </c>
      <c r="R157" s="541" t="s">
        <v>861</v>
      </c>
      <c r="S157" s="541" t="s">
        <v>1184</v>
      </c>
      <c r="T157" s="541" t="s">
        <v>551</v>
      </c>
      <c r="U157" s="541"/>
      <c r="V157" s="543" t="s">
        <v>1185</v>
      </c>
      <c r="W157" s="544" t="s">
        <v>434</v>
      </c>
      <c r="X157" s="541"/>
      <c r="Y157" s="545"/>
      <c r="Z157" s="546"/>
      <c r="AA157" s="605" t="s">
        <v>435</v>
      </c>
      <c r="AB157" s="891" t="s">
        <v>436</v>
      </c>
      <c r="AC157" s="715"/>
      <c r="AD157" s="715"/>
      <c r="AE157" s="715"/>
      <c r="AF157" s="715"/>
      <c r="AG157" s="715"/>
      <c r="AH157" s="715"/>
      <c r="AI157" s="715"/>
      <c r="AJ157" s="582"/>
    </row>
    <row r="158" spans="1:36" ht="87">
      <c r="A158" s="535" t="s">
        <v>106</v>
      </c>
      <c r="B158" s="536" t="s">
        <v>1175</v>
      </c>
      <c r="C158" s="537" t="s">
        <v>1186</v>
      </c>
      <c r="D158" s="538" t="s">
        <v>1187</v>
      </c>
      <c r="E158" s="538" t="s">
        <v>1188</v>
      </c>
      <c r="F158" s="539" t="s">
        <v>39</v>
      </c>
      <c r="G158" s="540" t="s">
        <v>40</v>
      </c>
      <c r="H158" s="541" t="s">
        <v>423</v>
      </c>
      <c r="I158" s="541" t="s">
        <v>102</v>
      </c>
      <c r="J158" s="541" t="s">
        <v>43</v>
      </c>
      <c r="K158" s="542" t="s">
        <v>1189</v>
      </c>
      <c r="L158" s="586" t="s">
        <v>442</v>
      </c>
      <c r="M158" s="541" t="s">
        <v>1190</v>
      </c>
      <c r="N158" s="542" t="s">
        <v>1191</v>
      </c>
      <c r="O158" s="541" t="s">
        <v>1192</v>
      </c>
      <c r="P158" s="541" t="s">
        <v>145</v>
      </c>
      <c r="Q158" s="541" t="s">
        <v>1183</v>
      </c>
      <c r="R158" s="541" t="s">
        <v>861</v>
      </c>
      <c r="S158" s="541" t="s">
        <v>862</v>
      </c>
      <c r="T158" s="541" t="s">
        <v>551</v>
      </c>
      <c r="U158" s="541"/>
      <c r="V158" s="543" t="s">
        <v>1185</v>
      </c>
      <c r="W158" s="544" t="s">
        <v>434</v>
      </c>
      <c r="X158" s="541"/>
      <c r="Y158" s="545"/>
      <c r="Z158" s="546"/>
      <c r="AA158" s="605" t="s">
        <v>435</v>
      </c>
      <c r="AB158" s="891" t="s">
        <v>436</v>
      </c>
      <c r="AC158" s="596"/>
      <c r="AD158" s="596"/>
      <c r="AE158" s="596"/>
      <c r="AF158" s="596"/>
      <c r="AG158" s="596"/>
      <c r="AH158" s="596"/>
      <c r="AI158" s="596"/>
      <c r="AJ158" s="547"/>
    </row>
    <row r="159" spans="1:36" ht="87">
      <c r="A159" s="535" t="s">
        <v>106</v>
      </c>
      <c r="B159" s="536" t="s">
        <v>1193</v>
      </c>
      <c r="C159" s="537" t="s">
        <v>1194</v>
      </c>
      <c r="D159" s="538" t="s">
        <v>1195</v>
      </c>
      <c r="E159" s="538" t="s">
        <v>1196</v>
      </c>
      <c r="F159" s="539" t="s">
        <v>39</v>
      </c>
      <c r="G159" s="540" t="s">
        <v>40</v>
      </c>
      <c r="H159" s="541" t="s">
        <v>423</v>
      </c>
      <c r="I159" s="541" t="s">
        <v>102</v>
      </c>
      <c r="J159" s="541" t="s">
        <v>43</v>
      </c>
      <c r="K159" s="542" t="s">
        <v>1197</v>
      </c>
      <c r="L159" s="586" t="s">
        <v>442</v>
      </c>
      <c r="M159" s="541" t="s">
        <v>1198</v>
      </c>
      <c r="N159" s="542" t="s">
        <v>1199</v>
      </c>
      <c r="O159" s="541" t="s">
        <v>1200</v>
      </c>
      <c r="P159" s="541" t="s">
        <v>145</v>
      </c>
      <c r="Q159" s="541" t="s">
        <v>468</v>
      </c>
      <c r="R159" s="541" t="s">
        <v>861</v>
      </c>
      <c r="S159" s="541" t="s">
        <v>431</v>
      </c>
      <c r="T159" s="541" t="s">
        <v>783</v>
      </c>
      <c r="U159" s="541"/>
      <c r="V159" s="543" t="s">
        <v>1185</v>
      </c>
      <c r="W159" s="544" t="s">
        <v>434</v>
      </c>
      <c r="X159" s="541"/>
      <c r="Y159" s="545"/>
      <c r="Z159" s="546"/>
      <c r="AA159" s="605" t="s">
        <v>435</v>
      </c>
      <c r="AB159" s="891" t="s">
        <v>436</v>
      </c>
      <c r="AC159" s="596"/>
      <c r="AD159" s="596"/>
      <c r="AE159" s="596"/>
      <c r="AF159" s="596"/>
      <c r="AG159" s="596"/>
      <c r="AH159" s="596"/>
      <c r="AI159" s="596"/>
      <c r="AJ159" s="547"/>
    </row>
    <row r="160" spans="1:36" ht="145">
      <c r="A160" s="535" t="s">
        <v>106</v>
      </c>
      <c r="B160" s="536" t="s">
        <v>1193</v>
      </c>
      <c r="C160" s="537" t="s">
        <v>1201</v>
      </c>
      <c r="D160" s="538" t="s">
        <v>1202</v>
      </c>
      <c r="E160" s="538" t="s">
        <v>1203</v>
      </c>
      <c r="F160" s="539" t="s">
        <v>39</v>
      </c>
      <c r="G160" s="540" t="s">
        <v>101</v>
      </c>
      <c r="H160" s="595" t="s">
        <v>423</v>
      </c>
      <c r="I160" s="541" t="s">
        <v>102</v>
      </c>
      <c r="J160" s="541" t="s">
        <v>43</v>
      </c>
      <c r="K160" s="542" t="s">
        <v>1204</v>
      </c>
      <c r="L160" s="586" t="s">
        <v>1205</v>
      </c>
      <c r="M160" s="541" t="s">
        <v>1206</v>
      </c>
      <c r="N160" s="542" t="s">
        <v>1207</v>
      </c>
      <c r="O160" s="541" t="s">
        <v>1208</v>
      </c>
      <c r="P160" s="541" t="s">
        <v>136</v>
      </c>
      <c r="Q160" s="541" t="s">
        <v>468</v>
      </c>
      <c r="R160" s="541" t="s">
        <v>455</v>
      </c>
      <c r="S160" s="541" t="s">
        <v>516</v>
      </c>
      <c r="T160" s="541" t="s">
        <v>1209</v>
      </c>
      <c r="U160" s="541"/>
      <c r="V160" s="543" t="s">
        <v>1185</v>
      </c>
      <c r="W160" s="544" t="s">
        <v>434</v>
      </c>
      <c r="X160" s="541"/>
      <c r="Y160" s="545"/>
      <c r="Z160" s="546"/>
      <c r="AA160" s="605" t="s">
        <v>435</v>
      </c>
      <c r="AB160" s="891" t="s">
        <v>436</v>
      </c>
      <c r="AC160" s="596"/>
      <c r="AD160" s="596"/>
      <c r="AE160" s="596"/>
      <c r="AF160" s="596"/>
      <c r="AG160" s="596"/>
      <c r="AH160" s="596"/>
      <c r="AI160" s="596"/>
      <c r="AJ160" s="547"/>
    </row>
    <row r="161" spans="1:36" ht="87">
      <c r="A161" s="535" t="s">
        <v>106</v>
      </c>
      <c r="B161" s="536" t="s">
        <v>1210</v>
      </c>
      <c r="C161" s="537" t="s">
        <v>1211</v>
      </c>
      <c r="D161" s="576" t="s">
        <v>1212</v>
      </c>
      <c r="E161" s="538" t="s">
        <v>1213</v>
      </c>
      <c r="F161" s="539" t="s">
        <v>39</v>
      </c>
      <c r="G161" s="540" t="s">
        <v>40</v>
      </c>
      <c r="H161" s="541" t="s">
        <v>423</v>
      </c>
      <c r="I161" s="541" t="s">
        <v>102</v>
      </c>
      <c r="J161" s="541" t="s">
        <v>43</v>
      </c>
      <c r="K161" s="542" t="s">
        <v>1214</v>
      </c>
      <c r="L161" s="586" t="s">
        <v>442</v>
      </c>
      <c r="M161" s="541" t="s">
        <v>1215</v>
      </c>
      <c r="N161" s="542" t="s">
        <v>1216</v>
      </c>
      <c r="O161" s="541" t="s">
        <v>1217</v>
      </c>
      <c r="P161" s="541" t="s">
        <v>1096</v>
      </c>
      <c r="Q161" s="541" t="s">
        <v>1183</v>
      </c>
      <c r="R161" s="541" t="s">
        <v>861</v>
      </c>
      <c r="S161" s="541" t="s">
        <v>1218</v>
      </c>
      <c r="T161" s="541" t="s">
        <v>1219</v>
      </c>
      <c r="U161" s="541"/>
      <c r="V161" s="543" t="s">
        <v>1185</v>
      </c>
      <c r="W161" s="544" t="s">
        <v>434</v>
      </c>
      <c r="X161" s="541"/>
      <c r="Y161" s="545"/>
      <c r="Z161" s="546"/>
      <c r="AA161" s="605" t="s">
        <v>518</v>
      </c>
      <c r="AB161" s="891" t="s">
        <v>436</v>
      </c>
      <c r="AC161" s="596"/>
      <c r="AD161" s="596"/>
      <c r="AE161" s="596"/>
      <c r="AF161" s="596"/>
      <c r="AG161" s="596"/>
      <c r="AH161" s="596"/>
      <c r="AI161" s="596"/>
      <c r="AJ161" s="547"/>
    </row>
    <row r="162" spans="1:36" ht="87" customHeight="1">
      <c r="A162" s="535" t="s">
        <v>106</v>
      </c>
      <c r="B162" s="536" t="s">
        <v>1220</v>
      </c>
      <c r="C162" s="537" t="s">
        <v>1221</v>
      </c>
      <c r="D162" s="576" t="s">
        <v>1222</v>
      </c>
      <c r="E162" s="538" t="s">
        <v>1223</v>
      </c>
      <c r="F162" s="539" t="s">
        <v>39</v>
      </c>
      <c r="G162" s="540" t="s">
        <v>40</v>
      </c>
      <c r="H162" s="541" t="s">
        <v>423</v>
      </c>
      <c r="I162" s="541" t="s">
        <v>102</v>
      </c>
      <c r="J162" s="541" t="s">
        <v>43</v>
      </c>
      <c r="K162" s="542" t="s">
        <v>1224</v>
      </c>
      <c r="L162" s="586" t="s">
        <v>442</v>
      </c>
      <c r="M162" s="541" t="s">
        <v>1225</v>
      </c>
      <c r="N162" s="542" t="s">
        <v>1226</v>
      </c>
      <c r="O162" s="541" t="s">
        <v>1227</v>
      </c>
      <c r="P162" s="541" t="s">
        <v>136</v>
      </c>
      <c r="Q162" s="541" t="s">
        <v>468</v>
      </c>
      <c r="R162" s="541" t="s">
        <v>455</v>
      </c>
      <c r="S162" s="541" t="s">
        <v>1228</v>
      </c>
      <c r="T162" s="541" t="s">
        <v>880</v>
      </c>
      <c r="U162" s="541"/>
      <c r="V162" s="543" t="s">
        <v>470</v>
      </c>
      <c r="W162" s="544" t="s">
        <v>459</v>
      </c>
      <c r="X162" s="541"/>
      <c r="Y162" s="545"/>
      <c r="Z162" s="546"/>
      <c r="AA162" s="605" t="s">
        <v>518</v>
      </c>
      <c r="AB162" s="891" t="s">
        <v>436</v>
      </c>
      <c r="AC162" s="596"/>
      <c r="AD162" s="596"/>
      <c r="AE162" s="596"/>
      <c r="AF162" s="596"/>
      <c r="AG162" s="596"/>
      <c r="AH162" s="596"/>
      <c r="AI162" s="596"/>
      <c r="AJ162" s="547"/>
    </row>
    <row r="163" spans="1:36" ht="87.5">
      <c r="A163" s="535" t="s">
        <v>106</v>
      </c>
      <c r="B163" s="536" t="s">
        <v>1229</v>
      </c>
      <c r="C163" s="537" t="s">
        <v>1230</v>
      </c>
      <c r="D163" s="538" t="s">
        <v>1231</v>
      </c>
      <c r="E163" s="538" t="s">
        <v>1232</v>
      </c>
      <c r="F163" s="539" t="s">
        <v>39</v>
      </c>
      <c r="G163" s="540" t="s">
        <v>40</v>
      </c>
      <c r="H163" s="595" t="s">
        <v>423</v>
      </c>
      <c r="I163" s="541" t="s">
        <v>474</v>
      </c>
      <c r="J163" s="541" t="s">
        <v>43</v>
      </c>
      <c r="K163" s="542" t="s">
        <v>1233</v>
      </c>
      <c r="L163" s="586" t="s">
        <v>442</v>
      </c>
      <c r="M163" s="541" t="s">
        <v>1234</v>
      </c>
      <c r="N163" s="542" t="s">
        <v>1235</v>
      </c>
      <c r="O163" s="541" t="s">
        <v>1236</v>
      </c>
      <c r="P163" s="541" t="s">
        <v>145</v>
      </c>
      <c r="Q163" s="541" t="s">
        <v>468</v>
      </c>
      <c r="R163" s="541" t="s">
        <v>455</v>
      </c>
      <c r="S163" s="541" t="s">
        <v>431</v>
      </c>
      <c r="T163" s="541" t="s">
        <v>1107</v>
      </c>
      <c r="U163" s="541"/>
      <c r="V163" s="543" t="s">
        <v>505</v>
      </c>
      <c r="W163" s="544" t="s">
        <v>459</v>
      </c>
      <c r="X163" s="541"/>
      <c r="Y163" s="545"/>
      <c r="Z163" s="546"/>
      <c r="AA163" s="605" t="s">
        <v>435</v>
      </c>
      <c r="AB163" s="891" t="s">
        <v>436</v>
      </c>
      <c r="AC163" s="596"/>
      <c r="AD163" s="596"/>
      <c r="AE163" s="596"/>
      <c r="AF163" s="596"/>
      <c r="AG163" s="596"/>
      <c r="AH163" s="596"/>
      <c r="AI163" s="596"/>
      <c r="AJ163" s="547"/>
    </row>
    <row r="164" spans="1:36" ht="101.5">
      <c r="A164" s="535" t="s">
        <v>1237</v>
      </c>
      <c r="B164" s="536" t="s">
        <v>1238</v>
      </c>
      <c r="C164" s="537" t="s">
        <v>1239</v>
      </c>
      <c r="D164" s="576" t="s">
        <v>1240</v>
      </c>
      <c r="E164" s="538" t="s">
        <v>1241</v>
      </c>
      <c r="F164" s="539" t="s">
        <v>39</v>
      </c>
      <c r="G164" s="540" t="s">
        <v>40</v>
      </c>
      <c r="H164" s="541" t="s">
        <v>423</v>
      </c>
      <c r="I164" s="541" t="s">
        <v>102</v>
      </c>
      <c r="J164" s="541" t="s">
        <v>43</v>
      </c>
      <c r="K164" s="542" t="s">
        <v>1242</v>
      </c>
      <c r="L164" s="586" t="s">
        <v>442</v>
      </c>
      <c r="M164" s="541" t="s">
        <v>1243</v>
      </c>
      <c r="N164" s="542" t="s">
        <v>1244</v>
      </c>
      <c r="O164" s="541" t="s">
        <v>1245</v>
      </c>
      <c r="P164" s="541" t="s">
        <v>136</v>
      </c>
      <c r="Q164" s="541" t="s">
        <v>468</v>
      </c>
      <c r="R164" s="541" t="s">
        <v>455</v>
      </c>
      <c r="S164" s="541" t="s">
        <v>431</v>
      </c>
      <c r="T164" s="541" t="s">
        <v>469</v>
      </c>
      <c r="U164" s="541"/>
      <c r="V164" s="543" t="s">
        <v>497</v>
      </c>
      <c r="W164" s="544" t="s">
        <v>459</v>
      </c>
      <c r="X164" s="541"/>
      <c r="Y164" s="545"/>
      <c r="Z164" s="546"/>
      <c r="AA164" s="605" t="s">
        <v>435</v>
      </c>
      <c r="AB164" s="891" t="s">
        <v>436</v>
      </c>
      <c r="AC164" s="596"/>
      <c r="AD164" s="596"/>
      <c r="AE164" s="596"/>
      <c r="AF164" s="596"/>
      <c r="AG164" s="596"/>
      <c r="AH164" s="596"/>
      <c r="AI164" s="596"/>
      <c r="AJ164" s="547"/>
    </row>
    <row r="165" spans="1:36" ht="130.5">
      <c r="A165" s="535" t="s">
        <v>1237</v>
      </c>
      <c r="B165" s="536" t="s">
        <v>1246</v>
      </c>
      <c r="C165" s="537" t="s">
        <v>1247</v>
      </c>
      <c r="D165" s="576" t="s">
        <v>1248</v>
      </c>
      <c r="E165" s="538" t="s">
        <v>1249</v>
      </c>
      <c r="F165" s="539" t="s">
        <v>39</v>
      </c>
      <c r="G165" s="540" t="s">
        <v>40</v>
      </c>
      <c r="H165" s="595" t="s">
        <v>423</v>
      </c>
      <c r="I165" s="541" t="s">
        <v>102</v>
      </c>
      <c r="J165" s="541" t="s">
        <v>43</v>
      </c>
      <c r="K165" s="542" t="s">
        <v>1250</v>
      </c>
      <c r="L165" s="586" t="s">
        <v>442</v>
      </c>
      <c r="M165" s="541" t="s">
        <v>1251</v>
      </c>
      <c r="N165" s="542" t="s">
        <v>1252</v>
      </c>
      <c r="O165" s="541" t="s">
        <v>1253</v>
      </c>
      <c r="P165" s="541" t="s">
        <v>145</v>
      </c>
      <c r="Q165" s="541" t="s">
        <v>468</v>
      </c>
      <c r="R165" s="541" t="s">
        <v>537</v>
      </c>
      <c r="S165" s="541" t="s">
        <v>431</v>
      </c>
      <c r="T165" s="541" t="s">
        <v>538</v>
      </c>
      <c r="U165" s="541"/>
      <c r="V165" s="543" t="s">
        <v>539</v>
      </c>
      <c r="W165" s="544" t="s">
        <v>845</v>
      </c>
      <c r="X165" s="541"/>
      <c r="Y165" s="545"/>
      <c r="Z165" s="546"/>
      <c r="AA165" s="605" t="s">
        <v>518</v>
      </c>
      <c r="AB165" s="891" t="s">
        <v>1254</v>
      </c>
      <c r="AC165" s="596"/>
      <c r="AD165" s="596"/>
      <c r="AE165" s="596"/>
      <c r="AF165" s="596"/>
      <c r="AG165" s="596"/>
      <c r="AH165" s="596"/>
      <c r="AI165" s="596"/>
      <c r="AJ165" s="547"/>
    </row>
    <row r="166" spans="1:36" ht="87">
      <c r="A166" s="535" t="s">
        <v>106</v>
      </c>
      <c r="B166" s="536" t="s">
        <v>1255</v>
      </c>
      <c r="C166" s="537" t="s">
        <v>1256</v>
      </c>
      <c r="D166" s="576" t="s">
        <v>1257</v>
      </c>
      <c r="E166" s="538" t="s">
        <v>1258</v>
      </c>
      <c r="F166" s="539" t="s">
        <v>39</v>
      </c>
      <c r="G166" s="540" t="s">
        <v>40</v>
      </c>
      <c r="H166" s="541" t="s">
        <v>423</v>
      </c>
      <c r="I166" s="541" t="s">
        <v>102</v>
      </c>
      <c r="J166" s="541" t="s">
        <v>43</v>
      </c>
      <c r="K166" s="542" t="s">
        <v>1259</v>
      </c>
      <c r="L166" s="586" t="s">
        <v>442</v>
      </c>
      <c r="M166" s="541" t="s">
        <v>1260</v>
      </c>
      <c r="N166" s="542" t="s">
        <v>1261</v>
      </c>
      <c r="O166" s="541" t="s">
        <v>1262</v>
      </c>
      <c r="P166" s="541" t="s">
        <v>145</v>
      </c>
      <c r="Q166" s="541" t="s">
        <v>1183</v>
      </c>
      <c r="R166" s="541" t="s">
        <v>455</v>
      </c>
      <c r="S166" s="541" t="s">
        <v>516</v>
      </c>
      <c r="T166" s="541" t="s">
        <v>457</v>
      </c>
      <c r="U166" s="541"/>
      <c r="V166" s="543" t="s">
        <v>793</v>
      </c>
      <c r="W166" s="544" t="s">
        <v>459</v>
      </c>
      <c r="X166" s="541"/>
      <c r="Y166" s="545"/>
      <c r="Z166" s="546"/>
      <c r="AA166" s="605" t="s">
        <v>518</v>
      </c>
      <c r="AB166" s="891" t="s">
        <v>1254</v>
      </c>
      <c r="AC166" s="596"/>
      <c r="AD166" s="596"/>
      <c r="AE166" s="596"/>
      <c r="AF166" s="596"/>
      <c r="AG166" s="596"/>
      <c r="AH166" s="596"/>
      <c r="AI166" s="596"/>
      <c r="AJ166" s="547"/>
    </row>
    <row r="167" spans="1:36" ht="87.5">
      <c r="A167" s="535" t="s">
        <v>1237</v>
      </c>
      <c r="B167" s="536" t="s">
        <v>1263</v>
      </c>
      <c r="C167" s="537" t="s">
        <v>1264</v>
      </c>
      <c r="D167" s="538" t="s">
        <v>1265</v>
      </c>
      <c r="E167" s="538" t="s">
        <v>1266</v>
      </c>
      <c r="F167" s="539" t="s">
        <v>39</v>
      </c>
      <c r="G167" s="540" t="s">
        <v>40</v>
      </c>
      <c r="H167" s="541" t="s">
        <v>423</v>
      </c>
      <c r="I167" s="541" t="s">
        <v>102</v>
      </c>
      <c r="J167" s="541" t="s">
        <v>43</v>
      </c>
      <c r="K167" s="542" t="s">
        <v>1267</v>
      </c>
      <c r="L167" s="586" t="s">
        <v>442</v>
      </c>
      <c r="M167" s="541" t="s">
        <v>1268</v>
      </c>
      <c r="N167" s="542" t="s">
        <v>1269</v>
      </c>
      <c r="O167" s="541" t="s">
        <v>1270</v>
      </c>
      <c r="P167" s="541" t="s">
        <v>1096</v>
      </c>
      <c r="Q167" s="541" t="s">
        <v>1183</v>
      </c>
      <c r="R167" s="541" t="s">
        <v>861</v>
      </c>
      <c r="S167" s="541" t="s">
        <v>1271</v>
      </c>
      <c r="T167" s="541" t="s">
        <v>527</v>
      </c>
      <c r="U167" s="541"/>
      <c r="V167" s="543" t="s">
        <v>1272</v>
      </c>
      <c r="W167" s="544" t="s">
        <v>692</v>
      </c>
      <c r="X167" s="541"/>
      <c r="Y167" s="545"/>
      <c r="Z167" s="546"/>
      <c r="AA167" s="605" t="s">
        <v>435</v>
      </c>
      <c r="AB167" s="891" t="s">
        <v>1254</v>
      </c>
      <c r="AC167" s="596"/>
      <c r="AD167" s="596"/>
      <c r="AE167" s="596"/>
      <c r="AF167" s="596"/>
      <c r="AG167" s="596"/>
      <c r="AH167" s="596"/>
      <c r="AI167" s="596"/>
      <c r="AJ167" s="547"/>
    </row>
    <row r="168" spans="1:36" ht="87">
      <c r="A168" s="535" t="s">
        <v>106</v>
      </c>
      <c r="B168" s="536" t="s">
        <v>437</v>
      </c>
      <c r="C168" s="537" t="s">
        <v>1273</v>
      </c>
      <c r="D168" s="576" t="s">
        <v>1274</v>
      </c>
      <c r="E168" s="538" t="s">
        <v>1275</v>
      </c>
      <c r="F168" s="539" t="s">
        <v>545</v>
      </c>
      <c r="G168" s="540" t="s">
        <v>546</v>
      </c>
      <c r="H168" s="541" t="s">
        <v>423</v>
      </c>
      <c r="I168" s="541" t="s">
        <v>102</v>
      </c>
      <c r="J168" s="541" t="s">
        <v>232</v>
      </c>
      <c r="K168" s="542" t="s">
        <v>1276</v>
      </c>
      <c r="L168" s="586" t="s">
        <v>442</v>
      </c>
      <c r="M168" s="541" t="s">
        <v>524</v>
      </c>
      <c r="N168" s="542" t="s">
        <v>1277</v>
      </c>
      <c r="O168" s="541" t="s">
        <v>1278</v>
      </c>
      <c r="P168" s="541" t="s">
        <v>145</v>
      </c>
      <c r="Q168" s="541" t="s">
        <v>1183</v>
      </c>
      <c r="R168" s="541" t="s">
        <v>861</v>
      </c>
      <c r="S168" s="541" t="s">
        <v>1279</v>
      </c>
      <c r="T168" s="541" t="s">
        <v>551</v>
      </c>
      <c r="U168" s="541"/>
      <c r="V168" s="543" t="s">
        <v>1185</v>
      </c>
      <c r="W168" s="544" t="s">
        <v>434</v>
      </c>
      <c r="X168" s="541"/>
      <c r="Y168" s="545"/>
      <c r="Z168" s="546"/>
      <c r="AA168" s="605" t="s">
        <v>435</v>
      </c>
      <c r="AB168" s="891" t="s">
        <v>1254</v>
      </c>
      <c r="AC168" s="596"/>
      <c r="AD168" s="596"/>
      <c r="AE168" s="596"/>
      <c r="AF168" s="596"/>
      <c r="AG168" s="596"/>
      <c r="AH168" s="596"/>
      <c r="AI168" s="596"/>
      <c r="AJ168" s="547"/>
    </row>
    <row r="169" spans="1:36" ht="87">
      <c r="A169" s="535" t="s">
        <v>106</v>
      </c>
      <c r="B169" s="536" t="s">
        <v>447</v>
      </c>
      <c r="C169" s="537" t="s">
        <v>1280</v>
      </c>
      <c r="D169" s="576" t="s">
        <v>1281</v>
      </c>
      <c r="E169" s="538" t="s">
        <v>1282</v>
      </c>
      <c r="F169" s="539" t="s">
        <v>39</v>
      </c>
      <c r="G169" s="540" t="s">
        <v>40</v>
      </c>
      <c r="H169" s="541" t="s">
        <v>423</v>
      </c>
      <c r="I169" s="541" t="s">
        <v>102</v>
      </c>
      <c r="J169" s="541" t="s">
        <v>43</v>
      </c>
      <c r="K169" s="542" t="s">
        <v>1283</v>
      </c>
      <c r="L169" s="586" t="s">
        <v>442</v>
      </c>
      <c r="M169" s="541" t="s">
        <v>1284</v>
      </c>
      <c r="N169" s="542" t="s">
        <v>1285</v>
      </c>
      <c r="O169" s="541" t="s">
        <v>1286</v>
      </c>
      <c r="P169" s="541" t="s">
        <v>145</v>
      </c>
      <c r="Q169" s="541" t="s">
        <v>468</v>
      </c>
      <c r="R169" s="541" t="s">
        <v>455</v>
      </c>
      <c r="S169" s="541" t="s">
        <v>664</v>
      </c>
      <c r="T169" s="541" t="s">
        <v>1287</v>
      </c>
      <c r="U169" s="541"/>
      <c r="V169" s="543" t="s">
        <v>470</v>
      </c>
      <c r="W169" s="544" t="s">
        <v>434</v>
      </c>
      <c r="X169" s="541"/>
      <c r="Y169" s="545"/>
      <c r="Z169" s="546"/>
      <c r="AA169" s="605" t="s">
        <v>435</v>
      </c>
      <c r="AB169" s="891" t="s">
        <v>1254</v>
      </c>
      <c r="AC169" s="596"/>
      <c r="AD169" s="596"/>
      <c r="AE169" s="596"/>
      <c r="AF169" s="596"/>
      <c r="AG169" s="596"/>
      <c r="AH169" s="596"/>
      <c r="AI169" s="596"/>
      <c r="AJ169" s="547"/>
    </row>
    <row r="170" spans="1:36" ht="75">
      <c r="A170" s="535" t="s">
        <v>1237</v>
      </c>
      <c r="B170" s="536" t="s">
        <v>1288</v>
      </c>
      <c r="C170" s="537" t="s">
        <v>1289</v>
      </c>
      <c r="D170" s="576" t="s">
        <v>1290</v>
      </c>
      <c r="E170" s="538" t="s">
        <v>1291</v>
      </c>
      <c r="F170" s="539" t="s">
        <v>39</v>
      </c>
      <c r="G170" s="540" t="s">
        <v>40</v>
      </c>
      <c r="H170" s="541" t="s">
        <v>423</v>
      </c>
      <c r="I170" s="541" t="s">
        <v>474</v>
      </c>
      <c r="J170" s="541" t="s">
        <v>43</v>
      </c>
      <c r="K170" s="542" t="s">
        <v>1292</v>
      </c>
      <c r="L170" s="586" t="s">
        <v>442</v>
      </c>
      <c r="M170" s="541" t="s">
        <v>1260</v>
      </c>
      <c r="N170" s="542" t="s">
        <v>1293</v>
      </c>
      <c r="O170" s="541" t="s">
        <v>1294</v>
      </c>
      <c r="P170" s="541" t="s">
        <v>136</v>
      </c>
      <c r="Q170" s="541" t="s">
        <v>468</v>
      </c>
      <c r="R170" s="541" t="s">
        <v>1295</v>
      </c>
      <c r="S170" s="541" t="s">
        <v>431</v>
      </c>
      <c r="T170" s="541" t="s">
        <v>457</v>
      </c>
      <c r="U170" s="541"/>
      <c r="V170" s="543" t="s">
        <v>1296</v>
      </c>
      <c r="W170" s="544" t="s">
        <v>1297</v>
      </c>
      <c r="X170" s="541"/>
      <c r="Y170" s="545"/>
      <c r="Z170" s="546"/>
      <c r="AA170" s="605" t="s">
        <v>518</v>
      </c>
      <c r="AB170" s="891" t="s">
        <v>1254</v>
      </c>
      <c r="AC170" s="596"/>
      <c r="AD170" s="596"/>
      <c r="AE170" s="596"/>
      <c r="AF170" s="596"/>
      <c r="AG170" s="596"/>
      <c r="AH170" s="596"/>
      <c r="AI170" s="596"/>
      <c r="AJ170" s="547"/>
    </row>
    <row r="171" spans="1:36" ht="87.5">
      <c r="A171" s="535" t="s">
        <v>1237</v>
      </c>
      <c r="B171" s="536" t="s">
        <v>1298</v>
      </c>
      <c r="C171" s="537" t="s">
        <v>1299</v>
      </c>
      <c r="D171" s="538" t="s">
        <v>1300</v>
      </c>
      <c r="E171" s="538" t="s">
        <v>1301</v>
      </c>
      <c r="F171" s="539" t="s">
        <v>39</v>
      </c>
      <c r="G171" s="540" t="s">
        <v>40</v>
      </c>
      <c r="H171" s="541" t="s">
        <v>423</v>
      </c>
      <c r="I171" s="541" t="s">
        <v>474</v>
      </c>
      <c r="J171" s="541" t="s">
        <v>43</v>
      </c>
      <c r="K171" s="542" t="s">
        <v>1302</v>
      </c>
      <c r="L171" s="586" t="s">
        <v>442</v>
      </c>
      <c r="M171" s="541" t="s">
        <v>1215</v>
      </c>
      <c r="N171" s="542" t="s">
        <v>1303</v>
      </c>
      <c r="O171" s="541" t="s">
        <v>1304</v>
      </c>
      <c r="P171" s="541" t="s">
        <v>145</v>
      </c>
      <c r="Q171" s="541" t="s">
        <v>468</v>
      </c>
      <c r="R171" s="541" t="s">
        <v>537</v>
      </c>
      <c r="S171" s="541" t="s">
        <v>431</v>
      </c>
      <c r="T171" s="541" t="s">
        <v>538</v>
      </c>
      <c r="U171" s="541"/>
      <c r="V171" s="543" t="s">
        <v>539</v>
      </c>
      <c r="W171" s="544" t="s">
        <v>540</v>
      </c>
      <c r="X171" s="541"/>
      <c r="Y171" s="545"/>
      <c r="Z171" s="546"/>
      <c r="AA171" s="605" t="s">
        <v>518</v>
      </c>
      <c r="AB171" s="891" t="s">
        <v>1305</v>
      </c>
      <c r="AC171" s="596"/>
      <c r="AD171" s="596"/>
      <c r="AE171" s="596"/>
      <c r="AF171" s="596"/>
      <c r="AG171" s="596"/>
      <c r="AH171" s="596"/>
      <c r="AI171" s="596"/>
      <c r="AJ171" s="547"/>
    </row>
    <row r="172" spans="1:36" ht="101.5">
      <c r="A172" s="535" t="s">
        <v>1237</v>
      </c>
      <c r="B172" s="536" t="s">
        <v>1306</v>
      </c>
      <c r="C172" s="537" t="s">
        <v>1307</v>
      </c>
      <c r="D172" s="538" t="s">
        <v>1308</v>
      </c>
      <c r="E172" s="538" t="s">
        <v>1309</v>
      </c>
      <c r="F172" s="539" t="s">
        <v>39</v>
      </c>
      <c r="G172" s="540" t="s">
        <v>40</v>
      </c>
      <c r="H172" s="595" t="s">
        <v>423</v>
      </c>
      <c r="I172" s="541" t="s">
        <v>474</v>
      </c>
      <c r="J172" s="541" t="s">
        <v>43</v>
      </c>
      <c r="K172" s="542" t="s">
        <v>1310</v>
      </c>
      <c r="L172" s="586" t="s">
        <v>442</v>
      </c>
      <c r="M172" s="541" t="s">
        <v>1311</v>
      </c>
      <c r="N172" s="542" t="s">
        <v>1312</v>
      </c>
      <c r="O172" s="541" t="s">
        <v>1313</v>
      </c>
      <c r="P172" s="541" t="s">
        <v>136</v>
      </c>
      <c r="Q172" s="541" t="s">
        <v>468</v>
      </c>
      <c r="R172" s="541" t="s">
        <v>455</v>
      </c>
      <c r="S172" s="541" t="s">
        <v>664</v>
      </c>
      <c r="T172" s="541" t="s">
        <v>745</v>
      </c>
      <c r="U172" s="541"/>
      <c r="V172" s="543" t="s">
        <v>470</v>
      </c>
      <c r="W172" s="544" t="s">
        <v>528</v>
      </c>
      <c r="X172" s="541"/>
      <c r="Y172" s="545"/>
      <c r="Z172" s="546"/>
      <c r="AA172" s="605" t="s">
        <v>518</v>
      </c>
      <c r="AB172" s="891" t="s">
        <v>436</v>
      </c>
      <c r="AC172" s="596"/>
      <c r="AD172" s="596"/>
      <c r="AE172" s="596"/>
      <c r="AF172" s="596"/>
      <c r="AG172" s="596"/>
      <c r="AH172" s="596"/>
      <c r="AI172" s="596"/>
      <c r="AJ172" s="547"/>
    </row>
    <row r="173" spans="1:36" ht="101.5">
      <c r="A173" s="535" t="s">
        <v>106</v>
      </c>
      <c r="B173" s="536" t="s">
        <v>1314</v>
      </c>
      <c r="C173" s="537" t="s">
        <v>1315</v>
      </c>
      <c r="D173" s="576" t="s">
        <v>1316</v>
      </c>
      <c r="E173" s="538" t="s">
        <v>1317</v>
      </c>
      <c r="F173" s="539" t="s">
        <v>39</v>
      </c>
      <c r="G173" s="540" t="s">
        <v>40</v>
      </c>
      <c r="H173" s="541" t="s">
        <v>423</v>
      </c>
      <c r="I173" s="541" t="s">
        <v>102</v>
      </c>
      <c r="J173" s="541" t="s">
        <v>43</v>
      </c>
      <c r="K173" s="542" t="s">
        <v>1318</v>
      </c>
      <c r="L173" s="586" t="s">
        <v>442</v>
      </c>
      <c r="M173" s="541" t="s">
        <v>1319</v>
      </c>
      <c r="N173" s="542" t="s">
        <v>1320</v>
      </c>
      <c r="O173" s="541" t="s">
        <v>1321</v>
      </c>
      <c r="P173" s="541" t="s">
        <v>136</v>
      </c>
      <c r="Q173" s="541" t="s">
        <v>1183</v>
      </c>
      <c r="R173" s="541" t="s">
        <v>861</v>
      </c>
      <c r="S173" s="541" t="s">
        <v>431</v>
      </c>
      <c r="T173" s="541" t="s">
        <v>469</v>
      </c>
      <c r="U173" s="541"/>
      <c r="V173" s="543" t="s">
        <v>1185</v>
      </c>
      <c r="W173" s="544" t="s">
        <v>434</v>
      </c>
      <c r="X173" s="541"/>
      <c r="Y173" s="545"/>
      <c r="Z173" s="546"/>
      <c r="AA173" s="605" t="s">
        <v>435</v>
      </c>
      <c r="AB173" s="891" t="s">
        <v>436</v>
      </c>
      <c r="AC173" s="596"/>
      <c r="AD173" s="596"/>
      <c r="AE173" s="596"/>
      <c r="AF173" s="596"/>
      <c r="AG173" s="596"/>
      <c r="AH173" s="596"/>
      <c r="AI173" s="596"/>
      <c r="AJ173" s="547"/>
    </row>
    <row r="174" spans="1:36" ht="87.5">
      <c r="A174" s="535" t="s">
        <v>106</v>
      </c>
      <c r="B174" s="536" t="s">
        <v>1322</v>
      </c>
      <c r="C174" s="537" t="s">
        <v>1323</v>
      </c>
      <c r="D174" s="576" t="s">
        <v>1324</v>
      </c>
      <c r="E174" s="538" t="s">
        <v>1325</v>
      </c>
      <c r="F174" s="539" t="s">
        <v>39</v>
      </c>
      <c r="G174" s="540" t="s">
        <v>40</v>
      </c>
      <c r="H174" s="541" t="s">
        <v>423</v>
      </c>
      <c r="I174" s="541" t="s">
        <v>102</v>
      </c>
      <c r="J174" s="541" t="s">
        <v>43</v>
      </c>
      <c r="K174" s="542" t="s">
        <v>1326</v>
      </c>
      <c r="L174" s="586" t="s">
        <v>442</v>
      </c>
      <c r="M174" s="541" t="s">
        <v>1327</v>
      </c>
      <c r="N174" s="542" t="s">
        <v>1328</v>
      </c>
      <c r="O174" s="541" t="s">
        <v>1329</v>
      </c>
      <c r="P174" s="541" t="s">
        <v>1096</v>
      </c>
      <c r="Q174" s="541" t="s">
        <v>1183</v>
      </c>
      <c r="R174" s="541" t="s">
        <v>861</v>
      </c>
      <c r="S174" s="541" t="s">
        <v>1330</v>
      </c>
      <c r="T174" s="541" t="s">
        <v>527</v>
      </c>
      <c r="U174" s="541"/>
      <c r="V174" s="543" t="s">
        <v>1185</v>
      </c>
      <c r="W174" s="598" t="s">
        <v>434</v>
      </c>
      <c r="X174" s="599"/>
      <c r="Y174" s="600"/>
      <c r="Z174" s="546"/>
      <c r="AA174" s="605" t="s">
        <v>435</v>
      </c>
      <c r="AB174" s="891" t="s">
        <v>436</v>
      </c>
      <c r="AC174" s="596"/>
      <c r="AD174" s="596"/>
      <c r="AE174" s="596"/>
      <c r="AF174" s="596"/>
      <c r="AG174" s="596"/>
      <c r="AH174" s="596"/>
      <c r="AI174" s="596"/>
      <c r="AJ174" s="547"/>
    </row>
    <row r="175" spans="1:36" ht="87">
      <c r="A175" s="535" t="s">
        <v>1237</v>
      </c>
      <c r="B175" s="536" t="s">
        <v>1331</v>
      </c>
      <c r="C175" s="537" t="s">
        <v>1332</v>
      </c>
      <c r="D175" s="576" t="s">
        <v>1333</v>
      </c>
      <c r="E175" s="576" t="s">
        <v>1334</v>
      </c>
      <c r="F175" s="539" t="s">
        <v>545</v>
      </c>
      <c r="G175" s="540" t="s">
        <v>546</v>
      </c>
      <c r="H175" s="541" t="s">
        <v>423</v>
      </c>
      <c r="I175" s="541" t="s">
        <v>86</v>
      </c>
      <c r="J175" s="541" t="s">
        <v>43</v>
      </c>
      <c r="K175" s="542" t="s">
        <v>1335</v>
      </c>
      <c r="L175" s="586" t="s">
        <v>442</v>
      </c>
      <c r="M175" s="541" t="s">
        <v>652</v>
      </c>
      <c r="N175" s="542" t="s">
        <v>1336</v>
      </c>
      <c r="O175" s="541" t="s">
        <v>1337</v>
      </c>
      <c r="P175" s="541" t="s">
        <v>145</v>
      </c>
      <c r="Q175" s="541" t="s">
        <v>1338</v>
      </c>
      <c r="R175" s="541" t="s">
        <v>1295</v>
      </c>
      <c r="S175" s="541" t="s">
        <v>1339</v>
      </c>
      <c r="T175" s="541" t="s">
        <v>551</v>
      </c>
      <c r="U175" s="541"/>
      <c r="V175" s="597" t="s">
        <v>1296</v>
      </c>
      <c r="W175" s="544" t="s">
        <v>1340</v>
      </c>
      <c r="X175" s="540"/>
      <c r="Y175" s="545"/>
      <c r="Z175" s="545"/>
      <c r="AA175" s="605" t="s">
        <v>435</v>
      </c>
      <c r="AB175" s="891" t="s">
        <v>436</v>
      </c>
      <c r="AC175" s="596"/>
      <c r="AD175" s="596"/>
      <c r="AE175" s="596"/>
      <c r="AF175" s="596"/>
      <c r="AG175" s="596"/>
      <c r="AH175" s="596"/>
      <c r="AI175" s="596"/>
      <c r="AJ175" s="547"/>
    </row>
    <row r="176" spans="1:36" ht="87.5">
      <c r="A176" s="535" t="s">
        <v>1237</v>
      </c>
      <c r="B176" s="536" t="s">
        <v>1341</v>
      </c>
      <c r="C176" s="537" t="s">
        <v>1342</v>
      </c>
      <c r="D176" s="538" t="s">
        <v>1343</v>
      </c>
      <c r="E176" s="538" t="s">
        <v>1344</v>
      </c>
      <c r="F176" s="539" t="s">
        <v>39</v>
      </c>
      <c r="G176" s="540" t="s">
        <v>40</v>
      </c>
      <c r="H176" s="541" t="s">
        <v>423</v>
      </c>
      <c r="I176" s="541" t="s">
        <v>474</v>
      </c>
      <c r="J176" s="541" t="s">
        <v>43</v>
      </c>
      <c r="K176" s="542" t="s">
        <v>1345</v>
      </c>
      <c r="L176" s="586" t="s">
        <v>442</v>
      </c>
      <c r="M176" s="541" t="s">
        <v>1140</v>
      </c>
      <c r="N176" s="542" t="s">
        <v>1346</v>
      </c>
      <c r="O176" s="541" t="s">
        <v>1347</v>
      </c>
      <c r="P176" s="541" t="s">
        <v>136</v>
      </c>
      <c r="Q176" s="541" t="s">
        <v>468</v>
      </c>
      <c r="R176" s="541" t="s">
        <v>1295</v>
      </c>
      <c r="S176" s="541" t="s">
        <v>431</v>
      </c>
      <c r="T176" s="541" t="s">
        <v>457</v>
      </c>
      <c r="U176" s="541"/>
      <c r="V176" s="597" t="s">
        <v>1296</v>
      </c>
      <c r="W176" s="544" t="s">
        <v>1340</v>
      </c>
      <c r="X176" s="540"/>
      <c r="Y176" s="545"/>
      <c r="Z176" s="545"/>
      <c r="AA176" s="605" t="s">
        <v>518</v>
      </c>
      <c r="AB176" s="891" t="s">
        <v>436</v>
      </c>
      <c r="AC176" s="596"/>
      <c r="AD176" s="596"/>
      <c r="AE176" s="596"/>
      <c r="AF176" s="596"/>
      <c r="AG176" s="596"/>
      <c r="AH176" s="596"/>
      <c r="AI176" s="596"/>
      <c r="AJ176" s="547"/>
    </row>
    <row r="177" spans="1:36" ht="75">
      <c r="A177" s="535" t="s">
        <v>106</v>
      </c>
      <c r="B177" s="536" t="s">
        <v>1348</v>
      </c>
      <c r="C177" s="580" t="s">
        <v>1349</v>
      </c>
      <c r="D177" s="576" t="s">
        <v>1350</v>
      </c>
      <c r="E177" s="576" t="s">
        <v>1351</v>
      </c>
      <c r="F177" s="539" t="s">
        <v>39</v>
      </c>
      <c r="G177" s="540" t="s">
        <v>40</v>
      </c>
      <c r="H177" s="541" t="s">
        <v>423</v>
      </c>
      <c r="I177" s="541" t="s">
        <v>102</v>
      </c>
      <c r="J177" s="541" t="s">
        <v>43</v>
      </c>
      <c r="K177" s="542" t="s">
        <v>1352</v>
      </c>
      <c r="L177" s="586" t="s">
        <v>425</v>
      </c>
      <c r="M177" s="541" t="s">
        <v>1353</v>
      </c>
      <c r="N177" s="542" t="s">
        <v>1354</v>
      </c>
      <c r="O177" s="541" t="s">
        <v>1355</v>
      </c>
      <c r="P177" s="541" t="s">
        <v>145</v>
      </c>
      <c r="Q177" s="541" t="s">
        <v>1338</v>
      </c>
      <c r="R177" s="541" t="s">
        <v>1295</v>
      </c>
      <c r="S177" s="541" t="s">
        <v>1356</v>
      </c>
      <c r="T177" s="541" t="s">
        <v>1357</v>
      </c>
      <c r="U177" s="541"/>
      <c r="V177" s="597" t="s">
        <v>1296</v>
      </c>
      <c r="W177" s="544" t="s">
        <v>1340</v>
      </c>
      <c r="X177" s="540"/>
      <c r="Y177" s="545"/>
      <c r="Z177" s="545"/>
      <c r="AA177" s="605" t="s">
        <v>518</v>
      </c>
      <c r="AB177" s="891" t="s">
        <v>436</v>
      </c>
      <c r="AC177" s="596"/>
      <c r="AD177" s="596"/>
      <c r="AE177" s="596"/>
      <c r="AF177" s="596"/>
      <c r="AG177" s="596"/>
      <c r="AH177" s="596"/>
      <c r="AI177" s="596"/>
      <c r="AJ177" s="547"/>
    </row>
    <row r="178" spans="1:36" ht="72.5">
      <c r="A178" s="535" t="s">
        <v>106</v>
      </c>
      <c r="B178" s="536" t="s">
        <v>1358</v>
      </c>
      <c r="C178" s="537" t="s">
        <v>1359</v>
      </c>
      <c r="D178" s="538" t="s">
        <v>1360</v>
      </c>
      <c r="E178" s="538" t="s">
        <v>1361</v>
      </c>
      <c r="F178" s="539" t="s">
        <v>39</v>
      </c>
      <c r="G178" s="540" t="s">
        <v>40</v>
      </c>
      <c r="H178" s="578" t="s">
        <v>423</v>
      </c>
      <c r="I178" s="541" t="s">
        <v>474</v>
      </c>
      <c r="J178" s="541" t="s">
        <v>43</v>
      </c>
      <c r="K178" s="542" t="s">
        <v>564</v>
      </c>
      <c r="L178" s="586" t="s">
        <v>442</v>
      </c>
      <c r="M178" s="541" t="s">
        <v>565</v>
      </c>
      <c r="N178" s="542" t="s">
        <v>1362</v>
      </c>
      <c r="O178" s="541" t="s">
        <v>1363</v>
      </c>
      <c r="P178" s="541" t="s">
        <v>136</v>
      </c>
      <c r="Q178" s="541" t="s">
        <v>1338</v>
      </c>
      <c r="R178" s="541" t="s">
        <v>1295</v>
      </c>
      <c r="S178" s="541" t="s">
        <v>431</v>
      </c>
      <c r="T178" s="541" t="s">
        <v>457</v>
      </c>
      <c r="U178" s="541"/>
      <c r="V178" s="597" t="s">
        <v>793</v>
      </c>
      <c r="W178" s="544" t="s">
        <v>1364</v>
      </c>
      <c r="X178" s="540"/>
      <c r="Y178" s="545"/>
      <c r="Z178" s="545"/>
      <c r="AA178" s="605" t="s">
        <v>435</v>
      </c>
      <c r="AB178" s="891" t="s">
        <v>436</v>
      </c>
      <c r="AC178" s="596"/>
      <c r="AD178" s="596"/>
      <c r="AE178" s="596"/>
      <c r="AF178" s="596"/>
      <c r="AG178" s="596"/>
      <c r="AH178" s="596"/>
      <c r="AI178" s="596"/>
      <c r="AJ178" s="547"/>
    </row>
    <row r="179" spans="1:36" ht="75">
      <c r="A179" s="535" t="s">
        <v>106</v>
      </c>
      <c r="B179" s="536" t="s">
        <v>1365</v>
      </c>
      <c r="C179" s="537" t="s">
        <v>1366</v>
      </c>
      <c r="D179" s="576" t="s">
        <v>1367</v>
      </c>
      <c r="E179" s="538" t="s">
        <v>1368</v>
      </c>
      <c r="F179" s="539" t="s">
        <v>39</v>
      </c>
      <c r="G179" s="540" t="s">
        <v>40</v>
      </c>
      <c r="H179" s="541" t="s">
        <v>423</v>
      </c>
      <c r="I179" s="541" t="s">
        <v>474</v>
      </c>
      <c r="J179" s="541" t="s">
        <v>43</v>
      </c>
      <c r="K179" s="542" t="s">
        <v>1369</v>
      </c>
      <c r="L179" s="586" t="s">
        <v>442</v>
      </c>
      <c r="M179" s="541" t="s">
        <v>1370</v>
      </c>
      <c r="N179" s="542" t="s">
        <v>1371</v>
      </c>
      <c r="O179" s="541" t="s">
        <v>1372</v>
      </c>
      <c r="P179" s="541" t="s">
        <v>145</v>
      </c>
      <c r="Q179" s="541" t="s">
        <v>1338</v>
      </c>
      <c r="R179" s="541" t="s">
        <v>1295</v>
      </c>
      <c r="S179" s="541" t="s">
        <v>1373</v>
      </c>
      <c r="T179" s="541" t="s">
        <v>1357</v>
      </c>
      <c r="U179" s="541"/>
      <c r="V179" s="597" t="s">
        <v>1296</v>
      </c>
      <c r="W179" s="544" t="s">
        <v>1340</v>
      </c>
      <c r="X179" s="540"/>
      <c r="Y179" s="545"/>
      <c r="Z179" s="545"/>
      <c r="AA179" s="605" t="s">
        <v>435</v>
      </c>
      <c r="AB179" s="891" t="s">
        <v>436</v>
      </c>
      <c r="AC179" s="596"/>
      <c r="AD179" s="596"/>
      <c r="AE179" s="596"/>
      <c r="AF179" s="596"/>
      <c r="AG179" s="596"/>
      <c r="AH179" s="596"/>
      <c r="AI179" s="596"/>
      <c r="AJ179" s="547"/>
    </row>
    <row r="180" spans="1:36" ht="87">
      <c r="A180" s="535" t="s">
        <v>106</v>
      </c>
      <c r="B180" s="536" t="s">
        <v>1365</v>
      </c>
      <c r="C180" s="537" t="s">
        <v>1374</v>
      </c>
      <c r="D180" s="538" t="s">
        <v>1375</v>
      </c>
      <c r="E180" s="538" t="s">
        <v>1376</v>
      </c>
      <c r="F180" s="539" t="s">
        <v>39</v>
      </c>
      <c r="G180" s="540" t="s">
        <v>40</v>
      </c>
      <c r="H180" s="541" t="s">
        <v>423</v>
      </c>
      <c r="I180" s="541" t="s">
        <v>474</v>
      </c>
      <c r="J180" s="541" t="s">
        <v>43</v>
      </c>
      <c r="K180" s="542" t="s">
        <v>1377</v>
      </c>
      <c r="L180" s="586" t="s">
        <v>442</v>
      </c>
      <c r="M180" s="541" t="s">
        <v>1378</v>
      </c>
      <c r="N180" s="542" t="s">
        <v>1379</v>
      </c>
      <c r="O180" s="541" t="s">
        <v>1380</v>
      </c>
      <c r="P180" s="541" t="s">
        <v>136</v>
      </c>
      <c r="Q180" s="541" t="s">
        <v>1338</v>
      </c>
      <c r="R180" s="541" t="s">
        <v>537</v>
      </c>
      <c r="S180" s="541" t="s">
        <v>1381</v>
      </c>
      <c r="T180" s="541" t="s">
        <v>745</v>
      </c>
      <c r="U180" s="541"/>
      <c r="V180" s="597" t="s">
        <v>1296</v>
      </c>
      <c r="W180" s="544" t="s">
        <v>845</v>
      </c>
      <c r="X180" s="540"/>
      <c r="Y180" s="545"/>
      <c r="Z180" s="545"/>
      <c r="AA180" s="605" t="s">
        <v>435</v>
      </c>
      <c r="AB180" s="891" t="s">
        <v>436</v>
      </c>
      <c r="AC180" s="596"/>
      <c r="AD180" s="596"/>
      <c r="AE180" s="596"/>
      <c r="AF180" s="596"/>
      <c r="AG180" s="596"/>
      <c r="AH180" s="596"/>
      <c r="AI180" s="596"/>
      <c r="AJ180" s="547"/>
    </row>
    <row r="181" spans="1:36" ht="101.5">
      <c r="A181" s="535" t="s">
        <v>1237</v>
      </c>
      <c r="B181" s="536" t="s">
        <v>1382</v>
      </c>
      <c r="C181" s="580" t="s">
        <v>1383</v>
      </c>
      <c r="D181" s="576" t="s">
        <v>1384</v>
      </c>
      <c r="E181" s="538" t="s">
        <v>1385</v>
      </c>
      <c r="F181" s="539" t="s">
        <v>39</v>
      </c>
      <c r="G181" s="540" t="s">
        <v>40</v>
      </c>
      <c r="H181" s="541" t="s">
        <v>423</v>
      </c>
      <c r="I181" s="541" t="s">
        <v>474</v>
      </c>
      <c r="J181" s="541" t="s">
        <v>43</v>
      </c>
      <c r="K181" s="542" t="s">
        <v>1386</v>
      </c>
      <c r="L181" s="586" t="s">
        <v>442</v>
      </c>
      <c r="M181" s="541" t="s">
        <v>1387</v>
      </c>
      <c r="N181" s="542" t="s">
        <v>1388</v>
      </c>
      <c r="O181" s="541" t="s">
        <v>1389</v>
      </c>
      <c r="P181" s="541" t="s">
        <v>145</v>
      </c>
      <c r="Q181" s="541" t="s">
        <v>1338</v>
      </c>
      <c r="R181" s="541" t="s">
        <v>1295</v>
      </c>
      <c r="S181" s="541" t="s">
        <v>1390</v>
      </c>
      <c r="T181" s="541" t="s">
        <v>487</v>
      </c>
      <c r="U181" s="541"/>
      <c r="V181" s="597" t="s">
        <v>1296</v>
      </c>
      <c r="W181" s="544" t="s">
        <v>692</v>
      </c>
      <c r="X181" s="540"/>
      <c r="Y181" s="545"/>
      <c r="Z181" s="545"/>
      <c r="AA181" s="605" t="s">
        <v>518</v>
      </c>
      <c r="AB181" s="891" t="s">
        <v>436</v>
      </c>
      <c r="AC181" s="596"/>
      <c r="AD181" s="596"/>
      <c r="AE181" s="596"/>
      <c r="AF181" s="596"/>
      <c r="AG181" s="596"/>
      <c r="AH181" s="596"/>
      <c r="AI181" s="596"/>
      <c r="AJ181" s="547"/>
    </row>
    <row r="182" spans="1:36" ht="101.5">
      <c r="A182" s="535" t="s">
        <v>1237</v>
      </c>
      <c r="B182" s="536" t="s">
        <v>1391</v>
      </c>
      <c r="C182" s="591" t="s">
        <v>1392</v>
      </c>
      <c r="D182" s="576" t="s">
        <v>1393</v>
      </c>
      <c r="E182" s="538" t="s">
        <v>1394</v>
      </c>
      <c r="F182" s="539" t="s">
        <v>545</v>
      </c>
      <c r="G182" s="540" t="s">
        <v>546</v>
      </c>
      <c r="H182" s="541" t="s">
        <v>423</v>
      </c>
      <c r="I182" s="541" t="s">
        <v>102</v>
      </c>
      <c r="J182" s="541" t="s">
        <v>43</v>
      </c>
      <c r="K182" s="542" t="s">
        <v>1395</v>
      </c>
      <c r="L182" s="586" t="s">
        <v>442</v>
      </c>
      <c r="M182" s="541" t="s">
        <v>1396</v>
      </c>
      <c r="N182" s="542" t="s">
        <v>1397</v>
      </c>
      <c r="O182" s="541" t="s">
        <v>1398</v>
      </c>
      <c r="P182" s="541" t="s">
        <v>136</v>
      </c>
      <c r="Q182" s="541" t="s">
        <v>1338</v>
      </c>
      <c r="R182" s="541" t="s">
        <v>1295</v>
      </c>
      <c r="S182" s="541" t="s">
        <v>1399</v>
      </c>
      <c r="T182" s="541" t="s">
        <v>527</v>
      </c>
      <c r="U182" s="541"/>
      <c r="V182" s="597" t="s">
        <v>517</v>
      </c>
      <c r="W182" s="544" t="s">
        <v>528</v>
      </c>
      <c r="X182" s="540"/>
      <c r="Y182" s="545"/>
      <c r="Z182" s="545"/>
      <c r="AA182" s="605" t="s">
        <v>435</v>
      </c>
      <c r="AB182" s="891" t="s">
        <v>436</v>
      </c>
      <c r="AC182" s="596"/>
      <c r="AD182" s="596"/>
      <c r="AE182" s="596"/>
      <c r="AF182" s="596"/>
      <c r="AG182" s="596"/>
      <c r="AH182" s="596"/>
      <c r="AI182" s="596"/>
      <c r="AJ182" s="547"/>
    </row>
    <row r="183" spans="1:36" ht="72.5">
      <c r="A183" s="535" t="s">
        <v>106</v>
      </c>
      <c r="B183" s="536" t="s">
        <v>1400</v>
      </c>
      <c r="C183" s="537" t="s">
        <v>1401</v>
      </c>
      <c r="D183" s="576" t="s">
        <v>1402</v>
      </c>
      <c r="E183" s="538" t="s">
        <v>1403</v>
      </c>
      <c r="F183" s="539" t="s">
        <v>39</v>
      </c>
      <c r="G183" s="540" t="s">
        <v>40</v>
      </c>
      <c r="H183" s="578" t="s">
        <v>423</v>
      </c>
      <c r="I183" s="541" t="s">
        <v>102</v>
      </c>
      <c r="J183" s="541" t="s">
        <v>43</v>
      </c>
      <c r="K183" s="542" t="s">
        <v>1404</v>
      </c>
      <c r="L183" s="586" t="s">
        <v>442</v>
      </c>
      <c r="M183" s="541" t="s">
        <v>1405</v>
      </c>
      <c r="N183" s="542" t="s">
        <v>1406</v>
      </c>
      <c r="O183" s="541" t="s">
        <v>1407</v>
      </c>
      <c r="P183" s="541" t="s">
        <v>145</v>
      </c>
      <c r="Q183" s="541" t="s">
        <v>1338</v>
      </c>
      <c r="R183" s="541" t="s">
        <v>1295</v>
      </c>
      <c r="S183" s="541" t="s">
        <v>1390</v>
      </c>
      <c r="T183" s="541" t="s">
        <v>1357</v>
      </c>
      <c r="U183" s="541"/>
      <c r="V183" s="597" t="s">
        <v>1296</v>
      </c>
      <c r="W183" s="544" t="s">
        <v>1340</v>
      </c>
      <c r="X183" s="540"/>
      <c r="Y183" s="545"/>
      <c r="Z183" s="545"/>
      <c r="AA183" s="605" t="s">
        <v>435</v>
      </c>
      <c r="AB183" s="891" t="s">
        <v>436</v>
      </c>
      <c r="AC183" s="596"/>
      <c r="AD183" s="596"/>
      <c r="AE183" s="596"/>
      <c r="AF183" s="596"/>
      <c r="AG183" s="596"/>
      <c r="AH183" s="596"/>
      <c r="AI183" s="596"/>
      <c r="AJ183" s="547"/>
    </row>
    <row r="184" spans="1:36" ht="72.5">
      <c r="A184" s="535" t="s">
        <v>1237</v>
      </c>
      <c r="B184" s="536" t="s">
        <v>1408</v>
      </c>
      <c r="C184" s="537" t="s">
        <v>1409</v>
      </c>
      <c r="D184" s="576" t="s">
        <v>1410</v>
      </c>
      <c r="E184" s="538" t="s">
        <v>1411</v>
      </c>
      <c r="F184" s="539" t="s">
        <v>39</v>
      </c>
      <c r="G184" s="540" t="s">
        <v>40</v>
      </c>
      <c r="H184" s="578" t="s">
        <v>423</v>
      </c>
      <c r="I184" s="541" t="s">
        <v>102</v>
      </c>
      <c r="J184" s="541" t="s">
        <v>43</v>
      </c>
      <c r="K184" s="542" t="s">
        <v>1412</v>
      </c>
      <c r="L184" s="586" t="s">
        <v>442</v>
      </c>
      <c r="M184" s="541" t="s">
        <v>1215</v>
      </c>
      <c r="N184" s="542" t="s">
        <v>1413</v>
      </c>
      <c r="O184" s="541" t="s">
        <v>1414</v>
      </c>
      <c r="P184" s="541" t="s">
        <v>145</v>
      </c>
      <c r="Q184" s="541" t="s">
        <v>468</v>
      </c>
      <c r="R184" s="541" t="s">
        <v>1295</v>
      </c>
      <c r="S184" s="541" t="s">
        <v>1390</v>
      </c>
      <c r="T184" s="541" t="s">
        <v>1107</v>
      </c>
      <c r="U184" s="541"/>
      <c r="V184" s="597" t="s">
        <v>1296</v>
      </c>
      <c r="W184" s="544" t="s">
        <v>1340</v>
      </c>
      <c r="X184" s="540"/>
      <c r="Y184" s="545"/>
      <c r="Z184" s="545"/>
      <c r="AA184" s="605" t="s">
        <v>435</v>
      </c>
      <c r="AB184" s="891" t="s">
        <v>1415</v>
      </c>
      <c r="AC184" s="596"/>
      <c r="AD184" s="596"/>
      <c r="AE184" s="596"/>
      <c r="AF184" s="596"/>
      <c r="AG184" s="596"/>
      <c r="AH184" s="596"/>
      <c r="AI184" s="596"/>
      <c r="AJ184" s="547"/>
    </row>
    <row r="185" spans="1:36" ht="87">
      <c r="A185" s="535" t="s">
        <v>106</v>
      </c>
      <c r="B185" s="536" t="s">
        <v>1416</v>
      </c>
      <c r="C185" s="537" t="s">
        <v>1417</v>
      </c>
      <c r="D185" s="538" t="s">
        <v>1418</v>
      </c>
      <c r="E185" s="538" t="s">
        <v>1419</v>
      </c>
      <c r="F185" s="539" t="s">
        <v>39</v>
      </c>
      <c r="G185" s="540" t="s">
        <v>40</v>
      </c>
      <c r="H185" s="578" t="s">
        <v>423</v>
      </c>
      <c r="I185" s="541" t="s">
        <v>102</v>
      </c>
      <c r="J185" s="541" t="s">
        <v>43</v>
      </c>
      <c r="K185" s="542" t="s">
        <v>1420</v>
      </c>
      <c r="L185" s="586" t="s">
        <v>442</v>
      </c>
      <c r="M185" s="541" t="s">
        <v>1421</v>
      </c>
      <c r="N185" s="542" t="s">
        <v>1422</v>
      </c>
      <c r="O185" s="541" t="s">
        <v>1423</v>
      </c>
      <c r="P185" s="541" t="s">
        <v>145</v>
      </c>
      <c r="Q185" s="541" t="s">
        <v>1183</v>
      </c>
      <c r="R185" s="541" t="s">
        <v>861</v>
      </c>
      <c r="S185" s="541" t="s">
        <v>431</v>
      </c>
      <c r="T185" s="541" t="s">
        <v>551</v>
      </c>
      <c r="U185" s="541"/>
      <c r="V185" s="597" t="s">
        <v>1185</v>
      </c>
      <c r="W185" s="544" t="s">
        <v>434</v>
      </c>
      <c r="X185" s="540"/>
      <c r="Y185" s="545"/>
      <c r="Z185" s="545"/>
      <c r="AA185" s="605" t="s">
        <v>435</v>
      </c>
      <c r="AB185" s="891" t="s">
        <v>436</v>
      </c>
      <c r="AC185" s="596"/>
      <c r="AD185" s="596"/>
      <c r="AE185" s="596"/>
      <c r="AF185" s="596"/>
      <c r="AG185" s="596"/>
      <c r="AH185" s="596"/>
      <c r="AI185" s="596"/>
      <c r="AJ185" s="547"/>
    </row>
    <row r="186" spans="1:36" ht="87">
      <c r="A186" s="535" t="s">
        <v>1237</v>
      </c>
      <c r="B186" s="536" t="s">
        <v>1424</v>
      </c>
      <c r="C186" s="537" t="s">
        <v>1425</v>
      </c>
      <c r="D186" s="538" t="s">
        <v>1426</v>
      </c>
      <c r="E186" s="538" t="s">
        <v>1427</v>
      </c>
      <c r="F186" s="539" t="s">
        <v>39</v>
      </c>
      <c r="G186" s="540" t="s">
        <v>40</v>
      </c>
      <c r="H186" s="578" t="s">
        <v>423</v>
      </c>
      <c r="I186" s="541" t="s">
        <v>102</v>
      </c>
      <c r="J186" s="541" t="s">
        <v>43</v>
      </c>
      <c r="K186" s="542" t="s">
        <v>1428</v>
      </c>
      <c r="L186" s="586" t="s">
        <v>442</v>
      </c>
      <c r="M186" s="541" t="s">
        <v>1429</v>
      </c>
      <c r="N186" s="542" t="s">
        <v>1430</v>
      </c>
      <c r="O186" s="541" t="s">
        <v>1431</v>
      </c>
      <c r="P186" s="541" t="s">
        <v>136</v>
      </c>
      <c r="Q186" s="541" t="s">
        <v>1183</v>
      </c>
      <c r="R186" s="541" t="s">
        <v>861</v>
      </c>
      <c r="S186" s="541" t="s">
        <v>431</v>
      </c>
      <c r="T186" s="541" t="s">
        <v>783</v>
      </c>
      <c r="U186" s="541"/>
      <c r="V186" s="597" t="s">
        <v>1432</v>
      </c>
      <c r="W186" s="544" t="s">
        <v>434</v>
      </c>
      <c r="X186" s="540"/>
      <c r="Y186" s="545"/>
      <c r="Z186" s="545"/>
      <c r="AA186" s="605" t="s">
        <v>435</v>
      </c>
      <c r="AB186" s="891" t="s">
        <v>436</v>
      </c>
      <c r="AC186" s="596"/>
      <c r="AD186" s="596"/>
      <c r="AE186" s="596"/>
      <c r="AF186" s="596"/>
      <c r="AG186" s="596"/>
      <c r="AH186" s="596"/>
      <c r="AI186" s="596"/>
      <c r="AJ186" s="547"/>
    </row>
    <row r="187" spans="1:36" ht="87">
      <c r="A187" s="535" t="s">
        <v>1237</v>
      </c>
      <c r="B187" s="536" t="s">
        <v>1433</v>
      </c>
      <c r="C187" s="537" t="s">
        <v>1434</v>
      </c>
      <c r="D187" s="576" t="s">
        <v>1435</v>
      </c>
      <c r="E187" s="538" t="s">
        <v>1436</v>
      </c>
      <c r="F187" s="539" t="s">
        <v>39</v>
      </c>
      <c r="G187" s="540" t="s">
        <v>40</v>
      </c>
      <c r="H187" s="541" t="s">
        <v>423</v>
      </c>
      <c r="I187" s="541" t="s">
        <v>102</v>
      </c>
      <c r="J187" s="541" t="s">
        <v>43</v>
      </c>
      <c r="K187" s="542" t="s">
        <v>1437</v>
      </c>
      <c r="L187" s="586" t="s">
        <v>442</v>
      </c>
      <c r="M187" s="541" t="s">
        <v>1438</v>
      </c>
      <c r="N187" s="542" t="s">
        <v>1439</v>
      </c>
      <c r="O187" s="541" t="s">
        <v>1440</v>
      </c>
      <c r="P187" s="541" t="s">
        <v>145</v>
      </c>
      <c r="Q187" s="541" t="s">
        <v>1183</v>
      </c>
      <c r="R187" s="541" t="s">
        <v>861</v>
      </c>
      <c r="S187" s="541" t="s">
        <v>1441</v>
      </c>
      <c r="T187" s="541" t="s">
        <v>457</v>
      </c>
      <c r="U187" s="541"/>
      <c r="V187" s="597" t="s">
        <v>863</v>
      </c>
      <c r="W187" s="544" t="s">
        <v>434</v>
      </c>
      <c r="X187" s="540"/>
      <c r="Y187" s="545"/>
      <c r="Z187" s="545"/>
      <c r="AA187" s="605" t="s">
        <v>435</v>
      </c>
      <c r="AB187" s="891" t="s">
        <v>1442</v>
      </c>
      <c r="AC187" s="596"/>
      <c r="AD187" s="596"/>
      <c r="AE187" s="596"/>
      <c r="AF187" s="596"/>
      <c r="AG187" s="596"/>
      <c r="AH187" s="596"/>
      <c r="AI187" s="596"/>
      <c r="AJ187" s="547"/>
    </row>
    <row r="188" spans="1:36" ht="72.5">
      <c r="A188" s="535" t="s">
        <v>1237</v>
      </c>
      <c r="B188" s="536" t="s">
        <v>1443</v>
      </c>
      <c r="C188" s="580" t="s">
        <v>1444</v>
      </c>
      <c r="D188" s="576" t="s">
        <v>1445</v>
      </c>
      <c r="E188" s="538" t="s">
        <v>1446</v>
      </c>
      <c r="F188" s="539" t="s">
        <v>39</v>
      </c>
      <c r="G188" s="540" t="s">
        <v>40</v>
      </c>
      <c r="H188" s="541" t="s">
        <v>423</v>
      </c>
      <c r="I188" s="541" t="s">
        <v>102</v>
      </c>
      <c r="J188" s="541" t="s">
        <v>43</v>
      </c>
      <c r="K188" s="542" t="s">
        <v>1447</v>
      </c>
      <c r="L188" s="586" t="s">
        <v>442</v>
      </c>
      <c r="M188" s="541" t="s">
        <v>1448</v>
      </c>
      <c r="N188" s="542" t="s">
        <v>1449</v>
      </c>
      <c r="O188" s="541" t="s">
        <v>1450</v>
      </c>
      <c r="P188" s="541" t="s">
        <v>145</v>
      </c>
      <c r="Q188" s="541" t="s">
        <v>1183</v>
      </c>
      <c r="R188" s="541" t="s">
        <v>455</v>
      </c>
      <c r="S188" s="541" t="s">
        <v>1451</v>
      </c>
      <c r="T188" s="541" t="s">
        <v>469</v>
      </c>
      <c r="U188" s="541"/>
      <c r="V188" s="597" t="s">
        <v>517</v>
      </c>
      <c r="W188" s="544" t="s">
        <v>459</v>
      </c>
      <c r="X188" s="540"/>
      <c r="Y188" s="545"/>
      <c r="Z188" s="545"/>
      <c r="AA188" s="605" t="s">
        <v>435</v>
      </c>
      <c r="AB188" s="891" t="s">
        <v>436</v>
      </c>
      <c r="AC188" s="596"/>
      <c r="AD188" s="596"/>
      <c r="AE188" s="596"/>
      <c r="AF188" s="596"/>
      <c r="AG188" s="596"/>
      <c r="AH188" s="596"/>
      <c r="AI188" s="596"/>
      <c r="AJ188" s="547"/>
    </row>
    <row r="189" spans="1:36" ht="101.5">
      <c r="A189" s="535" t="s">
        <v>1237</v>
      </c>
      <c r="B189" s="536" t="s">
        <v>1452</v>
      </c>
      <c r="C189" s="537" t="s">
        <v>1453</v>
      </c>
      <c r="D189" s="538" t="s">
        <v>1454</v>
      </c>
      <c r="E189" s="538" t="s">
        <v>1455</v>
      </c>
      <c r="F189" s="539" t="s">
        <v>39</v>
      </c>
      <c r="G189" s="540" t="s">
        <v>40</v>
      </c>
      <c r="H189" s="595" t="s">
        <v>423</v>
      </c>
      <c r="I189" s="541" t="s">
        <v>102</v>
      </c>
      <c r="J189" s="541" t="s">
        <v>43</v>
      </c>
      <c r="K189" s="542" t="s">
        <v>1456</v>
      </c>
      <c r="L189" s="586" t="s">
        <v>442</v>
      </c>
      <c r="M189" s="541" t="s">
        <v>1457</v>
      </c>
      <c r="N189" s="542" t="s">
        <v>1458</v>
      </c>
      <c r="O189" s="541" t="s">
        <v>1459</v>
      </c>
      <c r="P189" s="541" t="s">
        <v>145</v>
      </c>
      <c r="Q189" s="541" t="s">
        <v>468</v>
      </c>
      <c r="R189" s="541" t="s">
        <v>537</v>
      </c>
      <c r="S189" s="541" t="s">
        <v>431</v>
      </c>
      <c r="T189" s="541" t="s">
        <v>702</v>
      </c>
      <c r="U189" s="541"/>
      <c r="V189" s="597" t="s">
        <v>539</v>
      </c>
      <c r="W189" s="544" t="s">
        <v>943</v>
      </c>
      <c r="X189" s="540"/>
      <c r="Y189" s="545"/>
      <c r="Z189" s="545"/>
      <c r="AA189" s="605" t="s">
        <v>435</v>
      </c>
      <c r="AB189" s="891" t="s">
        <v>436</v>
      </c>
      <c r="AC189" s="596"/>
      <c r="AD189" s="596"/>
      <c r="AE189" s="596"/>
      <c r="AF189" s="596"/>
      <c r="AG189" s="596"/>
      <c r="AH189" s="596"/>
      <c r="AI189" s="596"/>
      <c r="AJ189" s="547"/>
    </row>
    <row r="190" spans="1:36" ht="87.5">
      <c r="A190" s="535" t="s">
        <v>106</v>
      </c>
      <c r="B190" s="536" t="s">
        <v>1460</v>
      </c>
      <c r="C190" s="537" t="s">
        <v>1461</v>
      </c>
      <c r="D190" s="538" t="s">
        <v>1462</v>
      </c>
      <c r="E190" s="538" t="s">
        <v>1463</v>
      </c>
      <c r="F190" s="539" t="s">
        <v>39</v>
      </c>
      <c r="G190" s="540" t="s">
        <v>40</v>
      </c>
      <c r="H190" s="541" t="s">
        <v>423</v>
      </c>
      <c r="I190" s="541" t="s">
        <v>102</v>
      </c>
      <c r="J190" s="541" t="s">
        <v>43</v>
      </c>
      <c r="K190" s="542" t="s">
        <v>1464</v>
      </c>
      <c r="L190" s="586" t="s">
        <v>442</v>
      </c>
      <c r="M190" s="541" t="s">
        <v>1465</v>
      </c>
      <c r="N190" s="542" t="s">
        <v>1466</v>
      </c>
      <c r="O190" s="541" t="s">
        <v>1467</v>
      </c>
      <c r="P190" s="541" t="s">
        <v>145</v>
      </c>
      <c r="Q190" s="541" t="s">
        <v>1183</v>
      </c>
      <c r="R190" s="541" t="s">
        <v>861</v>
      </c>
      <c r="S190" s="541" t="s">
        <v>431</v>
      </c>
      <c r="T190" s="541" t="s">
        <v>457</v>
      </c>
      <c r="U190" s="541"/>
      <c r="V190" s="597" t="s">
        <v>630</v>
      </c>
      <c r="W190" s="544" t="s">
        <v>528</v>
      </c>
      <c r="X190" s="540"/>
      <c r="Y190" s="545"/>
      <c r="Z190" s="545"/>
      <c r="AA190" s="605" t="s">
        <v>435</v>
      </c>
      <c r="AB190" s="891" t="s">
        <v>436</v>
      </c>
      <c r="AC190" s="596"/>
      <c r="AD190" s="596"/>
      <c r="AE190" s="596"/>
      <c r="AF190" s="596"/>
      <c r="AG190" s="596"/>
      <c r="AH190" s="596"/>
      <c r="AI190" s="596"/>
      <c r="AJ190" s="547"/>
    </row>
    <row r="191" spans="1:36" ht="87.5">
      <c r="A191" s="535" t="s">
        <v>1237</v>
      </c>
      <c r="B191" s="536" t="s">
        <v>1468</v>
      </c>
      <c r="C191" s="537" t="s">
        <v>1469</v>
      </c>
      <c r="D191" s="538" t="s">
        <v>1470</v>
      </c>
      <c r="E191" s="538" t="s">
        <v>1471</v>
      </c>
      <c r="F191" s="539" t="s">
        <v>39</v>
      </c>
      <c r="G191" s="540" t="s">
        <v>40</v>
      </c>
      <c r="H191" s="541" t="s">
        <v>423</v>
      </c>
      <c r="I191" s="541" t="s">
        <v>86</v>
      </c>
      <c r="J191" s="541" t="s">
        <v>43</v>
      </c>
      <c r="K191" s="542" t="s">
        <v>1472</v>
      </c>
      <c r="L191" s="586" t="s">
        <v>442</v>
      </c>
      <c r="M191" s="541" t="s">
        <v>1473</v>
      </c>
      <c r="N191" s="542" t="s">
        <v>1474</v>
      </c>
      <c r="O191" s="541" t="s">
        <v>1475</v>
      </c>
      <c r="P191" s="541" t="s">
        <v>145</v>
      </c>
      <c r="Q191" s="541" t="s">
        <v>1183</v>
      </c>
      <c r="R191" s="541" t="s">
        <v>537</v>
      </c>
      <c r="S191" s="541" t="s">
        <v>1476</v>
      </c>
      <c r="T191" s="541" t="s">
        <v>551</v>
      </c>
      <c r="U191" s="541"/>
      <c r="V191" s="597" t="s">
        <v>1272</v>
      </c>
      <c r="W191" s="544" t="s">
        <v>692</v>
      </c>
      <c r="X191" s="540"/>
      <c r="Y191" s="545"/>
      <c r="Z191" s="545"/>
      <c r="AA191" s="605" t="s">
        <v>435</v>
      </c>
      <c r="AB191" s="891" t="s">
        <v>436</v>
      </c>
      <c r="AC191" s="596"/>
      <c r="AD191" s="596"/>
      <c r="AE191" s="596"/>
      <c r="AF191" s="596"/>
      <c r="AG191" s="596"/>
      <c r="AH191" s="596"/>
      <c r="AI191" s="596"/>
      <c r="AJ191" s="547"/>
    </row>
    <row r="192" spans="1:36" ht="87">
      <c r="A192" s="535" t="s">
        <v>1237</v>
      </c>
      <c r="B192" s="536" t="s">
        <v>1477</v>
      </c>
      <c r="C192" s="580" t="s">
        <v>1478</v>
      </c>
      <c r="D192" s="576" t="s">
        <v>1479</v>
      </c>
      <c r="E192" s="538" t="s">
        <v>1480</v>
      </c>
      <c r="F192" s="539" t="s">
        <v>39</v>
      </c>
      <c r="G192" s="540" t="s">
        <v>40</v>
      </c>
      <c r="H192" s="541" t="s">
        <v>423</v>
      </c>
      <c r="I192" s="541" t="s">
        <v>474</v>
      </c>
      <c r="J192" s="541" t="s">
        <v>43</v>
      </c>
      <c r="K192" s="542" t="s">
        <v>1481</v>
      </c>
      <c r="L192" s="586" t="s">
        <v>442</v>
      </c>
      <c r="M192" s="541" t="s">
        <v>1482</v>
      </c>
      <c r="N192" s="542" t="s">
        <v>1483</v>
      </c>
      <c r="O192" s="541" t="s">
        <v>1484</v>
      </c>
      <c r="P192" s="541" t="s">
        <v>136</v>
      </c>
      <c r="Q192" s="541" t="s">
        <v>468</v>
      </c>
      <c r="R192" s="541" t="s">
        <v>537</v>
      </c>
      <c r="S192" s="541" t="s">
        <v>1485</v>
      </c>
      <c r="T192" s="541" t="s">
        <v>457</v>
      </c>
      <c r="U192" s="541"/>
      <c r="V192" s="597" t="s">
        <v>1272</v>
      </c>
      <c r="W192" s="544" t="s">
        <v>845</v>
      </c>
      <c r="X192" s="540"/>
      <c r="Y192" s="545"/>
      <c r="Z192" s="545"/>
      <c r="AA192" s="605" t="s">
        <v>435</v>
      </c>
      <c r="AB192" s="891" t="s">
        <v>436</v>
      </c>
      <c r="AC192" s="596"/>
      <c r="AD192" s="596"/>
      <c r="AE192" s="596"/>
      <c r="AF192" s="596"/>
      <c r="AG192" s="596"/>
      <c r="AH192" s="596"/>
      <c r="AI192" s="596"/>
      <c r="AJ192" s="547"/>
    </row>
    <row r="193" spans="1:36" ht="87.5">
      <c r="A193" s="535" t="s">
        <v>106</v>
      </c>
      <c r="B193" s="536" t="s">
        <v>1486</v>
      </c>
      <c r="C193" s="537" t="s">
        <v>1487</v>
      </c>
      <c r="D193" s="538" t="s">
        <v>1488</v>
      </c>
      <c r="E193" s="538" t="s">
        <v>1489</v>
      </c>
      <c r="F193" s="539" t="s">
        <v>39</v>
      </c>
      <c r="G193" s="540" t="s">
        <v>40</v>
      </c>
      <c r="H193" s="541" t="s">
        <v>423</v>
      </c>
      <c r="I193" s="541" t="s">
        <v>102</v>
      </c>
      <c r="J193" s="541" t="s">
        <v>43</v>
      </c>
      <c r="K193" s="542" t="s">
        <v>1490</v>
      </c>
      <c r="L193" s="586" t="s">
        <v>442</v>
      </c>
      <c r="M193" s="541" t="s">
        <v>1491</v>
      </c>
      <c r="N193" s="542" t="s">
        <v>1492</v>
      </c>
      <c r="O193" s="541" t="s">
        <v>1493</v>
      </c>
      <c r="P193" s="541" t="s">
        <v>1096</v>
      </c>
      <c r="Q193" s="541" t="s">
        <v>1183</v>
      </c>
      <c r="R193" s="541" t="s">
        <v>537</v>
      </c>
      <c r="S193" s="541" t="s">
        <v>1494</v>
      </c>
      <c r="T193" s="541" t="s">
        <v>1357</v>
      </c>
      <c r="U193" s="541"/>
      <c r="V193" s="597" t="s">
        <v>1272</v>
      </c>
      <c r="W193" s="544" t="s">
        <v>692</v>
      </c>
      <c r="X193" s="540"/>
      <c r="Y193" s="545"/>
      <c r="Z193" s="545"/>
      <c r="AA193" s="605" t="s">
        <v>435</v>
      </c>
      <c r="AB193" s="891" t="s">
        <v>436</v>
      </c>
      <c r="AC193" s="596"/>
      <c r="AD193" s="596"/>
      <c r="AE193" s="596"/>
      <c r="AF193" s="596"/>
      <c r="AG193" s="596"/>
      <c r="AH193" s="596"/>
      <c r="AI193" s="596"/>
      <c r="AJ193" s="547"/>
    </row>
    <row r="194" spans="1:36" ht="130.5">
      <c r="A194" s="535" t="s">
        <v>106</v>
      </c>
      <c r="B194" s="536" t="s">
        <v>1495</v>
      </c>
      <c r="C194" s="537" t="s">
        <v>1496</v>
      </c>
      <c r="D194" s="576" t="s">
        <v>1497</v>
      </c>
      <c r="E194" s="538" t="s">
        <v>1498</v>
      </c>
      <c r="F194" s="539" t="s">
        <v>39</v>
      </c>
      <c r="G194" s="540" t="s">
        <v>101</v>
      </c>
      <c r="H194" s="595" t="s">
        <v>423</v>
      </c>
      <c r="I194" s="541" t="s">
        <v>474</v>
      </c>
      <c r="J194" s="541" t="s">
        <v>43</v>
      </c>
      <c r="K194" s="542" t="s">
        <v>1499</v>
      </c>
      <c r="L194" s="586" t="s">
        <v>442</v>
      </c>
      <c r="M194" s="541" t="s">
        <v>1500</v>
      </c>
      <c r="N194" s="542" t="s">
        <v>1501</v>
      </c>
      <c r="O194" s="541" t="s">
        <v>1502</v>
      </c>
      <c r="P194" s="541" t="s">
        <v>145</v>
      </c>
      <c r="Q194" s="541" t="s">
        <v>468</v>
      </c>
      <c r="R194" s="541" t="s">
        <v>455</v>
      </c>
      <c r="S194" s="541" t="s">
        <v>1503</v>
      </c>
      <c r="T194" s="541" t="s">
        <v>1504</v>
      </c>
      <c r="U194" s="541"/>
      <c r="V194" s="597" t="s">
        <v>505</v>
      </c>
      <c r="W194" s="544" t="s">
        <v>459</v>
      </c>
      <c r="X194" s="540"/>
      <c r="Y194" s="545"/>
      <c r="Z194" s="545"/>
      <c r="AA194" s="605" t="s">
        <v>435</v>
      </c>
      <c r="AB194" s="891" t="s">
        <v>436</v>
      </c>
      <c r="AC194" s="596"/>
      <c r="AD194" s="596"/>
      <c r="AE194" s="596"/>
      <c r="AF194" s="596"/>
      <c r="AG194" s="596"/>
      <c r="AH194" s="596"/>
      <c r="AI194" s="596"/>
      <c r="AJ194" s="547"/>
    </row>
    <row r="195" spans="1:36" ht="116">
      <c r="A195" s="535" t="s">
        <v>1237</v>
      </c>
      <c r="B195" s="536" t="s">
        <v>1505</v>
      </c>
      <c r="C195" s="537" t="s">
        <v>1506</v>
      </c>
      <c r="D195" s="538" t="s">
        <v>1507</v>
      </c>
      <c r="E195" s="538" t="s">
        <v>1508</v>
      </c>
      <c r="F195" s="539" t="s">
        <v>39</v>
      </c>
      <c r="G195" s="540" t="s">
        <v>40</v>
      </c>
      <c r="H195" s="541" t="s">
        <v>423</v>
      </c>
      <c r="I195" s="541" t="s">
        <v>474</v>
      </c>
      <c r="J195" s="541" t="s">
        <v>43</v>
      </c>
      <c r="K195" s="542" t="s">
        <v>1509</v>
      </c>
      <c r="L195" s="586" t="s">
        <v>442</v>
      </c>
      <c r="M195" s="541" t="s">
        <v>1164</v>
      </c>
      <c r="N195" s="542" t="s">
        <v>1510</v>
      </c>
      <c r="O195" s="541" t="s">
        <v>1511</v>
      </c>
      <c r="P195" s="541" t="s">
        <v>136</v>
      </c>
      <c r="Q195" s="541" t="s">
        <v>468</v>
      </c>
      <c r="R195" s="541" t="s">
        <v>455</v>
      </c>
      <c r="S195" s="541" t="s">
        <v>1512</v>
      </c>
      <c r="T195" s="541" t="s">
        <v>745</v>
      </c>
      <c r="U195" s="541"/>
      <c r="V195" s="543" t="s">
        <v>497</v>
      </c>
      <c r="W195" s="601" t="s">
        <v>528</v>
      </c>
      <c r="X195" s="541"/>
      <c r="Y195" s="602"/>
      <c r="Z195" s="546"/>
      <c r="AA195" s="605" t="s">
        <v>435</v>
      </c>
      <c r="AB195" s="891" t="s">
        <v>436</v>
      </c>
      <c r="AC195" s="596"/>
      <c r="AD195" s="596"/>
      <c r="AE195" s="596"/>
      <c r="AF195" s="596"/>
      <c r="AG195" s="596"/>
      <c r="AH195" s="596"/>
      <c r="AI195" s="596"/>
      <c r="AJ195" s="547"/>
    </row>
    <row r="196" spans="1:36" ht="72.5">
      <c r="A196" s="535" t="s">
        <v>106</v>
      </c>
      <c r="B196" s="536" t="s">
        <v>1513</v>
      </c>
      <c r="C196" s="537" t="s">
        <v>1514</v>
      </c>
      <c r="D196" s="576" t="s">
        <v>1515</v>
      </c>
      <c r="E196" s="538" t="s">
        <v>1516</v>
      </c>
      <c r="F196" s="539" t="s">
        <v>39</v>
      </c>
      <c r="G196" s="540" t="s">
        <v>40</v>
      </c>
      <c r="H196" s="541" t="s">
        <v>423</v>
      </c>
      <c r="I196" s="541" t="s">
        <v>102</v>
      </c>
      <c r="J196" s="541" t="s">
        <v>43</v>
      </c>
      <c r="K196" s="542" t="s">
        <v>1517</v>
      </c>
      <c r="L196" s="586" t="s">
        <v>442</v>
      </c>
      <c r="M196" s="541" t="s">
        <v>1518</v>
      </c>
      <c r="N196" s="542" t="s">
        <v>1519</v>
      </c>
      <c r="O196" s="541" t="s">
        <v>1520</v>
      </c>
      <c r="P196" s="541" t="s">
        <v>145</v>
      </c>
      <c r="Q196" s="541" t="s">
        <v>468</v>
      </c>
      <c r="R196" s="541" t="s">
        <v>455</v>
      </c>
      <c r="S196" s="541" t="s">
        <v>1521</v>
      </c>
      <c r="T196" s="541" t="s">
        <v>745</v>
      </c>
      <c r="U196" s="541"/>
      <c r="V196" s="543" t="s">
        <v>1272</v>
      </c>
      <c r="W196" s="544" t="s">
        <v>528</v>
      </c>
      <c r="X196" s="541"/>
      <c r="Y196" s="545"/>
      <c r="Z196" s="546"/>
      <c r="AA196" s="605" t="s">
        <v>435</v>
      </c>
      <c r="AB196" s="891" t="s">
        <v>436</v>
      </c>
      <c r="AC196" s="596"/>
      <c r="AD196" s="596"/>
      <c r="AE196" s="596"/>
      <c r="AF196" s="596"/>
      <c r="AG196" s="596"/>
      <c r="AH196" s="596"/>
      <c r="AI196" s="596"/>
      <c r="AJ196" s="547"/>
    </row>
    <row r="197" spans="1:36" ht="130.5">
      <c r="A197" s="535" t="s">
        <v>1237</v>
      </c>
      <c r="B197" s="536" t="s">
        <v>1522</v>
      </c>
      <c r="C197" s="537" t="s">
        <v>1523</v>
      </c>
      <c r="D197" s="576" t="s">
        <v>1524</v>
      </c>
      <c r="E197" s="538" t="s">
        <v>1525</v>
      </c>
      <c r="F197" s="539" t="s">
        <v>39</v>
      </c>
      <c r="G197" s="540" t="s">
        <v>101</v>
      </c>
      <c r="H197" s="541" t="s">
        <v>423</v>
      </c>
      <c r="I197" s="541" t="s">
        <v>86</v>
      </c>
      <c r="J197" s="541" t="s">
        <v>43</v>
      </c>
      <c r="K197" s="542" t="s">
        <v>1526</v>
      </c>
      <c r="L197" s="586" t="s">
        <v>1527</v>
      </c>
      <c r="M197" s="541" t="s">
        <v>1528</v>
      </c>
      <c r="N197" s="542" t="s">
        <v>1529</v>
      </c>
      <c r="O197" s="541" t="s">
        <v>1530</v>
      </c>
      <c r="P197" s="541" t="s">
        <v>145</v>
      </c>
      <c r="Q197" s="541" t="s">
        <v>1183</v>
      </c>
      <c r="R197" s="541" t="s">
        <v>861</v>
      </c>
      <c r="S197" s="541" t="s">
        <v>1531</v>
      </c>
      <c r="T197" s="541" t="s">
        <v>551</v>
      </c>
      <c r="U197" s="541"/>
      <c r="V197" s="543" t="s">
        <v>863</v>
      </c>
      <c r="W197" s="544" t="s">
        <v>434</v>
      </c>
      <c r="X197" s="541"/>
      <c r="Y197" s="545"/>
      <c r="Z197" s="546"/>
      <c r="AA197" s="605" t="s">
        <v>435</v>
      </c>
      <c r="AB197" s="891" t="s">
        <v>436</v>
      </c>
      <c r="AC197" s="596"/>
      <c r="AD197" s="596"/>
      <c r="AE197" s="596"/>
      <c r="AF197" s="596"/>
      <c r="AG197" s="596"/>
      <c r="AH197" s="596"/>
      <c r="AI197" s="596"/>
      <c r="AJ197" s="547"/>
    </row>
    <row r="198" spans="1:36" ht="87.5">
      <c r="A198" s="535" t="s">
        <v>1237</v>
      </c>
      <c r="B198" s="536" t="s">
        <v>1532</v>
      </c>
      <c r="C198" s="537" t="s">
        <v>1533</v>
      </c>
      <c r="D198" s="538" t="s">
        <v>1534</v>
      </c>
      <c r="E198" s="576" t="s">
        <v>1535</v>
      </c>
      <c r="F198" s="539" t="s">
        <v>39</v>
      </c>
      <c r="G198" s="540" t="s">
        <v>40</v>
      </c>
      <c r="H198" s="541" t="s">
        <v>423</v>
      </c>
      <c r="I198" s="541" t="s">
        <v>86</v>
      </c>
      <c r="J198" s="541" t="s">
        <v>43</v>
      </c>
      <c r="K198" s="542" t="s">
        <v>1536</v>
      </c>
      <c r="L198" s="586" t="s">
        <v>442</v>
      </c>
      <c r="M198" s="541" t="s">
        <v>1537</v>
      </c>
      <c r="N198" s="542" t="s">
        <v>1538</v>
      </c>
      <c r="O198" s="541" t="s">
        <v>1539</v>
      </c>
      <c r="P198" s="541" t="s">
        <v>145</v>
      </c>
      <c r="Q198" s="541" t="s">
        <v>860</v>
      </c>
      <c r="R198" s="541" t="s">
        <v>861</v>
      </c>
      <c r="S198" s="541" t="s">
        <v>1184</v>
      </c>
      <c r="T198" s="541" t="s">
        <v>783</v>
      </c>
      <c r="U198" s="541"/>
      <c r="V198" s="543" t="s">
        <v>863</v>
      </c>
      <c r="W198" s="544" t="s">
        <v>434</v>
      </c>
      <c r="X198" s="541"/>
      <c r="Y198" s="545"/>
      <c r="Z198" s="546"/>
      <c r="AA198" s="605" t="s">
        <v>435</v>
      </c>
      <c r="AB198" s="891" t="s">
        <v>436</v>
      </c>
      <c r="AC198" s="596"/>
      <c r="AD198" s="596"/>
      <c r="AE198" s="596"/>
      <c r="AF198" s="596"/>
      <c r="AG198" s="596"/>
      <c r="AH198" s="596"/>
      <c r="AI198" s="596"/>
      <c r="AJ198" s="547"/>
    </row>
    <row r="199" spans="1:36" ht="72.5">
      <c r="A199" s="535" t="s">
        <v>1237</v>
      </c>
      <c r="B199" s="536" t="s">
        <v>1540</v>
      </c>
      <c r="C199" s="537" t="s">
        <v>1541</v>
      </c>
      <c r="D199" s="538" t="s">
        <v>1542</v>
      </c>
      <c r="E199" s="538" t="s">
        <v>1543</v>
      </c>
      <c r="F199" s="539" t="s">
        <v>39</v>
      </c>
      <c r="G199" s="540" t="s">
        <v>40</v>
      </c>
      <c r="H199" s="541" t="s">
        <v>423</v>
      </c>
      <c r="I199" s="541" t="s">
        <v>474</v>
      </c>
      <c r="J199" s="541" t="s">
        <v>43</v>
      </c>
      <c r="K199" s="542" t="s">
        <v>1544</v>
      </c>
      <c r="L199" s="586" t="s">
        <v>442</v>
      </c>
      <c r="M199" s="541" t="s">
        <v>1545</v>
      </c>
      <c r="N199" s="542" t="s">
        <v>1546</v>
      </c>
      <c r="O199" s="541" t="s">
        <v>1547</v>
      </c>
      <c r="P199" s="541" t="s">
        <v>145</v>
      </c>
      <c r="Q199" s="541" t="s">
        <v>860</v>
      </c>
      <c r="R199" s="541" t="s">
        <v>861</v>
      </c>
      <c r="S199" s="541" t="s">
        <v>431</v>
      </c>
      <c r="T199" s="541" t="s">
        <v>735</v>
      </c>
      <c r="U199" s="541"/>
      <c r="V199" s="543" t="s">
        <v>863</v>
      </c>
      <c r="W199" s="544" t="s">
        <v>434</v>
      </c>
      <c r="X199" s="541"/>
      <c r="Y199" s="545"/>
      <c r="Z199" s="546"/>
      <c r="AA199" s="605" t="s">
        <v>435</v>
      </c>
      <c r="AB199" s="891" t="s">
        <v>1548</v>
      </c>
      <c r="AC199" s="596"/>
      <c r="AD199" s="596"/>
      <c r="AE199" s="596"/>
      <c r="AF199" s="596"/>
      <c r="AG199" s="596"/>
      <c r="AH199" s="596"/>
      <c r="AI199" s="596"/>
      <c r="AJ199" s="547"/>
    </row>
    <row r="200" spans="1:36" ht="72.5">
      <c r="A200" s="535" t="s">
        <v>1237</v>
      </c>
      <c r="B200" s="536" t="s">
        <v>1549</v>
      </c>
      <c r="C200" s="537" t="s">
        <v>1550</v>
      </c>
      <c r="D200" s="576" t="s">
        <v>1551</v>
      </c>
      <c r="E200" s="538" t="s">
        <v>1552</v>
      </c>
      <c r="F200" s="539" t="s">
        <v>100</v>
      </c>
      <c r="G200" s="540" t="s">
        <v>115</v>
      </c>
      <c r="H200" s="541" t="s">
        <v>423</v>
      </c>
      <c r="I200" s="541" t="s">
        <v>474</v>
      </c>
      <c r="J200" s="541" t="s">
        <v>43</v>
      </c>
      <c r="K200" s="542" t="s">
        <v>1553</v>
      </c>
      <c r="L200" s="586" t="s">
        <v>425</v>
      </c>
      <c r="M200" s="541" t="s">
        <v>1554</v>
      </c>
      <c r="N200" s="542" t="s">
        <v>1555</v>
      </c>
      <c r="O200" s="541" t="s">
        <v>1556</v>
      </c>
      <c r="P200" s="541" t="s">
        <v>145</v>
      </c>
      <c r="Q200" s="541" t="s">
        <v>860</v>
      </c>
      <c r="R200" s="541" t="s">
        <v>861</v>
      </c>
      <c r="S200" s="541" t="s">
        <v>1557</v>
      </c>
      <c r="T200" s="541" t="s">
        <v>735</v>
      </c>
      <c r="U200" s="541"/>
      <c r="V200" s="543" t="s">
        <v>863</v>
      </c>
      <c r="W200" s="544" t="s">
        <v>434</v>
      </c>
      <c r="X200" s="541"/>
      <c r="Y200" s="545"/>
      <c r="Z200" s="546"/>
      <c r="AA200" s="605" t="s">
        <v>435</v>
      </c>
      <c r="AB200" s="891" t="s">
        <v>436</v>
      </c>
      <c r="AC200" s="596"/>
      <c r="AD200" s="596"/>
      <c r="AE200" s="596"/>
      <c r="AF200" s="596"/>
      <c r="AG200" s="596"/>
      <c r="AH200" s="596"/>
      <c r="AI200" s="596"/>
      <c r="AJ200" s="547"/>
    </row>
    <row r="201" spans="1:36" ht="116">
      <c r="A201" s="535" t="s">
        <v>1237</v>
      </c>
      <c r="B201" s="536" t="s">
        <v>1558</v>
      </c>
      <c r="C201" s="537" t="s">
        <v>1559</v>
      </c>
      <c r="D201" s="576" t="s">
        <v>1560</v>
      </c>
      <c r="E201" s="538" t="s">
        <v>1561</v>
      </c>
      <c r="F201" s="539" t="s">
        <v>39</v>
      </c>
      <c r="G201" s="540" t="s">
        <v>40</v>
      </c>
      <c r="H201" s="541" t="s">
        <v>423</v>
      </c>
      <c r="I201" s="541" t="s">
        <v>474</v>
      </c>
      <c r="J201" s="541" t="s">
        <v>43</v>
      </c>
      <c r="K201" s="542" t="s">
        <v>1562</v>
      </c>
      <c r="L201" s="586" t="s">
        <v>442</v>
      </c>
      <c r="M201" s="541" t="s">
        <v>1563</v>
      </c>
      <c r="N201" s="542" t="s">
        <v>1564</v>
      </c>
      <c r="O201" s="541" t="s">
        <v>1565</v>
      </c>
      <c r="P201" s="541" t="s">
        <v>145</v>
      </c>
      <c r="Q201" s="541" t="s">
        <v>860</v>
      </c>
      <c r="R201" s="541" t="s">
        <v>861</v>
      </c>
      <c r="S201" s="541" t="s">
        <v>1566</v>
      </c>
      <c r="T201" s="541" t="s">
        <v>457</v>
      </c>
      <c r="U201" s="541"/>
      <c r="V201" s="543" t="s">
        <v>863</v>
      </c>
      <c r="W201" s="544" t="s">
        <v>1340</v>
      </c>
      <c r="X201" s="541"/>
      <c r="Y201" s="545"/>
      <c r="Z201" s="546"/>
      <c r="AA201" s="605" t="s">
        <v>435</v>
      </c>
      <c r="AB201" s="891" t="s">
        <v>436</v>
      </c>
      <c r="AC201" s="596"/>
      <c r="AD201" s="596"/>
      <c r="AE201" s="596"/>
      <c r="AF201" s="596"/>
      <c r="AG201" s="596"/>
      <c r="AH201" s="596"/>
      <c r="AI201" s="596"/>
      <c r="AJ201" s="547"/>
    </row>
    <row r="202" spans="1:36" ht="72.5">
      <c r="A202" s="535" t="s">
        <v>1237</v>
      </c>
      <c r="B202" s="536" t="s">
        <v>1567</v>
      </c>
      <c r="C202" s="537" t="s">
        <v>1568</v>
      </c>
      <c r="D202" s="576" t="s">
        <v>1569</v>
      </c>
      <c r="E202" s="538" t="s">
        <v>1570</v>
      </c>
      <c r="F202" s="539" t="s">
        <v>39</v>
      </c>
      <c r="G202" s="540" t="s">
        <v>40</v>
      </c>
      <c r="H202" s="541" t="s">
        <v>423</v>
      </c>
      <c r="I202" s="541" t="s">
        <v>474</v>
      </c>
      <c r="J202" s="541" t="s">
        <v>43</v>
      </c>
      <c r="K202" s="542" t="s">
        <v>1571</v>
      </c>
      <c r="L202" s="586" t="s">
        <v>442</v>
      </c>
      <c r="M202" s="541" t="s">
        <v>1572</v>
      </c>
      <c r="N202" s="542" t="s">
        <v>1573</v>
      </c>
      <c r="O202" s="541" t="s">
        <v>1574</v>
      </c>
      <c r="P202" s="541" t="s">
        <v>145</v>
      </c>
      <c r="Q202" s="541" t="s">
        <v>860</v>
      </c>
      <c r="R202" s="541" t="s">
        <v>861</v>
      </c>
      <c r="S202" s="541" t="s">
        <v>1279</v>
      </c>
      <c r="T202" s="541" t="s">
        <v>551</v>
      </c>
      <c r="U202" s="541"/>
      <c r="V202" s="543" t="s">
        <v>630</v>
      </c>
      <c r="W202" s="544" t="s">
        <v>434</v>
      </c>
      <c r="X202" s="541"/>
      <c r="Y202" s="545"/>
      <c r="Z202" s="546"/>
      <c r="AA202" s="605" t="s">
        <v>435</v>
      </c>
      <c r="AB202" s="891" t="s">
        <v>436</v>
      </c>
      <c r="AC202" s="596"/>
      <c r="AD202" s="596"/>
      <c r="AE202" s="596"/>
      <c r="AF202" s="596"/>
      <c r="AG202" s="596"/>
      <c r="AH202" s="596"/>
      <c r="AI202" s="596"/>
      <c r="AJ202" s="547"/>
    </row>
    <row r="203" spans="1:36" ht="101.5">
      <c r="A203" s="535" t="s">
        <v>1237</v>
      </c>
      <c r="B203" s="536" t="s">
        <v>1575</v>
      </c>
      <c r="C203" s="537" t="s">
        <v>1576</v>
      </c>
      <c r="D203" s="576" t="s">
        <v>1577</v>
      </c>
      <c r="E203" s="538" t="s">
        <v>1578</v>
      </c>
      <c r="F203" s="539" t="s">
        <v>39</v>
      </c>
      <c r="G203" s="540" t="s">
        <v>40</v>
      </c>
      <c r="H203" s="541" t="s">
        <v>423</v>
      </c>
      <c r="I203" s="541" t="s">
        <v>102</v>
      </c>
      <c r="J203" s="541" t="s">
        <v>43</v>
      </c>
      <c r="K203" s="542" t="s">
        <v>1579</v>
      </c>
      <c r="L203" s="586" t="s">
        <v>442</v>
      </c>
      <c r="M203" s="541" t="s">
        <v>1580</v>
      </c>
      <c r="N203" s="542" t="s">
        <v>1581</v>
      </c>
      <c r="O203" s="541" t="s">
        <v>1582</v>
      </c>
      <c r="P203" s="541" t="s">
        <v>145</v>
      </c>
      <c r="Q203" s="541" t="s">
        <v>468</v>
      </c>
      <c r="R203" s="541" t="s">
        <v>455</v>
      </c>
      <c r="S203" s="541" t="s">
        <v>1583</v>
      </c>
      <c r="T203" s="541" t="s">
        <v>745</v>
      </c>
      <c r="U203" s="541"/>
      <c r="V203" s="543" t="s">
        <v>517</v>
      </c>
      <c r="W203" s="544" t="s">
        <v>528</v>
      </c>
      <c r="X203" s="541"/>
      <c r="Y203" s="545"/>
      <c r="Z203" s="546"/>
      <c r="AA203" s="605" t="s">
        <v>518</v>
      </c>
      <c r="AB203" s="891" t="s">
        <v>436</v>
      </c>
      <c r="AC203" s="596"/>
      <c r="AD203" s="596"/>
      <c r="AE203" s="596"/>
      <c r="AF203" s="596"/>
      <c r="AG203" s="596"/>
      <c r="AH203" s="596"/>
      <c r="AI203" s="596"/>
      <c r="AJ203" s="547"/>
    </row>
    <row r="204" spans="1:36" ht="101.5">
      <c r="A204" s="535" t="s">
        <v>106</v>
      </c>
      <c r="B204" s="536" t="s">
        <v>1584</v>
      </c>
      <c r="C204" s="537" t="s">
        <v>1585</v>
      </c>
      <c r="D204" s="576" t="s">
        <v>1586</v>
      </c>
      <c r="E204" s="538" t="s">
        <v>1587</v>
      </c>
      <c r="F204" s="539" t="s">
        <v>39</v>
      </c>
      <c r="G204" s="540" t="s">
        <v>40</v>
      </c>
      <c r="H204" s="541" t="s">
        <v>423</v>
      </c>
      <c r="I204" s="541" t="s">
        <v>102</v>
      </c>
      <c r="J204" s="541" t="s">
        <v>43</v>
      </c>
      <c r="K204" s="542" t="s">
        <v>1588</v>
      </c>
      <c r="L204" s="586" t="s">
        <v>442</v>
      </c>
      <c r="M204" s="541" t="s">
        <v>1589</v>
      </c>
      <c r="N204" s="542" t="s">
        <v>1590</v>
      </c>
      <c r="O204" s="541" t="s">
        <v>1591</v>
      </c>
      <c r="P204" s="541" t="s">
        <v>145</v>
      </c>
      <c r="Q204" s="541" t="s">
        <v>468</v>
      </c>
      <c r="R204" s="541" t="s">
        <v>455</v>
      </c>
      <c r="S204" s="541" t="s">
        <v>1592</v>
      </c>
      <c r="T204" s="541" t="s">
        <v>1593</v>
      </c>
      <c r="U204" s="541"/>
      <c r="V204" s="543" t="s">
        <v>470</v>
      </c>
      <c r="W204" s="544" t="s">
        <v>459</v>
      </c>
      <c r="X204" s="541"/>
      <c r="Y204" s="545"/>
      <c r="Z204" s="546"/>
      <c r="AA204" s="605" t="s">
        <v>435</v>
      </c>
      <c r="AB204" s="891" t="s">
        <v>436</v>
      </c>
      <c r="AC204" s="596"/>
      <c r="AD204" s="596"/>
      <c r="AE204" s="596"/>
      <c r="AF204" s="596"/>
      <c r="AG204" s="596"/>
      <c r="AH204" s="596"/>
      <c r="AI204" s="596"/>
      <c r="AJ204" s="547"/>
    </row>
    <row r="205" spans="1:36" ht="87.5">
      <c r="A205" s="535" t="s">
        <v>106</v>
      </c>
      <c r="B205" s="536" t="s">
        <v>1594</v>
      </c>
      <c r="C205" s="537" t="s">
        <v>1595</v>
      </c>
      <c r="D205" s="538" t="s">
        <v>1596</v>
      </c>
      <c r="E205" s="538" t="s">
        <v>1597</v>
      </c>
      <c r="F205" s="539" t="s">
        <v>39</v>
      </c>
      <c r="G205" s="540" t="s">
        <v>40</v>
      </c>
      <c r="H205" s="541" t="s">
        <v>423</v>
      </c>
      <c r="I205" s="541" t="s">
        <v>102</v>
      </c>
      <c r="J205" s="541" t="s">
        <v>43</v>
      </c>
      <c r="K205" s="542" t="s">
        <v>1598</v>
      </c>
      <c r="L205" s="586" t="s">
        <v>442</v>
      </c>
      <c r="M205" s="541" t="s">
        <v>1599</v>
      </c>
      <c r="N205" s="542" t="s">
        <v>1600</v>
      </c>
      <c r="O205" s="541" t="s">
        <v>1601</v>
      </c>
      <c r="P205" s="541" t="s">
        <v>136</v>
      </c>
      <c r="Q205" s="541" t="s">
        <v>468</v>
      </c>
      <c r="R205" s="541" t="s">
        <v>455</v>
      </c>
      <c r="S205" s="541" t="s">
        <v>1602</v>
      </c>
      <c r="T205" s="541" t="s">
        <v>880</v>
      </c>
      <c r="U205" s="541"/>
      <c r="V205" s="543" t="s">
        <v>470</v>
      </c>
      <c r="W205" s="544" t="s">
        <v>459</v>
      </c>
      <c r="X205" s="541"/>
      <c r="Y205" s="545"/>
      <c r="Z205" s="546"/>
      <c r="AA205" s="605" t="s">
        <v>518</v>
      </c>
      <c r="AB205" s="891" t="s">
        <v>436</v>
      </c>
      <c r="AC205" s="596"/>
      <c r="AD205" s="596"/>
      <c r="AE205" s="596"/>
      <c r="AF205" s="596"/>
      <c r="AG205" s="596"/>
      <c r="AH205" s="596"/>
      <c r="AI205" s="596"/>
      <c r="AJ205" s="547"/>
    </row>
    <row r="206" spans="1:36" ht="87">
      <c r="A206" s="535" t="s">
        <v>106</v>
      </c>
      <c r="B206" s="536" t="s">
        <v>1603</v>
      </c>
      <c r="C206" s="537" t="s">
        <v>1604</v>
      </c>
      <c r="D206" s="576" t="s">
        <v>1605</v>
      </c>
      <c r="E206" s="538" t="s">
        <v>1606</v>
      </c>
      <c r="F206" s="539" t="s">
        <v>39</v>
      </c>
      <c r="G206" s="540" t="s">
        <v>40</v>
      </c>
      <c r="H206" s="541" t="s">
        <v>423</v>
      </c>
      <c r="I206" s="541" t="s">
        <v>102</v>
      </c>
      <c r="J206" s="541" t="s">
        <v>43</v>
      </c>
      <c r="K206" s="542" t="s">
        <v>1607</v>
      </c>
      <c r="L206" s="586" t="s">
        <v>442</v>
      </c>
      <c r="M206" s="541" t="s">
        <v>1608</v>
      </c>
      <c r="N206" s="542" t="s">
        <v>1609</v>
      </c>
      <c r="O206" s="541" t="s">
        <v>1610</v>
      </c>
      <c r="P206" s="541" t="s">
        <v>136</v>
      </c>
      <c r="Q206" s="541" t="s">
        <v>468</v>
      </c>
      <c r="R206" s="541" t="s">
        <v>455</v>
      </c>
      <c r="S206" s="541" t="s">
        <v>1611</v>
      </c>
      <c r="T206" s="541" t="s">
        <v>745</v>
      </c>
      <c r="U206" s="541"/>
      <c r="V206" s="543" t="s">
        <v>505</v>
      </c>
      <c r="W206" s="544" t="s">
        <v>528</v>
      </c>
      <c r="X206" s="541"/>
      <c r="Y206" s="545"/>
      <c r="Z206" s="546"/>
      <c r="AA206" s="605" t="s">
        <v>518</v>
      </c>
      <c r="AB206" s="891" t="s">
        <v>436</v>
      </c>
      <c r="AC206" s="596"/>
      <c r="AD206" s="596"/>
      <c r="AE206" s="596"/>
      <c r="AF206" s="596"/>
      <c r="AG206" s="596"/>
      <c r="AH206" s="596"/>
      <c r="AI206" s="596"/>
      <c r="AJ206" s="547"/>
    </row>
    <row r="207" spans="1:36" ht="101.5">
      <c r="A207" s="535" t="s">
        <v>1237</v>
      </c>
      <c r="B207" s="536" t="s">
        <v>1612</v>
      </c>
      <c r="C207" s="537" t="s">
        <v>1613</v>
      </c>
      <c r="D207" s="538" t="s">
        <v>1614</v>
      </c>
      <c r="E207" s="538" t="s">
        <v>1615</v>
      </c>
      <c r="F207" s="539" t="s">
        <v>39</v>
      </c>
      <c r="G207" s="540" t="s">
        <v>40</v>
      </c>
      <c r="H207" s="541" t="s">
        <v>423</v>
      </c>
      <c r="I207" s="541" t="s">
        <v>102</v>
      </c>
      <c r="J207" s="541" t="s">
        <v>43</v>
      </c>
      <c r="K207" s="542" t="s">
        <v>1616</v>
      </c>
      <c r="L207" s="586" t="s">
        <v>442</v>
      </c>
      <c r="M207" s="541" t="s">
        <v>1617</v>
      </c>
      <c r="N207" s="542" t="s">
        <v>1618</v>
      </c>
      <c r="O207" s="541" t="s">
        <v>1619</v>
      </c>
      <c r="P207" s="541" t="s">
        <v>136</v>
      </c>
      <c r="Q207" s="541" t="s">
        <v>468</v>
      </c>
      <c r="R207" s="541" t="s">
        <v>455</v>
      </c>
      <c r="S207" s="541" t="s">
        <v>1620</v>
      </c>
      <c r="T207" s="541" t="s">
        <v>880</v>
      </c>
      <c r="U207" s="541"/>
      <c r="V207" s="543" t="s">
        <v>470</v>
      </c>
      <c r="W207" s="544" t="s">
        <v>459</v>
      </c>
      <c r="X207" s="541"/>
      <c r="Y207" s="545"/>
      <c r="Z207" s="546"/>
      <c r="AA207" s="605" t="s">
        <v>435</v>
      </c>
      <c r="AB207" s="891" t="s">
        <v>436</v>
      </c>
      <c r="AC207" s="596"/>
      <c r="AD207" s="596"/>
      <c r="AE207" s="596"/>
      <c r="AF207" s="596"/>
      <c r="AG207" s="596"/>
      <c r="AH207" s="596"/>
      <c r="AI207" s="596"/>
      <c r="AJ207" s="547"/>
    </row>
    <row r="208" spans="1:36" ht="101.5">
      <c r="A208" s="535" t="s">
        <v>1237</v>
      </c>
      <c r="B208" s="536" t="s">
        <v>1621</v>
      </c>
      <c r="C208" s="537" t="s">
        <v>1622</v>
      </c>
      <c r="D208" s="576" t="s">
        <v>1623</v>
      </c>
      <c r="E208" s="538" t="s">
        <v>1624</v>
      </c>
      <c r="F208" s="539" t="s">
        <v>39</v>
      </c>
      <c r="G208" s="540" t="s">
        <v>40</v>
      </c>
      <c r="H208" s="541" t="s">
        <v>423</v>
      </c>
      <c r="I208" s="541" t="s">
        <v>474</v>
      </c>
      <c r="J208" s="541" t="s">
        <v>43</v>
      </c>
      <c r="K208" s="542" t="s">
        <v>1625</v>
      </c>
      <c r="L208" s="586" t="s">
        <v>442</v>
      </c>
      <c r="M208" s="541" t="s">
        <v>1626</v>
      </c>
      <c r="N208" s="542" t="s">
        <v>1627</v>
      </c>
      <c r="O208" s="541" t="s">
        <v>1628</v>
      </c>
      <c r="P208" s="541" t="s">
        <v>145</v>
      </c>
      <c r="Q208" s="541" t="s">
        <v>468</v>
      </c>
      <c r="R208" s="541" t="s">
        <v>455</v>
      </c>
      <c r="S208" s="541" t="s">
        <v>1629</v>
      </c>
      <c r="T208" s="541" t="s">
        <v>880</v>
      </c>
      <c r="U208" s="541"/>
      <c r="V208" s="543" t="s">
        <v>470</v>
      </c>
      <c r="W208" s="544" t="s">
        <v>459</v>
      </c>
      <c r="X208" s="541"/>
      <c r="Y208" s="545"/>
      <c r="Z208" s="546"/>
      <c r="AA208" s="605" t="s">
        <v>518</v>
      </c>
      <c r="AB208" s="891" t="s">
        <v>436</v>
      </c>
      <c r="AC208" s="596"/>
      <c r="AD208" s="596"/>
      <c r="AE208" s="596"/>
      <c r="AF208" s="596"/>
      <c r="AG208" s="596"/>
      <c r="AH208" s="596"/>
      <c r="AI208" s="596"/>
      <c r="AJ208" s="547"/>
    </row>
    <row r="209" spans="1:36" ht="116">
      <c r="A209" s="535" t="s">
        <v>1237</v>
      </c>
      <c r="B209" s="536" t="s">
        <v>1630</v>
      </c>
      <c r="C209" s="537" t="s">
        <v>1631</v>
      </c>
      <c r="D209" s="576" t="s">
        <v>1632</v>
      </c>
      <c r="E209" s="538" t="s">
        <v>1633</v>
      </c>
      <c r="F209" s="539" t="s">
        <v>39</v>
      </c>
      <c r="G209" s="540" t="s">
        <v>40</v>
      </c>
      <c r="H209" s="541" t="s">
        <v>423</v>
      </c>
      <c r="I209" s="541" t="s">
        <v>474</v>
      </c>
      <c r="J209" s="541" t="s">
        <v>43</v>
      </c>
      <c r="K209" s="542" t="s">
        <v>1634</v>
      </c>
      <c r="L209" s="586" t="s">
        <v>442</v>
      </c>
      <c r="M209" s="541" t="s">
        <v>1635</v>
      </c>
      <c r="N209" s="542" t="s">
        <v>1636</v>
      </c>
      <c r="O209" s="541" t="s">
        <v>1637</v>
      </c>
      <c r="P209" s="541" t="s">
        <v>136</v>
      </c>
      <c r="Q209" s="541" t="s">
        <v>468</v>
      </c>
      <c r="R209" s="541" t="s">
        <v>455</v>
      </c>
      <c r="S209" s="541" t="s">
        <v>1125</v>
      </c>
      <c r="T209" s="541" t="s">
        <v>880</v>
      </c>
      <c r="U209" s="541"/>
      <c r="V209" s="543" t="s">
        <v>517</v>
      </c>
      <c r="W209" s="544" t="s">
        <v>528</v>
      </c>
      <c r="X209" s="541"/>
      <c r="Y209" s="545"/>
      <c r="Z209" s="546"/>
      <c r="AA209" s="605" t="s">
        <v>435</v>
      </c>
      <c r="AB209" s="891" t="s">
        <v>436</v>
      </c>
      <c r="AC209" s="596"/>
      <c r="AD209" s="596"/>
      <c r="AE209" s="596"/>
      <c r="AF209" s="596"/>
      <c r="AG209" s="596"/>
      <c r="AH209" s="596"/>
      <c r="AI209" s="596"/>
      <c r="AJ209" s="547"/>
    </row>
    <row r="210" spans="1:36" ht="101.5">
      <c r="A210" s="535" t="s">
        <v>1237</v>
      </c>
      <c r="B210" s="536" t="s">
        <v>1638</v>
      </c>
      <c r="C210" s="537" t="s">
        <v>1639</v>
      </c>
      <c r="D210" s="576" t="s">
        <v>1640</v>
      </c>
      <c r="E210" s="538" t="s">
        <v>1641</v>
      </c>
      <c r="F210" s="539" t="s">
        <v>39</v>
      </c>
      <c r="G210" s="540" t="s">
        <v>40</v>
      </c>
      <c r="H210" s="541" t="s">
        <v>423</v>
      </c>
      <c r="I210" s="541" t="s">
        <v>474</v>
      </c>
      <c r="J210" s="541" t="s">
        <v>43</v>
      </c>
      <c r="K210" s="542" t="s">
        <v>1642</v>
      </c>
      <c r="L210" s="586" t="s">
        <v>442</v>
      </c>
      <c r="M210" s="541" t="s">
        <v>1643</v>
      </c>
      <c r="N210" s="542" t="s">
        <v>1644</v>
      </c>
      <c r="O210" s="541" t="s">
        <v>1645</v>
      </c>
      <c r="P210" s="541" t="s">
        <v>145</v>
      </c>
      <c r="Q210" s="541" t="s">
        <v>468</v>
      </c>
      <c r="R210" s="541" t="s">
        <v>455</v>
      </c>
      <c r="S210" s="541" t="s">
        <v>1646</v>
      </c>
      <c r="T210" s="541" t="s">
        <v>487</v>
      </c>
      <c r="U210" s="541"/>
      <c r="V210" s="543" t="s">
        <v>470</v>
      </c>
      <c r="W210" s="544" t="s">
        <v>459</v>
      </c>
      <c r="X210" s="541"/>
      <c r="Y210" s="545"/>
      <c r="Z210" s="546"/>
      <c r="AA210" s="605" t="s">
        <v>518</v>
      </c>
      <c r="AB210" s="891" t="s">
        <v>436</v>
      </c>
      <c r="AC210" s="596"/>
      <c r="AD210" s="596"/>
      <c r="AE210" s="596"/>
      <c r="AF210" s="596"/>
      <c r="AG210" s="596"/>
      <c r="AH210" s="596"/>
      <c r="AI210" s="596"/>
      <c r="AJ210" s="547"/>
    </row>
    <row r="211" spans="1:36" ht="87">
      <c r="A211" s="535" t="s">
        <v>106</v>
      </c>
      <c r="B211" s="536" t="s">
        <v>1647</v>
      </c>
      <c r="C211" s="537" t="s">
        <v>1648</v>
      </c>
      <c r="D211" s="576" t="s">
        <v>1649</v>
      </c>
      <c r="E211" s="538" t="s">
        <v>1650</v>
      </c>
      <c r="F211" s="539" t="s">
        <v>39</v>
      </c>
      <c r="G211" s="540" t="s">
        <v>40</v>
      </c>
      <c r="H211" s="541" t="s">
        <v>423</v>
      </c>
      <c r="I211" s="541" t="s">
        <v>102</v>
      </c>
      <c r="J211" s="541" t="s">
        <v>43</v>
      </c>
      <c r="K211" s="542" t="s">
        <v>1651</v>
      </c>
      <c r="L211" s="586" t="s">
        <v>442</v>
      </c>
      <c r="M211" s="541" t="s">
        <v>524</v>
      </c>
      <c r="N211" s="542" t="s">
        <v>1652</v>
      </c>
      <c r="O211" s="541" t="s">
        <v>1653</v>
      </c>
      <c r="P211" s="541" t="s">
        <v>145</v>
      </c>
      <c r="Q211" s="541" t="s">
        <v>468</v>
      </c>
      <c r="R211" s="541" t="s">
        <v>455</v>
      </c>
      <c r="S211" s="541" t="s">
        <v>1654</v>
      </c>
      <c r="T211" s="541" t="s">
        <v>527</v>
      </c>
      <c r="U211" s="541"/>
      <c r="V211" s="543" t="s">
        <v>630</v>
      </c>
      <c r="W211" s="544" t="s">
        <v>459</v>
      </c>
      <c r="X211" s="541"/>
      <c r="Y211" s="545"/>
      <c r="Z211" s="546"/>
      <c r="AA211" s="605" t="s">
        <v>435</v>
      </c>
      <c r="AB211" s="891" t="s">
        <v>436</v>
      </c>
      <c r="AC211" s="596"/>
      <c r="AD211" s="596"/>
      <c r="AE211" s="596"/>
      <c r="AF211" s="596"/>
      <c r="AG211" s="596"/>
      <c r="AH211" s="596"/>
      <c r="AI211" s="596"/>
      <c r="AJ211" s="547"/>
    </row>
    <row r="212" spans="1:36" ht="116">
      <c r="A212" s="535" t="s">
        <v>127</v>
      </c>
      <c r="B212" s="536" t="s">
        <v>419</v>
      </c>
      <c r="C212" s="537" t="s">
        <v>1655</v>
      </c>
      <c r="D212" s="538" t="s">
        <v>1656</v>
      </c>
      <c r="E212" s="538" t="s">
        <v>1657</v>
      </c>
      <c r="F212" s="539" t="s">
        <v>39</v>
      </c>
      <c r="G212" s="540" t="s">
        <v>85</v>
      </c>
      <c r="H212" s="595" t="s">
        <v>423</v>
      </c>
      <c r="I212" s="541" t="s">
        <v>102</v>
      </c>
      <c r="J212" s="541" t="s">
        <v>43</v>
      </c>
      <c r="K212" s="542" t="s">
        <v>1658</v>
      </c>
      <c r="L212" s="586" t="s">
        <v>442</v>
      </c>
      <c r="M212" s="541" t="s">
        <v>1659</v>
      </c>
      <c r="N212" s="542" t="s">
        <v>1660</v>
      </c>
      <c r="O212" s="541" t="s">
        <v>1661</v>
      </c>
      <c r="P212" s="541" t="s">
        <v>136</v>
      </c>
      <c r="Q212" s="541" t="s">
        <v>1662</v>
      </c>
      <c r="R212" s="541" t="s">
        <v>1663</v>
      </c>
      <c r="S212" s="541" t="s">
        <v>1664</v>
      </c>
      <c r="T212" s="541" t="s">
        <v>1665</v>
      </c>
      <c r="U212" s="541"/>
      <c r="V212" s="543" t="s">
        <v>793</v>
      </c>
      <c r="W212" s="544" t="s">
        <v>1364</v>
      </c>
      <c r="X212" s="541"/>
      <c r="Y212" s="545"/>
      <c r="Z212" s="546"/>
      <c r="AA212" s="605" t="s">
        <v>435</v>
      </c>
      <c r="AB212" s="892"/>
      <c r="AC212" s="596"/>
      <c r="AD212" s="596"/>
      <c r="AE212" s="596"/>
      <c r="AF212" s="596"/>
      <c r="AG212" s="596"/>
      <c r="AH212" s="596"/>
      <c r="AI212" s="596"/>
      <c r="AJ212" s="547"/>
    </row>
    <row r="213" spans="1:36" ht="145">
      <c r="A213" s="535" t="s">
        <v>127</v>
      </c>
      <c r="B213" s="536" t="s">
        <v>437</v>
      </c>
      <c r="C213" s="537" t="s">
        <v>1666</v>
      </c>
      <c r="D213" s="538" t="s">
        <v>1667</v>
      </c>
      <c r="E213" s="538" t="s">
        <v>1668</v>
      </c>
      <c r="F213" s="539" t="s">
        <v>39</v>
      </c>
      <c r="G213" s="540" t="s">
        <v>101</v>
      </c>
      <c r="H213" s="595" t="s">
        <v>423</v>
      </c>
      <c r="I213" s="541" t="s">
        <v>102</v>
      </c>
      <c r="J213" s="541" t="s">
        <v>43</v>
      </c>
      <c r="K213" s="542" t="s">
        <v>1669</v>
      </c>
      <c r="L213" s="586" t="s">
        <v>442</v>
      </c>
      <c r="M213" s="541" t="s">
        <v>1670</v>
      </c>
      <c r="N213" s="542" t="s">
        <v>1671</v>
      </c>
      <c r="O213" s="541" t="s">
        <v>1672</v>
      </c>
      <c r="P213" s="541" t="s">
        <v>136</v>
      </c>
      <c r="Q213" s="541" t="s">
        <v>1662</v>
      </c>
      <c r="R213" s="541" t="s">
        <v>1663</v>
      </c>
      <c r="S213" s="541" t="s">
        <v>1664</v>
      </c>
      <c r="T213" s="541" t="s">
        <v>457</v>
      </c>
      <c r="U213" s="541"/>
      <c r="V213" s="543" t="s">
        <v>793</v>
      </c>
      <c r="W213" s="544" t="s">
        <v>1364</v>
      </c>
      <c r="X213" s="541"/>
      <c r="Y213" s="545"/>
      <c r="Z213" s="546"/>
      <c r="AA213" s="605" t="s">
        <v>435</v>
      </c>
      <c r="AB213" s="892"/>
      <c r="AC213" s="596"/>
      <c r="AD213" s="596"/>
      <c r="AE213" s="596"/>
      <c r="AF213" s="596"/>
      <c r="AG213" s="596"/>
      <c r="AH213" s="596"/>
      <c r="AI213" s="596"/>
      <c r="AJ213" s="547"/>
    </row>
    <row r="214" spans="1:36" ht="116">
      <c r="A214" s="535" t="s">
        <v>127</v>
      </c>
      <c r="B214" s="593" t="s">
        <v>447</v>
      </c>
      <c r="C214" s="537" t="s">
        <v>1673</v>
      </c>
      <c r="D214" s="538" t="s">
        <v>1674</v>
      </c>
      <c r="E214" s="538" t="s">
        <v>1675</v>
      </c>
      <c r="F214" s="539" t="s">
        <v>39</v>
      </c>
      <c r="G214" s="540" t="s">
        <v>101</v>
      </c>
      <c r="H214" s="595" t="s">
        <v>423</v>
      </c>
      <c r="I214" s="541" t="s">
        <v>102</v>
      </c>
      <c r="J214" s="541" t="s">
        <v>43</v>
      </c>
      <c r="K214" s="542" t="s">
        <v>1676</v>
      </c>
      <c r="L214" s="586" t="s">
        <v>442</v>
      </c>
      <c r="M214" s="541" t="s">
        <v>1677</v>
      </c>
      <c r="N214" s="542" t="s">
        <v>1678</v>
      </c>
      <c r="O214" s="541" t="s">
        <v>1679</v>
      </c>
      <c r="P214" s="541" t="s">
        <v>136</v>
      </c>
      <c r="Q214" s="541" t="s">
        <v>1662</v>
      </c>
      <c r="R214" s="541" t="s">
        <v>1663</v>
      </c>
      <c r="S214" s="541" t="s">
        <v>1664</v>
      </c>
      <c r="T214" s="541" t="s">
        <v>1665</v>
      </c>
      <c r="U214" s="541"/>
      <c r="V214" s="543" t="s">
        <v>630</v>
      </c>
      <c r="W214" s="544" t="s">
        <v>459</v>
      </c>
      <c r="X214" s="541"/>
      <c r="Y214" s="545"/>
      <c r="Z214" s="546"/>
      <c r="AA214" s="605" t="s">
        <v>518</v>
      </c>
      <c r="AB214" s="892"/>
      <c r="AC214" s="596"/>
      <c r="AD214" s="596"/>
      <c r="AE214" s="596"/>
      <c r="AF214" s="596"/>
      <c r="AG214" s="596"/>
      <c r="AH214" s="596"/>
      <c r="AI214" s="596"/>
      <c r="AJ214" s="547"/>
    </row>
    <row r="215" spans="1:36" ht="87">
      <c r="A215" s="535" t="s">
        <v>127</v>
      </c>
      <c r="B215" s="536" t="s">
        <v>460</v>
      </c>
      <c r="C215" s="537" t="s">
        <v>1680</v>
      </c>
      <c r="D215" s="538" t="s">
        <v>1681</v>
      </c>
      <c r="E215" s="538" t="s">
        <v>1682</v>
      </c>
      <c r="F215" s="539" t="s">
        <v>39</v>
      </c>
      <c r="G215" s="540" t="s">
        <v>40</v>
      </c>
      <c r="H215" s="541" t="s">
        <v>423</v>
      </c>
      <c r="I215" s="541" t="s">
        <v>102</v>
      </c>
      <c r="J215" s="541" t="s">
        <v>43</v>
      </c>
      <c r="K215" s="542" t="s">
        <v>1683</v>
      </c>
      <c r="L215" s="586" t="s">
        <v>442</v>
      </c>
      <c r="M215" s="541" t="s">
        <v>1684</v>
      </c>
      <c r="N215" s="542" t="s">
        <v>1685</v>
      </c>
      <c r="O215" s="541" t="s">
        <v>1686</v>
      </c>
      <c r="P215" s="541" t="s">
        <v>136</v>
      </c>
      <c r="Q215" s="541" t="s">
        <v>1662</v>
      </c>
      <c r="R215" s="541" t="s">
        <v>1687</v>
      </c>
      <c r="S215" s="541" t="s">
        <v>1688</v>
      </c>
      <c r="T215" s="541" t="s">
        <v>1665</v>
      </c>
      <c r="U215" s="541"/>
      <c r="V215" s="543" t="s">
        <v>630</v>
      </c>
      <c r="W215" s="544" t="s">
        <v>459</v>
      </c>
      <c r="X215" s="541"/>
      <c r="Y215" s="545"/>
      <c r="Z215" s="546"/>
      <c r="AA215" s="605" t="s">
        <v>435</v>
      </c>
      <c r="AB215" s="892"/>
      <c r="AC215" s="596"/>
      <c r="AD215" s="596"/>
      <c r="AE215" s="596"/>
      <c r="AF215" s="596"/>
      <c r="AG215" s="596"/>
      <c r="AH215" s="596"/>
      <c r="AI215" s="596"/>
      <c r="AJ215" s="547"/>
    </row>
    <row r="216" spans="1:36" ht="116">
      <c r="A216" s="535" t="s">
        <v>127</v>
      </c>
      <c r="B216" s="593" t="s">
        <v>1689</v>
      </c>
      <c r="C216" s="537" t="s">
        <v>1690</v>
      </c>
      <c r="D216" s="538" t="s">
        <v>1691</v>
      </c>
      <c r="E216" s="538" t="s">
        <v>1692</v>
      </c>
      <c r="F216" s="539" t="s">
        <v>39</v>
      </c>
      <c r="G216" s="540" t="s">
        <v>85</v>
      </c>
      <c r="H216" s="595" t="s">
        <v>423</v>
      </c>
      <c r="I216" s="541" t="s">
        <v>102</v>
      </c>
      <c r="J216" s="541" t="s">
        <v>43</v>
      </c>
      <c r="K216" s="542" t="s">
        <v>1693</v>
      </c>
      <c r="L216" s="586" t="s">
        <v>1694</v>
      </c>
      <c r="M216" s="541" t="s">
        <v>1695</v>
      </c>
      <c r="N216" s="542" t="s">
        <v>1696</v>
      </c>
      <c r="O216" s="541" t="s">
        <v>1697</v>
      </c>
      <c r="P216" s="541" t="s">
        <v>136</v>
      </c>
      <c r="Q216" s="541" t="s">
        <v>1662</v>
      </c>
      <c r="R216" s="541" t="s">
        <v>1687</v>
      </c>
      <c r="S216" s="541" t="s">
        <v>1664</v>
      </c>
      <c r="T216" s="541" t="s">
        <v>1665</v>
      </c>
      <c r="U216" s="541"/>
      <c r="V216" s="543" t="s">
        <v>630</v>
      </c>
      <c r="W216" s="544" t="s">
        <v>459</v>
      </c>
      <c r="X216" s="541"/>
      <c r="Y216" s="545"/>
      <c r="Z216" s="546"/>
      <c r="AA216" s="605" t="s">
        <v>518</v>
      </c>
      <c r="AB216" s="892"/>
      <c r="AC216" s="596"/>
      <c r="AD216" s="596"/>
      <c r="AE216" s="596"/>
      <c r="AF216" s="596"/>
      <c r="AG216" s="596"/>
      <c r="AH216" s="596"/>
      <c r="AI216" s="596"/>
      <c r="AJ216" s="547"/>
    </row>
    <row r="217" spans="1:36" ht="130.5">
      <c r="A217" s="535" t="s">
        <v>127</v>
      </c>
      <c r="B217" s="536" t="s">
        <v>489</v>
      </c>
      <c r="C217" s="537" t="s">
        <v>1698</v>
      </c>
      <c r="D217" s="538" t="s">
        <v>1699</v>
      </c>
      <c r="E217" s="538" t="s">
        <v>1700</v>
      </c>
      <c r="F217" s="539" t="s">
        <v>39</v>
      </c>
      <c r="G217" s="540" t="s">
        <v>101</v>
      </c>
      <c r="H217" s="541" t="s">
        <v>423</v>
      </c>
      <c r="I217" s="541" t="s">
        <v>102</v>
      </c>
      <c r="J217" s="541" t="s">
        <v>43</v>
      </c>
      <c r="K217" s="542" t="s">
        <v>1701</v>
      </c>
      <c r="L217" s="586" t="s">
        <v>442</v>
      </c>
      <c r="M217" s="541" t="s">
        <v>1702</v>
      </c>
      <c r="N217" s="542" t="s">
        <v>1703</v>
      </c>
      <c r="O217" s="541" t="s">
        <v>1704</v>
      </c>
      <c r="P217" s="541" t="s">
        <v>145</v>
      </c>
      <c r="Q217" s="541" t="s">
        <v>1662</v>
      </c>
      <c r="R217" s="541" t="s">
        <v>1687</v>
      </c>
      <c r="S217" s="541" t="s">
        <v>1705</v>
      </c>
      <c r="T217" s="541" t="s">
        <v>457</v>
      </c>
      <c r="U217" s="541"/>
      <c r="V217" s="543" t="s">
        <v>793</v>
      </c>
      <c r="W217" s="544" t="s">
        <v>1364</v>
      </c>
      <c r="X217" s="541"/>
      <c r="Y217" s="545"/>
      <c r="Z217" s="546"/>
      <c r="AA217" s="605" t="s">
        <v>435</v>
      </c>
      <c r="AB217" s="892"/>
      <c r="AC217" s="596"/>
      <c r="AD217" s="596"/>
      <c r="AE217" s="596"/>
      <c r="AF217" s="596"/>
      <c r="AG217" s="596"/>
      <c r="AH217" s="596"/>
      <c r="AI217" s="596"/>
      <c r="AJ217" s="547"/>
    </row>
    <row r="218" spans="1:36" ht="75">
      <c r="A218" s="535" t="s">
        <v>127</v>
      </c>
      <c r="B218" s="536">
        <v>7.1</v>
      </c>
      <c r="C218" s="537" t="s">
        <v>1706</v>
      </c>
      <c r="D218" s="576" t="s">
        <v>1707</v>
      </c>
      <c r="E218" s="538" t="s">
        <v>1708</v>
      </c>
      <c r="F218" s="539" t="s">
        <v>545</v>
      </c>
      <c r="G218" s="540" t="s">
        <v>546</v>
      </c>
      <c r="H218" s="541" t="s">
        <v>423</v>
      </c>
      <c r="I218" s="541" t="s">
        <v>102</v>
      </c>
      <c r="J218" s="541" t="s">
        <v>43</v>
      </c>
      <c r="K218" s="542" t="s">
        <v>1709</v>
      </c>
      <c r="L218" s="586" t="s">
        <v>442</v>
      </c>
      <c r="M218" s="541" t="s">
        <v>1710</v>
      </c>
      <c r="N218" s="542" t="s">
        <v>1711</v>
      </c>
      <c r="O218" s="541" t="s">
        <v>1712</v>
      </c>
      <c r="P218" s="541" t="s">
        <v>145</v>
      </c>
      <c r="Q218" s="541" t="s">
        <v>1662</v>
      </c>
      <c r="R218" s="541" t="s">
        <v>1687</v>
      </c>
      <c r="S218" s="541" t="s">
        <v>1713</v>
      </c>
      <c r="T218" s="541" t="s">
        <v>1665</v>
      </c>
      <c r="U218" s="541"/>
      <c r="V218" s="543" t="s">
        <v>793</v>
      </c>
      <c r="W218" s="544" t="s">
        <v>1714</v>
      </c>
      <c r="X218" s="541"/>
      <c r="Y218" s="545"/>
      <c r="Z218" s="546"/>
      <c r="AA218" s="605" t="s">
        <v>518</v>
      </c>
      <c r="AB218" s="892"/>
      <c r="AC218" s="596"/>
      <c r="AD218" s="596"/>
      <c r="AE218" s="596"/>
      <c r="AF218" s="596"/>
      <c r="AG218" s="596"/>
      <c r="AH218" s="596"/>
      <c r="AI218" s="596"/>
      <c r="AJ218" s="547"/>
    </row>
    <row r="219" spans="1:36" ht="145">
      <c r="A219" s="535" t="s">
        <v>127</v>
      </c>
      <c r="B219" s="536">
        <v>7.2</v>
      </c>
      <c r="C219" s="537" t="s">
        <v>1715</v>
      </c>
      <c r="D219" s="538" t="s">
        <v>1716</v>
      </c>
      <c r="E219" s="538" t="s">
        <v>1717</v>
      </c>
      <c r="F219" s="539" t="s">
        <v>39</v>
      </c>
      <c r="G219" s="540" t="s">
        <v>85</v>
      </c>
      <c r="H219" s="541" t="s">
        <v>423</v>
      </c>
      <c r="I219" s="541" t="s">
        <v>102</v>
      </c>
      <c r="J219" s="541" t="s">
        <v>43</v>
      </c>
      <c r="K219" s="542" t="s">
        <v>1718</v>
      </c>
      <c r="L219" s="586" t="s">
        <v>442</v>
      </c>
      <c r="M219" s="541" t="s">
        <v>1719</v>
      </c>
      <c r="N219" s="542" t="s">
        <v>1720</v>
      </c>
      <c r="O219" s="541" t="s">
        <v>1721</v>
      </c>
      <c r="P219" s="541" t="s">
        <v>136</v>
      </c>
      <c r="Q219" s="541" t="s">
        <v>1662</v>
      </c>
      <c r="R219" s="541" t="s">
        <v>1687</v>
      </c>
      <c r="S219" s="541" t="s">
        <v>1664</v>
      </c>
      <c r="T219" s="541" t="s">
        <v>1665</v>
      </c>
      <c r="U219" s="541"/>
      <c r="V219" s="543" t="s">
        <v>630</v>
      </c>
      <c r="W219" s="544" t="s">
        <v>1714</v>
      </c>
      <c r="X219" s="541"/>
      <c r="Y219" s="545"/>
      <c r="Z219" s="546"/>
      <c r="AA219" s="605" t="s">
        <v>435</v>
      </c>
      <c r="AB219" s="892"/>
      <c r="AC219" s="596"/>
      <c r="AD219" s="596"/>
      <c r="AE219" s="596"/>
      <c r="AF219" s="596"/>
      <c r="AG219" s="596"/>
      <c r="AH219" s="596"/>
      <c r="AI219" s="596"/>
      <c r="AJ219" s="547"/>
    </row>
    <row r="220" spans="1:36" ht="130.5">
      <c r="A220" s="535" t="s">
        <v>127</v>
      </c>
      <c r="B220" s="593">
        <v>7.3</v>
      </c>
      <c r="C220" s="537" t="s">
        <v>1722</v>
      </c>
      <c r="D220" s="538" t="s">
        <v>1723</v>
      </c>
      <c r="E220" s="538" t="s">
        <v>1724</v>
      </c>
      <c r="F220" s="539" t="s">
        <v>39</v>
      </c>
      <c r="G220" s="540" t="s">
        <v>85</v>
      </c>
      <c r="H220" s="595" t="s">
        <v>423</v>
      </c>
      <c r="I220" s="541" t="s">
        <v>102</v>
      </c>
      <c r="J220" s="541" t="s">
        <v>43</v>
      </c>
      <c r="K220" s="542" t="s">
        <v>1725</v>
      </c>
      <c r="L220" s="586" t="s">
        <v>1694</v>
      </c>
      <c r="M220" s="541" t="s">
        <v>1695</v>
      </c>
      <c r="N220" s="542" t="s">
        <v>1726</v>
      </c>
      <c r="O220" s="541" t="s">
        <v>1727</v>
      </c>
      <c r="P220" s="541" t="s">
        <v>136</v>
      </c>
      <c r="Q220" s="541" t="s">
        <v>1662</v>
      </c>
      <c r="R220" s="541" t="s">
        <v>1687</v>
      </c>
      <c r="S220" s="541" t="s">
        <v>1664</v>
      </c>
      <c r="T220" s="541" t="s">
        <v>1665</v>
      </c>
      <c r="U220" s="541"/>
      <c r="V220" s="543" t="s">
        <v>630</v>
      </c>
      <c r="W220" s="544" t="s">
        <v>459</v>
      </c>
      <c r="X220" s="541"/>
      <c r="Y220" s="545"/>
      <c r="Z220" s="546"/>
      <c r="AA220" s="605" t="s">
        <v>518</v>
      </c>
      <c r="AB220" s="892"/>
      <c r="AC220" s="596"/>
      <c r="AD220" s="596"/>
      <c r="AE220" s="596"/>
      <c r="AF220" s="596"/>
      <c r="AG220" s="596"/>
      <c r="AH220" s="596"/>
      <c r="AI220" s="596"/>
      <c r="AJ220" s="547"/>
    </row>
    <row r="221" spans="1:36" ht="116">
      <c r="A221" s="535" t="s">
        <v>127</v>
      </c>
      <c r="B221" s="536">
        <v>7.4</v>
      </c>
      <c r="C221" s="537" t="s">
        <v>1728</v>
      </c>
      <c r="D221" s="576" t="s">
        <v>1729</v>
      </c>
      <c r="E221" s="538" t="s">
        <v>1730</v>
      </c>
      <c r="F221" s="539" t="s">
        <v>39</v>
      </c>
      <c r="G221" s="540" t="s">
        <v>85</v>
      </c>
      <c r="H221" s="595" t="s">
        <v>423</v>
      </c>
      <c r="I221" s="541" t="s">
        <v>102</v>
      </c>
      <c r="J221" s="541" t="s">
        <v>43</v>
      </c>
      <c r="K221" s="542" t="s">
        <v>1731</v>
      </c>
      <c r="L221" s="586" t="s">
        <v>1694</v>
      </c>
      <c r="M221" s="541" t="s">
        <v>1732</v>
      </c>
      <c r="N221" s="542" t="s">
        <v>1733</v>
      </c>
      <c r="O221" s="541" t="s">
        <v>1734</v>
      </c>
      <c r="P221" s="541" t="s">
        <v>136</v>
      </c>
      <c r="Q221" s="541" t="s">
        <v>1662</v>
      </c>
      <c r="R221" s="541" t="s">
        <v>1687</v>
      </c>
      <c r="S221" s="541" t="s">
        <v>1664</v>
      </c>
      <c r="T221" s="541" t="s">
        <v>1665</v>
      </c>
      <c r="U221" s="541"/>
      <c r="V221" s="543" t="s">
        <v>793</v>
      </c>
      <c r="W221" s="544" t="s">
        <v>459</v>
      </c>
      <c r="X221" s="541"/>
      <c r="Y221" s="545"/>
      <c r="Z221" s="546"/>
      <c r="AA221" s="605" t="s">
        <v>435</v>
      </c>
      <c r="AB221" s="892"/>
      <c r="AC221" s="596"/>
      <c r="AD221" s="596"/>
      <c r="AE221" s="596"/>
      <c r="AF221" s="596"/>
      <c r="AG221" s="596"/>
      <c r="AH221" s="596"/>
      <c r="AI221" s="596"/>
      <c r="AJ221" s="547"/>
    </row>
    <row r="222" spans="1:36" ht="130.5">
      <c r="A222" s="535" t="s">
        <v>127</v>
      </c>
      <c r="B222" s="536">
        <v>7.5</v>
      </c>
      <c r="C222" s="537" t="s">
        <v>1735</v>
      </c>
      <c r="D222" s="538" t="s">
        <v>1736</v>
      </c>
      <c r="E222" s="538" t="s">
        <v>1737</v>
      </c>
      <c r="F222" s="539" t="s">
        <v>39</v>
      </c>
      <c r="G222" s="540" t="s">
        <v>101</v>
      </c>
      <c r="H222" s="541" t="s">
        <v>423</v>
      </c>
      <c r="I222" s="541" t="s">
        <v>102</v>
      </c>
      <c r="J222" s="541" t="s">
        <v>43</v>
      </c>
      <c r="K222" s="542" t="s">
        <v>1738</v>
      </c>
      <c r="L222" s="586" t="s">
        <v>442</v>
      </c>
      <c r="M222" s="541" t="s">
        <v>1739</v>
      </c>
      <c r="N222" s="542" t="s">
        <v>1740</v>
      </c>
      <c r="O222" s="541" t="s">
        <v>1741</v>
      </c>
      <c r="P222" s="541" t="s">
        <v>1096</v>
      </c>
      <c r="Q222" s="541" t="s">
        <v>1687</v>
      </c>
      <c r="R222" s="541" t="s">
        <v>1687</v>
      </c>
      <c r="S222" s="541" t="s">
        <v>1664</v>
      </c>
      <c r="T222" s="541" t="s">
        <v>1665</v>
      </c>
      <c r="U222" s="541"/>
      <c r="V222" s="543" t="s">
        <v>1687</v>
      </c>
      <c r="W222" s="544" t="s">
        <v>1742</v>
      </c>
      <c r="X222" s="541"/>
      <c r="Y222" s="545"/>
      <c r="Z222" s="546"/>
      <c r="AA222" s="605" t="s">
        <v>435</v>
      </c>
      <c r="AB222" s="892"/>
      <c r="AC222" s="596"/>
      <c r="AD222" s="596"/>
      <c r="AE222" s="596"/>
      <c r="AF222" s="596"/>
      <c r="AG222" s="596"/>
      <c r="AH222" s="596"/>
      <c r="AI222" s="596"/>
      <c r="AJ222" s="547"/>
    </row>
    <row r="223" spans="1:36" ht="87">
      <c r="A223" s="535" t="s">
        <v>127</v>
      </c>
      <c r="B223" s="536">
        <v>7.6</v>
      </c>
      <c r="C223" s="537" t="s">
        <v>1743</v>
      </c>
      <c r="D223" s="576" t="s">
        <v>1744</v>
      </c>
      <c r="E223" s="538" t="s">
        <v>1745</v>
      </c>
      <c r="F223" s="539" t="s">
        <v>39</v>
      </c>
      <c r="G223" s="540" t="s">
        <v>101</v>
      </c>
      <c r="H223" s="541" t="s">
        <v>423</v>
      </c>
      <c r="I223" s="541" t="s">
        <v>607</v>
      </c>
      <c r="J223" s="541" t="s">
        <v>43</v>
      </c>
      <c r="K223" s="542" t="s">
        <v>1746</v>
      </c>
      <c r="L223" s="586" t="s">
        <v>442</v>
      </c>
      <c r="M223" s="541" t="s">
        <v>1747</v>
      </c>
      <c r="N223" s="542" t="s">
        <v>1748</v>
      </c>
      <c r="O223" s="541" t="s">
        <v>1749</v>
      </c>
      <c r="P223" s="541" t="s">
        <v>145</v>
      </c>
      <c r="Q223" s="541" t="s">
        <v>1687</v>
      </c>
      <c r="R223" s="541" t="s">
        <v>1687</v>
      </c>
      <c r="S223" s="541" t="s">
        <v>1664</v>
      </c>
      <c r="T223" s="541" t="s">
        <v>1665</v>
      </c>
      <c r="U223" s="541"/>
      <c r="V223" s="543" t="s">
        <v>1687</v>
      </c>
      <c r="W223" s="544" t="s">
        <v>1714</v>
      </c>
      <c r="X223" s="541"/>
      <c r="Y223" s="545"/>
      <c r="Z223" s="546"/>
      <c r="AA223" s="605" t="s">
        <v>518</v>
      </c>
      <c r="AB223" s="892"/>
      <c r="AC223" s="596"/>
      <c r="AD223" s="596"/>
      <c r="AE223" s="596"/>
      <c r="AF223" s="596"/>
      <c r="AG223" s="596"/>
      <c r="AH223" s="596"/>
      <c r="AI223" s="596"/>
      <c r="AJ223" s="547"/>
    </row>
    <row r="224" spans="1:36" ht="130.5">
      <c r="A224" s="535" t="s">
        <v>127</v>
      </c>
      <c r="B224" s="536">
        <v>7.7</v>
      </c>
      <c r="C224" s="537" t="s">
        <v>1750</v>
      </c>
      <c r="D224" s="538" t="s">
        <v>1751</v>
      </c>
      <c r="E224" s="538" t="s">
        <v>1752</v>
      </c>
      <c r="F224" s="539" t="s">
        <v>39</v>
      </c>
      <c r="G224" s="540" t="s">
        <v>101</v>
      </c>
      <c r="H224" s="541" t="s">
        <v>423</v>
      </c>
      <c r="I224" s="541" t="s">
        <v>102</v>
      </c>
      <c r="J224" s="541" t="s">
        <v>43</v>
      </c>
      <c r="K224" s="542" t="s">
        <v>1753</v>
      </c>
      <c r="L224" s="586" t="s">
        <v>442</v>
      </c>
      <c r="M224" s="541" t="s">
        <v>1754</v>
      </c>
      <c r="N224" s="542" t="s">
        <v>1755</v>
      </c>
      <c r="O224" s="541" t="s">
        <v>1756</v>
      </c>
      <c r="P224" s="541" t="s">
        <v>1096</v>
      </c>
      <c r="Q224" s="541" t="s">
        <v>1687</v>
      </c>
      <c r="R224" s="541" t="s">
        <v>1687</v>
      </c>
      <c r="S224" s="541" t="s">
        <v>1664</v>
      </c>
      <c r="T224" s="541" t="s">
        <v>1665</v>
      </c>
      <c r="U224" s="541"/>
      <c r="V224" s="543" t="s">
        <v>1687</v>
      </c>
      <c r="W224" s="544" t="s">
        <v>1714</v>
      </c>
      <c r="X224" s="541"/>
      <c r="Y224" s="545"/>
      <c r="Z224" s="546"/>
      <c r="AA224" s="605" t="s">
        <v>518</v>
      </c>
      <c r="AB224" s="892"/>
      <c r="AC224" s="596"/>
      <c r="AD224" s="596"/>
      <c r="AE224" s="596"/>
      <c r="AF224" s="596"/>
      <c r="AG224" s="596"/>
      <c r="AH224" s="596"/>
      <c r="AI224" s="596"/>
      <c r="AJ224" s="547"/>
    </row>
    <row r="225" spans="1:36" ht="101.5">
      <c r="A225" s="535" t="s">
        <v>127</v>
      </c>
      <c r="B225" s="536">
        <v>7.8</v>
      </c>
      <c r="C225" s="537" t="s">
        <v>1757</v>
      </c>
      <c r="D225" s="538" t="s">
        <v>1758</v>
      </c>
      <c r="E225" s="538" t="s">
        <v>1759</v>
      </c>
      <c r="F225" s="539" t="s">
        <v>39</v>
      </c>
      <c r="G225" s="540" t="s">
        <v>101</v>
      </c>
      <c r="H225" s="541" t="s">
        <v>423</v>
      </c>
      <c r="I225" s="541" t="s">
        <v>102</v>
      </c>
      <c r="J225" s="541" t="s">
        <v>43</v>
      </c>
      <c r="K225" s="542" t="s">
        <v>1760</v>
      </c>
      <c r="L225" s="586" t="s">
        <v>442</v>
      </c>
      <c r="M225" s="541" t="s">
        <v>1761</v>
      </c>
      <c r="N225" s="542" t="s">
        <v>1762</v>
      </c>
      <c r="O225" s="541" t="s">
        <v>1763</v>
      </c>
      <c r="P225" s="541" t="s">
        <v>145</v>
      </c>
      <c r="Q225" s="541" t="s">
        <v>1662</v>
      </c>
      <c r="R225" s="541" t="s">
        <v>1687</v>
      </c>
      <c r="S225" s="541" t="s">
        <v>1664</v>
      </c>
      <c r="T225" s="541" t="s">
        <v>457</v>
      </c>
      <c r="U225" s="541"/>
      <c r="V225" s="543" t="s">
        <v>793</v>
      </c>
      <c r="W225" s="544" t="s">
        <v>1364</v>
      </c>
      <c r="X225" s="541"/>
      <c r="Y225" s="545"/>
      <c r="Z225" s="546"/>
      <c r="AA225" s="605" t="s">
        <v>435</v>
      </c>
      <c r="AB225" s="892"/>
      <c r="AC225" s="596"/>
      <c r="AD225" s="596"/>
      <c r="AE225" s="596"/>
      <c r="AF225" s="596"/>
      <c r="AG225" s="596"/>
      <c r="AH225" s="596"/>
      <c r="AI225" s="596"/>
      <c r="AJ225" s="547"/>
    </row>
    <row r="226" spans="1:36" ht="87">
      <c r="A226" s="535" t="s">
        <v>127</v>
      </c>
      <c r="B226" s="536">
        <v>8.1</v>
      </c>
      <c r="C226" s="537" t="s">
        <v>1764</v>
      </c>
      <c r="D226" s="576" t="s">
        <v>1765</v>
      </c>
      <c r="E226" s="538" t="s">
        <v>1766</v>
      </c>
      <c r="F226" s="539" t="s">
        <v>39</v>
      </c>
      <c r="G226" s="540" t="s">
        <v>101</v>
      </c>
      <c r="H226" s="541" t="s">
        <v>423</v>
      </c>
      <c r="I226" s="541" t="s">
        <v>102</v>
      </c>
      <c r="J226" s="541" t="s">
        <v>43</v>
      </c>
      <c r="K226" s="542" t="s">
        <v>1767</v>
      </c>
      <c r="L226" s="586" t="s">
        <v>442</v>
      </c>
      <c r="M226" s="541" t="s">
        <v>1768</v>
      </c>
      <c r="N226" s="542" t="s">
        <v>1769</v>
      </c>
      <c r="O226" s="541" t="s">
        <v>1770</v>
      </c>
      <c r="P226" s="541" t="s">
        <v>136</v>
      </c>
      <c r="Q226" s="541" t="s">
        <v>1662</v>
      </c>
      <c r="R226" s="541" t="s">
        <v>1663</v>
      </c>
      <c r="S226" s="541" t="s">
        <v>1771</v>
      </c>
      <c r="T226" s="541" t="s">
        <v>1665</v>
      </c>
      <c r="U226" s="541"/>
      <c r="V226" s="543" t="s">
        <v>630</v>
      </c>
      <c r="W226" s="544" t="s">
        <v>459</v>
      </c>
      <c r="X226" s="541"/>
      <c r="Y226" s="545"/>
      <c r="Z226" s="546"/>
      <c r="AA226" s="605" t="s">
        <v>435</v>
      </c>
      <c r="AB226" s="892"/>
      <c r="AC226" s="596"/>
      <c r="AD226" s="596"/>
      <c r="AE226" s="596"/>
      <c r="AF226" s="596"/>
      <c r="AG226" s="596"/>
      <c r="AH226" s="596"/>
      <c r="AI226" s="596"/>
      <c r="AJ226" s="547"/>
    </row>
    <row r="227" spans="1:36" s="547" customFormat="1" ht="87">
      <c r="A227" s="535"/>
      <c r="B227" s="536"/>
      <c r="C227" s="537" t="s">
        <v>1772</v>
      </c>
      <c r="D227" s="576" t="s">
        <v>1773</v>
      </c>
      <c r="E227" s="538" t="s">
        <v>1774</v>
      </c>
      <c r="F227" s="539" t="s">
        <v>39</v>
      </c>
      <c r="G227" s="540" t="s">
        <v>101</v>
      </c>
      <c r="H227" s="541" t="s">
        <v>423</v>
      </c>
      <c r="I227" s="541" t="s">
        <v>102</v>
      </c>
      <c r="J227" s="541" t="s">
        <v>43</v>
      </c>
      <c r="K227" s="542" t="s">
        <v>1775</v>
      </c>
      <c r="L227" s="586" t="s">
        <v>442</v>
      </c>
      <c r="M227" s="541" t="s">
        <v>1776</v>
      </c>
      <c r="N227" s="542" t="s">
        <v>1777</v>
      </c>
      <c r="O227" s="541" t="s">
        <v>1778</v>
      </c>
      <c r="P227" s="541" t="s">
        <v>145</v>
      </c>
      <c r="Q227" s="541" t="s">
        <v>1662</v>
      </c>
      <c r="R227" s="541" t="s">
        <v>1687</v>
      </c>
      <c r="S227" s="541" t="s">
        <v>1779</v>
      </c>
      <c r="T227" s="541" t="s">
        <v>1665</v>
      </c>
      <c r="U227" s="541"/>
      <c r="V227" s="543" t="s">
        <v>630</v>
      </c>
      <c r="W227" s="544" t="s">
        <v>459</v>
      </c>
      <c r="X227" s="541"/>
      <c r="Y227" s="545"/>
      <c r="Z227" s="546"/>
      <c r="AA227" s="605" t="s">
        <v>435</v>
      </c>
      <c r="AB227" s="892"/>
      <c r="AC227" s="596"/>
      <c r="AD227" s="596"/>
      <c r="AE227" s="596"/>
      <c r="AF227" s="596"/>
      <c r="AG227" s="596"/>
      <c r="AH227" s="596"/>
      <c r="AI227" s="596"/>
    </row>
    <row r="228" spans="1:36" ht="130.5">
      <c r="A228" s="535" t="s">
        <v>127</v>
      </c>
      <c r="B228" s="536">
        <v>8.1999999999999993</v>
      </c>
      <c r="C228" s="537" t="s">
        <v>1780</v>
      </c>
      <c r="D228" s="538" t="s">
        <v>1781</v>
      </c>
      <c r="E228" s="538" t="s">
        <v>1782</v>
      </c>
      <c r="F228" s="539" t="s">
        <v>39</v>
      </c>
      <c r="G228" s="540" t="s">
        <v>101</v>
      </c>
      <c r="H228" s="595" t="s">
        <v>423</v>
      </c>
      <c r="I228" s="541" t="s">
        <v>102</v>
      </c>
      <c r="J228" s="541" t="s">
        <v>43</v>
      </c>
      <c r="K228" s="542" t="s">
        <v>1783</v>
      </c>
      <c r="L228" s="586" t="s">
        <v>442</v>
      </c>
      <c r="M228" s="541" t="s">
        <v>1784</v>
      </c>
      <c r="N228" s="542" t="s">
        <v>1785</v>
      </c>
      <c r="O228" s="541" t="s">
        <v>1786</v>
      </c>
      <c r="P228" s="541" t="s">
        <v>136</v>
      </c>
      <c r="Q228" s="541" t="s">
        <v>1662</v>
      </c>
      <c r="R228" s="541" t="s">
        <v>455</v>
      </c>
      <c r="S228" s="541" t="s">
        <v>1787</v>
      </c>
      <c r="T228" s="541" t="s">
        <v>745</v>
      </c>
      <c r="U228" s="541"/>
      <c r="V228" s="543" t="s">
        <v>505</v>
      </c>
      <c r="W228" s="544" t="s">
        <v>528</v>
      </c>
      <c r="X228" s="541"/>
      <c r="Y228" s="545"/>
      <c r="Z228" s="546"/>
      <c r="AA228" s="605" t="s">
        <v>435</v>
      </c>
      <c r="AB228" s="892"/>
      <c r="AC228" s="596"/>
      <c r="AD228" s="596"/>
      <c r="AE228" s="596"/>
      <c r="AF228" s="596"/>
      <c r="AG228" s="596"/>
      <c r="AH228" s="596"/>
      <c r="AI228" s="596"/>
      <c r="AJ228" s="547"/>
    </row>
    <row r="229" spans="1:36" ht="116">
      <c r="A229" s="535" t="s">
        <v>127</v>
      </c>
      <c r="B229" s="536">
        <v>8.4</v>
      </c>
      <c r="C229" s="537" t="s">
        <v>1788</v>
      </c>
      <c r="D229" s="538" t="s">
        <v>1789</v>
      </c>
      <c r="E229" s="538" t="s">
        <v>1790</v>
      </c>
      <c r="F229" s="539" t="s">
        <v>39</v>
      </c>
      <c r="G229" s="540" t="s">
        <v>101</v>
      </c>
      <c r="H229" s="595" t="s">
        <v>423</v>
      </c>
      <c r="I229" s="541" t="s">
        <v>102</v>
      </c>
      <c r="J229" s="541" t="s">
        <v>43</v>
      </c>
      <c r="K229" s="542" t="s">
        <v>1791</v>
      </c>
      <c r="L229" s="586" t="s">
        <v>442</v>
      </c>
      <c r="M229" s="541" t="s">
        <v>1792</v>
      </c>
      <c r="N229" s="542" t="s">
        <v>1793</v>
      </c>
      <c r="O229" s="541" t="s">
        <v>1794</v>
      </c>
      <c r="P229" s="541" t="s">
        <v>145</v>
      </c>
      <c r="Q229" s="541" t="s">
        <v>1662</v>
      </c>
      <c r="R229" s="541" t="s">
        <v>1663</v>
      </c>
      <c r="S229" s="541" t="s">
        <v>1795</v>
      </c>
      <c r="T229" s="541" t="s">
        <v>1665</v>
      </c>
      <c r="U229" s="541"/>
      <c r="V229" s="543" t="s">
        <v>793</v>
      </c>
      <c r="W229" s="544" t="s">
        <v>845</v>
      </c>
      <c r="X229" s="541"/>
      <c r="Y229" s="545"/>
      <c r="Z229" s="546"/>
      <c r="AA229" s="605" t="s">
        <v>435</v>
      </c>
      <c r="AB229" s="892"/>
      <c r="AC229" s="596"/>
      <c r="AD229" s="596"/>
      <c r="AE229" s="596"/>
      <c r="AF229" s="596"/>
      <c r="AG229" s="596"/>
      <c r="AH229" s="596"/>
      <c r="AI229" s="596"/>
      <c r="AJ229" s="547"/>
    </row>
    <row r="230" spans="1:36" ht="130.5">
      <c r="A230" s="535" t="s">
        <v>127</v>
      </c>
      <c r="B230" s="536">
        <v>8.5</v>
      </c>
      <c r="C230" s="537" t="s">
        <v>1796</v>
      </c>
      <c r="D230" s="538" t="s">
        <v>1797</v>
      </c>
      <c r="E230" s="538" t="s">
        <v>1798</v>
      </c>
      <c r="F230" s="539" t="s">
        <v>39</v>
      </c>
      <c r="G230" s="540" t="s">
        <v>101</v>
      </c>
      <c r="H230" s="595" t="s">
        <v>423</v>
      </c>
      <c r="I230" s="541" t="s">
        <v>102</v>
      </c>
      <c r="J230" s="541" t="s">
        <v>43</v>
      </c>
      <c r="K230" s="542" t="s">
        <v>1799</v>
      </c>
      <c r="L230" s="586" t="s">
        <v>442</v>
      </c>
      <c r="M230" s="541" t="s">
        <v>1800</v>
      </c>
      <c r="N230" s="542" t="s">
        <v>1801</v>
      </c>
      <c r="O230" s="541" t="s">
        <v>1802</v>
      </c>
      <c r="P230" s="541" t="s">
        <v>136</v>
      </c>
      <c r="Q230" s="541" t="s">
        <v>1662</v>
      </c>
      <c r="R230" s="541" t="s">
        <v>1663</v>
      </c>
      <c r="S230" s="541" t="s">
        <v>1803</v>
      </c>
      <c r="T230" s="541" t="s">
        <v>527</v>
      </c>
      <c r="U230" s="541"/>
      <c r="V230" s="543" t="s">
        <v>630</v>
      </c>
      <c r="W230" s="544" t="s">
        <v>528</v>
      </c>
      <c r="X230" s="541"/>
      <c r="Y230" s="545"/>
      <c r="Z230" s="546"/>
      <c r="AA230" s="605" t="s">
        <v>435</v>
      </c>
      <c r="AB230" s="892"/>
      <c r="AC230" s="596"/>
      <c r="AD230" s="596"/>
      <c r="AE230" s="596"/>
      <c r="AF230" s="596"/>
      <c r="AG230" s="596"/>
      <c r="AH230" s="596"/>
      <c r="AI230" s="596"/>
      <c r="AJ230" s="547"/>
    </row>
    <row r="231" spans="1:36" ht="130.5">
      <c r="A231" s="535" t="s">
        <v>127</v>
      </c>
      <c r="B231" s="536" t="s">
        <v>305</v>
      </c>
      <c r="C231" s="537" t="s">
        <v>1804</v>
      </c>
      <c r="D231" s="538" t="s">
        <v>1805</v>
      </c>
      <c r="E231" s="538" t="s">
        <v>1806</v>
      </c>
      <c r="F231" s="539" t="s">
        <v>39</v>
      </c>
      <c r="G231" s="540" t="s">
        <v>101</v>
      </c>
      <c r="H231" s="541" t="s">
        <v>423</v>
      </c>
      <c r="I231" s="541" t="s">
        <v>102</v>
      </c>
      <c r="J231" s="541" t="s">
        <v>43</v>
      </c>
      <c r="K231" s="542" t="s">
        <v>1669</v>
      </c>
      <c r="L231" s="586" t="s">
        <v>442</v>
      </c>
      <c r="M231" s="541" t="s">
        <v>1807</v>
      </c>
      <c r="N231" s="542" t="s">
        <v>1808</v>
      </c>
      <c r="O231" s="541" t="s">
        <v>1809</v>
      </c>
      <c r="P231" s="541" t="s">
        <v>136</v>
      </c>
      <c r="Q231" s="541" t="s">
        <v>1662</v>
      </c>
      <c r="R231" s="541" t="s">
        <v>1663</v>
      </c>
      <c r="S231" s="541" t="s">
        <v>1664</v>
      </c>
      <c r="T231" s="541" t="s">
        <v>457</v>
      </c>
      <c r="U231" s="541"/>
      <c r="V231" s="543" t="s">
        <v>793</v>
      </c>
      <c r="W231" s="544" t="s">
        <v>1364</v>
      </c>
      <c r="X231" s="541"/>
      <c r="Y231" s="545"/>
      <c r="Z231" s="546"/>
      <c r="AA231" s="605" t="s">
        <v>435</v>
      </c>
      <c r="AB231" s="892"/>
      <c r="AC231" s="596"/>
      <c r="AD231" s="596"/>
      <c r="AE231" s="596"/>
      <c r="AF231" s="596"/>
      <c r="AG231" s="596"/>
      <c r="AH231" s="596"/>
      <c r="AI231" s="596"/>
      <c r="AJ231" s="547"/>
    </row>
    <row r="232" spans="1:36" ht="87.5">
      <c r="A232" s="535" t="s">
        <v>127</v>
      </c>
      <c r="B232" s="536" t="s">
        <v>1810</v>
      </c>
      <c r="C232" s="537" t="s">
        <v>1811</v>
      </c>
      <c r="D232" s="538" t="s">
        <v>1812</v>
      </c>
      <c r="E232" s="538" t="s">
        <v>1813</v>
      </c>
      <c r="F232" s="539" t="s">
        <v>39</v>
      </c>
      <c r="G232" s="540" t="s">
        <v>40</v>
      </c>
      <c r="H232" s="541" t="s">
        <v>423</v>
      </c>
      <c r="I232" s="541" t="s">
        <v>102</v>
      </c>
      <c r="J232" s="541" t="s">
        <v>43</v>
      </c>
      <c r="K232" s="542" t="s">
        <v>1814</v>
      </c>
      <c r="L232" s="586" t="s">
        <v>442</v>
      </c>
      <c r="M232" s="541" t="s">
        <v>1815</v>
      </c>
      <c r="N232" s="542" t="s">
        <v>1816</v>
      </c>
      <c r="O232" s="541" t="s">
        <v>1817</v>
      </c>
      <c r="P232" s="541" t="s">
        <v>136</v>
      </c>
      <c r="Q232" s="541" t="s">
        <v>1662</v>
      </c>
      <c r="R232" s="541" t="s">
        <v>1663</v>
      </c>
      <c r="S232" s="541" t="s">
        <v>1664</v>
      </c>
      <c r="T232" s="541" t="s">
        <v>1665</v>
      </c>
      <c r="U232" s="541"/>
      <c r="V232" s="543" t="s">
        <v>793</v>
      </c>
      <c r="W232" s="544" t="s">
        <v>845</v>
      </c>
      <c r="X232" s="541"/>
      <c r="Y232" s="545"/>
      <c r="Z232" s="546"/>
      <c r="AA232" s="605" t="s">
        <v>518</v>
      </c>
      <c r="AB232" s="892"/>
      <c r="AC232" s="596"/>
      <c r="AD232" s="596"/>
      <c r="AE232" s="596"/>
      <c r="AF232" s="596"/>
      <c r="AG232" s="596"/>
      <c r="AH232" s="596"/>
      <c r="AI232" s="596"/>
      <c r="AJ232" s="547"/>
    </row>
    <row r="233" spans="1:36" ht="75">
      <c r="A233" s="535" t="s">
        <v>127</v>
      </c>
      <c r="B233" s="536" t="s">
        <v>1818</v>
      </c>
      <c r="C233" s="537" t="s">
        <v>1819</v>
      </c>
      <c r="D233" s="538" t="s">
        <v>1820</v>
      </c>
      <c r="E233" s="538" t="s">
        <v>1821</v>
      </c>
      <c r="F233" s="539" t="s">
        <v>39</v>
      </c>
      <c r="G233" s="540" t="s">
        <v>40</v>
      </c>
      <c r="H233" s="541" t="s">
        <v>423</v>
      </c>
      <c r="I233" s="541" t="s">
        <v>102</v>
      </c>
      <c r="J233" s="541" t="s">
        <v>43</v>
      </c>
      <c r="K233" s="542" t="s">
        <v>1822</v>
      </c>
      <c r="L233" s="586" t="s">
        <v>442</v>
      </c>
      <c r="M233" s="541" t="s">
        <v>1823</v>
      </c>
      <c r="N233" s="542" t="s">
        <v>1824</v>
      </c>
      <c r="O233" s="541" t="s">
        <v>1825</v>
      </c>
      <c r="P233" s="541" t="s">
        <v>145</v>
      </c>
      <c r="Q233" s="541" t="s">
        <v>1662</v>
      </c>
      <c r="R233" s="541" t="s">
        <v>1663</v>
      </c>
      <c r="S233" s="541" t="s">
        <v>1826</v>
      </c>
      <c r="T233" s="541" t="s">
        <v>1665</v>
      </c>
      <c r="U233" s="541"/>
      <c r="V233" s="543" t="s">
        <v>630</v>
      </c>
      <c r="W233" s="544" t="s">
        <v>459</v>
      </c>
      <c r="X233" s="541"/>
      <c r="Y233" s="545"/>
      <c r="Z233" s="546"/>
      <c r="AA233" s="605" t="s">
        <v>435</v>
      </c>
      <c r="AB233" s="892"/>
      <c r="AC233" s="596"/>
      <c r="AD233" s="596"/>
      <c r="AE233" s="596"/>
      <c r="AF233" s="596"/>
      <c r="AG233" s="596"/>
      <c r="AH233" s="596"/>
      <c r="AI233" s="596"/>
      <c r="AJ233" s="547"/>
    </row>
    <row r="234" spans="1:36" ht="116">
      <c r="A234" s="535" t="s">
        <v>127</v>
      </c>
      <c r="B234" s="536" t="s">
        <v>479</v>
      </c>
      <c r="C234" s="537" t="s">
        <v>1827</v>
      </c>
      <c r="D234" s="538" t="s">
        <v>1828</v>
      </c>
      <c r="E234" s="538" t="s">
        <v>1829</v>
      </c>
      <c r="F234" s="539" t="s">
        <v>39</v>
      </c>
      <c r="G234" s="540" t="s">
        <v>101</v>
      </c>
      <c r="H234" s="541" t="s">
        <v>423</v>
      </c>
      <c r="I234" s="541" t="s">
        <v>102</v>
      </c>
      <c r="J234" s="541" t="s">
        <v>43</v>
      </c>
      <c r="K234" s="542" t="s">
        <v>1830</v>
      </c>
      <c r="L234" s="586" t="s">
        <v>442</v>
      </c>
      <c r="M234" s="541" t="s">
        <v>789</v>
      </c>
      <c r="N234" s="542" t="s">
        <v>1831</v>
      </c>
      <c r="O234" s="541" t="s">
        <v>1832</v>
      </c>
      <c r="P234" s="541" t="s">
        <v>145</v>
      </c>
      <c r="Q234" s="541" t="s">
        <v>1662</v>
      </c>
      <c r="R234" s="541" t="s">
        <v>1663</v>
      </c>
      <c r="S234" s="541" t="s">
        <v>1833</v>
      </c>
      <c r="T234" s="541" t="s">
        <v>457</v>
      </c>
      <c r="U234" s="541"/>
      <c r="V234" s="543" t="s">
        <v>793</v>
      </c>
      <c r="W234" s="544" t="s">
        <v>459</v>
      </c>
      <c r="X234" s="541"/>
      <c r="Y234" s="545"/>
      <c r="Z234" s="546"/>
      <c r="AA234" s="605" t="s">
        <v>435</v>
      </c>
      <c r="AB234" s="892"/>
      <c r="AC234" s="596"/>
      <c r="AD234" s="596"/>
      <c r="AE234" s="596"/>
      <c r="AF234" s="596"/>
      <c r="AG234" s="596"/>
      <c r="AH234" s="596"/>
      <c r="AI234" s="596"/>
      <c r="AJ234" s="547"/>
    </row>
    <row r="235" spans="1:36" ht="101.5">
      <c r="A235" s="535" t="s">
        <v>127</v>
      </c>
      <c r="B235" s="536" t="s">
        <v>310</v>
      </c>
      <c r="C235" s="537" t="s">
        <v>1834</v>
      </c>
      <c r="D235" s="576" t="s">
        <v>1835</v>
      </c>
      <c r="E235" s="538" t="s">
        <v>1836</v>
      </c>
      <c r="F235" s="539" t="s">
        <v>545</v>
      </c>
      <c r="G235" s="540" t="s">
        <v>546</v>
      </c>
      <c r="H235" s="541" t="s">
        <v>423</v>
      </c>
      <c r="I235" s="541" t="s">
        <v>102</v>
      </c>
      <c r="J235" s="541" t="s">
        <v>43</v>
      </c>
      <c r="K235" s="542" t="s">
        <v>1837</v>
      </c>
      <c r="L235" s="586" t="s">
        <v>442</v>
      </c>
      <c r="M235" s="541" t="s">
        <v>1838</v>
      </c>
      <c r="N235" s="542" t="s">
        <v>1839</v>
      </c>
      <c r="O235" s="541" t="s">
        <v>1840</v>
      </c>
      <c r="P235" s="541" t="s">
        <v>145</v>
      </c>
      <c r="Q235" s="541" t="s">
        <v>1662</v>
      </c>
      <c r="R235" s="541" t="s">
        <v>1663</v>
      </c>
      <c r="S235" s="541" t="s">
        <v>1826</v>
      </c>
      <c r="T235" s="541" t="s">
        <v>1665</v>
      </c>
      <c r="U235" s="541"/>
      <c r="V235" s="543" t="s">
        <v>793</v>
      </c>
      <c r="W235" s="544" t="s">
        <v>845</v>
      </c>
      <c r="X235" s="541"/>
      <c r="Y235" s="545"/>
      <c r="Z235" s="546"/>
      <c r="AA235" s="605" t="s">
        <v>518</v>
      </c>
      <c r="AB235" s="892"/>
      <c r="AC235" s="596"/>
      <c r="AD235" s="596"/>
      <c r="AE235" s="596"/>
      <c r="AF235" s="596"/>
      <c r="AG235" s="596"/>
      <c r="AH235" s="596"/>
      <c r="AI235" s="596"/>
      <c r="AJ235" s="547"/>
    </row>
    <row r="236" spans="1:36" s="547" customFormat="1" ht="75">
      <c r="A236" s="535"/>
      <c r="B236" s="536"/>
      <c r="C236" s="537" t="s">
        <v>1841</v>
      </c>
      <c r="D236" s="576" t="s">
        <v>1842</v>
      </c>
      <c r="E236" s="538" t="s">
        <v>1843</v>
      </c>
      <c r="F236" s="539" t="s">
        <v>545</v>
      </c>
      <c r="G236" s="540" t="s">
        <v>546</v>
      </c>
      <c r="H236" s="541" t="s">
        <v>423</v>
      </c>
      <c r="I236" s="541" t="s">
        <v>102</v>
      </c>
      <c r="J236" s="541" t="s">
        <v>43</v>
      </c>
      <c r="K236" s="542" t="s">
        <v>1844</v>
      </c>
      <c r="L236" s="586" t="s">
        <v>442</v>
      </c>
      <c r="M236" s="541" t="s">
        <v>1845</v>
      </c>
      <c r="N236" s="542" t="s">
        <v>1846</v>
      </c>
      <c r="O236" s="541" t="s">
        <v>1847</v>
      </c>
      <c r="P236" s="541" t="s">
        <v>145</v>
      </c>
      <c r="Q236" s="541" t="s">
        <v>1662</v>
      </c>
      <c r="R236" s="541" t="s">
        <v>1687</v>
      </c>
      <c r="S236" s="541" t="s">
        <v>1664</v>
      </c>
      <c r="T236" s="541" t="s">
        <v>1665</v>
      </c>
      <c r="U236" s="541"/>
      <c r="V236" s="543" t="s">
        <v>793</v>
      </c>
      <c r="W236" s="544" t="s">
        <v>845</v>
      </c>
      <c r="X236" s="541"/>
      <c r="Y236" s="545"/>
      <c r="Z236" s="546"/>
      <c r="AA236" s="605" t="s">
        <v>518</v>
      </c>
      <c r="AB236" s="892"/>
      <c r="AC236" s="596"/>
      <c r="AD236" s="596"/>
      <c r="AE236" s="596"/>
      <c r="AF236" s="596"/>
      <c r="AG236" s="596"/>
      <c r="AH236" s="596"/>
      <c r="AI236" s="596"/>
    </row>
    <row r="237" spans="1:36" s="547" customFormat="1" ht="101.5">
      <c r="A237" s="535"/>
      <c r="B237" s="536"/>
      <c r="C237" s="537" t="s">
        <v>1841</v>
      </c>
      <c r="D237" s="576" t="s">
        <v>1848</v>
      </c>
      <c r="E237" s="538" t="s">
        <v>1849</v>
      </c>
      <c r="F237" s="539" t="s">
        <v>39</v>
      </c>
      <c r="G237" s="540" t="s">
        <v>101</v>
      </c>
      <c r="H237" s="541" t="s">
        <v>423</v>
      </c>
      <c r="I237" s="541" t="s">
        <v>102</v>
      </c>
      <c r="J237" s="541" t="s">
        <v>43</v>
      </c>
      <c r="K237" s="542" t="s">
        <v>1850</v>
      </c>
      <c r="L237" s="586" t="s">
        <v>442</v>
      </c>
      <c r="M237" s="541" t="s">
        <v>1851</v>
      </c>
      <c r="N237" s="542" t="s">
        <v>1852</v>
      </c>
      <c r="O237" s="541" t="s">
        <v>1853</v>
      </c>
      <c r="P237" s="541" t="s">
        <v>145</v>
      </c>
      <c r="Q237" s="541" t="s">
        <v>1662</v>
      </c>
      <c r="R237" s="541" t="s">
        <v>1687</v>
      </c>
      <c r="S237" s="541" t="s">
        <v>1664</v>
      </c>
      <c r="T237" s="541" t="s">
        <v>1665</v>
      </c>
      <c r="U237" s="541"/>
      <c r="V237" s="543" t="s">
        <v>793</v>
      </c>
      <c r="W237" s="544" t="s">
        <v>845</v>
      </c>
      <c r="X237" s="541"/>
      <c r="Y237" s="545"/>
      <c r="Z237" s="546"/>
      <c r="AA237" s="605" t="s">
        <v>518</v>
      </c>
      <c r="AB237" s="892"/>
      <c r="AC237" s="596"/>
      <c r="AD237" s="596"/>
      <c r="AE237" s="596"/>
      <c r="AF237" s="596"/>
      <c r="AG237" s="596"/>
      <c r="AH237" s="596"/>
      <c r="AI237" s="596"/>
    </row>
    <row r="238" spans="1:36" ht="87.5">
      <c r="A238" s="535" t="s">
        <v>127</v>
      </c>
      <c r="B238" s="536" t="s">
        <v>1854</v>
      </c>
      <c r="C238" s="537" t="s">
        <v>1855</v>
      </c>
      <c r="D238" s="538" t="s">
        <v>1856</v>
      </c>
      <c r="E238" s="538" t="s">
        <v>1857</v>
      </c>
      <c r="F238" s="539" t="s">
        <v>39</v>
      </c>
      <c r="G238" s="540" t="s">
        <v>101</v>
      </c>
      <c r="H238" s="541" t="s">
        <v>423</v>
      </c>
      <c r="I238" s="541" t="s">
        <v>102</v>
      </c>
      <c r="J238" s="541" t="s">
        <v>43</v>
      </c>
      <c r="K238" s="542" t="s">
        <v>1858</v>
      </c>
      <c r="L238" s="586" t="s">
        <v>442</v>
      </c>
      <c r="M238" s="541" t="s">
        <v>1859</v>
      </c>
      <c r="N238" s="542" t="s">
        <v>1860</v>
      </c>
      <c r="O238" s="541" t="s">
        <v>1861</v>
      </c>
      <c r="P238" s="541" t="s">
        <v>145</v>
      </c>
      <c r="Q238" s="541" t="s">
        <v>1662</v>
      </c>
      <c r="R238" s="541" t="s">
        <v>1687</v>
      </c>
      <c r="S238" s="541" t="s">
        <v>1664</v>
      </c>
      <c r="T238" s="541" t="s">
        <v>1665</v>
      </c>
      <c r="U238" s="541"/>
      <c r="V238" s="543" t="s">
        <v>793</v>
      </c>
      <c r="W238" s="544" t="s">
        <v>845</v>
      </c>
      <c r="X238" s="541"/>
      <c r="Y238" s="545"/>
      <c r="Z238" s="546"/>
      <c r="AA238" s="605" t="s">
        <v>435</v>
      </c>
      <c r="AB238" s="892"/>
      <c r="AC238" s="596"/>
      <c r="AD238" s="596"/>
      <c r="AE238" s="596"/>
      <c r="AF238" s="596"/>
      <c r="AG238" s="596"/>
      <c r="AH238" s="596"/>
      <c r="AI238" s="596"/>
      <c r="AJ238" s="547"/>
    </row>
    <row r="239" spans="1:36" ht="75">
      <c r="A239" s="535" t="s">
        <v>127</v>
      </c>
      <c r="B239" s="593" t="s">
        <v>322</v>
      </c>
      <c r="C239" s="537" t="s">
        <v>1862</v>
      </c>
      <c r="D239" s="576" t="s">
        <v>1863</v>
      </c>
      <c r="E239" s="538" t="s">
        <v>1864</v>
      </c>
      <c r="F239" s="539" t="s">
        <v>39</v>
      </c>
      <c r="G239" s="540" t="s">
        <v>101</v>
      </c>
      <c r="H239" s="595" t="s">
        <v>423</v>
      </c>
      <c r="I239" s="541" t="s">
        <v>102</v>
      </c>
      <c r="J239" s="541" t="s">
        <v>232</v>
      </c>
      <c r="K239" s="542" t="s">
        <v>1865</v>
      </c>
      <c r="L239" s="586" t="s">
        <v>442</v>
      </c>
      <c r="M239" s="541" t="s">
        <v>1866</v>
      </c>
      <c r="N239" s="542" t="s">
        <v>1867</v>
      </c>
      <c r="O239" s="541" t="s">
        <v>1868</v>
      </c>
      <c r="P239" s="541" t="s">
        <v>136</v>
      </c>
      <c r="Q239" s="541" t="s">
        <v>1662</v>
      </c>
      <c r="R239" s="541" t="s">
        <v>1663</v>
      </c>
      <c r="S239" s="541" t="s">
        <v>1664</v>
      </c>
      <c r="T239" s="541" t="s">
        <v>1665</v>
      </c>
      <c r="U239" s="541"/>
      <c r="V239" s="543" t="s">
        <v>793</v>
      </c>
      <c r="W239" s="544" t="s">
        <v>845</v>
      </c>
      <c r="X239" s="541"/>
      <c r="Y239" s="545"/>
      <c r="Z239" s="546"/>
      <c r="AA239" s="605" t="s">
        <v>435</v>
      </c>
      <c r="AB239" s="892"/>
      <c r="AC239" s="596"/>
      <c r="AD239" s="596"/>
      <c r="AE239" s="596"/>
      <c r="AF239" s="596"/>
      <c r="AG239" s="596"/>
      <c r="AH239" s="596"/>
      <c r="AI239" s="596"/>
      <c r="AJ239" s="547"/>
    </row>
    <row r="240" spans="1:36" ht="87">
      <c r="A240" s="535" t="s">
        <v>127</v>
      </c>
      <c r="B240" s="536" t="s">
        <v>1869</v>
      </c>
      <c r="C240" s="537" t="s">
        <v>1870</v>
      </c>
      <c r="D240" s="576" t="s">
        <v>1871</v>
      </c>
      <c r="E240" s="538" t="s">
        <v>1872</v>
      </c>
      <c r="F240" s="539" t="s">
        <v>39</v>
      </c>
      <c r="G240" s="540" t="s">
        <v>40</v>
      </c>
      <c r="H240" s="541" t="s">
        <v>423</v>
      </c>
      <c r="I240" s="541" t="s">
        <v>102</v>
      </c>
      <c r="J240" s="541" t="s">
        <v>43</v>
      </c>
      <c r="K240" s="542" t="s">
        <v>1873</v>
      </c>
      <c r="L240" s="586" t="s">
        <v>442</v>
      </c>
      <c r="M240" s="541" t="s">
        <v>1874</v>
      </c>
      <c r="N240" s="542" t="s">
        <v>1875</v>
      </c>
      <c r="O240" s="541" t="s">
        <v>1876</v>
      </c>
      <c r="P240" s="541" t="s">
        <v>145</v>
      </c>
      <c r="Q240" s="541" t="s">
        <v>1662</v>
      </c>
      <c r="R240" s="541" t="s">
        <v>1663</v>
      </c>
      <c r="S240" s="541" t="s">
        <v>1664</v>
      </c>
      <c r="T240" s="541" t="s">
        <v>1665</v>
      </c>
      <c r="U240" s="541"/>
      <c r="V240" s="543" t="s">
        <v>793</v>
      </c>
      <c r="W240" s="544" t="s">
        <v>826</v>
      </c>
      <c r="X240" s="541"/>
      <c r="Y240" s="545"/>
      <c r="Z240" s="546"/>
      <c r="AA240" s="605" t="s">
        <v>435</v>
      </c>
      <c r="AB240" s="892"/>
      <c r="AC240" s="596"/>
      <c r="AD240" s="596"/>
      <c r="AE240" s="596"/>
      <c r="AF240" s="596"/>
      <c r="AG240" s="596"/>
      <c r="AH240" s="596"/>
      <c r="AI240" s="596"/>
      <c r="AJ240" s="547"/>
    </row>
    <row r="241" spans="1:36" ht="75">
      <c r="A241" s="535" t="s">
        <v>127</v>
      </c>
      <c r="B241" s="536" t="s">
        <v>269</v>
      </c>
      <c r="C241" s="537" t="s">
        <v>1877</v>
      </c>
      <c r="D241" s="538" t="s">
        <v>1878</v>
      </c>
      <c r="E241" s="538" t="s">
        <v>1879</v>
      </c>
      <c r="F241" s="539" t="s">
        <v>39</v>
      </c>
      <c r="G241" s="540" t="s">
        <v>40</v>
      </c>
      <c r="H241" s="541" t="s">
        <v>423</v>
      </c>
      <c r="I241" s="541" t="s">
        <v>102</v>
      </c>
      <c r="J241" s="541" t="s">
        <v>43</v>
      </c>
      <c r="K241" s="542" t="s">
        <v>1880</v>
      </c>
      <c r="L241" s="586" t="s">
        <v>442</v>
      </c>
      <c r="M241" s="541" t="s">
        <v>1823</v>
      </c>
      <c r="N241" s="542" t="s">
        <v>1881</v>
      </c>
      <c r="O241" s="541" t="s">
        <v>1882</v>
      </c>
      <c r="P241" s="541" t="s">
        <v>145</v>
      </c>
      <c r="Q241" s="541" t="s">
        <v>1662</v>
      </c>
      <c r="R241" s="541" t="s">
        <v>1663</v>
      </c>
      <c r="S241" s="541" t="s">
        <v>1826</v>
      </c>
      <c r="T241" s="541" t="s">
        <v>1665</v>
      </c>
      <c r="U241" s="541"/>
      <c r="V241" s="543" t="s">
        <v>630</v>
      </c>
      <c r="W241" s="544" t="s">
        <v>459</v>
      </c>
      <c r="X241" s="541"/>
      <c r="Y241" s="545"/>
      <c r="Z241" s="546"/>
      <c r="AA241" s="605" t="s">
        <v>435</v>
      </c>
      <c r="AB241" s="892"/>
      <c r="AC241" s="596"/>
      <c r="AD241" s="596"/>
      <c r="AE241" s="596"/>
      <c r="AF241" s="596"/>
      <c r="AG241" s="596"/>
      <c r="AH241" s="596"/>
      <c r="AI241" s="596"/>
      <c r="AJ241" s="547"/>
    </row>
    <row r="242" spans="1:36" ht="75">
      <c r="A242" s="535" t="s">
        <v>127</v>
      </c>
      <c r="B242" s="536" t="s">
        <v>275</v>
      </c>
      <c r="C242" s="537" t="s">
        <v>1883</v>
      </c>
      <c r="D242" s="576" t="s">
        <v>1884</v>
      </c>
      <c r="E242" s="538" t="s">
        <v>1885</v>
      </c>
      <c r="F242" s="539" t="s">
        <v>545</v>
      </c>
      <c r="G242" s="540" t="s">
        <v>546</v>
      </c>
      <c r="H242" s="541" t="s">
        <v>423</v>
      </c>
      <c r="I242" s="541" t="s">
        <v>102</v>
      </c>
      <c r="J242" s="541" t="s">
        <v>43</v>
      </c>
      <c r="K242" s="542" t="s">
        <v>1886</v>
      </c>
      <c r="L242" s="586" t="s">
        <v>442</v>
      </c>
      <c r="M242" s="541" t="s">
        <v>1887</v>
      </c>
      <c r="N242" s="542" t="s">
        <v>1888</v>
      </c>
      <c r="O242" s="541" t="s">
        <v>1889</v>
      </c>
      <c r="P242" s="541" t="s">
        <v>145</v>
      </c>
      <c r="Q242" s="541" t="s">
        <v>1662</v>
      </c>
      <c r="R242" s="541" t="s">
        <v>1663</v>
      </c>
      <c r="S242" s="541" t="s">
        <v>1826</v>
      </c>
      <c r="T242" s="541" t="s">
        <v>1665</v>
      </c>
      <c r="U242" s="541"/>
      <c r="V242" s="543" t="s">
        <v>630</v>
      </c>
      <c r="W242" s="544" t="s">
        <v>1714</v>
      </c>
      <c r="X242" s="541"/>
      <c r="Y242" s="545"/>
      <c r="Z242" s="546"/>
      <c r="AA242" s="605" t="s">
        <v>518</v>
      </c>
      <c r="AB242" s="892"/>
      <c r="AC242" s="596"/>
      <c r="AD242" s="596"/>
      <c r="AE242" s="596"/>
      <c r="AF242" s="596"/>
      <c r="AG242" s="596"/>
      <c r="AH242" s="596"/>
      <c r="AI242" s="596"/>
      <c r="AJ242" s="547"/>
    </row>
    <row r="243" spans="1:36" s="547" customFormat="1" ht="75">
      <c r="A243" s="535"/>
      <c r="B243" s="536" t="s">
        <v>667</v>
      </c>
      <c r="C243" s="537" t="s">
        <v>1890</v>
      </c>
      <c r="D243" s="576" t="s">
        <v>1891</v>
      </c>
      <c r="E243" s="538" t="s">
        <v>1892</v>
      </c>
      <c r="F243" s="539" t="s">
        <v>39</v>
      </c>
      <c r="G243" s="540" t="s">
        <v>40</v>
      </c>
      <c r="H243" s="541" t="s">
        <v>423</v>
      </c>
      <c r="I243" s="541" t="s">
        <v>102</v>
      </c>
      <c r="J243" s="541" t="s">
        <v>43</v>
      </c>
      <c r="K243" s="542" t="s">
        <v>1893</v>
      </c>
      <c r="L243" s="586" t="s">
        <v>442</v>
      </c>
      <c r="M243" s="541" t="s">
        <v>1894</v>
      </c>
      <c r="N243" s="542" t="s">
        <v>1895</v>
      </c>
      <c r="O243" s="541" t="s">
        <v>1896</v>
      </c>
      <c r="P243" s="541" t="s">
        <v>136</v>
      </c>
      <c r="Q243" s="541" t="s">
        <v>1662</v>
      </c>
      <c r="R243" s="541" t="s">
        <v>1663</v>
      </c>
      <c r="S243" s="541" t="s">
        <v>1897</v>
      </c>
      <c r="T243" s="541" t="s">
        <v>1665</v>
      </c>
      <c r="U243" s="541"/>
      <c r="V243" s="543" t="s">
        <v>630</v>
      </c>
      <c r="W243" s="544" t="s">
        <v>459</v>
      </c>
      <c r="X243" s="541"/>
      <c r="Y243" s="545"/>
      <c r="Z243" s="546"/>
      <c r="AA243" s="605" t="s">
        <v>435</v>
      </c>
      <c r="AB243" s="893" t="s">
        <v>1898</v>
      </c>
      <c r="AC243" s="596"/>
      <c r="AD243" s="596"/>
      <c r="AE243" s="596"/>
      <c r="AF243" s="596"/>
      <c r="AG243" s="596"/>
      <c r="AH243" s="596"/>
      <c r="AI243" s="596"/>
    </row>
    <row r="244" spans="1:36" s="547" customFormat="1" ht="75">
      <c r="A244" s="535" t="s">
        <v>127</v>
      </c>
      <c r="B244" s="536" t="s">
        <v>279</v>
      </c>
      <c r="C244" s="537" t="s">
        <v>1899</v>
      </c>
      <c r="D244" s="576" t="s">
        <v>1900</v>
      </c>
      <c r="E244" s="538" t="s">
        <v>1901</v>
      </c>
      <c r="F244" s="539" t="s">
        <v>39</v>
      </c>
      <c r="G244" s="540" t="s">
        <v>40</v>
      </c>
      <c r="H244" s="541" t="s">
        <v>423</v>
      </c>
      <c r="I244" s="541" t="s">
        <v>102</v>
      </c>
      <c r="J244" s="541" t="s">
        <v>43</v>
      </c>
      <c r="K244" s="542" t="s">
        <v>1902</v>
      </c>
      <c r="L244" s="586" t="s">
        <v>442</v>
      </c>
      <c r="M244" s="541" t="s">
        <v>1903</v>
      </c>
      <c r="N244" s="542" t="s">
        <v>1904</v>
      </c>
      <c r="O244" s="541" t="s">
        <v>1905</v>
      </c>
      <c r="P244" s="541" t="s">
        <v>136</v>
      </c>
      <c r="Q244" s="541" t="s">
        <v>1662</v>
      </c>
      <c r="R244" s="541" t="s">
        <v>1663</v>
      </c>
      <c r="S244" s="541" t="s">
        <v>1906</v>
      </c>
      <c r="T244" s="541" t="s">
        <v>745</v>
      </c>
      <c r="U244" s="541"/>
      <c r="V244" s="543" t="s">
        <v>630</v>
      </c>
      <c r="W244" s="544" t="s">
        <v>528</v>
      </c>
      <c r="X244" s="541"/>
      <c r="Y244" s="545"/>
      <c r="Z244" s="546"/>
      <c r="AA244" s="605" t="s">
        <v>518</v>
      </c>
      <c r="AB244" s="892"/>
      <c r="AC244" s="596"/>
      <c r="AD244" s="596"/>
      <c r="AE244" s="596"/>
      <c r="AF244" s="596"/>
      <c r="AG244" s="596"/>
      <c r="AH244" s="596"/>
      <c r="AI244" s="596"/>
    </row>
    <row r="245" spans="1:36" ht="145">
      <c r="A245" s="535" t="s">
        <v>188</v>
      </c>
      <c r="B245" s="536">
        <v>3.1</v>
      </c>
      <c r="C245" s="537" t="s">
        <v>1907</v>
      </c>
      <c r="D245" s="538" t="s">
        <v>1908</v>
      </c>
      <c r="E245" s="538" t="s">
        <v>1909</v>
      </c>
      <c r="F245" s="539" t="s">
        <v>39</v>
      </c>
      <c r="G245" s="540" t="s">
        <v>40</v>
      </c>
      <c r="H245" s="541" t="s">
        <v>423</v>
      </c>
      <c r="I245" s="541" t="s">
        <v>1910</v>
      </c>
      <c r="J245" s="541" t="s">
        <v>43</v>
      </c>
      <c r="K245" s="542" t="s">
        <v>1911</v>
      </c>
      <c r="L245" s="586" t="s">
        <v>442</v>
      </c>
      <c r="M245" s="541" t="s">
        <v>1912</v>
      </c>
      <c r="N245" s="542" t="s">
        <v>1913</v>
      </c>
      <c r="O245" s="541" t="s">
        <v>1914</v>
      </c>
      <c r="P245" s="541" t="s">
        <v>136</v>
      </c>
      <c r="Q245" s="541" t="s">
        <v>1915</v>
      </c>
      <c r="R245" s="541" t="s">
        <v>813</v>
      </c>
      <c r="S245" s="541" t="s">
        <v>1916</v>
      </c>
      <c r="T245" s="541" t="s">
        <v>745</v>
      </c>
      <c r="U245" s="541"/>
      <c r="V245" s="543" t="s">
        <v>816</v>
      </c>
      <c r="W245" s="544" t="s">
        <v>528</v>
      </c>
      <c r="X245" s="541"/>
      <c r="Y245" s="545"/>
      <c r="Z245" s="546"/>
      <c r="AA245" s="605" t="s">
        <v>435</v>
      </c>
      <c r="AB245" s="892"/>
      <c r="AC245" s="596"/>
      <c r="AD245" s="596"/>
      <c r="AE245" s="596"/>
      <c r="AF245" s="596"/>
      <c r="AG245" s="596"/>
      <c r="AH245" s="596"/>
      <c r="AI245" s="596"/>
      <c r="AJ245" s="547"/>
    </row>
    <row r="246" spans="1:36" s="547" customFormat="1" ht="130.5">
      <c r="A246" s="535"/>
      <c r="B246" s="536"/>
      <c r="C246" s="537"/>
      <c r="D246" s="538" t="s">
        <v>1917</v>
      </c>
      <c r="E246" s="538" t="s">
        <v>1918</v>
      </c>
      <c r="F246" s="539" t="s">
        <v>39</v>
      </c>
      <c r="G246" s="540" t="s">
        <v>40</v>
      </c>
      <c r="H246" s="541" t="s">
        <v>423</v>
      </c>
      <c r="I246" s="541" t="s">
        <v>102</v>
      </c>
      <c r="J246" s="541" t="s">
        <v>43</v>
      </c>
      <c r="K246" s="542" t="s">
        <v>1919</v>
      </c>
      <c r="L246" s="586" t="s">
        <v>442</v>
      </c>
      <c r="M246" s="541"/>
      <c r="N246" s="542" t="s">
        <v>1920</v>
      </c>
      <c r="O246" s="541"/>
      <c r="P246" s="541" t="s">
        <v>136</v>
      </c>
      <c r="Q246" s="541" t="s">
        <v>1915</v>
      </c>
      <c r="R246" s="541" t="s">
        <v>813</v>
      </c>
      <c r="S246" s="541" t="s">
        <v>1916</v>
      </c>
      <c r="T246" s="541" t="s">
        <v>745</v>
      </c>
      <c r="U246" s="541"/>
      <c r="V246" s="543" t="s">
        <v>816</v>
      </c>
      <c r="W246" s="544" t="s">
        <v>528</v>
      </c>
      <c r="X246" s="541"/>
      <c r="Y246" s="545"/>
      <c r="Z246" s="546"/>
      <c r="AA246" s="605"/>
      <c r="AB246" s="892"/>
      <c r="AC246" s="596"/>
      <c r="AD246" s="596"/>
      <c r="AE246" s="596"/>
      <c r="AF246" s="596"/>
      <c r="AG246" s="596"/>
      <c r="AH246" s="596"/>
      <c r="AI246" s="596"/>
    </row>
    <row r="247" spans="1:36" s="547" customFormat="1" ht="59.15" customHeight="1">
      <c r="A247" s="535"/>
      <c r="B247" s="536"/>
      <c r="C247" s="537"/>
      <c r="D247" s="538" t="s">
        <v>1921</v>
      </c>
      <c r="E247" s="538" t="s">
        <v>1922</v>
      </c>
      <c r="F247" s="539" t="s">
        <v>39</v>
      </c>
      <c r="G247" s="540" t="s">
        <v>40</v>
      </c>
      <c r="H247" s="541" t="s">
        <v>423</v>
      </c>
      <c r="I247" s="541" t="s">
        <v>102</v>
      </c>
      <c r="J247" s="541" t="s">
        <v>43</v>
      </c>
      <c r="K247" s="542" t="s">
        <v>1923</v>
      </c>
      <c r="L247" s="586" t="s">
        <v>442</v>
      </c>
      <c r="M247" s="541"/>
      <c r="N247" s="542" t="s">
        <v>1924</v>
      </c>
      <c r="O247" s="541"/>
      <c r="P247" s="541" t="s">
        <v>136</v>
      </c>
      <c r="Q247" s="541" t="s">
        <v>1915</v>
      </c>
      <c r="R247" s="541" t="s">
        <v>813</v>
      </c>
      <c r="S247" s="541" t="s">
        <v>1925</v>
      </c>
      <c r="T247" s="541" t="s">
        <v>745</v>
      </c>
      <c r="U247" s="541"/>
      <c r="V247" s="543" t="s">
        <v>816</v>
      </c>
      <c r="W247" s="544" t="s">
        <v>528</v>
      </c>
      <c r="X247" s="541"/>
      <c r="Y247" s="545"/>
      <c r="Z247" s="546"/>
      <c r="AA247" s="605"/>
      <c r="AB247" s="892"/>
      <c r="AC247" s="596"/>
      <c r="AD247" s="596"/>
      <c r="AE247" s="596"/>
      <c r="AF247" s="596"/>
      <c r="AG247" s="596"/>
      <c r="AH247" s="596"/>
      <c r="AI247" s="596"/>
    </row>
    <row r="248" spans="1:36" s="547" customFormat="1" ht="145">
      <c r="A248" s="535"/>
      <c r="B248" s="536"/>
      <c r="C248" s="537"/>
      <c r="D248" s="538" t="s">
        <v>1926</v>
      </c>
      <c r="E248" s="538" t="s">
        <v>1927</v>
      </c>
      <c r="F248" s="539" t="s">
        <v>39</v>
      </c>
      <c r="G248" s="540" t="s">
        <v>85</v>
      </c>
      <c r="H248" s="541" t="s">
        <v>423</v>
      </c>
      <c r="I248" s="541" t="s">
        <v>102</v>
      </c>
      <c r="J248" s="541" t="s">
        <v>232</v>
      </c>
      <c r="K248" s="542" t="s">
        <v>1928</v>
      </c>
      <c r="L248" s="586" t="s">
        <v>442</v>
      </c>
      <c r="M248" s="541"/>
      <c r="N248" s="542" t="s">
        <v>1929</v>
      </c>
      <c r="O248" s="541"/>
      <c r="P248" s="541" t="s">
        <v>136</v>
      </c>
      <c r="Q248" s="541" t="s">
        <v>1915</v>
      </c>
      <c r="R248" s="541" t="s">
        <v>813</v>
      </c>
      <c r="S248" s="541" t="s">
        <v>1930</v>
      </c>
      <c r="T248" s="541" t="s">
        <v>745</v>
      </c>
      <c r="U248" s="541"/>
      <c r="V248" s="543" t="s">
        <v>816</v>
      </c>
      <c r="W248" s="544" t="s">
        <v>528</v>
      </c>
      <c r="X248" s="541"/>
      <c r="Y248" s="545"/>
      <c r="Z248" s="546"/>
      <c r="AA248" s="605"/>
      <c r="AB248" s="892"/>
      <c r="AC248" s="596"/>
      <c r="AD248" s="596"/>
      <c r="AE248" s="596"/>
      <c r="AF248" s="596"/>
      <c r="AG248" s="596"/>
      <c r="AH248" s="596"/>
      <c r="AI248" s="596"/>
    </row>
    <row r="249" spans="1:36" s="547" customFormat="1" ht="58">
      <c r="A249" s="535" t="s">
        <v>188</v>
      </c>
      <c r="B249" s="536"/>
      <c r="C249" s="537" t="s">
        <v>1931</v>
      </c>
      <c r="D249" s="538" t="s">
        <v>1932</v>
      </c>
      <c r="E249" s="538" t="s">
        <v>1933</v>
      </c>
      <c r="F249" s="539" t="s">
        <v>39</v>
      </c>
      <c r="G249" s="540" t="s">
        <v>40</v>
      </c>
      <c r="H249" s="541" t="s">
        <v>423</v>
      </c>
      <c r="I249" s="541" t="s">
        <v>1910</v>
      </c>
      <c r="J249" s="541" t="s">
        <v>43</v>
      </c>
      <c r="K249" s="542" t="s">
        <v>1934</v>
      </c>
      <c r="L249" s="586" t="s">
        <v>1935</v>
      </c>
      <c r="M249" s="541"/>
      <c r="N249" s="542" t="s">
        <v>1936</v>
      </c>
      <c r="O249" s="541"/>
      <c r="P249" s="541" t="s">
        <v>136</v>
      </c>
      <c r="Q249" s="541" t="s">
        <v>1915</v>
      </c>
      <c r="R249" s="541" t="s">
        <v>813</v>
      </c>
      <c r="S249" s="541" t="s">
        <v>1937</v>
      </c>
      <c r="T249" s="541" t="s">
        <v>745</v>
      </c>
      <c r="U249" s="541"/>
      <c r="V249" s="543" t="s">
        <v>816</v>
      </c>
      <c r="W249" s="544" t="s">
        <v>528</v>
      </c>
      <c r="X249" s="541"/>
      <c r="Y249" s="545"/>
      <c r="Z249" s="546"/>
      <c r="AA249" s="605"/>
      <c r="AB249" s="892"/>
      <c r="AC249" s="596"/>
      <c r="AD249" s="596"/>
      <c r="AE249" s="596"/>
      <c r="AF249" s="596"/>
      <c r="AG249" s="596"/>
      <c r="AH249" s="596"/>
      <c r="AI249" s="596"/>
    </row>
    <row r="250" spans="1:36" s="547" customFormat="1" ht="43.5">
      <c r="A250" s="535"/>
      <c r="B250" s="536"/>
      <c r="C250" s="537"/>
      <c r="D250" s="538" t="s">
        <v>1938</v>
      </c>
      <c r="E250" s="538" t="s">
        <v>1939</v>
      </c>
      <c r="F250" s="539" t="s">
        <v>39</v>
      </c>
      <c r="G250" s="540" t="s">
        <v>40</v>
      </c>
      <c r="H250" s="541" t="s">
        <v>423</v>
      </c>
      <c r="I250" s="541" t="s">
        <v>1910</v>
      </c>
      <c r="J250" s="541" t="s">
        <v>43</v>
      </c>
      <c r="K250" s="542" t="s">
        <v>1940</v>
      </c>
      <c r="L250" s="586" t="s">
        <v>442</v>
      </c>
      <c r="M250" s="541"/>
      <c r="N250" s="542" t="s">
        <v>1941</v>
      </c>
      <c r="O250" s="541"/>
      <c r="P250" s="541" t="s">
        <v>136</v>
      </c>
      <c r="Q250" s="541" t="s">
        <v>1915</v>
      </c>
      <c r="R250" s="541" t="s">
        <v>813</v>
      </c>
      <c r="S250" s="541" t="s">
        <v>1937</v>
      </c>
      <c r="T250" s="541" t="s">
        <v>745</v>
      </c>
      <c r="U250" s="541"/>
      <c r="V250" s="543" t="s">
        <v>816</v>
      </c>
      <c r="W250" s="544" t="s">
        <v>528</v>
      </c>
      <c r="X250" s="541"/>
      <c r="Y250" s="545"/>
      <c r="Z250" s="546"/>
      <c r="AA250" s="605"/>
      <c r="AB250" s="892"/>
      <c r="AC250" s="596"/>
      <c r="AD250" s="596"/>
      <c r="AE250" s="596"/>
      <c r="AF250" s="596"/>
      <c r="AG250" s="596"/>
      <c r="AH250" s="596"/>
      <c r="AI250" s="596"/>
    </row>
    <row r="251" spans="1:36" s="547" customFormat="1" ht="43.5">
      <c r="A251" s="535"/>
      <c r="B251" s="536"/>
      <c r="C251" s="537"/>
      <c r="D251" s="538" t="s">
        <v>1942</v>
      </c>
      <c r="E251" s="538" t="s">
        <v>1943</v>
      </c>
      <c r="F251" s="539" t="s">
        <v>39</v>
      </c>
      <c r="G251" s="540" t="s">
        <v>40</v>
      </c>
      <c r="H251" s="541" t="s">
        <v>423</v>
      </c>
      <c r="I251" s="541" t="s">
        <v>102</v>
      </c>
      <c r="J251" s="541" t="s">
        <v>43</v>
      </c>
      <c r="K251" s="542" t="s">
        <v>1944</v>
      </c>
      <c r="L251" s="586" t="s">
        <v>1935</v>
      </c>
      <c r="M251" s="541"/>
      <c r="N251" s="542" t="s">
        <v>1945</v>
      </c>
      <c r="O251" s="541"/>
      <c r="P251" s="541" t="s">
        <v>136</v>
      </c>
      <c r="Q251" s="541" t="s">
        <v>1915</v>
      </c>
      <c r="R251" s="541" t="s">
        <v>813</v>
      </c>
      <c r="S251" s="541" t="s">
        <v>1937</v>
      </c>
      <c r="T251" s="541" t="s">
        <v>745</v>
      </c>
      <c r="U251" s="541"/>
      <c r="V251" s="543" t="s">
        <v>816</v>
      </c>
      <c r="W251" s="544" t="s">
        <v>528</v>
      </c>
      <c r="X251" s="541"/>
      <c r="Y251" s="545"/>
      <c r="Z251" s="546"/>
      <c r="AA251" s="605"/>
      <c r="AB251" s="892"/>
      <c r="AC251" s="596"/>
      <c r="AD251" s="596"/>
      <c r="AE251" s="596"/>
      <c r="AF251" s="596"/>
      <c r="AG251" s="596"/>
      <c r="AH251" s="596"/>
      <c r="AI251" s="596"/>
    </row>
    <row r="252" spans="1:36" s="547" customFormat="1" ht="72.5">
      <c r="A252" s="535"/>
      <c r="B252" s="536"/>
      <c r="C252" s="537"/>
      <c r="D252" s="538" t="s">
        <v>1946</v>
      </c>
      <c r="E252" s="538" t="s">
        <v>1947</v>
      </c>
      <c r="F252" s="539" t="s">
        <v>39</v>
      </c>
      <c r="G252" s="540" t="s">
        <v>40</v>
      </c>
      <c r="H252" s="541" t="s">
        <v>423</v>
      </c>
      <c r="I252" s="541" t="s">
        <v>102</v>
      </c>
      <c r="J252" s="541" t="s">
        <v>43</v>
      </c>
      <c r="K252" s="542" t="s">
        <v>1940</v>
      </c>
      <c r="L252" s="586" t="s">
        <v>1948</v>
      </c>
      <c r="M252" s="541"/>
      <c r="N252" s="542" t="s">
        <v>1949</v>
      </c>
      <c r="O252" s="541"/>
      <c r="P252" s="541" t="s">
        <v>518</v>
      </c>
      <c r="Q252" s="541" t="s">
        <v>1915</v>
      </c>
      <c r="R252" s="541" t="s">
        <v>813</v>
      </c>
      <c r="S252" s="541" t="s">
        <v>1937</v>
      </c>
      <c r="T252" s="541" t="s">
        <v>745</v>
      </c>
      <c r="U252" s="541"/>
      <c r="V252" s="543" t="s">
        <v>1950</v>
      </c>
      <c r="W252" s="544" t="s">
        <v>1951</v>
      </c>
      <c r="X252" s="541"/>
      <c r="Y252" s="545"/>
      <c r="Z252" s="546"/>
      <c r="AA252" s="605"/>
      <c r="AB252" s="892"/>
      <c r="AC252" s="596"/>
      <c r="AD252" s="596"/>
      <c r="AE252" s="596"/>
      <c r="AF252" s="596"/>
      <c r="AG252" s="596"/>
      <c r="AH252" s="596"/>
      <c r="AI252" s="596"/>
    </row>
    <row r="253" spans="1:36" s="547" customFormat="1" ht="14.5">
      <c r="A253" s="535"/>
      <c r="B253" s="536"/>
      <c r="C253" s="537"/>
      <c r="D253" s="538"/>
      <c r="E253" s="538"/>
      <c r="F253" s="539"/>
      <c r="G253" s="540"/>
      <c r="H253" s="541"/>
      <c r="I253" s="541"/>
      <c r="J253" s="541"/>
      <c r="K253" s="542"/>
      <c r="L253" s="586"/>
      <c r="M253" s="541"/>
      <c r="N253" s="542"/>
      <c r="O253" s="541"/>
      <c r="P253" s="541"/>
      <c r="Q253" s="541"/>
      <c r="R253" s="541"/>
      <c r="S253" s="541"/>
      <c r="T253" s="541"/>
      <c r="U253" s="541"/>
      <c r="V253" s="543"/>
      <c r="W253" s="544"/>
      <c r="X253" s="541"/>
      <c r="Y253" s="545"/>
      <c r="Z253" s="546"/>
      <c r="AA253" s="603"/>
      <c r="AB253" s="884"/>
    </row>
    <row r="254" spans="1:36" ht="75">
      <c r="A254" s="535" t="s">
        <v>188</v>
      </c>
      <c r="B254" s="536" t="s">
        <v>447</v>
      </c>
      <c r="C254" s="537" t="s">
        <v>1952</v>
      </c>
      <c r="D254" s="538" t="s">
        <v>1953</v>
      </c>
      <c r="E254" s="538" t="s">
        <v>1954</v>
      </c>
      <c r="F254" s="539" t="s">
        <v>39</v>
      </c>
      <c r="G254" s="540" t="s">
        <v>40</v>
      </c>
      <c r="H254" s="541" t="s">
        <v>423</v>
      </c>
      <c r="I254" s="541" t="s">
        <v>102</v>
      </c>
      <c r="J254" s="541" t="s">
        <v>43</v>
      </c>
      <c r="K254" s="542" t="s">
        <v>1955</v>
      </c>
      <c r="L254" s="586" t="s">
        <v>442</v>
      </c>
      <c r="M254" s="541" t="s">
        <v>1956</v>
      </c>
      <c r="N254" s="542" t="s">
        <v>1957</v>
      </c>
      <c r="O254" s="541" t="s">
        <v>1958</v>
      </c>
      <c r="P254" s="541" t="s">
        <v>136</v>
      </c>
      <c r="Q254" s="541" t="s">
        <v>1915</v>
      </c>
      <c r="R254" s="541" t="s">
        <v>813</v>
      </c>
      <c r="S254" s="541" t="s">
        <v>1937</v>
      </c>
      <c r="T254" s="541" t="s">
        <v>745</v>
      </c>
      <c r="U254" s="541"/>
      <c r="V254" s="543" t="s">
        <v>816</v>
      </c>
      <c r="W254" s="544" t="s">
        <v>528</v>
      </c>
      <c r="X254" s="541"/>
      <c r="Y254" s="545"/>
      <c r="Z254" s="546"/>
      <c r="AA254" s="605" t="s">
        <v>435</v>
      </c>
      <c r="AB254" s="892"/>
      <c r="AC254" s="596"/>
      <c r="AD254" s="596"/>
      <c r="AE254" s="596"/>
      <c r="AF254" s="596"/>
      <c r="AG254" s="596"/>
      <c r="AH254" s="596"/>
      <c r="AI254" s="596"/>
      <c r="AJ254" s="547"/>
    </row>
    <row r="255" spans="1:36" ht="87.5">
      <c r="A255" s="535" t="s">
        <v>188</v>
      </c>
      <c r="B255" s="536"/>
      <c r="C255" s="537"/>
      <c r="D255" s="538" t="s">
        <v>1959</v>
      </c>
      <c r="E255" s="538" t="s">
        <v>1960</v>
      </c>
      <c r="F255" s="539" t="s">
        <v>39</v>
      </c>
      <c r="G255" s="540" t="s">
        <v>40</v>
      </c>
      <c r="H255" s="541" t="s">
        <v>423</v>
      </c>
      <c r="I255" s="541" t="s">
        <v>1910</v>
      </c>
      <c r="J255" s="541" t="s">
        <v>43</v>
      </c>
      <c r="K255" s="542" t="s">
        <v>1961</v>
      </c>
      <c r="L255" s="586" t="s">
        <v>442</v>
      </c>
      <c r="M255" s="541" t="s">
        <v>1962</v>
      </c>
      <c r="N255" s="542" t="s">
        <v>1963</v>
      </c>
      <c r="O255" s="541" t="s">
        <v>1964</v>
      </c>
      <c r="P255" s="541" t="s">
        <v>136</v>
      </c>
      <c r="Q255" s="541" t="s">
        <v>1915</v>
      </c>
      <c r="R255" s="541" t="s">
        <v>1663</v>
      </c>
      <c r="S255" s="541" t="s">
        <v>1965</v>
      </c>
      <c r="T255" s="541" t="s">
        <v>745</v>
      </c>
      <c r="U255" s="541"/>
      <c r="V255" s="543" t="s">
        <v>816</v>
      </c>
      <c r="W255" s="544" t="s">
        <v>528</v>
      </c>
      <c r="X255" s="541"/>
      <c r="Y255" s="545"/>
      <c r="Z255" s="546"/>
      <c r="AA255" s="605" t="s">
        <v>518</v>
      </c>
      <c r="AB255" s="892"/>
      <c r="AC255" s="596"/>
      <c r="AD255" s="596"/>
      <c r="AE255" s="596"/>
      <c r="AF255" s="596"/>
      <c r="AG255" s="596"/>
      <c r="AH255" s="596"/>
      <c r="AI255" s="596"/>
      <c r="AJ255" s="547"/>
    </row>
    <row r="256" spans="1:36" ht="87.5">
      <c r="A256" s="535" t="s">
        <v>188</v>
      </c>
      <c r="B256" s="536"/>
      <c r="C256" s="537"/>
      <c r="D256" s="538" t="s">
        <v>1966</v>
      </c>
      <c r="E256" s="538" t="s">
        <v>1967</v>
      </c>
      <c r="F256" s="539" t="s">
        <v>39</v>
      </c>
      <c r="G256" s="540" t="s">
        <v>40</v>
      </c>
      <c r="H256" s="541" t="s">
        <v>423</v>
      </c>
      <c r="I256" s="541" t="s">
        <v>102</v>
      </c>
      <c r="J256" s="541" t="s">
        <v>43</v>
      </c>
      <c r="K256" s="542" t="s">
        <v>1961</v>
      </c>
      <c r="L256" s="586" t="s">
        <v>442</v>
      </c>
      <c r="M256" s="541" t="s">
        <v>1968</v>
      </c>
      <c r="N256" s="542" t="s">
        <v>1969</v>
      </c>
      <c r="O256" s="541" t="s">
        <v>1970</v>
      </c>
      <c r="P256" s="541" t="s">
        <v>136</v>
      </c>
      <c r="Q256" s="541" t="s">
        <v>1915</v>
      </c>
      <c r="R256" s="541" t="s">
        <v>1663</v>
      </c>
      <c r="S256" s="541" t="s">
        <v>1965</v>
      </c>
      <c r="T256" s="541" t="s">
        <v>745</v>
      </c>
      <c r="U256" s="541"/>
      <c r="V256" s="543" t="s">
        <v>816</v>
      </c>
      <c r="W256" s="544" t="s">
        <v>528</v>
      </c>
      <c r="X256" s="541"/>
      <c r="Y256" s="545"/>
      <c r="Z256" s="546"/>
      <c r="AA256" s="605" t="s">
        <v>518</v>
      </c>
      <c r="AB256" s="892"/>
      <c r="AC256" s="596"/>
      <c r="AD256" s="596"/>
      <c r="AE256" s="596"/>
      <c r="AF256" s="596"/>
      <c r="AG256" s="596"/>
      <c r="AH256" s="596"/>
      <c r="AI256" s="596"/>
      <c r="AJ256" s="547"/>
    </row>
    <row r="257" spans="1:36" ht="87.5">
      <c r="A257" s="535" t="s">
        <v>188</v>
      </c>
      <c r="B257" s="536"/>
      <c r="C257" s="537"/>
      <c r="D257" s="538" t="s">
        <v>1971</v>
      </c>
      <c r="E257" s="538" t="s">
        <v>1972</v>
      </c>
      <c r="F257" s="539" t="s">
        <v>39</v>
      </c>
      <c r="G257" s="540" t="s">
        <v>40</v>
      </c>
      <c r="H257" s="541" t="s">
        <v>423</v>
      </c>
      <c r="I257" s="541" t="s">
        <v>102</v>
      </c>
      <c r="J257" s="541" t="s">
        <v>43</v>
      </c>
      <c r="K257" s="542" t="s">
        <v>1961</v>
      </c>
      <c r="L257" s="586" t="s">
        <v>442</v>
      </c>
      <c r="M257" s="541" t="s">
        <v>1973</v>
      </c>
      <c r="N257" s="542" t="s">
        <v>1974</v>
      </c>
      <c r="O257" s="541" t="s">
        <v>1975</v>
      </c>
      <c r="P257" s="541" t="s">
        <v>136</v>
      </c>
      <c r="Q257" s="541" t="s">
        <v>1915</v>
      </c>
      <c r="R257" s="541" t="s">
        <v>813</v>
      </c>
      <c r="S257" s="541" t="s">
        <v>1976</v>
      </c>
      <c r="T257" s="541" t="s">
        <v>815</v>
      </c>
      <c r="U257" s="541"/>
      <c r="V257" s="543" t="s">
        <v>1977</v>
      </c>
      <c r="W257" s="544" t="s">
        <v>528</v>
      </c>
      <c r="X257" s="541"/>
      <c r="Y257" s="545"/>
      <c r="Z257" s="546"/>
      <c r="AA257" s="605" t="s">
        <v>435</v>
      </c>
      <c r="AB257" s="892"/>
      <c r="AC257" s="596"/>
      <c r="AD257" s="596"/>
      <c r="AE257" s="596"/>
      <c r="AF257" s="596"/>
      <c r="AG257" s="596"/>
      <c r="AH257" s="596"/>
      <c r="AI257" s="596"/>
      <c r="AJ257" s="547"/>
    </row>
    <row r="258" spans="1:36" ht="87.5">
      <c r="A258" s="535" t="s">
        <v>188</v>
      </c>
      <c r="B258" s="536"/>
      <c r="C258" s="537"/>
      <c r="D258" s="538" t="s">
        <v>1978</v>
      </c>
      <c r="E258" s="538" t="s">
        <v>1979</v>
      </c>
      <c r="F258" s="539" t="s">
        <v>39</v>
      </c>
      <c r="G258" s="540" t="s">
        <v>40</v>
      </c>
      <c r="H258" s="541" t="s">
        <v>423</v>
      </c>
      <c r="I258" s="541" t="s">
        <v>102</v>
      </c>
      <c r="J258" s="541" t="s">
        <v>43</v>
      </c>
      <c r="K258" s="542" t="s">
        <v>1980</v>
      </c>
      <c r="L258" s="586" t="s">
        <v>442</v>
      </c>
      <c r="M258" s="541" t="s">
        <v>1981</v>
      </c>
      <c r="N258" s="542" t="s">
        <v>1982</v>
      </c>
      <c r="O258" s="541" t="s">
        <v>1983</v>
      </c>
      <c r="P258" s="541" t="s">
        <v>136</v>
      </c>
      <c r="Q258" s="541" t="s">
        <v>1915</v>
      </c>
      <c r="R258" s="541" t="s">
        <v>813</v>
      </c>
      <c r="S258" s="541" t="s">
        <v>1976</v>
      </c>
      <c r="T258" s="541" t="s">
        <v>815</v>
      </c>
      <c r="U258" s="541"/>
      <c r="V258" s="543" t="s">
        <v>1977</v>
      </c>
      <c r="W258" s="544" t="s">
        <v>528</v>
      </c>
      <c r="X258" s="541"/>
      <c r="Y258" s="545"/>
      <c r="Z258" s="546"/>
      <c r="AA258" s="605" t="s">
        <v>518</v>
      </c>
      <c r="AB258" s="892"/>
      <c r="AC258" s="596"/>
      <c r="AD258" s="596"/>
      <c r="AE258" s="596"/>
      <c r="AF258" s="596"/>
      <c r="AG258" s="596"/>
      <c r="AH258" s="596"/>
      <c r="AI258" s="596"/>
      <c r="AJ258" s="547"/>
    </row>
    <row r="259" spans="1:36" ht="75">
      <c r="A259" s="535" t="s">
        <v>188</v>
      </c>
      <c r="B259" s="536" t="s">
        <v>460</v>
      </c>
      <c r="C259" s="537" t="s">
        <v>1984</v>
      </c>
      <c r="D259" s="538" t="s">
        <v>1985</v>
      </c>
      <c r="E259" s="538" t="s">
        <v>1986</v>
      </c>
      <c r="F259" s="539" t="s">
        <v>39</v>
      </c>
      <c r="G259" s="540" t="s">
        <v>40</v>
      </c>
      <c r="H259" s="541" t="s">
        <v>423</v>
      </c>
      <c r="I259" s="541" t="s">
        <v>102</v>
      </c>
      <c r="J259" s="541" t="s">
        <v>43</v>
      </c>
      <c r="K259" s="542" t="s">
        <v>1987</v>
      </c>
      <c r="L259" s="586" t="s">
        <v>442</v>
      </c>
      <c r="M259" s="541" t="s">
        <v>1988</v>
      </c>
      <c r="N259" s="542" t="s">
        <v>1989</v>
      </c>
      <c r="O259" s="541" t="s">
        <v>1990</v>
      </c>
      <c r="P259" s="541" t="s">
        <v>136</v>
      </c>
      <c r="Q259" s="541" t="s">
        <v>1915</v>
      </c>
      <c r="R259" s="541" t="s">
        <v>813</v>
      </c>
      <c r="S259" s="541" t="s">
        <v>1991</v>
      </c>
      <c r="T259" s="541" t="s">
        <v>815</v>
      </c>
      <c r="U259" s="541"/>
      <c r="V259" s="543" t="s">
        <v>816</v>
      </c>
      <c r="W259" s="544" t="s">
        <v>528</v>
      </c>
      <c r="X259" s="541"/>
      <c r="Y259" s="545"/>
      <c r="Z259" s="546"/>
      <c r="AA259" s="604"/>
      <c r="AB259" s="892"/>
      <c r="AC259" s="596"/>
      <c r="AD259" s="596"/>
      <c r="AE259" s="596"/>
      <c r="AF259" s="596"/>
      <c r="AG259" s="596"/>
      <c r="AH259" s="596"/>
      <c r="AI259" s="596"/>
      <c r="AJ259" s="547"/>
    </row>
    <row r="260" spans="1:36" ht="87.5">
      <c r="A260" s="535" t="s">
        <v>188</v>
      </c>
      <c r="B260" s="536"/>
      <c r="C260" s="537"/>
      <c r="D260" s="538" t="s">
        <v>1992</v>
      </c>
      <c r="E260" s="538" t="s">
        <v>1993</v>
      </c>
      <c r="F260" s="539" t="s">
        <v>39</v>
      </c>
      <c r="G260" s="540" t="s">
        <v>40</v>
      </c>
      <c r="H260" s="541" t="s">
        <v>423</v>
      </c>
      <c r="I260" s="541" t="s">
        <v>102</v>
      </c>
      <c r="J260" s="541" t="s">
        <v>43</v>
      </c>
      <c r="K260" s="542" t="s">
        <v>1994</v>
      </c>
      <c r="L260" s="586" t="s">
        <v>442</v>
      </c>
      <c r="M260" s="541" t="s">
        <v>1995</v>
      </c>
      <c r="N260" s="542" t="s">
        <v>1996</v>
      </c>
      <c r="O260" s="541" t="s">
        <v>1997</v>
      </c>
      <c r="P260" s="541" t="s">
        <v>136</v>
      </c>
      <c r="Q260" s="541" t="s">
        <v>1915</v>
      </c>
      <c r="R260" s="541" t="s">
        <v>813</v>
      </c>
      <c r="S260" s="541" t="s">
        <v>1937</v>
      </c>
      <c r="T260" s="541" t="s">
        <v>815</v>
      </c>
      <c r="U260" s="541"/>
      <c r="V260" s="543" t="s">
        <v>816</v>
      </c>
      <c r="W260" s="544" t="s">
        <v>528</v>
      </c>
      <c r="X260" s="541"/>
      <c r="Y260" s="545"/>
      <c r="Z260" s="546"/>
      <c r="AA260" s="605" t="s">
        <v>435</v>
      </c>
      <c r="AB260" s="892"/>
      <c r="AC260" s="596"/>
      <c r="AD260" s="596"/>
      <c r="AE260" s="596"/>
      <c r="AF260" s="596"/>
      <c r="AG260" s="596"/>
      <c r="AH260" s="596"/>
      <c r="AI260" s="596"/>
      <c r="AJ260" s="547"/>
    </row>
    <row r="261" spans="1:36" ht="87.5">
      <c r="A261" s="535" t="s">
        <v>188</v>
      </c>
      <c r="B261" s="536" t="s">
        <v>541</v>
      </c>
      <c r="C261" s="537" t="s">
        <v>1998</v>
      </c>
      <c r="D261" s="538" t="s">
        <v>1999</v>
      </c>
      <c r="E261" s="538" t="s">
        <v>2000</v>
      </c>
      <c r="F261" s="539" t="s">
        <v>39</v>
      </c>
      <c r="G261" s="540" t="s">
        <v>40</v>
      </c>
      <c r="H261" s="541" t="s">
        <v>423</v>
      </c>
      <c r="I261" s="541" t="s">
        <v>102</v>
      </c>
      <c r="J261" s="541" t="s">
        <v>43</v>
      </c>
      <c r="K261" s="542" t="s">
        <v>2001</v>
      </c>
      <c r="L261" s="586" t="s">
        <v>442</v>
      </c>
      <c r="M261" s="541" t="s">
        <v>2002</v>
      </c>
      <c r="N261" s="542" t="s">
        <v>2003</v>
      </c>
      <c r="O261" s="541" t="s">
        <v>2004</v>
      </c>
      <c r="P261" s="541" t="s">
        <v>136</v>
      </c>
      <c r="Q261" s="541" t="s">
        <v>1915</v>
      </c>
      <c r="R261" s="541" t="s">
        <v>813</v>
      </c>
      <c r="S261" s="541" t="s">
        <v>1937</v>
      </c>
      <c r="T261" s="541" t="s">
        <v>815</v>
      </c>
      <c r="U261" s="541"/>
      <c r="V261" s="543" t="s">
        <v>816</v>
      </c>
      <c r="W261" s="544" t="s">
        <v>528</v>
      </c>
      <c r="X261" s="541"/>
      <c r="Y261" s="545"/>
      <c r="Z261" s="546"/>
      <c r="AA261" s="605" t="s">
        <v>435</v>
      </c>
      <c r="AB261" s="892"/>
      <c r="AC261" s="596"/>
      <c r="AD261" s="596"/>
      <c r="AE261" s="596"/>
      <c r="AF261" s="596"/>
      <c r="AG261" s="596"/>
      <c r="AH261" s="596"/>
      <c r="AI261" s="596"/>
      <c r="AJ261" s="547"/>
    </row>
    <row r="262" spans="1:36" ht="75">
      <c r="A262" s="535" t="s">
        <v>188</v>
      </c>
      <c r="B262" s="536" t="s">
        <v>552</v>
      </c>
      <c r="C262" s="537" t="s">
        <v>2005</v>
      </c>
      <c r="D262" s="538" t="s">
        <v>2006</v>
      </c>
      <c r="E262" s="538" t="s">
        <v>2007</v>
      </c>
      <c r="F262" s="539" t="s">
        <v>39</v>
      </c>
      <c r="G262" s="540" t="s">
        <v>40</v>
      </c>
      <c r="H262" s="541" t="s">
        <v>423</v>
      </c>
      <c r="I262" s="541" t="s">
        <v>102</v>
      </c>
      <c r="J262" s="541" t="s">
        <v>43</v>
      </c>
      <c r="K262" s="542" t="s">
        <v>2008</v>
      </c>
      <c r="L262" s="586" t="s">
        <v>442</v>
      </c>
      <c r="M262" s="541" t="s">
        <v>2009</v>
      </c>
      <c r="N262" s="542" t="s">
        <v>2010</v>
      </c>
      <c r="O262" s="541" t="s">
        <v>2011</v>
      </c>
      <c r="P262" s="541" t="s">
        <v>136</v>
      </c>
      <c r="Q262" s="541" t="s">
        <v>1915</v>
      </c>
      <c r="R262" s="541" t="s">
        <v>813</v>
      </c>
      <c r="S262" s="541" t="s">
        <v>1937</v>
      </c>
      <c r="T262" s="541" t="s">
        <v>815</v>
      </c>
      <c r="U262" s="541"/>
      <c r="V262" s="543" t="s">
        <v>816</v>
      </c>
      <c r="W262" s="544" t="s">
        <v>528</v>
      </c>
      <c r="X262" s="541"/>
      <c r="Y262" s="545"/>
      <c r="Z262" s="546"/>
      <c r="AA262" s="605" t="s">
        <v>435</v>
      </c>
      <c r="AB262" s="892"/>
      <c r="AC262" s="596"/>
      <c r="AD262" s="596"/>
      <c r="AE262" s="596"/>
      <c r="AF262" s="596"/>
      <c r="AG262" s="596"/>
      <c r="AH262" s="596"/>
      <c r="AI262" s="596"/>
      <c r="AJ262" s="547"/>
    </row>
    <row r="263" spans="1:36" ht="48.65" customHeight="1">
      <c r="A263" s="535" t="s">
        <v>188</v>
      </c>
      <c r="B263" s="536" t="s">
        <v>560</v>
      </c>
      <c r="C263" s="537" t="s">
        <v>2012</v>
      </c>
      <c r="D263" s="538" t="s">
        <v>2013</v>
      </c>
      <c r="E263" s="538" t="s">
        <v>2014</v>
      </c>
      <c r="F263" s="539" t="s">
        <v>39</v>
      </c>
      <c r="G263" s="540" t="s">
        <v>40</v>
      </c>
      <c r="H263" s="541" t="s">
        <v>423</v>
      </c>
      <c r="I263" s="541" t="s">
        <v>102</v>
      </c>
      <c r="J263" s="541" t="s">
        <v>43</v>
      </c>
      <c r="K263" s="542" t="s">
        <v>2015</v>
      </c>
      <c r="L263" s="586" t="s">
        <v>442</v>
      </c>
      <c r="M263" s="547"/>
      <c r="N263" s="542" t="s">
        <v>2016</v>
      </c>
      <c r="O263" s="547"/>
      <c r="P263" s="541" t="s">
        <v>136</v>
      </c>
      <c r="Q263" s="541" t="s">
        <v>1915</v>
      </c>
      <c r="R263" s="541" t="s">
        <v>813</v>
      </c>
      <c r="S263" s="541" t="s">
        <v>2017</v>
      </c>
      <c r="T263" s="541" t="s">
        <v>815</v>
      </c>
      <c r="U263" s="541"/>
      <c r="V263" s="543" t="s">
        <v>1977</v>
      </c>
      <c r="W263" s="544" t="s">
        <v>528</v>
      </c>
      <c r="X263" s="547"/>
      <c r="Y263" s="547"/>
      <c r="Z263" s="547"/>
      <c r="AA263" s="605"/>
      <c r="AB263" s="892"/>
      <c r="AC263" s="596"/>
      <c r="AD263" s="596"/>
      <c r="AE263" s="596"/>
      <c r="AF263" s="596"/>
      <c r="AG263" s="596"/>
      <c r="AH263" s="596"/>
      <c r="AI263" s="596"/>
      <c r="AJ263" s="547"/>
    </row>
    <row r="264" spans="1:36" ht="51.65" customHeight="1">
      <c r="A264" s="535" t="s">
        <v>188</v>
      </c>
      <c r="B264" s="536" t="s">
        <v>569</v>
      </c>
      <c r="C264" s="537" t="s">
        <v>2018</v>
      </c>
      <c r="D264" s="538" t="s">
        <v>2019</v>
      </c>
      <c r="E264" s="538" t="s">
        <v>2020</v>
      </c>
      <c r="F264" s="539" t="s">
        <v>39</v>
      </c>
      <c r="G264" s="540" t="s">
        <v>40</v>
      </c>
      <c r="H264" s="541" t="s">
        <v>423</v>
      </c>
      <c r="I264" s="541" t="s">
        <v>102</v>
      </c>
      <c r="J264" s="541" t="s">
        <v>43</v>
      </c>
      <c r="K264" s="542" t="s">
        <v>2021</v>
      </c>
      <c r="L264" s="586" t="s">
        <v>442</v>
      </c>
      <c r="M264" s="547"/>
      <c r="N264" s="542" t="s">
        <v>2022</v>
      </c>
      <c r="O264" s="547"/>
      <c r="P264" s="541" t="s">
        <v>136</v>
      </c>
      <c r="Q264" s="541" t="s">
        <v>1915</v>
      </c>
      <c r="R264" s="541" t="s">
        <v>813</v>
      </c>
      <c r="S264" s="541" t="s">
        <v>2017</v>
      </c>
      <c r="T264" s="541" t="s">
        <v>815</v>
      </c>
      <c r="U264" s="541"/>
      <c r="V264" s="543" t="s">
        <v>1977</v>
      </c>
      <c r="W264" s="544" t="s">
        <v>528</v>
      </c>
      <c r="X264" s="547"/>
      <c r="Y264" s="547"/>
      <c r="Z264" s="547"/>
      <c r="AA264" s="605"/>
      <c r="AB264" s="892"/>
      <c r="AC264" s="596"/>
      <c r="AD264" s="596"/>
      <c r="AE264" s="596"/>
      <c r="AF264" s="596"/>
      <c r="AG264" s="596"/>
      <c r="AH264" s="596"/>
      <c r="AI264" s="596"/>
      <c r="AJ264" s="547"/>
    </row>
    <row r="265" spans="1:36" ht="15.75" customHeight="1">
      <c r="A265" s="549"/>
      <c r="B265" s="550"/>
      <c r="C265" s="551"/>
      <c r="D265" s="551"/>
      <c r="E265" s="547"/>
      <c r="F265" s="547"/>
      <c r="G265" s="547"/>
      <c r="H265" s="547"/>
      <c r="I265" s="547"/>
      <c r="J265" s="547"/>
      <c r="K265" s="547"/>
      <c r="M265" s="547"/>
      <c r="N265" s="547"/>
      <c r="O265" s="547"/>
      <c r="P265" s="547"/>
      <c r="Q265" s="547"/>
      <c r="R265" s="547"/>
      <c r="S265" s="547"/>
      <c r="T265" s="547"/>
      <c r="U265" s="547"/>
      <c r="V265" s="547"/>
      <c r="W265" s="547"/>
      <c r="X265" s="547"/>
      <c r="Y265" s="547"/>
      <c r="Z265" s="547"/>
      <c r="AA265" s="547"/>
      <c r="AB265" s="884"/>
      <c r="AC265" s="547"/>
      <c r="AD265" s="547"/>
      <c r="AE265" s="547"/>
      <c r="AF265" s="547"/>
      <c r="AG265" s="547"/>
      <c r="AH265" s="547"/>
      <c r="AI265" s="547"/>
      <c r="AJ265" s="547"/>
    </row>
    <row r="266" spans="1:36" ht="15.75" customHeight="1">
      <c r="A266" s="549"/>
      <c r="B266" s="550"/>
      <c r="C266" s="551"/>
      <c r="D266" s="551"/>
      <c r="E266" s="547"/>
      <c r="F266" s="547"/>
      <c r="G266" s="547"/>
      <c r="H266" s="547"/>
      <c r="I266" s="547"/>
      <c r="J266" s="547"/>
      <c r="K266" s="547"/>
      <c r="M266" s="547"/>
      <c r="N266" s="547"/>
      <c r="O266" s="547"/>
      <c r="P266" s="547"/>
      <c r="Q266" s="547"/>
      <c r="R266" s="547"/>
      <c r="S266" s="547"/>
      <c r="T266" s="547"/>
      <c r="U266" s="547"/>
      <c r="V266" s="547"/>
      <c r="W266" s="547"/>
      <c r="X266" s="547"/>
      <c r="Y266" s="547"/>
      <c r="Z266" s="547"/>
      <c r="AA266" s="547"/>
      <c r="AB266" s="884"/>
      <c r="AC266" s="547"/>
      <c r="AD266" s="547"/>
      <c r="AE266" s="547"/>
      <c r="AF266" s="547"/>
      <c r="AG266" s="547"/>
      <c r="AH266" s="547"/>
      <c r="AI266" s="547"/>
      <c r="AJ266" s="547"/>
    </row>
    <row r="267" spans="1:36" ht="15.75" customHeight="1">
      <c r="A267" s="549"/>
      <c r="B267" s="550"/>
      <c r="C267" s="551"/>
      <c r="D267" s="551"/>
      <c r="E267" s="547"/>
      <c r="F267" s="547"/>
      <c r="G267" s="547"/>
      <c r="H267" s="547"/>
      <c r="I267" s="547"/>
      <c r="J267" s="547"/>
      <c r="K267" s="547"/>
      <c r="M267" s="547"/>
      <c r="N267" s="547"/>
      <c r="O267" s="547"/>
      <c r="P267" s="547"/>
      <c r="Q267" s="547"/>
      <c r="R267" s="547"/>
      <c r="S267" s="547"/>
      <c r="T267" s="547"/>
      <c r="U267" s="547"/>
      <c r="V267" s="547"/>
      <c r="W267" s="547"/>
      <c r="X267" s="547"/>
      <c r="Y267" s="547"/>
      <c r="Z267" s="547"/>
      <c r="AA267" s="547"/>
      <c r="AB267" s="884"/>
      <c r="AC267" s="547"/>
      <c r="AD267" s="547"/>
      <c r="AE267" s="547"/>
      <c r="AF267" s="547"/>
      <c r="AG267" s="547"/>
      <c r="AH267" s="547"/>
      <c r="AI267" s="547"/>
      <c r="AJ267" s="547"/>
    </row>
    <row r="268" spans="1:36" ht="15.75" customHeight="1">
      <c r="A268" s="549"/>
      <c r="B268" s="550"/>
      <c r="C268" s="551"/>
      <c r="D268" s="551"/>
      <c r="E268" s="547"/>
      <c r="F268" s="547"/>
      <c r="G268" s="547"/>
      <c r="H268" s="547"/>
      <c r="I268" s="547"/>
      <c r="J268" s="547"/>
      <c r="K268" s="547"/>
      <c r="M268" s="547"/>
      <c r="N268" s="547"/>
      <c r="O268" s="547"/>
      <c r="P268" s="547"/>
      <c r="Q268" s="547"/>
      <c r="R268" s="547"/>
      <c r="S268" s="547"/>
      <c r="T268" s="547"/>
      <c r="U268" s="547"/>
      <c r="V268" s="547"/>
      <c r="W268" s="547"/>
      <c r="X268" s="547"/>
      <c r="Y268" s="547"/>
      <c r="Z268" s="547"/>
      <c r="AA268" s="547"/>
      <c r="AB268" s="884"/>
      <c r="AC268" s="547"/>
      <c r="AD268" s="547"/>
      <c r="AE268" s="547"/>
      <c r="AF268" s="547"/>
      <c r="AG268" s="547"/>
      <c r="AH268" s="547"/>
      <c r="AI268" s="547"/>
      <c r="AJ268" s="547"/>
    </row>
    <row r="269" spans="1:36" ht="15.75" customHeight="1">
      <c r="A269" s="549"/>
      <c r="B269" s="550"/>
      <c r="C269" s="551"/>
      <c r="D269" s="551"/>
      <c r="E269" s="547"/>
      <c r="F269" s="547"/>
      <c r="G269" s="547"/>
      <c r="H269" s="547"/>
      <c r="I269" s="547"/>
      <c r="J269" s="547"/>
      <c r="K269" s="547"/>
      <c r="M269" s="547"/>
      <c r="N269" s="547"/>
      <c r="O269" s="547"/>
      <c r="P269" s="547"/>
      <c r="Q269" s="547"/>
      <c r="R269" s="547"/>
      <c r="S269" s="547"/>
      <c r="T269" s="547"/>
      <c r="U269" s="547"/>
      <c r="V269" s="547"/>
      <c r="W269" s="547"/>
      <c r="X269" s="547"/>
      <c r="Y269" s="547"/>
      <c r="Z269" s="547"/>
      <c r="AA269" s="547"/>
      <c r="AB269" s="884"/>
      <c r="AC269" s="547"/>
      <c r="AD269" s="547"/>
      <c r="AE269" s="547"/>
      <c r="AF269" s="547"/>
      <c r="AG269" s="547"/>
      <c r="AH269" s="547"/>
      <c r="AI269" s="547"/>
      <c r="AJ269" s="547"/>
    </row>
    <row r="270" spans="1:36" ht="15.75" customHeight="1">
      <c r="A270" s="549"/>
      <c r="B270" s="550"/>
      <c r="C270" s="551"/>
      <c r="D270" s="551"/>
      <c r="E270" s="547"/>
      <c r="F270" s="547"/>
      <c r="G270" s="547"/>
      <c r="H270" s="547"/>
      <c r="I270" s="547"/>
      <c r="J270" s="547"/>
      <c r="K270" s="547"/>
      <c r="M270" s="547"/>
      <c r="N270" s="547"/>
      <c r="O270" s="547"/>
      <c r="P270" s="547"/>
      <c r="Q270" s="547"/>
      <c r="R270" s="547"/>
      <c r="S270" s="547"/>
      <c r="T270" s="547"/>
      <c r="U270" s="547"/>
      <c r="V270" s="547"/>
      <c r="W270" s="547"/>
      <c r="X270" s="547"/>
      <c r="Y270" s="547"/>
      <c r="Z270" s="547"/>
      <c r="AA270" s="547"/>
      <c r="AB270" s="884"/>
      <c r="AC270" s="547"/>
      <c r="AD270" s="547"/>
      <c r="AE270" s="547"/>
      <c r="AF270" s="547"/>
      <c r="AG270" s="547"/>
      <c r="AH270" s="547"/>
      <c r="AI270" s="547"/>
      <c r="AJ270" s="547"/>
    </row>
    <row r="271" spans="1:36" ht="15.75" customHeight="1">
      <c r="A271" s="549"/>
      <c r="B271" s="550"/>
      <c r="C271" s="551"/>
      <c r="D271" s="551"/>
      <c r="E271" s="547"/>
      <c r="F271" s="547"/>
      <c r="G271" s="547"/>
      <c r="H271" s="547"/>
      <c r="I271" s="547"/>
      <c r="J271" s="547"/>
      <c r="K271" s="547"/>
      <c r="M271" s="547"/>
      <c r="N271" s="547"/>
      <c r="O271" s="547"/>
      <c r="P271" s="547"/>
      <c r="Q271" s="547"/>
      <c r="R271" s="547"/>
      <c r="S271" s="547"/>
      <c r="T271" s="547"/>
      <c r="U271" s="547"/>
      <c r="V271" s="547"/>
      <c r="W271" s="547"/>
      <c r="X271" s="547"/>
      <c r="Y271" s="547"/>
      <c r="Z271" s="547"/>
      <c r="AA271" s="547"/>
      <c r="AB271" s="884"/>
      <c r="AC271" s="547"/>
      <c r="AD271" s="547"/>
      <c r="AE271" s="547"/>
      <c r="AF271" s="547"/>
      <c r="AG271" s="547"/>
      <c r="AH271" s="547"/>
      <c r="AI271" s="547"/>
      <c r="AJ271" s="547"/>
    </row>
    <row r="272" spans="1:36" ht="15.75" customHeight="1">
      <c r="A272" s="549"/>
      <c r="B272" s="550"/>
      <c r="C272" s="551"/>
      <c r="D272" s="551"/>
      <c r="E272" s="547"/>
      <c r="F272" s="547"/>
      <c r="G272" s="547"/>
      <c r="H272" s="547"/>
      <c r="I272" s="547"/>
      <c r="J272" s="547"/>
      <c r="K272" s="547"/>
      <c r="M272" s="547"/>
      <c r="N272" s="547"/>
      <c r="O272" s="547"/>
      <c r="P272" s="547"/>
      <c r="Q272" s="547"/>
      <c r="R272" s="547"/>
      <c r="S272" s="547"/>
      <c r="T272" s="547"/>
      <c r="U272" s="547"/>
      <c r="V272" s="547"/>
      <c r="W272" s="547"/>
      <c r="X272" s="547"/>
      <c r="Y272" s="547"/>
      <c r="Z272" s="547"/>
      <c r="AA272" s="547"/>
      <c r="AB272" s="884"/>
      <c r="AC272" s="547"/>
      <c r="AD272" s="547"/>
      <c r="AE272" s="547"/>
      <c r="AF272" s="547"/>
      <c r="AG272" s="547"/>
      <c r="AH272" s="547"/>
      <c r="AI272" s="547"/>
      <c r="AJ272" s="547"/>
    </row>
    <row r="273" spans="1:29" ht="15.75" customHeight="1">
      <c r="A273" s="549"/>
      <c r="B273" s="550"/>
      <c r="C273" s="551"/>
      <c r="D273" s="551"/>
      <c r="E273" s="547"/>
      <c r="F273" s="547"/>
      <c r="G273" s="547"/>
      <c r="H273" s="547"/>
      <c r="I273" s="547"/>
      <c r="J273" s="547"/>
      <c r="K273" s="547"/>
      <c r="M273" s="547"/>
      <c r="N273" s="547"/>
      <c r="O273" s="547"/>
      <c r="P273" s="547"/>
      <c r="Q273" s="547"/>
      <c r="R273" s="547"/>
      <c r="S273" s="547"/>
      <c r="T273" s="547"/>
      <c r="U273" s="547"/>
      <c r="V273" s="547"/>
      <c r="W273" s="547"/>
      <c r="X273" s="547"/>
      <c r="Y273" s="547"/>
      <c r="Z273" s="547"/>
      <c r="AA273" s="547"/>
      <c r="AB273" s="884"/>
      <c r="AC273" s="547"/>
    </row>
    <row r="274" spans="1:29" ht="15.75" customHeight="1">
      <c r="A274" s="549"/>
      <c r="B274" s="550"/>
      <c r="C274" s="551"/>
      <c r="D274" s="551"/>
      <c r="E274" s="547"/>
      <c r="F274" s="547"/>
      <c r="G274" s="547"/>
      <c r="H274" s="547"/>
      <c r="I274" s="547"/>
      <c r="J274" s="547"/>
      <c r="K274" s="547"/>
      <c r="M274" s="547"/>
      <c r="N274" s="547"/>
      <c r="O274" s="547"/>
      <c r="P274" s="547"/>
      <c r="Q274" s="547"/>
      <c r="R274" s="547"/>
      <c r="S274" s="547"/>
      <c r="T274" s="547"/>
      <c r="U274" s="547"/>
      <c r="V274" s="547"/>
      <c r="W274" s="547"/>
      <c r="X274" s="547"/>
      <c r="Y274" s="547"/>
      <c r="Z274" s="547"/>
      <c r="AA274" s="547"/>
      <c r="AB274" s="884"/>
      <c r="AC274" s="547"/>
    </row>
    <row r="275" spans="1:29" ht="15.75" customHeight="1">
      <c r="A275" s="549"/>
      <c r="B275" s="550"/>
      <c r="C275" s="551"/>
      <c r="D275" s="551"/>
      <c r="E275" s="547"/>
      <c r="F275" s="547"/>
      <c r="G275" s="547"/>
      <c r="H275" s="547"/>
      <c r="I275" s="547"/>
      <c r="J275" s="547"/>
      <c r="K275" s="547"/>
      <c r="M275" s="547"/>
      <c r="N275" s="547"/>
      <c r="O275" s="547"/>
      <c r="P275" s="547"/>
      <c r="Q275" s="547"/>
      <c r="R275" s="547"/>
      <c r="S275" s="547"/>
      <c r="T275" s="547"/>
      <c r="U275" s="547"/>
      <c r="V275" s="547"/>
      <c r="W275" s="547"/>
      <c r="X275" s="547"/>
      <c r="Y275" s="547"/>
      <c r="Z275" s="547"/>
      <c r="AA275" s="547"/>
      <c r="AB275" s="884"/>
      <c r="AC275" s="547"/>
    </row>
    <row r="276" spans="1:29" ht="15.75" customHeight="1">
      <c r="A276" s="549"/>
      <c r="B276" s="550"/>
      <c r="C276" s="551"/>
      <c r="D276" s="551"/>
      <c r="E276" s="547"/>
      <c r="F276" s="547"/>
      <c r="G276" s="547"/>
      <c r="H276" s="547"/>
      <c r="I276" s="547"/>
      <c r="J276" s="547"/>
      <c r="K276" s="547"/>
      <c r="M276" s="547"/>
      <c r="N276" s="547"/>
      <c r="O276" s="547"/>
      <c r="P276" s="547"/>
      <c r="Q276" s="547"/>
      <c r="R276" s="547"/>
      <c r="S276" s="547"/>
      <c r="T276" s="547"/>
      <c r="U276" s="547"/>
      <c r="V276" s="547"/>
      <c r="W276" s="547"/>
      <c r="X276" s="547"/>
      <c r="Y276" s="547"/>
      <c r="Z276" s="547"/>
      <c r="AA276" s="547"/>
      <c r="AB276" s="884"/>
      <c r="AC276" s="547"/>
    </row>
    <row r="277" spans="1:29" ht="15.75" customHeight="1">
      <c r="A277" s="549"/>
      <c r="B277" s="550"/>
      <c r="C277" s="551"/>
      <c r="D277" s="551"/>
      <c r="E277" s="547"/>
      <c r="F277" s="547"/>
      <c r="G277" s="547"/>
      <c r="H277" s="547"/>
      <c r="I277" s="547"/>
      <c r="J277" s="547"/>
      <c r="K277" s="547"/>
      <c r="M277" s="547"/>
      <c r="N277" s="547"/>
      <c r="O277" s="547"/>
      <c r="P277" s="547"/>
      <c r="Q277" s="547"/>
      <c r="R277" s="547"/>
      <c r="S277" s="547"/>
      <c r="T277" s="547"/>
      <c r="U277" s="547"/>
      <c r="V277" s="547"/>
      <c r="W277" s="547"/>
      <c r="X277" s="547"/>
      <c r="Y277" s="547"/>
      <c r="Z277" s="547"/>
      <c r="AA277" s="547"/>
      <c r="AB277" s="884"/>
      <c r="AC277" s="547"/>
    </row>
    <row r="278" spans="1:29" ht="15.75" customHeight="1">
      <c r="A278" s="549"/>
      <c r="B278" s="550"/>
      <c r="C278" s="551"/>
      <c r="D278" s="551"/>
      <c r="E278" s="547"/>
      <c r="F278" s="547"/>
      <c r="G278" s="547"/>
      <c r="H278" s="547"/>
      <c r="I278" s="547"/>
      <c r="J278" s="547"/>
      <c r="K278" s="547"/>
      <c r="M278" s="547"/>
      <c r="N278" s="547"/>
      <c r="O278" s="547"/>
      <c r="P278" s="547"/>
      <c r="Q278" s="547"/>
      <c r="R278" s="547"/>
      <c r="S278" s="547"/>
      <c r="T278" s="547"/>
      <c r="U278" s="547"/>
      <c r="V278" s="547"/>
      <c r="W278" s="547"/>
      <c r="X278" s="547"/>
      <c r="Y278" s="547"/>
      <c r="Z278" s="547"/>
      <c r="AA278" s="547"/>
      <c r="AB278" s="884"/>
      <c r="AC278" s="547"/>
    </row>
    <row r="279" spans="1:29" ht="15.75" customHeight="1">
      <c r="A279" s="549"/>
      <c r="B279" s="550"/>
      <c r="C279" s="551"/>
      <c r="D279" s="551"/>
      <c r="E279" s="547"/>
      <c r="F279" s="547"/>
      <c r="G279" s="547"/>
      <c r="H279" s="547"/>
      <c r="I279" s="547"/>
      <c r="J279" s="547"/>
      <c r="K279" s="547"/>
      <c r="M279" s="547"/>
      <c r="N279" s="547"/>
      <c r="O279" s="547"/>
      <c r="P279" s="547"/>
      <c r="Q279" s="547"/>
      <c r="R279" s="547"/>
      <c r="S279" s="547"/>
      <c r="T279" s="547"/>
      <c r="U279" s="547"/>
      <c r="V279" s="547"/>
      <c r="W279" s="547"/>
      <c r="X279" s="547"/>
      <c r="Y279" s="547"/>
      <c r="Z279" s="547"/>
      <c r="AA279" s="547"/>
      <c r="AB279" s="884"/>
      <c r="AC279" s="547"/>
    </row>
    <row r="280" spans="1:29" ht="15.75" customHeight="1">
      <c r="A280" s="549"/>
      <c r="B280" s="550"/>
      <c r="C280" s="551"/>
      <c r="D280" s="551"/>
      <c r="E280" s="547"/>
      <c r="F280" s="547"/>
      <c r="G280" s="547"/>
      <c r="H280" s="547"/>
      <c r="I280" s="547"/>
      <c r="J280" s="547"/>
      <c r="K280" s="547"/>
      <c r="M280" s="547"/>
      <c r="N280" s="547"/>
      <c r="O280" s="547"/>
      <c r="P280" s="547"/>
      <c r="Q280" s="547"/>
      <c r="R280" s="547"/>
      <c r="S280" s="547"/>
      <c r="T280" s="547"/>
      <c r="U280" s="547"/>
      <c r="V280" s="547"/>
      <c r="W280" s="547"/>
      <c r="X280" s="547"/>
      <c r="Y280" s="547"/>
      <c r="Z280" s="547"/>
      <c r="AA280" s="547"/>
      <c r="AB280" s="884"/>
      <c r="AC280" s="547"/>
    </row>
    <row r="281" spans="1:29" ht="15.75" customHeight="1">
      <c r="A281" s="549"/>
      <c r="B281" s="550"/>
      <c r="C281" s="551"/>
      <c r="D281" s="551"/>
      <c r="E281" s="547"/>
      <c r="F281" s="547"/>
      <c r="G281" s="547"/>
      <c r="H281" s="547"/>
      <c r="I281" s="547"/>
      <c r="J281" s="547"/>
      <c r="K281" s="547"/>
      <c r="M281" s="547"/>
      <c r="N281" s="547"/>
      <c r="O281" s="547"/>
      <c r="P281" s="547"/>
      <c r="Q281" s="547"/>
      <c r="R281" s="547"/>
      <c r="S281" s="547"/>
      <c r="T281" s="547"/>
      <c r="U281" s="547"/>
      <c r="V281" s="547"/>
      <c r="W281" s="547"/>
      <c r="X281" s="547"/>
      <c r="Y281" s="547"/>
      <c r="Z281" s="547"/>
      <c r="AA281" s="547"/>
      <c r="AB281" s="884"/>
      <c r="AC281" s="547"/>
    </row>
    <row r="282" spans="1:29" ht="15.75" customHeight="1">
      <c r="A282" s="549"/>
      <c r="B282" s="550"/>
      <c r="C282" s="551"/>
      <c r="D282" s="551"/>
      <c r="E282" s="547"/>
      <c r="F282" s="547"/>
      <c r="G282" s="547"/>
      <c r="H282" s="547"/>
      <c r="I282" s="547"/>
      <c r="J282" s="547"/>
      <c r="K282" s="547"/>
      <c r="M282" s="547"/>
      <c r="N282" s="547"/>
      <c r="O282" s="547"/>
      <c r="P282" s="547"/>
      <c r="Q282" s="547"/>
      <c r="R282" s="547"/>
      <c r="S282" s="547"/>
      <c r="T282" s="547"/>
      <c r="U282" s="547"/>
      <c r="V282" s="547"/>
      <c r="W282" s="547"/>
      <c r="X282" s="547"/>
      <c r="Y282" s="547"/>
      <c r="Z282" s="547"/>
      <c r="AA282" s="547"/>
      <c r="AB282" s="884"/>
      <c r="AC282" s="547"/>
    </row>
    <row r="283" spans="1:29" ht="15.75" customHeight="1">
      <c r="A283" s="549"/>
      <c r="B283" s="550"/>
      <c r="C283" s="551"/>
      <c r="D283" s="551"/>
      <c r="E283" s="547"/>
      <c r="F283" s="547"/>
      <c r="G283" s="547"/>
      <c r="H283" s="547"/>
      <c r="I283" s="547"/>
      <c r="J283" s="547"/>
      <c r="K283" s="547"/>
      <c r="M283" s="547"/>
      <c r="N283" s="547"/>
      <c r="O283" s="547"/>
      <c r="P283" s="547"/>
      <c r="Q283" s="547"/>
      <c r="R283" s="547"/>
      <c r="S283" s="547"/>
      <c r="T283" s="547"/>
      <c r="U283" s="547"/>
      <c r="V283" s="547"/>
      <c r="W283" s="547"/>
      <c r="X283" s="547"/>
      <c r="Y283" s="547"/>
      <c r="Z283" s="547"/>
      <c r="AA283" s="547"/>
      <c r="AB283" s="884"/>
      <c r="AC283" s="547"/>
    </row>
    <row r="284" spans="1:29" ht="15.75" customHeight="1">
      <c r="A284" s="549"/>
      <c r="B284" s="550"/>
      <c r="C284" s="551"/>
      <c r="D284" s="551"/>
      <c r="E284" s="547"/>
      <c r="F284" s="547"/>
      <c r="G284" s="547"/>
      <c r="H284" s="547"/>
      <c r="I284" s="547"/>
      <c r="J284" s="547"/>
      <c r="K284" s="547"/>
      <c r="M284" s="547"/>
      <c r="N284" s="547"/>
      <c r="O284" s="547"/>
      <c r="P284" s="547"/>
      <c r="Q284" s="547"/>
      <c r="R284" s="547"/>
      <c r="S284" s="547"/>
      <c r="T284" s="547"/>
      <c r="U284" s="547"/>
      <c r="V284" s="547"/>
      <c r="W284" s="547"/>
      <c r="X284" s="547"/>
      <c r="Y284" s="547"/>
      <c r="Z284" s="547"/>
      <c r="AA284" s="547"/>
      <c r="AB284" s="884"/>
      <c r="AC284" s="547"/>
    </row>
    <row r="285" spans="1:29" ht="15.75" customHeight="1">
      <c r="A285" s="549"/>
      <c r="B285" s="550"/>
      <c r="C285" s="551"/>
      <c r="D285" s="551"/>
      <c r="E285" s="547"/>
      <c r="F285" s="547"/>
      <c r="G285" s="547"/>
      <c r="H285" s="547"/>
      <c r="I285" s="547"/>
      <c r="J285" s="547"/>
      <c r="K285" s="547"/>
      <c r="M285" s="547"/>
      <c r="N285" s="547"/>
      <c r="O285" s="547"/>
      <c r="P285" s="547"/>
      <c r="Q285" s="547"/>
      <c r="R285" s="547"/>
      <c r="S285" s="547"/>
      <c r="T285" s="547"/>
      <c r="U285" s="547"/>
      <c r="V285" s="547"/>
      <c r="W285" s="547"/>
      <c r="X285" s="547"/>
      <c r="Y285" s="547"/>
      <c r="Z285" s="547"/>
      <c r="AA285" s="547"/>
      <c r="AB285" s="884"/>
      <c r="AC285" s="547"/>
    </row>
    <row r="286" spans="1:29" ht="15.75" customHeight="1">
      <c r="A286" s="549"/>
      <c r="B286" s="550"/>
      <c r="C286" s="551"/>
      <c r="D286" s="551"/>
      <c r="E286" s="547"/>
      <c r="F286" s="547"/>
      <c r="G286" s="547"/>
      <c r="H286" s="547"/>
      <c r="I286" s="547"/>
      <c r="J286" s="547"/>
      <c r="K286" s="547"/>
      <c r="M286" s="547"/>
      <c r="N286" s="547"/>
      <c r="O286" s="547"/>
      <c r="P286" s="547"/>
      <c r="Q286" s="547"/>
      <c r="R286" s="547"/>
      <c r="S286" s="547"/>
      <c r="T286" s="547"/>
      <c r="U286" s="547"/>
      <c r="V286" s="547"/>
      <c r="W286" s="547"/>
      <c r="X286" s="547"/>
      <c r="Y286" s="547"/>
      <c r="Z286" s="547"/>
      <c r="AA286" s="547"/>
      <c r="AB286" s="884"/>
      <c r="AC286" s="547"/>
    </row>
    <row r="287" spans="1:29" ht="15.75" customHeight="1">
      <c r="A287" s="549"/>
      <c r="B287" s="550"/>
      <c r="C287" s="551"/>
      <c r="D287" s="551"/>
      <c r="E287" s="547"/>
      <c r="F287" s="547"/>
      <c r="G287" s="547"/>
      <c r="H287" s="547"/>
      <c r="I287" s="547"/>
      <c r="J287" s="547"/>
      <c r="K287" s="547"/>
      <c r="M287" s="547"/>
      <c r="N287" s="547"/>
      <c r="O287" s="547"/>
      <c r="P287" s="547"/>
      <c r="Q287" s="547"/>
      <c r="R287" s="547"/>
      <c r="S287" s="547"/>
      <c r="T287" s="547"/>
      <c r="U287" s="547"/>
      <c r="V287" s="547"/>
      <c r="W287" s="547"/>
      <c r="X287" s="547"/>
      <c r="Y287" s="547"/>
      <c r="Z287" s="547"/>
      <c r="AA287" s="547"/>
      <c r="AB287" s="884"/>
      <c r="AC287" s="547"/>
    </row>
    <row r="288" spans="1:29" ht="15.75" customHeight="1">
      <c r="A288" s="549"/>
      <c r="B288" s="550"/>
      <c r="C288" s="551"/>
      <c r="D288" s="551"/>
      <c r="E288" s="547"/>
      <c r="F288" s="547"/>
      <c r="G288" s="547"/>
      <c r="H288" s="547"/>
      <c r="I288" s="547"/>
      <c r="J288" s="547"/>
      <c r="K288" s="547"/>
      <c r="M288" s="547"/>
      <c r="N288" s="547"/>
      <c r="O288" s="547"/>
      <c r="P288" s="547"/>
      <c r="Q288" s="547"/>
      <c r="R288" s="547"/>
      <c r="S288" s="547"/>
      <c r="T288" s="547"/>
      <c r="U288" s="547"/>
      <c r="V288" s="547"/>
      <c r="W288" s="547"/>
      <c r="X288" s="547"/>
      <c r="Y288" s="547"/>
      <c r="Z288" s="547"/>
      <c r="AA288" s="547"/>
      <c r="AB288" s="884"/>
      <c r="AC288" s="547"/>
    </row>
    <row r="289" spans="1:29" ht="15.75" customHeight="1">
      <c r="A289" s="549"/>
      <c r="B289" s="550"/>
      <c r="C289" s="551"/>
      <c r="D289" s="551"/>
      <c r="E289" s="547"/>
      <c r="F289" s="547"/>
      <c r="G289" s="547"/>
      <c r="H289" s="547"/>
      <c r="I289" s="547"/>
      <c r="J289" s="547"/>
      <c r="K289" s="547"/>
      <c r="M289" s="547"/>
      <c r="N289" s="547"/>
      <c r="O289" s="547"/>
      <c r="P289" s="547"/>
      <c r="Q289" s="547"/>
      <c r="R289" s="547"/>
      <c r="S289" s="547"/>
      <c r="T289" s="547"/>
      <c r="U289" s="547"/>
      <c r="V289" s="547"/>
      <c r="W289" s="547"/>
      <c r="X289" s="547"/>
      <c r="Y289" s="547"/>
      <c r="Z289" s="547"/>
      <c r="AA289" s="547"/>
      <c r="AB289" s="884"/>
      <c r="AC289" s="547"/>
    </row>
    <row r="290" spans="1:29" ht="15.75" customHeight="1">
      <c r="A290" s="549"/>
      <c r="B290" s="550"/>
      <c r="C290" s="551"/>
      <c r="D290" s="551"/>
      <c r="E290" s="547"/>
      <c r="F290" s="547"/>
      <c r="G290" s="547"/>
      <c r="H290" s="547"/>
      <c r="I290" s="547"/>
      <c r="J290" s="547"/>
      <c r="K290" s="547"/>
      <c r="M290" s="547"/>
      <c r="N290" s="547"/>
      <c r="O290" s="547"/>
      <c r="P290" s="547"/>
      <c r="Q290" s="547"/>
      <c r="R290" s="547"/>
      <c r="S290" s="547"/>
      <c r="T290" s="547"/>
      <c r="U290" s="547"/>
      <c r="V290" s="547"/>
      <c r="W290" s="547"/>
      <c r="X290" s="547"/>
      <c r="Y290" s="547"/>
      <c r="Z290" s="547"/>
      <c r="AA290" s="547"/>
      <c r="AB290" s="884"/>
      <c r="AC290" s="547"/>
    </row>
    <row r="291" spans="1:29" ht="15.75" customHeight="1">
      <c r="A291" s="549"/>
      <c r="B291" s="550"/>
      <c r="C291" s="551"/>
      <c r="D291" s="551"/>
      <c r="E291" s="547"/>
      <c r="F291" s="547"/>
      <c r="G291" s="547"/>
      <c r="H291" s="547"/>
      <c r="I291" s="547"/>
      <c r="J291" s="547"/>
      <c r="K291" s="547"/>
      <c r="M291" s="547"/>
      <c r="N291" s="547"/>
      <c r="O291" s="547"/>
      <c r="P291" s="547"/>
      <c r="Q291" s="547"/>
      <c r="R291" s="547"/>
      <c r="S291" s="547"/>
      <c r="T291" s="547"/>
      <c r="U291" s="547"/>
      <c r="V291" s="547"/>
      <c r="W291" s="547"/>
      <c r="X291" s="547"/>
      <c r="Y291" s="547"/>
      <c r="Z291" s="547"/>
      <c r="AA291" s="547"/>
      <c r="AB291" s="884"/>
      <c r="AC291" s="547"/>
    </row>
    <row r="292" spans="1:29" ht="15.75" customHeight="1">
      <c r="A292" s="549"/>
      <c r="B292" s="550"/>
      <c r="C292" s="551"/>
      <c r="D292" s="551"/>
      <c r="E292" s="547"/>
      <c r="F292" s="547"/>
      <c r="G292" s="547"/>
      <c r="H292" s="547"/>
      <c r="I292" s="547"/>
      <c r="J292" s="547"/>
      <c r="K292" s="547"/>
      <c r="M292" s="547"/>
      <c r="N292" s="547"/>
      <c r="O292" s="547"/>
      <c r="P292" s="547"/>
      <c r="Q292" s="547"/>
      <c r="R292" s="547"/>
      <c r="S292" s="547"/>
      <c r="T292" s="547"/>
      <c r="U292" s="547"/>
      <c r="V292" s="547"/>
      <c r="W292" s="547"/>
      <c r="X292" s="547"/>
      <c r="Y292" s="547"/>
      <c r="Z292" s="547"/>
      <c r="AA292" s="547"/>
      <c r="AB292" s="884"/>
      <c r="AC292" s="547"/>
    </row>
    <row r="293" spans="1:29" ht="15.75" customHeight="1">
      <c r="A293" s="549"/>
      <c r="B293" s="550"/>
      <c r="C293" s="551"/>
      <c r="D293" s="551"/>
      <c r="E293" s="547"/>
      <c r="F293" s="547"/>
      <c r="G293" s="547"/>
      <c r="H293" s="547"/>
      <c r="I293" s="547"/>
      <c r="J293" s="547"/>
      <c r="K293" s="547"/>
      <c r="M293" s="547"/>
      <c r="N293" s="547"/>
      <c r="O293" s="547"/>
      <c r="P293" s="547"/>
      <c r="Q293" s="547"/>
      <c r="R293" s="547"/>
      <c r="S293" s="547"/>
      <c r="T293" s="547"/>
      <c r="U293" s="547"/>
      <c r="V293" s="547"/>
      <c r="W293" s="547"/>
      <c r="X293" s="547"/>
      <c r="Y293" s="547"/>
      <c r="Z293" s="547"/>
      <c r="AA293" s="547"/>
      <c r="AB293" s="884"/>
      <c r="AC293" s="547"/>
    </row>
    <row r="294" spans="1:29" ht="15.75" customHeight="1">
      <c r="A294" s="549"/>
      <c r="B294" s="550"/>
      <c r="C294" s="551"/>
      <c r="D294" s="551"/>
      <c r="E294" s="547"/>
      <c r="F294" s="547"/>
      <c r="G294" s="547"/>
      <c r="H294" s="547"/>
      <c r="I294" s="547"/>
      <c r="J294" s="547"/>
      <c r="K294" s="547"/>
      <c r="M294" s="547"/>
      <c r="N294" s="547"/>
      <c r="O294" s="547"/>
      <c r="P294" s="547"/>
      <c r="Q294" s="547"/>
      <c r="R294" s="547"/>
      <c r="S294" s="547"/>
      <c r="T294" s="547"/>
      <c r="U294" s="547"/>
      <c r="V294" s="547"/>
      <c r="W294" s="547"/>
      <c r="X294" s="547"/>
      <c r="Y294" s="547"/>
      <c r="Z294" s="547"/>
      <c r="AA294" s="547"/>
      <c r="AB294" s="884"/>
      <c r="AC294" s="547"/>
    </row>
    <row r="295" spans="1:29" ht="15.75" customHeight="1">
      <c r="A295" s="549"/>
      <c r="B295" s="550"/>
      <c r="C295" s="551"/>
      <c r="D295" s="551"/>
      <c r="E295" s="547"/>
      <c r="F295" s="547"/>
      <c r="G295" s="547"/>
      <c r="H295" s="547"/>
      <c r="I295" s="547"/>
      <c r="J295" s="547"/>
      <c r="K295" s="547"/>
      <c r="M295" s="547"/>
      <c r="N295" s="547"/>
      <c r="O295" s="547"/>
      <c r="P295" s="547"/>
      <c r="Q295" s="547"/>
      <c r="R295" s="547"/>
      <c r="S295" s="547"/>
      <c r="T295" s="547"/>
      <c r="U295" s="547"/>
      <c r="V295" s="547"/>
      <c r="W295" s="547"/>
      <c r="X295" s="547"/>
      <c r="Y295" s="547"/>
      <c r="Z295" s="547"/>
      <c r="AA295" s="547"/>
      <c r="AB295" s="884"/>
      <c r="AC295" s="547"/>
    </row>
    <row r="296" spans="1:29" ht="15.75" customHeight="1">
      <c r="A296" s="549"/>
      <c r="B296" s="550"/>
      <c r="C296" s="551"/>
      <c r="D296" s="551"/>
      <c r="E296" s="547"/>
      <c r="F296" s="547"/>
      <c r="G296" s="547"/>
      <c r="H296" s="547"/>
      <c r="I296" s="547"/>
      <c r="J296" s="547"/>
      <c r="K296" s="547"/>
      <c r="M296" s="547"/>
      <c r="N296" s="547"/>
      <c r="O296" s="547"/>
      <c r="P296" s="547"/>
      <c r="Q296" s="547"/>
      <c r="R296" s="547"/>
      <c r="S296" s="547"/>
      <c r="T296" s="547"/>
      <c r="U296" s="547"/>
      <c r="V296" s="547"/>
      <c r="W296" s="547"/>
      <c r="X296" s="547"/>
      <c r="Y296" s="547"/>
      <c r="Z296" s="547"/>
      <c r="AA296" s="547"/>
      <c r="AB296" s="884"/>
      <c r="AC296" s="547"/>
    </row>
    <row r="297" spans="1:29" ht="15.75" customHeight="1">
      <c r="A297" s="549"/>
      <c r="B297" s="550"/>
      <c r="C297" s="551"/>
      <c r="D297" s="551"/>
      <c r="E297" s="547"/>
      <c r="F297" s="547"/>
      <c r="G297" s="547"/>
      <c r="H297" s="547"/>
      <c r="I297" s="547"/>
      <c r="J297" s="547"/>
      <c r="K297" s="547"/>
      <c r="M297" s="547"/>
      <c r="N297" s="547"/>
      <c r="O297" s="547"/>
      <c r="P297" s="547"/>
      <c r="Q297" s="547"/>
      <c r="R297" s="547"/>
      <c r="S297" s="547"/>
      <c r="T297" s="547"/>
      <c r="U297" s="547"/>
      <c r="V297" s="547"/>
      <c r="W297" s="547"/>
      <c r="X297" s="547"/>
      <c r="Y297" s="547"/>
      <c r="Z297" s="547"/>
      <c r="AA297" s="547"/>
      <c r="AB297" s="884"/>
      <c r="AC297" s="547"/>
    </row>
    <row r="298" spans="1:29" ht="15.75" customHeight="1">
      <c r="A298" s="549"/>
      <c r="B298" s="550"/>
      <c r="C298" s="551"/>
      <c r="D298" s="551"/>
      <c r="E298" s="547"/>
      <c r="F298" s="547"/>
      <c r="G298" s="547"/>
      <c r="H298" s="547"/>
      <c r="I298" s="547"/>
      <c r="J298" s="547"/>
      <c r="K298" s="547"/>
      <c r="M298" s="547"/>
      <c r="N298" s="547"/>
      <c r="O298" s="547"/>
      <c r="P298" s="547"/>
      <c r="Q298" s="547"/>
      <c r="R298" s="547"/>
      <c r="S298" s="547"/>
      <c r="T298" s="547"/>
      <c r="U298" s="547"/>
      <c r="V298" s="547"/>
      <c r="W298" s="547"/>
      <c r="X298" s="547"/>
      <c r="Y298" s="547"/>
      <c r="Z298" s="547"/>
      <c r="AA298" s="547"/>
      <c r="AB298" s="884"/>
      <c r="AC298" s="547"/>
    </row>
    <row r="299" spans="1:29" ht="15.75" customHeight="1">
      <c r="A299" s="549"/>
      <c r="B299" s="550"/>
      <c r="C299" s="551"/>
      <c r="D299" s="551"/>
      <c r="E299" s="547"/>
      <c r="F299" s="547"/>
      <c r="G299" s="547"/>
      <c r="H299" s="547"/>
      <c r="I299" s="547"/>
      <c r="J299" s="547"/>
      <c r="K299" s="547"/>
      <c r="M299" s="547"/>
      <c r="N299" s="547"/>
      <c r="O299" s="547"/>
      <c r="P299" s="547"/>
      <c r="Q299" s="547"/>
      <c r="R299" s="547"/>
      <c r="S299" s="547"/>
      <c r="T299" s="547"/>
      <c r="U299" s="547"/>
      <c r="V299" s="547"/>
      <c r="W299" s="547"/>
      <c r="X299" s="547"/>
      <c r="Y299" s="547"/>
      <c r="Z299" s="547"/>
      <c r="AA299" s="547"/>
      <c r="AB299" s="884"/>
      <c r="AC299" s="547"/>
    </row>
    <row r="300" spans="1:29" ht="15.75" customHeight="1">
      <c r="A300" s="549"/>
      <c r="B300" s="550"/>
      <c r="C300" s="551"/>
      <c r="D300" s="551"/>
      <c r="E300" s="547"/>
      <c r="F300" s="547"/>
      <c r="G300" s="547"/>
      <c r="H300" s="547"/>
      <c r="I300" s="547"/>
      <c r="J300" s="547"/>
      <c r="K300" s="547"/>
      <c r="M300" s="547"/>
      <c r="N300" s="547"/>
      <c r="O300" s="547"/>
      <c r="P300" s="547"/>
      <c r="Q300" s="547"/>
      <c r="R300" s="547"/>
      <c r="S300" s="547"/>
      <c r="T300" s="547"/>
      <c r="U300" s="547"/>
      <c r="V300" s="547"/>
      <c r="W300" s="547"/>
      <c r="X300" s="547"/>
      <c r="Y300" s="547"/>
      <c r="Z300" s="547"/>
      <c r="AA300" s="547"/>
      <c r="AB300" s="884"/>
      <c r="AC300" s="547"/>
    </row>
    <row r="301" spans="1:29" ht="15.75" customHeight="1">
      <c r="A301" s="549"/>
      <c r="B301" s="550"/>
      <c r="C301" s="551"/>
      <c r="D301" s="551"/>
      <c r="E301" s="547"/>
      <c r="F301" s="547"/>
      <c r="G301" s="547"/>
      <c r="H301" s="547"/>
      <c r="I301" s="547"/>
      <c r="J301" s="547"/>
      <c r="K301" s="547"/>
      <c r="M301" s="547"/>
      <c r="N301" s="547"/>
      <c r="O301" s="547"/>
      <c r="P301" s="547"/>
      <c r="Q301" s="547"/>
      <c r="R301" s="547"/>
      <c r="S301" s="547"/>
      <c r="T301" s="547"/>
      <c r="U301" s="547"/>
      <c r="V301" s="547"/>
      <c r="W301" s="547"/>
      <c r="X301" s="547"/>
      <c r="Y301" s="547"/>
      <c r="Z301" s="547"/>
      <c r="AA301" s="547"/>
      <c r="AB301" s="884"/>
      <c r="AC301" s="547"/>
    </row>
    <row r="302" spans="1:29" ht="15.75" customHeight="1">
      <c r="A302" s="549"/>
      <c r="B302" s="550"/>
      <c r="C302" s="551"/>
      <c r="D302" s="551"/>
      <c r="E302" s="547"/>
      <c r="F302" s="547"/>
      <c r="G302" s="547"/>
      <c r="H302" s="547"/>
      <c r="I302" s="547"/>
      <c r="J302" s="547"/>
      <c r="K302" s="547"/>
      <c r="M302" s="547"/>
      <c r="N302" s="547"/>
      <c r="O302" s="547"/>
      <c r="P302" s="547"/>
      <c r="Q302" s="547"/>
      <c r="R302" s="547"/>
      <c r="S302" s="547"/>
      <c r="T302" s="547"/>
      <c r="U302" s="547"/>
      <c r="V302" s="547"/>
      <c r="W302" s="547"/>
      <c r="X302" s="547"/>
      <c r="Y302" s="547"/>
      <c r="Z302" s="547"/>
      <c r="AA302" s="547"/>
      <c r="AB302" s="884"/>
      <c r="AC302" s="547"/>
    </row>
    <row r="303" spans="1:29" ht="15.75" customHeight="1">
      <c r="A303" s="549"/>
      <c r="B303" s="550"/>
      <c r="C303" s="551"/>
      <c r="D303" s="551"/>
      <c r="E303" s="547"/>
      <c r="F303" s="547"/>
      <c r="G303" s="547"/>
      <c r="H303" s="547"/>
      <c r="I303" s="547"/>
      <c r="J303" s="547"/>
      <c r="K303" s="547"/>
      <c r="M303" s="547"/>
      <c r="N303" s="547"/>
      <c r="O303" s="547"/>
      <c r="P303" s="547"/>
      <c r="Q303" s="547"/>
      <c r="R303" s="547"/>
      <c r="S303" s="547"/>
      <c r="T303" s="547"/>
      <c r="U303" s="547"/>
      <c r="V303" s="547"/>
      <c r="W303" s="547"/>
      <c r="X303" s="547"/>
      <c r="Y303" s="547"/>
      <c r="Z303" s="547"/>
      <c r="AA303" s="547"/>
      <c r="AB303" s="884"/>
      <c r="AC303" s="547"/>
    </row>
    <row r="304" spans="1:29" ht="15.75" customHeight="1">
      <c r="A304" s="549"/>
      <c r="B304" s="550"/>
      <c r="C304" s="551"/>
      <c r="D304" s="551"/>
      <c r="E304" s="547"/>
      <c r="F304" s="547"/>
      <c r="G304" s="547"/>
      <c r="H304" s="547"/>
      <c r="I304" s="547"/>
      <c r="J304" s="547"/>
      <c r="K304" s="547"/>
      <c r="M304" s="547"/>
      <c r="N304" s="547"/>
      <c r="O304" s="547"/>
      <c r="P304" s="547"/>
      <c r="Q304" s="547"/>
      <c r="R304" s="547"/>
      <c r="S304" s="547"/>
      <c r="T304" s="547"/>
      <c r="U304" s="547"/>
      <c r="V304" s="547"/>
      <c r="W304" s="547"/>
      <c r="X304" s="547"/>
      <c r="Y304" s="547"/>
      <c r="Z304" s="547"/>
      <c r="AA304" s="547"/>
      <c r="AB304" s="884"/>
      <c r="AC304" s="547"/>
    </row>
    <row r="305" spans="1:29" ht="15.75" customHeight="1">
      <c r="A305" s="549"/>
      <c r="B305" s="550"/>
      <c r="C305" s="551"/>
      <c r="D305" s="551"/>
      <c r="E305" s="547"/>
      <c r="F305" s="547"/>
      <c r="G305" s="547"/>
      <c r="H305" s="547"/>
      <c r="I305" s="547"/>
      <c r="J305" s="547"/>
      <c r="K305" s="547"/>
      <c r="M305" s="547"/>
      <c r="N305" s="547"/>
      <c r="O305" s="547"/>
      <c r="P305" s="547"/>
      <c r="Q305" s="547"/>
      <c r="R305" s="547"/>
      <c r="S305" s="547"/>
      <c r="T305" s="547"/>
      <c r="U305" s="547"/>
      <c r="V305" s="547"/>
      <c r="W305" s="547"/>
      <c r="X305" s="547"/>
      <c r="Y305" s="547"/>
      <c r="Z305" s="547"/>
      <c r="AA305" s="547"/>
      <c r="AB305" s="884"/>
      <c r="AC305" s="547"/>
    </row>
    <row r="306" spans="1:29" ht="15.75" customHeight="1">
      <c r="A306" s="549"/>
      <c r="B306" s="550"/>
      <c r="C306" s="551"/>
      <c r="D306" s="551"/>
      <c r="E306" s="547"/>
      <c r="F306" s="547"/>
      <c r="G306" s="547"/>
      <c r="H306" s="547"/>
      <c r="I306" s="547"/>
      <c r="J306" s="547"/>
      <c r="K306" s="547"/>
      <c r="M306" s="547"/>
      <c r="N306" s="547"/>
      <c r="O306" s="547"/>
      <c r="P306" s="547"/>
      <c r="Q306" s="547"/>
      <c r="R306" s="547"/>
      <c r="S306" s="547"/>
      <c r="T306" s="547"/>
      <c r="U306" s="547"/>
      <c r="V306" s="547"/>
      <c r="W306" s="547"/>
      <c r="X306" s="547"/>
      <c r="Y306" s="547"/>
      <c r="Z306" s="547"/>
      <c r="AA306" s="547"/>
      <c r="AB306" s="884"/>
      <c r="AC306" s="547"/>
    </row>
    <row r="307" spans="1:29" ht="15.75" customHeight="1">
      <c r="A307" s="549"/>
      <c r="B307" s="550"/>
      <c r="C307" s="551"/>
      <c r="D307" s="551"/>
      <c r="E307" s="547"/>
      <c r="F307" s="547"/>
      <c r="G307" s="547"/>
      <c r="H307" s="547"/>
      <c r="I307" s="547"/>
      <c r="J307" s="547"/>
      <c r="K307" s="547"/>
      <c r="M307" s="547"/>
      <c r="N307" s="547"/>
      <c r="O307" s="547"/>
      <c r="P307" s="547"/>
      <c r="Q307" s="547"/>
      <c r="R307" s="547"/>
      <c r="S307" s="547"/>
      <c r="T307" s="547"/>
      <c r="U307" s="547"/>
      <c r="V307" s="547"/>
      <c r="W307" s="547"/>
      <c r="X307" s="547"/>
      <c r="Y307" s="547"/>
      <c r="Z307" s="547"/>
      <c r="AA307" s="547"/>
      <c r="AB307" s="884"/>
      <c r="AC307" s="547"/>
    </row>
    <row r="308" spans="1:29" ht="15.75" customHeight="1">
      <c r="A308" s="549"/>
      <c r="B308" s="550"/>
      <c r="C308" s="551"/>
      <c r="D308" s="551"/>
      <c r="E308" s="547"/>
      <c r="F308" s="547"/>
      <c r="G308" s="547"/>
      <c r="H308" s="547"/>
      <c r="I308" s="547"/>
      <c r="J308" s="547"/>
      <c r="K308" s="547"/>
      <c r="M308" s="547"/>
      <c r="N308" s="547"/>
      <c r="O308" s="547"/>
      <c r="P308" s="547"/>
      <c r="Q308" s="547"/>
      <c r="R308" s="547"/>
      <c r="S308" s="547"/>
      <c r="T308" s="547"/>
      <c r="U308" s="547"/>
      <c r="V308" s="547"/>
      <c r="W308" s="547"/>
      <c r="X308" s="547"/>
      <c r="Y308" s="547"/>
      <c r="Z308" s="547"/>
      <c r="AA308" s="547"/>
      <c r="AB308" s="884"/>
      <c r="AC308" s="547"/>
    </row>
    <row r="309" spans="1:29" ht="15.75" customHeight="1">
      <c r="A309" s="549"/>
      <c r="B309" s="550"/>
      <c r="C309" s="551"/>
      <c r="D309" s="551"/>
      <c r="E309" s="547"/>
      <c r="F309" s="547"/>
      <c r="G309" s="547"/>
      <c r="H309" s="547"/>
      <c r="I309" s="547"/>
      <c r="J309" s="547"/>
      <c r="K309" s="547"/>
      <c r="M309" s="547"/>
      <c r="N309" s="547"/>
      <c r="O309" s="547"/>
      <c r="P309" s="547"/>
      <c r="Q309" s="547"/>
      <c r="R309" s="547"/>
      <c r="S309" s="547"/>
      <c r="T309" s="547"/>
      <c r="U309" s="547"/>
      <c r="V309" s="547"/>
      <c r="W309" s="547"/>
      <c r="X309" s="547"/>
      <c r="Y309" s="547"/>
      <c r="Z309" s="547"/>
      <c r="AA309" s="547"/>
      <c r="AB309" s="884"/>
      <c r="AC309" s="547"/>
    </row>
    <row r="310" spans="1:29" ht="15.75" customHeight="1">
      <c r="A310" s="549"/>
      <c r="B310" s="550"/>
      <c r="C310" s="551"/>
      <c r="D310" s="551"/>
      <c r="E310" s="547"/>
      <c r="F310" s="547"/>
      <c r="G310" s="547"/>
      <c r="H310" s="547"/>
      <c r="I310" s="547"/>
      <c r="J310" s="547"/>
      <c r="K310" s="547"/>
      <c r="M310" s="547"/>
      <c r="N310" s="547"/>
      <c r="O310" s="547"/>
      <c r="P310" s="547"/>
      <c r="Q310" s="547"/>
      <c r="R310" s="547"/>
      <c r="S310" s="547"/>
      <c r="T310" s="547"/>
      <c r="U310" s="547"/>
      <c r="V310" s="547"/>
      <c r="W310" s="547"/>
      <c r="X310" s="547"/>
      <c r="Y310" s="547"/>
      <c r="Z310" s="547"/>
      <c r="AA310" s="547"/>
      <c r="AB310" s="884"/>
      <c r="AC310" s="547"/>
    </row>
    <row r="311" spans="1:29" ht="15.75" customHeight="1">
      <c r="A311" s="549"/>
      <c r="B311" s="550"/>
      <c r="C311" s="551"/>
      <c r="D311" s="551"/>
      <c r="E311" s="547"/>
      <c r="F311" s="547"/>
      <c r="G311" s="547"/>
      <c r="H311" s="547"/>
      <c r="I311" s="547"/>
      <c r="J311" s="547"/>
      <c r="K311" s="547"/>
      <c r="M311" s="547"/>
      <c r="N311" s="547"/>
      <c r="O311" s="547"/>
      <c r="P311" s="547"/>
      <c r="Q311" s="547"/>
      <c r="R311" s="547"/>
      <c r="S311" s="547"/>
      <c r="T311" s="547"/>
      <c r="U311" s="547"/>
      <c r="V311" s="547"/>
      <c r="W311" s="547"/>
      <c r="X311" s="547"/>
      <c r="Y311" s="547"/>
      <c r="Z311" s="547"/>
      <c r="AA311" s="547"/>
      <c r="AB311" s="884"/>
      <c r="AC311" s="547"/>
    </row>
    <row r="312" spans="1:29" ht="15.75" customHeight="1">
      <c r="A312" s="549"/>
      <c r="B312" s="550"/>
      <c r="C312" s="551"/>
      <c r="D312" s="551"/>
      <c r="E312" s="547"/>
      <c r="F312" s="547"/>
      <c r="G312" s="547"/>
      <c r="H312" s="547"/>
      <c r="I312" s="547"/>
      <c r="J312" s="547"/>
      <c r="K312" s="547"/>
      <c r="M312" s="547"/>
      <c r="N312" s="547"/>
      <c r="O312" s="547"/>
      <c r="P312" s="547"/>
      <c r="Q312" s="547"/>
      <c r="R312" s="547"/>
      <c r="S312" s="547"/>
      <c r="T312" s="547"/>
      <c r="U312" s="547"/>
      <c r="V312" s="547"/>
      <c r="W312" s="547"/>
      <c r="X312" s="547"/>
      <c r="Y312" s="547"/>
      <c r="Z312" s="547"/>
      <c r="AA312" s="547"/>
      <c r="AB312" s="884"/>
      <c r="AC312" s="547"/>
    </row>
    <row r="313" spans="1:29" ht="15.75" customHeight="1">
      <c r="A313" s="549"/>
      <c r="B313" s="550"/>
      <c r="C313" s="551"/>
      <c r="D313" s="551"/>
      <c r="E313" s="547"/>
      <c r="F313" s="547"/>
      <c r="G313" s="547"/>
      <c r="H313" s="547"/>
      <c r="I313" s="547"/>
      <c r="J313" s="547"/>
      <c r="K313" s="547"/>
      <c r="M313" s="547"/>
      <c r="N313" s="547"/>
      <c r="O313" s="547"/>
      <c r="P313" s="547"/>
      <c r="Q313" s="547"/>
      <c r="R313" s="547"/>
      <c r="S313" s="547"/>
      <c r="T313" s="547"/>
      <c r="U313" s="547"/>
      <c r="V313" s="547"/>
      <c r="W313" s="547"/>
      <c r="X313" s="547"/>
      <c r="Y313" s="547"/>
      <c r="Z313" s="547"/>
      <c r="AA313" s="547"/>
      <c r="AB313" s="884"/>
      <c r="AC313" s="547"/>
    </row>
    <row r="314" spans="1:29" ht="15.75" customHeight="1">
      <c r="A314" s="549"/>
      <c r="B314" s="550"/>
      <c r="C314" s="551"/>
      <c r="D314" s="551"/>
      <c r="E314" s="547"/>
      <c r="F314" s="547"/>
      <c r="G314" s="547"/>
      <c r="H314" s="547"/>
      <c r="I314" s="547"/>
      <c r="J314" s="547"/>
      <c r="K314" s="547"/>
      <c r="M314" s="547"/>
      <c r="N314" s="547"/>
      <c r="O314" s="547"/>
      <c r="P314" s="547"/>
      <c r="Q314" s="547"/>
      <c r="R314" s="547"/>
      <c r="S314" s="547"/>
      <c r="T314" s="547"/>
      <c r="U314" s="547"/>
      <c r="V314" s="547"/>
      <c r="W314" s="547"/>
      <c r="X314" s="547"/>
      <c r="Y314" s="547"/>
      <c r="Z314" s="547"/>
      <c r="AA314" s="547"/>
      <c r="AB314" s="884"/>
      <c r="AC314" s="547"/>
    </row>
    <row r="315" spans="1:29" ht="15.75" customHeight="1">
      <c r="A315" s="549"/>
      <c r="B315" s="550"/>
      <c r="C315" s="551"/>
      <c r="D315" s="551"/>
      <c r="E315" s="547"/>
      <c r="F315" s="547"/>
      <c r="G315" s="547"/>
      <c r="H315" s="547"/>
      <c r="I315" s="547"/>
      <c r="J315" s="547"/>
      <c r="K315" s="547"/>
      <c r="M315" s="547"/>
      <c r="N315" s="547"/>
      <c r="O315" s="547"/>
      <c r="P315" s="547"/>
      <c r="Q315" s="547"/>
      <c r="R315" s="547"/>
      <c r="S315" s="547"/>
      <c r="T315" s="547"/>
      <c r="U315" s="547"/>
      <c r="V315" s="547"/>
      <c r="W315" s="547"/>
      <c r="X315" s="547"/>
      <c r="Y315" s="547"/>
      <c r="Z315" s="547"/>
      <c r="AA315" s="547"/>
      <c r="AB315" s="884"/>
      <c r="AC315" s="547"/>
    </row>
    <row r="316" spans="1:29" ht="15.75" customHeight="1">
      <c r="A316" s="549"/>
      <c r="B316" s="550"/>
      <c r="C316" s="551"/>
      <c r="D316" s="551"/>
      <c r="E316" s="547"/>
      <c r="F316" s="547"/>
      <c r="G316" s="547"/>
      <c r="H316" s="547"/>
      <c r="I316" s="547"/>
      <c r="J316" s="547"/>
      <c r="K316" s="547"/>
      <c r="M316" s="547"/>
      <c r="N316" s="547"/>
      <c r="O316" s="547"/>
      <c r="P316" s="547"/>
      <c r="Q316" s="547"/>
      <c r="R316" s="547"/>
      <c r="S316" s="547"/>
      <c r="T316" s="547"/>
      <c r="U316" s="547"/>
      <c r="V316" s="547"/>
      <c r="W316" s="547"/>
      <c r="X316" s="547"/>
      <c r="Y316" s="547"/>
      <c r="Z316" s="547"/>
      <c r="AA316" s="547"/>
      <c r="AB316" s="884"/>
      <c r="AC316" s="547"/>
    </row>
    <row r="317" spans="1:29" ht="15.75" customHeight="1">
      <c r="A317" s="549"/>
      <c r="B317" s="550"/>
      <c r="C317" s="551"/>
      <c r="D317" s="551"/>
      <c r="E317" s="547"/>
      <c r="F317" s="547"/>
      <c r="G317" s="547"/>
      <c r="H317" s="547"/>
      <c r="I317" s="547"/>
      <c r="J317" s="547"/>
      <c r="K317" s="547"/>
      <c r="M317" s="547"/>
      <c r="N317" s="547"/>
      <c r="O317" s="547"/>
      <c r="P317" s="547"/>
      <c r="Q317" s="547"/>
      <c r="R317" s="547"/>
      <c r="S317" s="547"/>
      <c r="T317" s="547"/>
      <c r="U317" s="547"/>
      <c r="V317" s="547"/>
      <c r="W317" s="547"/>
      <c r="X317" s="547"/>
      <c r="Y317" s="547"/>
      <c r="Z317" s="547"/>
      <c r="AA317" s="547"/>
      <c r="AB317" s="884"/>
      <c r="AC317" s="547"/>
    </row>
    <row r="318" spans="1:29" ht="15.75" customHeight="1">
      <c r="A318" s="549"/>
      <c r="B318" s="550"/>
      <c r="C318" s="551"/>
      <c r="D318" s="551"/>
      <c r="E318" s="547"/>
      <c r="F318" s="547"/>
      <c r="G318" s="547"/>
      <c r="H318" s="547"/>
      <c r="I318" s="547"/>
      <c r="J318" s="547"/>
      <c r="K318" s="547"/>
      <c r="M318" s="547"/>
      <c r="N318" s="547"/>
      <c r="O318" s="547"/>
      <c r="P318" s="547"/>
      <c r="Q318" s="547"/>
      <c r="R318" s="547"/>
      <c r="S318" s="547"/>
      <c r="T318" s="547"/>
      <c r="U318" s="547"/>
      <c r="V318" s="547"/>
      <c r="W318" s="547"/>
      <c r="X318" s="547"/>
      <c r="Y318" s="547"/>
      <c r="Z318" s="547"/>
      <c r="AA318" s="547"/>
      <c r="AB318" s="884"/>
      <c r="AC318" s="547"/>
    </row>
    <row r="319" spans="1:29" ht="15.75" customHeight="1">
      <c r="A319" s="549"/>
      <c r="B319" s="550"/>
      <c r="C319" s="551"/>
      <c r="D319" s="551"/>
      <c r="E319" s="547"/>
      <c r="F319" s="547"/>
      <c r="G319" s="547"/>
      <c r="H319" s="547"/>
      <c r="I319" s="547"/>
      <c r="J319" s="547"/>
      <c r="K319" s="547"/>
      <c r="M319" s="547"/>
      <c r="N319" s="547"/>
      <c r="O319" s="547"/>
      <c r="P319" s="547"/>
      <c r="Q319" s="547"/>
      <c r="R319" s="547"/>
      <c r="S319" s="547"/>
      <c r="T319" s="547"/>
      <c r="U319" s="547"/>
      <c r="V319" s="547"/>
      <c r="W319" s="547"/>
      <c r="X319" s="547"/>
      <c r="Y319" s="547"/>
      <c r="Z319" s="547"/>
      <c r="AA319" s="547"/>
      <c r="AB319" s="884"/>
      <c r="AC319" s="547"/>
    </row>
    <row r="320" spans="1:29" ht="15.75" customHeight="1">
      <c r="A320" s="549"/>
      <c r="B320" s="550"/>
      <c r="C320" s="551"/>
      <c r="D320" s="551"/>
      <c r="E320" s="547"/>
      <c r="F320" s="547"/>
      <c r="G320" s="547"/>
      <c r="H320" s="547"/>
      <c r="I320" s="547"/>
      <c r="J320" s="547"/>
      <c r="K320" s="547"/>
      <c r="M320" s="547"/>
      <c r="N320" s="547"/>
      <c r="O320" s="547"/>
      <c r="P320" s="547"/>
      <c r="Q320" s="547"/>
      <c r="R320" s="547"/>
      <c r="S320" s="547"/>
      <c r="T320" s="547"/>
      <c r="U320" s="547"/>
      <c r="V320" s="547"/>
      <c r="W320" s="547"/>
      <c r="X320" s="547"/>
      <c r="Y320" s="547"/>
      <c r="Z320" s="547"/>
      <c r="AA320" s="547"/>
      <c r="AB320" s="884"/>
      <c r="AC320" s="547"/>
    </row>
    <row r="321" spans="1:29" ht="15.75" customHeight="1">
      <c r="A321" s="549"/>
      <c r="B321" s="550"/>
      <c r="C321" s="551"/>
      <c r="D321" s="551"/>
      <c r="E321" s="547"/>
      <c r="F321" s="547"/>
      <c r="G321" s="547"/>
      <c r="H321" s="547"/>
      <c r="I321" s="547"/>
      <c r="J321" s="547"/>
      <c r="K321" s="547"/>
      <c r="M321" s="547"/>
      <c r="N321" s="547"/>
      <c r="O321" s="547"/>
      <c r="P321" s="547"/>
      <c r="Q321" s="547"/>
      <c r="R321" s="547"/>
      <c r="S321" s="547"/>
      <c r="T321" s="547"/>
      <c r="U321" s="547"/>
      <c r="V321" s="547"/>
      <c r="W321" s="547"/>
      <c r="X321" s="547"/>
      <c r="Y321" s="547"/>
      <c r="Z321" s="547"/>
      <c r="AA321" s="547"/>
      <c r="AB321" s="884"/>
      <c r="AC321" s="547"/>
    </row>
    <row r="322" spans="1:29" ht="15.75" customHeight="1">
      <c r="A322" s="549"/>
      <c r="B322" s="550"/>
      <c r="C322" s="551"/>
      <c r="D322" s="551"/>
      <c r="E322" s="547"/>
      <c r="F322" s="547"/>
      <c r="G322" s="547"/>
      <c r="H322" s="547"/>
      <c r="I322" s="547"/>
      <c r="J322" s="547"/>
      <c r="K322" s="547"/>
      <c r="M322" s="547"/>
      <c r="N322" s="547"/>
      <c r="O322" s="547"/>
      <c r="P322" s="547"/>
      <c r="Q322" s="547"/>
      <c r="R322" s="547"/>
      <c r="S322" s="547"/>
      <c r="T322" s="547"/>
      <c r="U322" s="547"/>
      <c r="V322" s="547"/>
      <c r="W322" s="547"/>
      <c r="X322" s="547"/>
      <c r="Y322" s="547"/>
      <c r="Z322" s="547"/>
      <c r="AA322" s="547"/>
      <c r="AB322" s="884"/>
      <c r="AC322" s="547"/>
    </row>
    <row r="323" spans="1:29" ht="15.75" customHeight="1">
      <c r="A323" s="549"/>
      <c r="B323" s="550"/>
      <c r="C323" s="551"/>
      <c r="D323" s="551"/>
      <c r="E323" s="547"/>
      <c r="F323" s="547"/>
      <c r="G323" s="547"/>
      <c r="H323" s="547"/>
      <c r="I323" s="547"/>
      <c r="J323" s="547"/>
      <c r="K323" s="547"/>
      <c r="M323" s="547"/>
      <c r="N323" s="547"/>
      <c r="O323" s="547"/>
      <c r="P323" s="547"/>
      <c r="Q323" s="547"/>
      <c r="R323" s="547"/>
      <c r="S323" s="547"/>
      <c r="T323" s="547"/>
      <c r="U323" s="547"/>
      <c r="V323" s="547"/>
      <c r="W323" s="547"/>
      <c r="X323" s="547"/>
      <c r="Y323" s="547"/>
      <c r="Z323" s="547"/>
      <c r="AA323" s="547"/>
      <c r="AB323" s="884"/>
      <c r="AC323" s="547"/>
    </row>
    <row r="324" spans="1:29" ht="15.75" customHeight="1">
      <c r="A324" s="549"/>
      <c r="B324" s="550"/>
      <c r="C324" s="551"/>
      <c r="D324" s="551"/>
      <c r="E324" s="547"/>
      <c r="F324" s="547"/>
      <c r="G324" s="547"/>
      <c r="H324" s="547"/>
      <c r="I324" s="547"/>
      <c r="J324" s="547"/>
      <c r="K324" s="547"/>
      <c r="M324" s="547"/>
      <c r="N324" s="547"/>
      <c r="O324" s="547"/>
      <c r="P324" s="547"/>
      <c r="Q324" s="547"/>
      <c r="R324" s="547"/>
      <c r="S324" s="547"/>
      <c r="T324" s="547"/>
      <c r="U324" s="547"/>
      <c r="V324" s="547"/>
      <c r="W324" s="547"/>
      <c r="X324" s="547"/>
      <c r="Y324" s="547"/>
      <c r="Z324" s="547"/>
      <c r="AA324" s="547"/>
      <c r="AB324" s="884"/>
      <c r="AC324" s="547"/>
    </row>
    <row r="325" spans="1:29" ht="15.75" customHeight="1">
      <c r="A325" s="549"/>
      <c r="B325" s="550"/>
      <c r="C325" s="551"/>
      <c r="D325" s="551"/>
      <c r="E325" s="547"/>
      <c r="F325" s="547"/>
      <c r="G325" s="547"/>
      <c r="H325" s="547"/>
      <c r="I325" s="547"/>
      <c r="J325" s="547"/>
      <c r="K325" s="547"/>
      <c r="M325" s="547"/>
      <c r="N325" s="547"/>
      <c r="O325" s="547"/>
      <c r="P325" s="547"/>
      <c r="Q325" s="547"/>
      <c r="R325" s="547"/>
      <c r="S325" s="547"/>
      <c r="T325" s="547"/>
      <c r="U325" s="547"/>
      <c r="V325" s="547"/>
      <c r="W325" s="547"/>
      <c r="X325" s="547"/>
      <c r="Y325" s="547"/>
      <c r="Z325" s="547"/>
      <c r="AA325" s="547"/>
      <c r="AB325" s="884"/>
      <c r="AC325" s="547"/>
    </row>
    <row r="326" spans="1:29" ht="15.75" customHeight="1">
      <c r="A326" s="549"/>
      <c r="B326" s="550"/>
      <c r="C326" s="551"/>
      <c r="D326" s="551"/>
      <c r="E326" s="547"/>
      <c r="F326" s="547"/>
      <c r="G326" s="547"/>
      <c r="H326" s="547"/>
      <c r="I326" s="547"/>
      <c r="J326" s="547"/>
      <c r="K326" s="547"/>
      <c r="M326" s="547"/>
      <c r="N326" s="547"/>
      <c r="O326" s="547"/>
      <c r="P326" s="547"/>
      <c r="Q326" s="547"/>
      <c r="R326" s="547"/>
      <c r="S326" s="547"/>
      <c r="T326" s="547"/>
      <c r="U326" s="547"/>
      <c r="V326" s="547"/>
      <c r="W326" s="547"/>
      <c r="X326" s="547"/>
      <c r="Y326" s="547"/>
      <c r="Z326" s="547"/>
      <c r="AA326" s="547"/>
      <c r="AB326" s="884"/>
      <c r="AC326" s="547"/>
    </row>
    <row r="327" spans="1:29" ht="15.75" customHeight="1">
      <c r="A327" s="549"/>
      <c r="B327" s="550"/>
      <c r="C327" s="551"/>
      <c r="D327" s="551"/>
      <c r="E327" s="547"/>
      <c r="F327" s="547"/>
      <c r="G327" s="547"/>
      <c r="H327" s="547"/>
      <c r="I327" s="547"/>
      <c r="J327" s="547"/>
      <c r="K327" s="547"/>
      <c r="M327" s="547"/>
      <c r="N327" s="547"/>
      <c r="O327" s="547"/>
      <c r="P327" s="547"/>
      <c r="Q327" s="547"/>
      <c r="R327" s="547"/>
      <c r="S327" s="547"/>
      <c r="T327" s="547"/>
      <c r="U327" s="547"/>
      <c r="V327" s="547"/>
      <c r="W327" s="547"/>
      <c r="X327" s="547"/>
      <c r="Y327" s="547"/>
      <c r="Z327" s="547"/>
      <c r="AA327" s="547"/>
      <c r="AB327" s="884"/>
      <c r="AC327" s="547"/>
    </row>
    <row r="328" spans="1:29" ht="15.75" customHeight="1">
      <c r="A328" s="549"/>
      <c r="B328" s="550"/>
      <c r="C328" s="551"/>
      <c r="D328" s="551"/>
      <c r="E328" s="547"/>
      <c r="F328" s="547"/>
      <c r="G328" s="547"/>
      <c r="H328" s="547"/>
      <c r="I328" s="547"/>
      <c r="J328" s="547"/>
      <c r="K328" s="547"/>
      <c r="M328" s="547"/>
      <c r="N328" s="547"/>
      <c r="O328" s="547"/>
      <c r="P328" s="547"/>
      <c r="Q328" s="547"/>
      <c r="R328" s="547"/>
      <c r="S328" s="547"/>
      <c r="T328" s="547"/>
      <c r="U328" s="547"/>
      <c r="V328" s="547"/>
      <c r="W328" s="547"/>
      <c r="X328" s="547"/>
      <c r="Y328" s="547"/>
      <c r="Z328" s="547"/>
      <c r="AA328" s="547"/>
      <c r="AB328" s="884"/>
      <c r="AC328" s="547"/>
    </row>
    <row r="329" spans="1:29" ht="15.75" customHeight="1">
      <c r="A329" s="549"/>
      <c r="B329" s="550"/>
      <c r="C329" s="551"/>
      <c r="D329" s="551"/>
      <c r="E329" s="547"/>
      <c r="F329" s="547"/>
      <c r="G329" s="547"/>
      <c r="H329" s="547"/>
      <c r="I329" s="547"/>
      <c r="J329" s="547"/>
      <c r="K329" s="547"/>
      <c r="M329" s="547"/>
      <c r="N329" s="547"/>
      <c r="O329" s="547"/>
      <c r="P329" s="547"/>
      <c r="Q329" s="547"/>
      <c r="R329" s="547"/>
      <c r="S329" s="547"/>
      <c r="T329" s="547"/>
      <c r="U329" s="547"/>
      <c r="V329" s="547"/>
      <c r="W329" s="547"/>
      <c r="X329" s="547"/>
      <c r="Y329" s="547"/>
      <c r="Z329" s="547"/>
      <c r="AA329" s="547"/>
      <c r="AB329" s="884"/>
      <c r="AC329" s="547"/>
    </row>
    <row r="330" spans="1:29" ht="15.75" customHeight="1">
      <c r="A330" s="549"/>
      <c r="B330" s="550"/>
      <c r="C330" s="551"/>
      <c r="D330" s="551"/>
      <c r="E330" s="547"/>
      <c r="F330" s="547"/>
      <c r="G330" s="547"/>
      <c r="H330" s="547"/>
      <c r="I330" s="547"/>
      <c r="J330" s="547"/>
      <c r="K330" s="547"/>
      <c r="M330" s="547"/>
      <c r="N330" s="547"/>
      <c r="O330" s="547"/>
      <c r="P330" s="547"/>
      <c r="Q330" s="547"/>
      <c r="R330" s="547"/>
      <c r="S330" s="547"/>
      <c r="T330" s="547"/>
      <c r="U330" s="547"/>
      <c r="V330" s="547"/>
      <c r="W330" s="547"/>
      <c r="X330" s="547"/>
      <c r="Y330" s="547"/>
      <c r="Z330" s="547"/>
      <c r="AA330" s="547"/>
      <c r="AB330" s="884"/>
      <c r="AC330" s="547"/>
    </row>
    <row r="331" spans="1:29" ht="15.75" customHeight="1">
      <c r="A331" s="549"/>
      <c r="B331" s="550"/>
      <c r="C331" s="551"/>
      <c r="D331" s="551"/>
      <c r="E331" s="547"/>
      <c r="F331" s="547"/>
      <c r="G331" s="547"/>
      <c r="H331" s="547"/>
      <c r="I331" s="547"/>
      <c r="J331" s="547"/>
      <c r="K331" s="547"/>
      <c r="M331" s="547"/>
      <c r="N331" s="547"/>
      <c r="O331" s="547"/>
      <c r="P331" s="547"/>
      <c r="Q331" s="547"/>
      <c r="R331" s="547"/>
      <c r="S331" s="547"/>
      <c r="T331" s="547"/>
      <c r="U331" s="547"/>
      <c r="V331" s="547"/>
      <c r="W331" s="547"/>
      <c r="X331" s="547"/>
      <c r="Y331" s="547"/>
      <c r="Z331" s="547"/>
      <c r="AA331" s="547"/>
      <c r="AB331" s="884"/>
      <c r="AC331" s="547"/>
    </row>
    <row r="332" spans="1:29" ht="15.75" customHeight="1">
      <c r="A332" s="549"/>
      <c r="B332" s="550"/>
      <c r="C332" s="551"/>
      <c r="D332" s="551"/>
      <c r="E332" s="547"/>
      <c r="F332" s="547"/>
      <c r="G332" s="547"/>
      <c r="H332" s="547"/>
      <c r="I332" s="547"/>
      <c r="J332" s="547"/>
      <c r="K332" s="547"/>
      <c r="M332" s="547"/>
      <c r="N332" s="547"/>
      <c r="O332" s="547"/>
      <c r="P332" s="547"/>
      <c r="Q332" s="547"/>
      <c r="R332" s="547"/>
      <c r="S332" s="547"/>
      <c r="T332" s="547"/>
      <c r="U332" s="547"/>
      <c r="V332" s="547"/>
      <c r="W332" s="547"/>
      <c r="X332" s="547"/>
      <c r="Y332" s="547"/>
      <c r="Z332" s="547"/>
      <c r="AA332" s="547"/>
      <c r="AB332" s="884"/>
      <c r="AC332" s="547"/>
    </row>
    <row r="333" spans="1:29" ht="15.75" customHeight="1">
      <c r="A333" s="549"/>
      <c r="B333" s="550"/>
      <c r="C333" s="551"/>
      <c r="D333" s="551"/>
      <c r="E333" s="547"/>
      <c r="F333" s="547"/>
      <c r="G333" s="547"/>
      <c r="H333" s="547"/>
      <c r="I333" s="547"/>
      <c r="J333" s="547"/>
      <c r="K333" s="547"/>
      <c r="M333" s="547"/>
      <c r="N333" s="547"/>
      <c r="O333" s="547"/>
      <c r="P333" s="547"/>
      <c r="Q333" s="547"/>
      <c r="R333" s="547"/>
      <c r="S333" s="547"/>
      <c r="T333" s="547"/>
      <c r="U333" s="547"/>
      <c r="V333" s="547"/>
      <c r="W333" s="547"/>
      <c r="X333" s="547"/>
      <c r="Y333" s="547"/>
      <c r="Z333" s="547"/>
      <c r="AA333" s="547"/>
      <c r="AB333" s="884"/>
      <c r="AC333" s="547"/>
    </row>
    <row r="334" spans="1:29" ht="15.75" customHeight="1">
      <c r="A334" s="549"/>
      <c r="B334" s="550"/>
      <c r="C334" s="551"/>
      <c r="D334" s="551"/>
      <c r="E334" s="547"/>
      <c r="F334" s="547"/>
      <c r="G334" s="547"/>
      <c r="H334" s="547"/>
      <c r="I334" s="547"/>
      <c r="J334" s="547"/>
      <c r="K334" s="547"/>
      <c r="M334" s="547"/>
      <c r="N334" s="547"/>
      <c r="O334" s="547"/>
      <c r="P334" s="547"/>
      <c r="Q334" s="547"/>
      <c r="R334" s="547"/>
      <c r="S334" s="547"/>
      <c r="T334" s="547"/>
      <c r="U334" s="547"/>
      <c r="V334" s="547"/>
      <c r="W334" s="547"/>
      <c r="X334" s="547"/>
      <c r="Y334" s="547"/>
      <c r="Z334" s="547"/>
      <c r="AA334" s="547"/>
      <c r="AB334" s="884"/>
      <c r="AC334" s="547"/>
    </row>
    <row r="335" spans="1:29" ht="15.75" customHeight="1">
      <c r="A335" s="549"/>
      <c r="B335" s="550"/>
      <c r="C335" s="551"/>
      <c r="D335" s="551"/>
      <c r="E335" s="547"/>
      <c r="F335" s="547"/>
      <c r="G335" s="547"/>
      <c r="H335" s="547"/>
      <c r="I335" s="547"/>
      <c r="J335" s="547"/>
      <c r="K335" s="547"/>
      <c r="M335" s="547"/>
      <c r="N335" s="547"/>
      <c r="O335" s="547"/>
      <c r="P335" s="547"/>
      <c r="Q335" s="547"/>
      <c r="R335" s="547"/>
      <c r="S335" s="547"/>
      <c r="T335" s="547"/>
      <c r="U335" s="547"/>
      <c r="V335" s="547"/>
      <c r="W335" s="547"/>
      <c r="X335" s="547"/>
      <c r="Y335" s="547"/>
      <c r="Z335" s="547"/>
      <c r="AA335" s="547"/>
      <c r="AB335" s="884"/>
      <c r="AC335" s="547"/>
    </row>
    <row r="336" spans="1:29" ht="15.75" customHeight="1">
      <c r="A336" s="549"/>
      <c r="B336" s="550"/>
      <c r="C336" s="551"/>
      <c r="D336" s="551"/>
      <c r="E336" s="547"/>
      <c r="F336" s="547"/>
      <c r="G336" s="547"/>
      <c r="H336" s="547"/>
      <c r="I336" s="547"/>
      <c r="J336" s="547"/>
      <c r="K336" s="547"/>
      <c r="M336" s="547"/>
      <c r="N336" s="547"/>
      <c r="O336" s="547"/>
      <c r="P336" s="547"/>
      <c r="Q336" s="547"/>
      <c r="R336" s="547"/>
      <c r="S336" s="547"/>
      <c r="T336" s="547"/>
      <c r="U336" s="547"/>
      <c r="V336" s="547"/>
      <c r="W336" s="547"/>
      <c r="X336" s="547"/>
      <c r="Y336" s="547"/>
      <c r="Z336" s="547"/>
      <c r="AA336" s="547"/>
      <c r="AB336" s="884"/>
      <c r="AC336" s="547"/>
    </row>
    <row r="337" spans="1:29" ht="15.75" customHeight="1">
      <c r="A337" s="549"/>
      <c r="B337" s="550"/>
      <c r="C337" s="551"/>
      <c r="D337" s="551"/>
      <c r="E337" s="547"/>
      <c r="F337" s="547"/>
      <c r="G337" s="547"/>
      <c r="H337" s="547"/>
      <c r="I337" s="547"/>
      <c r="J337" s="547"/>
      <c r="K337" s="547"/>
      <c r="M337" s="547"/>
      <c r="N337" s="547"/>
      <c r="O337" s="547"/>
      <c r="P337" s="547"/>
      <c r="Q337" s="547"/>
      <c r="R337" s="547"/>
      <c r="S337" s="547"/>
      <c r="T337" s="547"/>
      <c r="U337" s="547"/>
      <c r="V337" s="547"/>
      <c r="W337" s="547"/>
      <c r="X337" s="547"/>
      <c r="Y337" s="547"/>
      <c r="Z337" s="547"/>
      <c r="AA337" s="547"/>
      <c r="AB337" s="884"/>
      <c r="AC337" s="547"/>
    </row>
    <row r="338" spans="1:29" ht="15.75" customHeight="1">
      <c r="A338" s="549"/>
      <c r="B338" s="550"/>
      <c r="C338" s="551"/>
      <c r="D338" s="551"/>
      <c r="E338" s="547"/>
      <c r="F338" s="547"/>
      <c r="G338" s="547"/>
      <c r="H338" s="547"/>
      <c r="I338" s="547"/>
      <c r="J338" s="547"/>
      <c r="K338" s="547"/>
      <c r="M338" s="547"/>
      <c r="N338" s="547"/>
      <c r="O338" s="547"/>
      <c r="P338" s="547"/>
      <c r="Q338" s="547"/>
      <c r="R338" s="547"/>
      <c r="S338" s="547"/>
      <c r="T338" s="547"/>
      <c r="U338" s="547"/>
      <c r="V338" s="547"/>
      <c r="W338" s="547"/>
      <c r="X338" s="547"/>
      <c r="Y338" s="547"/>
      <c r="Z338" s="547"/>
      <c r="AA338" s="547"/>
      <c r="AB338" s="884"/>
      <c r="AC338" s="547"/>
    </row>
    <row r="339" spans="1:29" ht="15.75" customHeight="1">
      <c r="A339" s="549"/>
      <c r="B339" s="550"/>
      <c r="C339" s="551"/>
      <c r="D339" s="551"/>
      <c r="E339" s="547"/>
      <c r="F339" s="547"/>
      <c r="G339" s="547"/>
      <c r="H339" s="547"/>
      <c r="I339" s="547"/>
      <c r="J339" s="547"/>
      <c r="K339" s="547"/>
      <c r="M339" s="547"/>
      <c r="N339" s="547"/>
      <c r="O339" s="547"/>
      <c r="P339" s="547"/>
      <c r="Q339" s="547"/>
      <c r="R339" s="547"/>
      <c r="S339" s="547"/>
      <c r="T339" s="547"/>
      <c r="U339" s="547"/>
      <c r="V339" s="547"/>
      <c r="W339" s="547"/>
      <c r="X339" s="547"/>
      <c r="Y339" s="547"/>
      <c r="Z339" s="547"/>
      <c r="AA339" s="547"/>
      <c r="AB339" s="884"/>
      <c r="AC339" s="547"/>
    </row>
    <row r="340" spans="1:29" ht="15.75" customHeight="1">
      <c r="A340" s="549"/>
      <c r="B340" s="550"/>
      <c r="C340" s="551"/>
      <c r="D340" s="551"/>
      <c r="E340" s="547"/>
      <c r="F340" s="547"/>
      <c r="G340" s="547"/>
      <c r="H340" s="547"/>
      <c r="I340" s="547"/>
      <c r="J340" s="547"/>
      <c r="K340" s="547"/>
      <c r="M340" s="547"/>
      <c r="N340" s="547"/>
      <c r="O340" s="547"/>
      <c r="P340" s="547"/>
      <c r="Q340" s="547"/>
      <c r="R340" s="547"/>
      <c r="S340" s="547"/>
      <c r="T340" s="547"/>
      <c r="U340" s="547"/>
      <c r="V340" s="547"/>
      <c r="W340" s="547"/>
      <c r="X340" s="547"/>
      <c r="Y340" s="547"/>
      <c r="Z340" s="547"/>
      <c r="AA340" s="547"/>
      <c r="AB340" s="884"/>
      <c r="AC340" s="547"/>
    </row>
    <row r="341" spans="1:29" ht="15.75" customHeight="1">
      <c r="A341" s="549"/>
      <c r="B341" s="550"/>
      <c r="C341" s="551"/>
      <c r="D341" s="551"/>
      <c r="E341" s="547"/>
      <c r="F341" s="547"/>
      <c r="G341" s="547"/>
      <c r="H341" s="547"/>
      <c r="I341" s="547"/>
      <c r="J341" s="547"/>
      <c r="K341" s="547"/>
      <c r="M341" s="547"/>
      <c r="N341" s="547"/>
      <c r="O341" s="547"/>
      <c r="P341" s="547"/>
      <c r="Q341" s="547"/>
      <c r="R341" s="547"/>
      <c r="S341" s="547"/>
      <c r="T341" s="547"/>
      <c r="U341" s="547"/>
      <c r="V341" s="547"/>
      <c r="W341" s="547"/>
      <c r="X341" s="547"/>
      <c r="Y341" s="547"/>
      <c r="Z341" s="547"/>
      <c r="AA341" s="547"/>
      <c r="AB341" s="884"/>
      <c r="AC341" s="547"/>
    </row>
    <row r="342" spans="1:29" ht="15.75" customHeight="1">
      <c r="A342" s="549"/>
      <c r="B342" s="550"/>
      <c r="C342" s="551"/>
      <c r="D342" s="551"/>
      <c r="E342" s="547"/>
      <c r="F342" s="547"/>
      <c r="G342" s="547"/>
      <c r="H342" s="547"/>
      <c r="I342" s="547"/>
      <c r="J342" s="547"/>
      <c r="K342" s="547"/>
      <c r="M342" s="547"/>
      <c r="N342" s="547"/>
      <c r="O342" s="547"/>
      <c r="P342" s="547"/>
      <c r="Q342" s="547"/>
      <c r="R342" s="547"/>
      <c r="S342" s="547"/>
      <c r="T342" s="547"/>
      <c r="U342" s="547"/>
      <c r="V342" s="547"/>
      <c r="W342" s="547"/>
      <c r="X342" s="547"/>
      <c r="Y342" s="547"/>
      <c r="Z342" s="547"/>
      <c r="AA342" s="547"/>
      <c r="AB342" s="884"/>
      <c r="AC342" s="547"/>
    </row>
    <row r="343" spans="1:29" ht="15.75" customHeight="1">
      <c r="A343" s="549"/>
      <c r="B343" s="550"/>
      <c r="C343" s="551"/>
      <c r="D343" s="551"/>
      <c r="E343" s="547"/>
      <c r="F343" s="547"/>
      <c r="G343" s="547"/>
      <c r="H343" s="547"/>
      <c r="I343" s="547"/>
      <c r="J343" s="547"/>
      <c r="K343" s="547"/>
      <c r="M343" s="547"/>
      <c r="N343" s="547"/>
      <c r="O343" s="547"/>
      <c r="P343" s="547"/>
      <c r="Q343" s="547"/>
      <c r="R343" s="547"/>
      <c r="S343" s="547"/>
      <c r="T343" s="547"/>
      <c r="U343" s="547"/>
      <c r="V343" s="547"/>
      <c r="W343" s="547"/>
      <c r="X343" s="547"/>
      <c r="Y343" s="547"/>
      <c r="Z343" s="547"/>
      <c r="AA343" s="547"/>
      <c r="AB343" s="884"/>
      <c r="AC343" s="547"/>
    </row>
    <row r="344" spans="1:29" ht="15.75" customHeight="1">
      <c r="A344" s="549"/>
      <c r="B344" s="550"/>
      <c r="C344" s="551"/>
      <c r="D344" s="551"/>
      <c r="E344" s="547"/>
      <c r="F344" s="547"/>
      <c r="G344" s="547"/>
      <c r="H344" s="547"/>
      <c r="I344" s="547"/>
      <c r="J344" s="547"/>
      <c r="K344" s="547"/>
      <c r="M344" s="547"/>
      <c r="N344" s="547"/>
      <c r="O344" s="547"/>
      <c r="P344" s="547"/>
      <c r="Q344" s="547"/>
      <c r="R344" s="547"/>
      <c r="S344" s="547"/>
      <c r="T344" s="547"/>
      <c r="U344" s="547"/>
      <c r="V344" s="547"/>
      <c r="W344" s="547"/>
      <c r="X344" s="547"/>
      <c r="Y344" s="547"/>
      <c r="Z344" s="547"/>
      <c r="AA344" s="547"/>
      <c r="AB344" s="884"/>
      <c r="AC344" s="547"/>
    </row>
    <row r="345" spans="1:29" ht="15.75" customHeight="1">
      <c r="A345" s="549"/>
      <c r="B345" s="550"/>
      <c r="C345" s="551"/>
      <c r="D345" s="551"/>
      <c r="E345" s="547"/>
      <c r="F345" s="547"/>
      <c r="G345" s="547"/>
      <c r="H345" s="547"/>
      <c r="I345" s="547"/>
      <c r="J345" s="547"/>
      <c r="K345" s="547"/>
      <c r="M345" s="547"/>
      <c r="N345" s="547"/>
      <c r="O345" s="547"/>
      <c r="P345" s="547"/>
      <c r="Q345" s="547"/>
      <c r="R345" s="547"/>
      <c r="S345" s="547"/>
      <c r="T345" s="547"/>
      <c r="U345" s="547"/>
      <c r="V345" s="547"/>
      <c r="W345" s="547"/>
      <c r="X345" s="547"/>
      <c r="Y345" s="547"/>
      <c r="Z345" s="547"/>
      <c r="AA345" s="547"/>
      <c r="AB345" s="884"/>
      <c r="AC345" s="547"/>
    </row>
    <row r="346" spans="1:29" ht="15.75" customHeight="1">
      <c r="A346" s="549"/>
      <c r="B346" s="550"/>
      <c r="C346" s="551"/>
      <c r="D346" s="551"/>
      <c r="E346" s="547"/>
      <c r="F346" s="547"/>
      <c r="G346" s="547"/>
      <c r="H346" s="547"/>
      <c r="I346" s="547"/>
      <c r="J346" s="547"/>
      <c r="K346" s="547"/>
      <c r="M346" s="547"/>
      <c r="N346" s="547"/>
      <c r="O346" s="547"/>
      <c r="P346" s="547"/>
      <c r="Q346" s="547"/>
      <c r="R346" s="547"/>
      <c r="S346" s="547"/>
      <c r="T346" s="547"/>
      <c r="U346" s="547"/>
      <c r="V346" s="547"/>
      <c r="W346" s="547"/>
      <c r="X346" s="547"/>
      <c r="Y346" s="547"/>
      <c r="Z346" s="547"/>
      <c r="AA346" s="547"/>
      <c r="AB346" s="884"/>
      <c r="AC346" s="547"/>
    </row>
    <row r="347" spans="1:29" ht="15.75" customHeight="1">
      <c r="A347" s="549"/>
      <c r="B347" s="550"/>
      <c r="C347" s="551"/>
      <c r="D347" s="551"/>
      <c r="E347" s="547"/>
      <c r="F347" s="547"/>
      <c r="G347" s="547"/>
      <c r="H347" s="547"/>
      <c r="I347" s="547"/>
      <c r="J347" s="547"/>
      <c r="K347" s="547"/>
      <c r="M347" s="547"/>
      <c r="N347" s="547"/>
      <c r="O347" s="547"/>
      <c r="P347" s="547"/>
      <c r="Q347" s="547"/>
      <c r="R347" s="547"/>
      <c r="S347" s="547"/>
      <c r="T347" s="547"/>
      <c r="U347" s="547"/>
      <c r="V347" s="547"/>
      <c r="W347" s="547"/>
      <c r="X347" s="547"/>
      <c r="Y347" s="547"/>
      <c r="Z347" s="547"/>
      <c r="AA347" s="547"/>
      <c r="AB347" s="884"/>
      <c r="AC347" s="547"/>
    </row>
    <row r="348" spans="1:29" ht="15.75" customHeight="1">
      <c r="A348" s="549"/>
      <c r="B348" s="550"/>
      <c r="C348" s="551"/>
      <c r="D348" s="551"/>
      <c r="E348" s="547"/>
      <c r="F348" s="547"/>
      <c r="G348" s="547"/>
      <c r="H348" s="547"/>
      <c r="I348" s="547"/>
      <c r="J348" s="547"/>
      <c r="K348" s="547"/>
      <c r="M348" s="547"/>
      <c r="N348" s="547"/>
      <c r="O348" s="547"/>
      <c r="P348" s="547"/>
      <c r="Q348" s="547"/>
      <c r="R348" s="547"/>
      <c r="S348" s="547"/>
      <c r="T348" s="547"/>
      <c r="U348" s="547"/>
      <c r="V348" s="547"/>
      <c r="W348" s="547"/>
      <c r="X348" s="547"/>
      <c r="Y348" s="547"/>
      <c r="Z348" s="547"/>
      <c r="AA348" s="547"/>
      <c r="AB348" s="884"/>
      <c r="AC348" s="547"/>
    </row>
    <row r="349" spans="1:29" ht="15.75" customHeight="1">
      <c r="A349" s="549"/>
      <c r="B349" s="550"/>
      <c r="C349" s="551"/>
      <c r="D349" s="551"/>
      <c r="E349" s="547"/>
      <c r="F349" s="547"/>
      <c r="G349" s="547"/>
      <c r="H349" s="547"/>
      <c r="I349" s="547"/>
      <c r="J349" s="547"/>
      <c r="K349" s="547"/>
      <c r="M349" s="547"/>
      <c r="N349" s="547"/>
      <c r="O349" s="547"/>
      <c r="P349" s="547"/>
      <c r="Q349" s="547"/>
      <c r="R349" s="547"/>
      <c r="S349" s="547"/>
      <c r="T349" s="547"/>
      <c r="U349" s="547"/>
      <c r="V349" s="547"/>
      <c r="W349" s="547"/>
      <c r="X349" s="547"/>
      <c r="Y349" s="547"/>
      <c r="Z349" s="547"/>
      <c r="AA349" s="547"/>
      <c r="AB349" s="884"/>
      <c r="AC349" s="547"/>
    </row>
    <row r="350" spans="1:29" ht="15.75" customHeight="1">
      <c r="A350" s="549"/>
      <c r="B350" s="550"/>
      <c r="C350" s="551"/>
      <c r="D350" s="551"/>
      <c r="E350" s="547"/>
      <c r="F350" s="547"/>
      <c r="G350" s="547"/>
      <c r="H350" s="547"/>
      <c r="I350" s="547"/>
      <c r="J350" s="547"/>
      <c r="K350" s="547"/>
      <c r="M350" s="547"/>
      <c r="N350" s="547"/>
      <c r="O350" s="547"/>
      <c r="P350" s="547"/>
      <c r="Q350" s="547"/>
      <c r="R350" s="547"/>
      <c r="S350" s="547"/>
      <c r="T350" s="547"/>
      <c r="U350" s="547"/>
      <c r="V350" s="547"/>
      <c r="W350" s="547"/>
      <c r="X350" s="547"/>
      <c r="Y350" s="547"/>
      <c r="Z350" s="547"/>
      <c r="AA350" s="547"/>
      <c r="AB350" s="884"/>
      <c r="AC350" s="547"/>
    </row>
    <row r="351" spans="1:29" ht="15.75" customHeight="1">
      <c r="A351" s="549"/>
      <c r="B351" s="550"/>
      <c r="C351" s="551"/>
      <c r="D351" s="551"/>
      <c r="E351" s="547"/>
      <c r="F351" s="547"/>
      <c r="G351" s="547"/>
      <c r="H351" s="547"/>
      <c r="I351" s="547"/>
      <c r="J351" s="547"/>
      <c r="K351" s="547"/>
      <c r="M351" s="547"/>
      <c r="N351" s="547"/>
      <c r="O351" s="547"/>
      <c r="P351" s="547"/>
      <c r="Q351" s="547"/>
      <c r="R351" s="547"/>
      <c r="S351" s="547"/>
      <c r="T351" s="547"/>
      <c r="U351" s="547"/>
      <c r="V351" s="547"/>
      <c r="W351" s="547"/>
      <c r="X351" s="547"/>
      <c r="Y351" s="547"/>
      <c r="Z351" s="547"/>
      <c r="AA351" s="547"/>
      <c r="AB351" s="884"/>
      <c r="AC351" s="547"/>
    </row>
    <row r="352" spans="1:29" ht="15.75" customHeight="1">
      <c r="A352" s="549"/>
      <c r="B352" s="550"/>
      <c r="C352" s="551"/>
      <c r="D352" s="551"/>
      <c r="E352" s="547"/>
      <c r="F352" s="547"/>
      <c r="G352" s="547"/>
      <c r="H352" s="547"/>
      <c r="I352" s="547"/>
      <c r="J352" s="547"/>
      <c r="K352" s="547"/>
      <c r="M352" s="547"/>
      <c r="N352" s="547"/>
      <c r="O352" s="547"/>
      <c r="P352" s="547"/>
      <c r="Q352" s="547"/>
      <c r="R352" s="547"/>
      <c r="S352" s="547"/>
      <c r="T352" s="547"/>
      <c r="U352" s="547"/>
      <c r="V352" s="547"/>
      <c r="W352" s="547"/>
      <c r="X352" s="547"/>
      <c r="Y352" s="547"/>
      <c r="Z352" s="547"/>
      <c r="AA352" s="547"/>
      <c r="AB352" s="884"/>
      <c r="AC352" s="547"/>
    </row>
    <row r="353" spans="1:29" ht="15.75" customHeight="1">
      <c r="A353" s="549"/>
      <c r="B353" s="550"/>
      <c r="C353" s="551"/>
      <c r="D353" s="551"/>
      <c r="E353" s="547"/>
      <c r="F353" s="547"/>
      <c r="G353" s="547"/>
      <c r="H353" s="547"/>
      <c r="I353" s="547"/>
      <c r="J353" s="547"/>
      <c r="K353" s="547"/>
      <c r="M353" s="547"/>
      <c r="N353" s="547"/>
      <c r="O353" s="547"/>
      <c r="P353" s="547"/>
      <c r="Q353" s="547"/>
      <c r="R353" s="547"/>
      <c r="S353" s="547"/>
      <c r="T353" s="547"/>
      <c r="U353" s="547"/>
      <c r="V353" s="547"/>
      <c r="W353" s="547"/>
      <c r="X353" s="547"/>
      <c r="Y353" s="547"/>
      <c r="Z353" s="547"/>
      <c r="AA353" s="547"/>
      <c r="AB353" s="884"/>
      <c r="AC353" s="547"/>
    </row>
    <row r="354" spans="1:29" ht="15.75" customHeight="1">
      <c r="A354" s="549"/>
      <c r="B354" s="550"/>
      <c r="C354" s="551"/>
      <c r="D354" s="551"/>
      <c r="E354" s="547"/>
      <c r="F354" s="547"/>
      <c r="G354" s="547"/>
      <c r="H354" s="547"/>
      <c r="I354" s="547"/>
      <c r="J354" s="547"/>
      <c r="K354" s="547"/>
      <c r="M354" s="547"/>
      <c r="N354" s="547"/>
      <c r="O354" s="547"/>
      <c r="P354" s="547"/>
      <c r="Q354" s="547"/>
      <c r="R354" s="547"/>
      <c r="S354" s="547"/>
      <c r="T354" s="547"/>
      <c r="U354" s="547"/>
      <c r="V354" s="547"/>
      <c r="W354" s="547"/>
      <c r="X354" s="547"/>
      <c r="Y354" s="547"/>
      <c r="Z354" s="547"/>
      <c r="AA354" s="547"/>
      <c r="AB354" s="884"/>
      <c r="AC354" s="547"/>
    </row>
    <row r="355" spans="1:29" ht="15.75" customHeight="1">
      <c r="A355" s="549"/>
      <c r="B355" s="550"/>
      <c r="C355" s="551"/>
      <c r="D355" s="551"/>
      <c r="E355" s="547"/>
      <c r="F355" s="547"/>
      <c r="G355" s="547"/>
      <c r="H355" s="547"/>
      <c r="I355" s="547"/>
      <c r="J355" s="547"/>
      <c r="K355" s="547"/>
      <c r="M355" s="547"/>
      <c r="N355" s="547"/>
      <c r="O355" s="547"/>
      <c r="P355" s="547"/>
      <c r="Q355" s="547"/>
      <c r="R355" s="547"/>
      <c r="S355" s="547"/>
      <c r="T355" s="547"/>
      <c r="U355" s="547"/>
      <c r="V355" s="547"/>
      <c r="W355" s="547"/>
      <c r="X355" s="547"/>
      <c r="Y355" s="547"/>
      <c r="Z355" s="547"/>
      <c r="AA355" s="547"/>
      <c r="AB355" s="884"/>
      <c r="AC355" s="547"/>
    </row>
    <row r="356" spans="1:29" ht="15.75" customHeight="1">
      <c r="A356" s="549"/>
      <c r="B356" s="550"/>
      <c r="C356" s="551"/>
      <c r="D356" s="551"/>
      <c r="E356" s="547"/>
      <c r="F356" s="547"/>
      <c r="G356" s="547"/>
      <c r="H356" s="547"/>
      <c r="I356" s="547"/>
      <c r="J356" s="547"/>
      <c r="K356" s="547"/>
      <c r="M356" s="547"/>
      <c r="N356" s="547"/>
      <c r="O356" s="547"/>
      <c r="P356" s="547"/>
      <c r="Q356" s="547"/>
      <c r="R356" s="547"/>
      <c r="S356" s="547"/>
      <c r="T356" s="547"/>
      <c r="U356" s="547"/>
      <c r="V356" s="547"/>
      <c r="W356" s="547"/>
      <c r="X356" s="547"/>
      <c r="Y356" s="547"/>
      <c r="Z356" s="547"/>
      <c r="AA356" s="547"/>
      <c r="AB356" s="884"/>
      <c r="AC356" s="547"/>
    </row>
    <row r="357" spans="1:29" ht="15.75" customHeight="1">
      <c r="A357" s="549"/>
      <c r="B357" s="550"/>
      <c r="C357" s="551"/>
      <c r="D357" s="551"/>
      <c r="E357" s="547"/>
      <c r="F357" s="547"/>
      <c r="G357" s="547"/>
      <c r="H357" s="547"/>
      <c r="I357" s="547"/>
      <c r="J357" s="547"/>
      <c r="K357" s="547"/>
      <c r="M357" s="547"/>
      <c r="N357" s="547"/>
      <c r="O357" s="547"/>
      <c r="P357" s="547"/>
      <c r="Q357" s="547"/>
      <c r="R357" s="547"/>
      <c r="S357" s="547"/>
      <c r="T357" s="547"/>
      <c r="U357" s="547"/>
      <c r="V357" s="547"/>
      <c r="W357" s="547"/>
      <c r="X357" s="547"/>
      <c r="Y357" s="547"/>
      <c r="Z357" s="547"/>
      <c r="AA357" s="547"/>
      <c r="AB357" s="884"/>
      <c r="AC357" s="547"/>
    </row>
    <row r="358" spans="1:29" ht="15.75" customHeight="1">
      <c r="A358" s="549"/>
      <c r="B358" s="550"/>
      <c r="C358" s="551"/>
      <c r="D358" s="551"/>
      <c r="E358" s="547"/>
      <c r="F358" s="547"/>
      <c r="G358" s="547"/>
      <c r="H358" s="547"/>
      <c r="I358" s="547"/>
      <c r="J358" s="547"/>
      <c r="K358" s="547"/>
      <c r="M358" s="547"/>
      <c r="N358" s="547"/>
      <c r="O358" s="547"/>
      <c r="P358" s="547"/>
      <c r="Q358" s="547"/>
      <c r="R358" s="547"/>
      <c r="S358" s="547"/>
      <c r="T358" s="547"/>
      <c r="U358" s="547"/>
      <c r="V358" s="547"/>
      <c r="W358" s="547"/>
      <c r="X358" s="547"/>
      <c r="Y358" s="547"/>
      <c r="Z358" s="547"/>
      <c r="AA358" s="547"/>
      <c r="AB358" s="884"/>
      <c r="AC358" s="547"/>
    </row>
    <row r="359" spans="1:29" ht="15.75" customHeight="1">
      <c r="A359" s="549"/>
      <c r="B359" s="550"/>
      <c r="C359" s="551"/>
      <c r="D359" s="551"/>
      <c r="E359" s="547"/>
      <c r="F359" s="547"/>
      <c r="G359" s="547"/>
      <c r="H359" s="547"/>
      <c r="I359" s="547"/>
      <c r="J359" s="547"/>
      <c r="K359" s="547"/>
      <c r="M359" s="547"/>
      <c r="N359" s="547"/>
      <c r="O359" s="547"/>
      <c r="P359" s="547"/>
      <c r="Q359" s="547"/>
      <c r="R359" s="547"/>
      <c r="S359" s="547"/>
      <c r="T359" s="547"/>
      <c r="U359" s="547"/>
      <c r="V359" s="547"/>
      <c r="W359" s="547"/>
      <c r="X359" s="547"/>
      <c r="Y359" s="547"/>
      <c r="Z359" s="547"/>
      <c r="AA359" s="547"/>
      <c r="AB359" s="884"/>
      <c r="AC359" s="547"/>
    </row>
    <row r="360" spans="1:29" ht="15.75" customHeight="1">
      <c r="A360" s="549"/>
      <c r="B360" s="550"/>
      <c r="C360" s="551"/>
      <c r="D360" s="551"/>
      <c r="E360" s="547"/>
      <c r="F360" s="547"/>
      <c r="G360" s="547"/>
      <c r="H360" s="547"/>
      <c r="I360" s="547"/>
      <c r="J360" s="547"/>
      <c r="K360" s="547"/>
      <c r="M360" s="547"/>
      <c r="N360" s="547"/>
      <c r="O360" s="547"/>
      <c r="P360" s="547"/>
      <c r="Q360" s="547"/>
      <c r="R360" s="547"/>
      <c r="S360" s="547"/>
      <c r="T360" s="547"/>
      <c r="U360" s="547"/>
      <c r="V360" s="547"/>
      <c r="W360" s="547"/>
      <c r="X360" s="547"/>
      <c r="Y360" s="547"/>
      <c r="Z360" s="547"/>
      <c r="AA360" s="547"/>
      <c r="AB360" s="884"/>
      <c r="AC360" s="547"/>
    </row>
    <row r="361" spans="1:29" ht="15.75" customHeight="1">
      <c r="A361" s="549"/>
      <c r="B361" s="550"/>
      <c r="C361" s="551"/>
      <c r="D361" s="551"/>
      <c r="E361" s="547"/>
      <c r="F361" s="547"/>
      <c r="G361" s="547"/>
      <c r="H361" s="547"/>
      <c r="I361" s="547"/>
      <c r="J361" s="547"/>
      <c r="K361" s="547"/>
      <c r="M361" s="547"/>
      <c r="N361" s="547"/>
      <c r="O361" s="547"/>
      <c r="P361" s="547"/>
      <c r="Q361" s="547"/>
      <c r="R361" s="547"/>
      <c r="S361" s="547"/>
      <c r="T361" s="547"/>
      <c r="U361" s="547"/>
      <c r="V361" s="547"/>
      <c r="W361" s="547"/>
      <c r="X361" s="547"/>
      <c r="Y361" s="547"/>
      <c r="Z361" s="547"/>
      <c r="AA361" s="547"/>
      <c r="AB361" s="884"/>
      <c r="AC361" s="547"/>
    </row>
    <row r="362" spans="1:29" ht="15.75" customHeight="1">
      <c r="A362" s="549"/>
      <c r="B362" s="550"/>
      <c r="C362" s="551"/>
      <c r="D362" s="551"/>
      <c r="E362" s="547"/>
      <c r="F362" s="547"/>
      <c r="G362" s="547"/>
      <c r="H362" s="547"/>
      <c r="I362" s="547"/>
      <c r="J362" s="547"/>
      <c r="K362" s="547"/>
      <c r="M362" s="547"/>
      <c r="N362" s="547"/>
      <c r="O362" s="547"/>
      <c r="P362" s="547"/>
      <c r="Q362" s="547"/>
      <c r="R362" s="547"/>
      <c r="S362" s="547"/>
      <c r="T362" s="547"/>
      <c r="U362" s="547"/>
      <c r="V362" s="547"/>
      <c r="W362" s="547"/>
      <c r="X362" s="547"/>
      <c r="Y362" s="547"/>
      <c r="Z362" s="547"/>
      <c r="AA362" s="547"/>
      <c r="AB362" s="884"/>
      <c r="AC362" s="547"/>
    </row>
    <row r="363" spans="1:29" ht="15.75" customHeight="1">
      <c r="A363" s="549"/>
      <c r="B363" s="550"/>
      <c r="C363" s="551"/>
      <c r="D363" s="551"/>
      <c r="E363" s="547"/>
      <c r="F363" s="547"/>
      <c r="G363" s="547"/>
      <c r="H363" s="547"/>
      <c r="I363" s="547"/>
      <c r="J363" s="547"/>
      <c r="K363" s="547"/>
      <c r="M363" s="547"/>
      <c r="N363" s="547"/>
      <c r="O363" s="547"/>
      <c r="P363" s="547"/>
      <c r="Q363" s="547"/>
      <c r="R363" s="547"/>
      <c r="S363" s="547"/>
      <c r="T363" s="547"/>
      <c r="U363" s="547"/>
      <c r="V363" s="547"/>
      <c r="W363" s="547"/>
      <c r="X363" s="547"/>
      <c r="Y363" s="547"/>
      <c r="Z363" s="547"/>
      <c r="AA363" s="547"/>
      <c r="AB363" s="884"/>
      <c r="AC363" s="547"/>
    </row>
    <row r="364" spans="1:29" ht="15.75" customHeight="1">
      <c r="A364" s="549"/>
      <c r="B364" s="550"/>
      <c r="C364" s="551"/>
      <c r="D364" s="551"/>
      <c r="E364" s="547"/>
      <c r="F364" s="547"/>
      <c r="G364" s="547"/>
      <c r="H364" s="547"/>
      <c r="I364" s="547"/>
      <c r="J364" s="547"/>
      <c r="K364" s="547"/>
      <c r="M364" s="547"/>
      <c r="N364" s="547"/>
      <c r="O364" s="547"/>
      <c r="P364" s="547"/>
      <c r="Q364" s="547"/>
      <c r="R364" s="547"/>
      <c r="S364" s="547"/>
      <c r="T364" s="547"/>
      <c r="U364" s="547"/>
      <c r="V364" s="547"/>
      <c r="W364" s="547"/>
      <c r="X364" s="547"/>
      <c r="Y364" s="547"/>
      <c r="Z364" s="547"/>
      <c r="AA364" s="547"/>
      <c r="AB364" s="884"/>
      <c r="AC364" s="547"/>
    </row>
    <row r="365" spans="1:29" ht="15.75" customHeight="1">
      <c r="A365" s="549"/>
      <c r="B365" s="550"/>
      <c r="C365" s="551"/>
      <c r="D365" s="551"/>
      <c r="E365" s="547"/>
      <c r="F365" s="547"/>
      <c r="G365" s="547"/>
      <c r="H365" s="547"/>
      <c r="I365" s="547"/>
      <c r="J365" s="547"/>
      <c r="K365" s="547"/>
      <c r="M365" s="547"/>
      <c r="N365" s="547"/>
      <c r="O365" s="547"/>
      <c r="P365" s="547"/>
      <c r="Q365" s="547"/>
      <c r="R365" s="547"/>
      <c r="S365" s="547"/>
      <c r="T365" s="547"/>
      <c r="U365" s="547"/>
      <c r="V365" s="547"/>
      <c r="W365" s="547"/>
      <c r="X365" s="547"/>
      <c r="Y365" s="547"/>
      <c r="Z365" s="547"/>
      <c r="AA365" s="547"/>
      <c r="AB365" s="884"/>
      <c r="AC365" s="547"/>
    </row>
    <row r="366" spans="1:29" ht="15.75" customHeight="1">
      <c r="A366" s="549"/>
      <c r="B366" s="550"/>
      <c r="C366" s="551"/>
      <c r="D366" s="551"/>
      <c r="E366" s="547"/>
      <c r="F366" s="547"/>
      <c r="G366" s="547"/>
      <c r="H366" s="547"/>
      <c r="I366" s="547"/>
      <c r="J366" s="547"/>
      <c r="K366" s="547"/>
      <c r="M366" s="547"/>
      <c r="N366" s="547"/>
      <c r="O366" s="547"/>
      <c r="P366" s="547"/>
      <c r="Q366" s="547"/>
      <c r="R366" s="547"/>
      <c r="S366" s="547"/>
      <c r="T366" s="547"/>
      <c r="U366" s="547"/>
      <c r="V366" s="547"/>
      <c r="W366" s="547"/>
      <c r="X366" s="547"/>
      <c r="Y366" s="547"/>
      <c r="Z366" s="547"/>
      <c r="AA366" s="547"/>
      <c r="AB366" s="884"/>
      <c r="AC366" s="547"/>
    </row>
    <row r="367" spans="1:29" ht="15.75" customHeight="1">
      <c r="A367" s="549"/>
      <c r="B367" s="550"/>
      <c r="C367" s="551"/>
      <c r="D367" s="551"/>
      <c r="E367" s="547"/>
      <c r="F367" s="547"/>
      <c r="G367" s="547"/>
      <c r="H367" s="547"/>
      <c r="I367" s="547"/>
      <c r="J367" s="547"/>
      <c r="K367" s="547"/>
      <c r="M367" s="547"/>
      <c r="N367" s="547"/>
      <c r="O367" s="547"/>
      <c r="P367" s="547"/>
      <c r="Q367" s="547"/>
      <c r="R367" s="547"/>
      <c r="S367" s="547"/>
      <c r="T367" s="547"/>
      <c r="U367" s="547"/>
      <c r="V367" s="547"/>
      <c r="W367" s="547"/>
      <c r="X367" s="547"/>
      <c r="Y367" s="547"/>
      <c r="Z367" s="547"/>
      <c r="AA367" s="547"/>
      <c r="AB367" s="884"/>
      <c r="AC367" s="547"/>
    </row>
    <row r="368" spans="1:29" ht="15.75" customHeight="1">
      <c r="A368" s="549"/>
      <c r="B368" s="550"/>
      <c r="C368" s="551"/>
      <c r="D368" s="551"/>
      <c r="E368" s="547"/>
      <c r="F368" s="547"/>
      <c r="G368" s="547"/>
      <c r="H368" s="547"/>
      <c r="I368" s="547"/>
      <c r="J368" s="547"/>
      <c r="K368" s="547"/>
      <c r="M368" s="547"/>
      <c r="N368" s="547"/>
      <c r="O368" s="547"/>
      <c r="P368" s="547"/>
      <c r="Q368" s="547"/>
      <c r="R368" s="547"/>
      <c r="S368" s="547"/>
      <c r="T368" s="547"/>
      <c r="U368" s="547"/>
      <c r="V368" s="547"/>
      <c r="W368" s="547"/>
      <c r="X368" s="547"/>
      <c r="Y368" s="547"/>
      <c r="Z368" s="547"/>
      <c r="AA368" s="547"/>
      <c r="AB368" s="884"/>
      <c r="AC368" s="547"/>
    </row>
    <row r="369" spans="1:29" ht="15.75" customHeight="1">
      <c r="A369" s="549"/>
      <c r="B369" s="550"/>
      <c r="C369" s="551"/>
      <c r="D369" s="551"/>
      <c r="E369" s="547"/>
      <c r="F369" s="547"/>
      <c r="G369" s="547"/>
      <c r="H369" s="547"/>
      <c r="I369" s="547"/>
      <c r="J369" s="547"/>
      <c r="K369" s="547"/>
      <c r="M369" s="547"/>
      <c r="N369" s="547"/>
      <c r="O369" s="547"/>
      <c r="P369" s="547"/>
      <c r="Q369" s="547"/>
      <c r="R369" s="547"/>
      <c r="S369" s="547"/>
      <c r="T369" s="547"/>
      <c r="U369" s="547"/>
      <c r="V369" s="547"/>
      <c r="W369" s="547"/>
      <c r="X369" s="547"/>
      <c r="Y369" s="547"/>
      <c r="Z369" s="547"/>
      <c r="AA369" s="547"/>
      <c r="AB369" s="884"/>
      <c r="AC369" s="547"/>
    </row>
    <row r="370" spans="1:29" ht="15.75" customHeight="1">
      <c r="A370" s="549"/>
      <c r="B370" s="550"/>
      <c r="C370" s="551"/>
      <c r="D370" s="551"/>
      <c r="E370" s="547"/>
      <c r="F370" s="547"/>
      <c r="G370" s="547"/>
      <c r="H370" s="547"/>
      <c r="I370" s="547"/>
      <c r="J370" s="547"/>
      <c r="K370" s="547"/>
      <c r="M370" s="547"/>
      <c r="N370" s="547"/>
      <c r="O370" s="547"/>
      <c r="P370" s="547"/>
      <c r="Q370" s="547"/>
      <c r="R370" s="547"/>
      <c r="S370" s="547"/>
      <c r="T370" s="547"/>
      <c r="U370" s="547"/>
      <c r="V370" s="547"/>
      <c r="W370" s="547"/>
      <c r="X370" s="547"/>
      <c r="Y370" s="547"/>
      <c r="Z370" s="547"/>
      <c r="AA370" s="547"/>
      <c r="AB370" s="884"/>
      <c r="AC370" s="547"/>
    </row>
    <row r="371" spans="1:29" ht="15.75" customHeight="1">
      <c r="A371" s="549"/>
      <c r="B371" s="550"/>
      <c r="C371" s="551"/>
      <c r="D371" s="551"/>
      <c r="E371" s="547"/>
      <c r="F371" s="547"/>
      <c r="G371" s="547"/>
      <c r="H371" s="547"/>
      <c r="I371" s="547"/>
      <c r="J371" s="547"/>
      <c r="K371" s="547"/>
      <c r="M371" s="547"/>
      <c r="N371" s="547"/>
      <c r="O371" s="547"/>
      <c r="P371" s="547"/>
      <c r="Q371" s="547"/>
      <c r="R371" s="547"/>
      <c r="S371" s="547"/>
      <c r="T371" s="547"/>
      <c r="U371" s="547"/>
      <c r="V371" s="547"/>
      <c r="W371" s="547"/>
      <c r="X371" s="547"/>
      <c r="Y371" s="547"/>
      <c r="Z371" s="547"/>
      <c r="AA371" s="547"/>
      <c r="AB371" s="884"/>
      <c r="AC371" s="547"/>
    </row>
    <row r="372" spans="1:29" ht="15.75" customHeight="1">
      <c r="A372" s="549"/>
      <c r="B372" s="550"/>
      <c r="C372" s="551"/>
      <c r="D372" s="551"/>
      <c r="E372" s="547"/>
      <c r="F372" s="547"/>
      <c r="G372" s="547"/>
      <c r="H372" s="547"/>
      <c r="I372" s="547"/>
      <c r="J372" s="547"/>
      <c r="K372" s="547"/>
      <c r="M372" s="547"/>
      <c r="N372" s="547"/>
      <c r="O372" s="547"/>
      <c r="P372" s="547"/>
      <c r="Q372" s="547"/>
      <c r="R372" s="547"/>
      <c r="S372" s="547"/>
      <c r="T372" s="547"/>
      <c r="U372" s="547"/>
      <c r="V372" s="547"/>
      <c r="W372" s="547"/>
      <c r="X372" s="547"/>
      <c r="Y372" s="547"/>
      <c r="Z372" s="547"/>
      <c r="AA372" s="547"/>
      <c r="AB372" s="884"/>
      <c r="AC372" s="547"/>
    </row>
    <row r="373" spans="1:29" ht="15.75" customHeight="1">
      <c r="A373" s="549"/>
      <c r="B373" s="550"/>
      <c r="C373" s="551"/>
      <c r="D373" s="551"/>
      <c r="E373" s="547"/>
      <c r="F373" s="547"/>
      <c r="G373" s="547"/>
      <c r="H373" s="547"/>
      <c r="I373" s="547"/>
      <c r="J373" s="547"/>
      <c r="K373" s="547"/>
      <c r="M373" s="547"/>
      <c r="N373" s="547"/>
      <c r="O373" s="547"/>
      <c r="P373" s="547"/>
      <c r="Q373" s="547"/>
      <c r="R373" s="547"/>
      <c r="S373" s="547"/>
      <c r="T373" s="547"/>
      <c r="U373" s="547"/>
      <c r="V373" s="547"/>
      <c r="W373" s="547"/>
      <c r="X373" s="547"/>
      <c r="Y373" s="547"/>
      <c r="Z373" s="547"/>
      <c r="AA373" s="547"/>
      <c r="AB373" s="884"/>
      <c r="AC373" s="547"/>
    </row>
    <row r="374" spans="1:29" ht="15.75" customHeight="1">
      <c r="A374" s="549"/>
      <c r="B374" s="550"/>
      <c r="C374" s="551"/>
      <c r="D374" s="551"/>
      <c r="E374" s="547"/>
      <c r="F374" s="547"/>
      <c r="G374" s="547"/>
      <c r="H374" s="547"/>
      <c r="I374" s="547"/>
      <c r="J374" s="547"/>
      <c r="K374" s="547"/>
      <c r="M374" s="547"/>
      <c r="N374" s="547"/>
      <c r="O374" s="547"/>
      <c r="P374" s="547"/>
      <c r="Q374" s="547"/>
      <c r="R374" s="547"/>
      <c r="S374" s="547"/>
      <c r="T374" s="547"/>
      <c r="U374" s="547"/>
      <c r="V374" s="547"/>
      <c r="W374" s="547"/>
      <c r="X374" s="547"/>
      <c r="Y374" s="547"/>
      <c r="Z374" s="547"/>
      <c r="AA374" s="547"/>
      <c r="AB374" s="884"/>
      <c r="AC374" s="547"/>
    </row>
    <row r="375" spans="1:29" ht="15.75" customHeight="1">
      <c r="A375" s="549"/>
      <c r="B375" s="550"/>
      <c r="C375" s="551"/>
      <c r="D375" s="551"/>
      <c r="E375" s="547"/>
      <c r="F375" s="547"/>
      <c r="G375" s="547"/>
      <c r="H375" s="547"/>
      <c r="I375" s="547"/>
      <c r="J375" s="547"/>
      <c r="K375" s="547"/>
      <c r="M375" s="547"/>
      <c r="N375" s="547"/>
      <c r="O375" s="547"/>
      <c r="P375" s="547"/>
      <c r="Q375" s="547"/>
      <c r="R375" s="547"/>
      <c r="S375" s="547"/>
      <c r="T375" s="547"/>
      <c r="U375" s="547"/>
      <c r="V375" s="547"/>
      <c r="W375" s="547"/>
      <c r="X375" s="547"/>
      <c r="Y375" s="547"/>
      <c r="Z375" s="547"/>
      <c r="AA375" s="547"/>
      <c r="AB375" s="884"/>
      <c r="AC375" s="547"/>
    </row>
    <row r="376" spans="1:29" ht="15.75" customHeight="1">
      <c r="A376" s="549"/>
      <c r="B376" s="550"/>
      <c r="C376" s="551"/>
      <c r="D376" s="551"/>
      <c r="E376" s="547"/>
      <c r="F376" s="547"/>
      <c r="G376" s="547"/>
      <c r="H376" s="547"/>
      <c r="I376" s="547"/>
      <c r="J376" s="547"/>
      <c r="K376" s="547"/>
      <c r="M376" s="547"/>
      <c r="N376" s="547"/>
      <c r="O376" s="547"/>
      <c r="P376" s="547"/>
      <c r="Q376" s="547"/>
      <c r="R376" s="547"/>
      <c r="S376" s="547"/>
      <c r="T376" s="547"/>
      <c r="U376" s="547"/>
      <c r="V376" s="547"/>
      <c r="W376" s="547"/>
      <c r="X376" s="547"/>
      <c r="Y376" s="547"/>
      <c r="Z376" s="547"/>
      <c r="AA376" s="547"/>
      <c r="AB376" s="884"/>
      <c r="AC376" s="547"/>
    </row>
    <row r="377" spans="1:29" ht="15.75" customHeight="1">
      <c r="A377" s="549"/>
      <c r="B377" s="550"/>
      <c r="C377" s="551"/>
      <c r="D377" s="551"/>
      <c r="E377" s="547"/>
      <c r="F377" s="547"/>
      <c r="G377" s="547"/>
      <c r="H377" s="547"/>
      <c r="I377" s="547"/>
      <c r="J377" s="547"/>
      <c r="K377" s="547"/>
      <c r="M377" s="547"/>
      <c r="N377" s="547"/>
      <c r="O377" s="547"/>
      <c r="P377" s="547"/>
      <c r="Q377" s="547"/>
      <c r="R377" s="547"/>
      <c r="S377" s="547"/>
      <c r="T377" s="547"/>
      <c r="U377" s="547"/>
      <c r="V377" s="547"/>
      <c r="W377" s="547"/>
      <c r="X377" s="547"/>
      <c r="Y377" s="547"/>
      <c r="Z377" s="547"/>
      <c r="AA377" s="547"/>
      <c r="AB377" s="884"/>
      <c r="AC377" s="547"/>
    </row>
    <row r="378" spans="1:29" ht="15.75" customHeight="1">
      <c r="A378" s="549"/>
      <c r="B378" s="550"/>
      <c r="C378" s="551"/>
      <c r="D378" s="551"/>
      <c r="E378" s="547"/>
      <c r="F378" s="547"/>
      <c r="G378" s="547"/>
      <c r="H378" s="547"/>
      <c r="I378" s="547"/>
      <c r="J378" s="547"/>
      <c r="K378" s="547"/>
      <c r="M378" s="547"/>
      <c r="N378" s="547"/>
      <c r="O378" s="547"/>
      <c r="P378" s="547"/>
      <c r="Q378" s="547"/>
      <c r="R378" s="547"/>
      <c r="S378" s="547"/>
      <c r="T378" s="547"/>
      <c r="U378" s="547"/>
      <c r="V378" s="547"/>
      <c r="W378" s="547"/>
      <c r="X378" s="547"/>
      <c r="Y378" s="547"/>
      <c r="Z378" s="547"/>
      <c r="AA378" s="547"/>
      <c r="AB378" s="884"/>
      <c r="AC378" s="547"/>
    </row>
    <row r="379" spans="1:29" ht="15.75" customHeight="1">
      <c r="A379" s="549"/>
      <c r="B379" s="550"/>
      <c r="C379" s="551"/>
      <c r="D379" s="551"/>
      <c r="E379" s="547"/>
      <c r="F379" s="547"/>
      <c r="G379" s="547"/>
      <c r="H379" s="547"/>
      <c r="I379" s="547"/>
      <c r="J379" s="547"/>
      <c r="K379" s="547"/>
      <c r="M379" s="547"/>
      <c r="N379" s="547"/>
      <c r="O379" s="547"/>
      <c r="P379" s="547"/>
      <c r="Q379" s="547"/>
      <c r="R379" s="547"/>
      <c r="S379" s="547"/>
      <c r="T379" s="547"/>
      <c r="U379" s="547"/>
      <c r="V379" s="547"/>
      <c r="W379" s="547"/>
      <c r="X379" s="547"/>
      <c r="Y379" s="547"/>
      <c r="Z379" s="547"/>
      <c r="AA379" s="547"/>
      <c r="AB379" s="884"/>
      <c r="AC379" s="547"/>
    </row>
    <row r="380" spans="1:29" ht="15.75" customHeight="1">
      <c r="A380" s="549"/>
      <c r="B380" s="550"/>
      <c r="C380" s="551"/>
      <c r="D380" s="551"/>
      <c r="E380" s="547"/>
      <c r="F380" s="547"/>
      <c r="G380" s="547"/>
      <c r="H380" s="547"/>
      <c r="I380" s="547"/>
      <c r="J380" s="547"/>
      <c r="K380" s="547"/>
      <c r="M380" s="547"/>
      <c r="N380" s="547"/>
      <c r="O380" s="547"/>
      <c r="P380" s="547"/>
      <c r="Q380" s="547"/>
      <c r="R380" s="547"/>
      <c r="S380" s="547"/>
      <c r="T380" s="547"/>
      <c r="U380" s="547"/>
      <c r="V380" s="547"/>
      <c r="W380" s="547"/>
      <c r="X380" s="547"/>
      <c r="Y380" s="547"/>
      <c r="Z380" s="547"/>
      <c r="AA380" s="547"/>
      <c r="AB380" s="884"/>
      <c r="AC380" s="547"/>
    </row>
    <row r="381" spans="1:29" ht="15.75" customHeight="1">
      <c r="A381" s="549"/>
      <c r="B381" s="550"/>
      <c r="C381" s="551"/>
      <c r="D381" s="551"/>
      <c r="E381" s="547"/>
      <c r="F381" s="547"/>
      <c r="G381" s="547"/>
      <c r="H381" s="547"/>
      <c r="I381" s="547"/>
      <c r="J381" s="547"/>
      <c r="K381" s="547"/>
      <c r="M381" s="547"/>
      <c r="N381" s="547"/>
      <c r="O381" s="547"/>
      <c r="P381" s="547"/>
      <c r="Q381" s="547"/>
      <c r="R381" s="547"/>
      <c r="S381" s="547"/>
      <c r="T381" s="547"/>
      <c r="U381" s="547"/>
      <c r="V381" s="547"/>
      <c r="W381" s="547"/>
      <c r="X381" s="547"/>
      <c r="Y381" s="547"/>
      <c r="Z381" s="547"/>
      <c r="AA381" s="547"/>
      <c r="AB381" s="884"/>
      <c r="AC381" s="547"/>
    </row>
    <row r="382" spans="1:29" ht="15.75" customHeight="1">
      <c r="A382" s="549"/>
      <c r="B382" s="550"/>
      <c r="C382" s="551"/>
      <c r="D382" s="551"/>
      <c r="E382" s="547"/>
      <c r="F382" s="547"/>
      <c r="G382" s="547"/>
      <c r="H382" s="547"/>
      <c r="I382" s="547"/>
      <c r="J382" s="547"/>
      <c r="K382" s="547"/>
      <c r="M382" s="547"/>
      <c r="N382" s="547"/>
      <c r="O382" s="547"/>
      <c r="P382" s="547"/>
      <c r="Q382" s="547"/>
      <c r="R382" s="547"/>
      <c r="S382" s="547"/>
      <c r="T382" s="547"/>
      <c r="U382" s="547"/>
      <c r="V382" s="547"/>
      <c r="W382" s="547"/>
      <c r="X382" s="547"/>
      <c r="Y382" s="547"/>
      <c r="Z382" s="547"/>
      <c r="AA382" s="547"/>
      <c r="AB382" s="884"/>
      <c r="AC382" s="547"/>
    </row>
    <row r="383" spans="1:29" ht="15.75" customHeight="1">
      <c r="A383" s="549"/>
      <c r="B383" s="550"/>
      <c r="C383" s="551"/>
      <c r="D383" s="551"/>
      <c r="E383" s="547"/>
      <c r="F383" s="547"/>
      <c r="G383" s="547"/>
      <c r="H383" s="547"/>
      <c r="I383" s="547"/>
      <c r="J383" s="547"/>
      <c r="K383" s="547"/>
      <c r="M383" s="547"/>
      <c r="N383" s="547"/>
      <c r="O383" s="547"/>
      <c r="P383" s="547"/>
      <c r="Q383" s="547"/>
      <c r="R383" s="547"/>
      <c r="S383" s="547"/>
      <c r="T383" s="547"/>
      <c r="U383" s="547"/>
      <c r="V383" s="547"/>
      <c r="W383" s="547"/>
      <c r="X383" s="547"/>
      <c r="Y383" s="547"/>
      <c r="Z383" s="547"/>
      <c r="AA383" s="547"/>
      <c r="AB383" s="884"/>
      <c r="AC383" s="547"/>
    </row>
    <row r="384" spans="1:29" ht="15.75" customHeight="1">
      <c r="A384" s="549"/>
      <c r="B384" s="550"/>
      <c r="C384" s="551"/>
      <c r="D384" s="551"/>
      <c r="E384" s="547"/>
      <c r="F384" s="547"/>
      <c r="G384" s="547"/>
      <c r="H384" s="547"/>
      <c r="I384" s="547"/>
      <c r="J384" s="547"/>
      <c r="K384" s="547"/>
      <c r="M384" s="547"/>
      <c r="N384" s="547"/>
      <c r="O384" s="547"/>
      <c r="P384" s="547"/>
      <c r="Q384" s="547"/>
      <c r="R384" s="547"/>
      <c r="S384" s="547"/>
      <c r="T384" s="547"/>
      <c r="U384" s="547"/>
      <c r="V384" s="547"/>
      <c r="W384" s="547"/>
      <c r="X384" s="547"/>
      <c r="Y384" s="547"/>
      <c r="Z384" s="547"/>
      <c r="AA384" s="547"/>
      <c r="AB384" s="884"/>
      <c r="AC384" s="547"/>
    </row>
    <row r="385" spans="1:29" ht="15.75" customHeight="1">
      <c r="A385" s="549"/>
      <c r="B385" s="550"/>
      <c r="C385" s="551"/>
      <c r="D385" s="551"/>
      <c r="E385" s="547"/>
      <c r="F385" s="547"/>
      <c r="G385" s="547"/>
      <c r="H385" s="547"/>
      <c r="I385" s="547"/>
      <c r="J385" s="547"/>
      <c r="K385" s="547"/>
      <c r="M385" s="547"/>
      <c r="N385" s="547"/>
      <c r="O385" s="547"/>
      <c r="P385" s="547"/>
      <c r="Q385" s="547"/>
      <c r="R385" s="547"/>
      <c r="S385" s="547"/>
      <c r="T385" s="547"/>
      <c r="U385" s="547"/>
      <c r="V385" s="547"/>
      <c r="W385" s="547"/>
      <c r="X385" s="547"/>
      <c r="Y385" s="547"/>
      <c r="Z385" s="547"/>
      <c r="AA385" s="547"/>
      <c r="AB385" s="884"/>
      <c r="AC385" s="547"/>
    </row>
    <row r="386" spans="1:29" ht="15.75" customHeight="1">
      <c r="A386" s="549"/>
      <c r="B386" s="550"/>
      <c r="C386" s="551"/>
      <c r="D386" s="551"/>
      <c r="E386" s="547"/>
      <c r="F386" s="547"/>
      <c r="G386" s="547"/>
      <c r="H386" s="547"/>
      <c r="I386" s="547"/>
      <c r="J386" s="547"/>
      <c r="K386" s="547"/>
      <c r="M386" s="547"/>
      <c r="N386" s="547"/>
      <c r="O386" s="547"/>
      <c r="P386" s="547"/>
      <c r="Q386" s="547"/>
      <c r="R386" s="547"/>
      <c r="S386" s="547"/>
      <c r="T386" s="547"/>
      <c r="U386" s="547"/>
      <c r="V386" s="547"/>
      <c r="W386" s="547"/>
      <c r="X386" s="547"/>
      <c r="Y386" s="547"/>
      <c r="Z386" s="547"/>
      <c r="AA386" s="547"/>
      <c r="AB386" s="884"/>
      <c r="AC386" s="547"/>
    </row>
    <row r="387" spans="1:29" ht="15.75" customHeight="1">
      <c r="A387" s="549"/>
      <c r="B387" s="550"/>
      <c r="C387" s="551"/>
      <c r="D387" s="551"/>
      <c r="E387" s="547"/>
      <c r="F387" s="547"/>
      <c r="G387" s="547"/>
      <c r="H387" s="547"/>
      <c r="I387" s="547"/>
      <c r="J387" s="547"/>
      <c r="K387" s="547"/>
      <c r="M387" s="547"/>
      <c r="N387" s="547"/>
      <c r="O387" s="547"/>
      <c r="P387" s="547"/>
      <c r="Q387" s="547"/>
      <c r="R387" s="547"/>
      <c r="S387" s="547"/>
      <c r="T387" s="547"/>
      <c r="U387" s="547"/>
      <c r="V387" s="547"/>
      <c r="W387" s="547"/>
      <c r="X387" s="547"/>
      <c r="Y387" s="547"/>
      <c r="Z387" s="547"/>
      <c r="AA387" s="547"/>
      <c r="AB387" s="884"/>
      <c r="AC387" s="547"/>
    </row>
    <row r="388" spans="1:29" ht="15.75" customHeight="1">
      <c r="A388" s="549"/>
      <c r="B388" s="550"/>
      <c r="C388" s="551"/>
      <c r="D388" s="551"/>
      <c r="E388" s="547"/>
      <c r="F388" s="547"/>
      <c r="G388" s="547"/>
      <c r="H388" s="547"/>
      <c r="I388" s="547"/>
      <c r="J388" s="547"/>
      <c r="K388" s="547"/>
      <c r="M388" s="547"/>
      <c r="N388" s="547"/>
      <c r="O388" s="547"/>
      <c r="P388" s="547"/>
      <c r="Q388" s="547"/>
      <c r="R388" s="547"/>
      <c r="S388" s="547"/>
      <c r="T388" s="547"/>
      <c r="U388" s="547"/>
      <c r="V388" s="547"/>
      <c r="W388" s="547"/>
      <c r="X388" s="547"/>
      <c r="Y388" s="547"/>
      <c r="Z388" s="547"/>
      <c r="AA388" s="547"/>
      <c r="AB388" s="884"/>
      <c r="AC388" s="547"/>
    </row>
    <row r="389" spans="1:29" ht="15.75" customHeight="1">
      <c r="A389" s="549"/>
      <c r="B389" s="550"/>
      <c r="C389" s="551"/>
      <c r="D389" s="551"/>
      <c r="E389" s="547"/>
      <c r="F389" s="547"/>
      <c r="G389" s="547"/>
      <c r="H389" s="547"/>
      <c r="I389" s="547"/>
      <c r="J389" s="547"/>
      <c r="K389" s="547"/>
      <c r="M389" s="547"/>
      <c r="N389" s="547"/>
      <c r="O389" s="547"/>
      <c r="P389" s="547"/>
      <c r="Q389" s="547"/>
      <c r="R389" s="547"/>
      <c r="S389" s="547"/>
      <c r="T389" s="547"/>
      <c r="U389" s="547"/>
      <c r="V389" s="547"/>
      <c r="W389" s="547"/>
      <c r="X389" s="547"/>
      <c r="Y389" s="547"/>
      <c r="Z389" s="547"/>
      <c r="AA389" s="547"/>
      <c r="AB389" s="884"/>
      <c r="AC389" s="547"/>
    </row>
    <row r="390" spans="1:29" ht="15.75" customHeight="1">
      <c r="A390" s="549"/>
      <c r="B390" s="550"/>
      <c r="C390" s="551"/>
      <c r="D390" s="551"/>
      <c r="E390" s="547"/>
      <c r="F390" s="547"/>
      <c r="G390" s="547"/>
      <c r="H390" s="547"/>
      <c r="I390" s="547"/>
      <c r="J390" s="547"/>
      <c r="K390" s="547"/>
      <c r="M390" s="547"/>
      <c r="N390" s="547"/>
      <c r="O390" s="547"/>
      <c r="P390" s="547"/>
      <c r="Q390" s="547"/>
      <c r="R390" s="547"/>
      <c r="S390" s="547"/>
      <c r="T390" s="547"/>
      <c r="U390" s="547"/>
      <c r="V390" s="547"/>
      <c r="W390" s="547"/>
      <c r="X390" s="547"/>
      <c r="Y390" s="547"/>
      <c r="Z390" s="547"/>
      <c r="AA390" s="547"/>
      <c r="AB390" s="884"/>
      <c r="AC390" s="547"/>
    </row>
    <row r="391" spans="1:29" ht="15.75" customHeight="1">
      <c r="A391" s="549"/>
      <c r="B391" s="550"/>
      <c r="C391" s="551"/>
      <c r="D391" s="551"/>
      <c r="E391" s="547"/>
      <c r="F391" s="547"/>
      <c r="G391" s="547"/>
      <c r="H391" s="547"/>
      <c r="I391" s="547"/>
      <c r="J391" s="547"/>
      <c r="K391" s="547"/>
      <c r="M391" s="547"/>
      <c r="N391" s="547"/>
      <c r="O391" s="547"/>
      <c r="P391" s="547"/>
      <c r="Q391" s="547"/>
      <c r="R391" s="547"/>
      <c r="S391" s="547"/>
      <c r="T391" s="547"/>
      <c r="U391" s="547"/>
      <c r="V391" s="547"/>
      <c r="W391" s="547"/>
      <c r="X391" s="547"/>
      <c r="Y391" s="547"/>
      <c r="Z391" s="547"/>
      <c r="AA391" s="547"/>
      <c r="AB391" s="884"/>
      <c r="AC391" s="547"/>
    </row>
    <row r="392" spans="1:29" ht="15.75" customHeight="1">
      <c r="A392" s="549"/>
      <c r="B392" s="550"/>
      <c r="C392" s="551"/>
      <c r="D392" s="551"/>
      <c r="E392" s="547"/>
      <c r="F392" s="547"/>
      <c r="G392" s="547"/>
      <c r="H392" s="547"/>
      <c r="I392" s="547"/>
      <c r="J392" s="547"/>
      <c r="K392" s="547"/>
      <c r="M392" s="547"/>
      <c r="N392" s="547"/>
      <c r="O392" s="547"/>
      <c r="P392" s="547"/>
      <c r="Q392" s="547"/>
      <c r="R392" s="547"/>
      <c r="S392" s="547"/>
      <c r="T392" s="547"/>
      <c r="U392" s="547"/>
      <c r="V392" s="547"/>
      <c r="W392" s="547"/>
      <c r="X392" s="547"/>
      <c r="Y392" s="547"/>
      <c r="Z392" s="547"/>
      <c r="AA392" s="547"/>
      <c r="AB392" s="884"/>
      <c r="AC392" s="547"/>
    </row>
    <row r="393" spans="1:29" ht="15.75" customHeight="1">
      <c r="A393" s="549"/>
      <c r="B393" s="550"/>
      <c r="C393" s="551"/>
      <c r="D393" s="551"/>
      <c r="E393" s="547"/>
      <c r="F393" s="547"/>
      <c r="G393" s="547"/>
      <c r="H393" s="547"/>
      <c r="I393" s="547"/>
      <c r="J393" s="547"/>
      <c r="K393" s="547"/>
      <c r="M393" s="547"/>
      <c r="N393" s="547"/>
      <c r="O393" s="547"/>
      <c r="P393" s="547"/>
      <c r="Q393" s="547"/>
      <c r="R393" s="547"/>
      <c r="S393" s="547"/>
      <c r="T393" s="547"/>
      <c r="U393" s="547"/>
      <c r="V393" s="547"/>
      <c r="W393" s="547"/>
      <c r="X393" s="547"/>
      <c r="Y393" s="547"/>
      <c r="Z393" s="547"/>
      <c r="AA393" s="547"/>
      <c r="AB393" s="884"/>
      <c r="AC393" s="547"/>
    </row>
    <row r="394" spans="1:29" ht="15.75" customHeight="1">
      <c r="A394" s="549"/>
      <c r="B394" s="550"/>
      <c r="C394" s="551"/>
      <c r="D394" s="551"/>
      <c r="E394" s="547"/>
      <c r="F394" s="547"/>
      <c r="G394" s="547"/>
      <c r="H394" s="547"/>
      <c r="I394" s="547"/>
      <c r="J394" s="547"/>
      <c r="K394" s="547"/>
      <c r="M394" s="547"/>
      <c r="N394" s="547"/>
      <c r="O394" s="547"/>
      <c r="P394" s="547"/>
      <c r="Q394" s="547"/>
      <c r="R394" s="547"/>
      <c r="S394" s="547"/>
      <c r="T394" s="547"/>
      <c r="U394" s="547"/>
      <c r="V394" s="547"/>
      <c r="W394" s="547"/>
      <c r="X394" s="547"/>
      <c r="Y394" s="547"/>
      <c r="Z394" s="547"/>
      <c r="AA394" s="547"/>
      <c r="AB394" s="884"/>
      <c r="AC394" s="547"/>
    </row>
    <row r="395" spans="1:29" ht="15.75" customHeight="1">
      <c r="A395" s="549"/>
      <c r="B395" s="550"/>
      <c r="C395" s="551"/>
      <c r="D395" s="551"/>
      <c r="E395" s="547"/>
      <c r="F395" s="547"/>
      <c r="G395" s="547"/>
      <c r="H395" s="547"/>
      <c r="I395" s="547"/>
      <c r="J395" s="547"/>
      <c r="K395" s="547"/>
      <c r="M395" s="547"/>
      <c r="N395" s="547"/>
      <c r="O395" s="547"/>
      <c r="P395" s="547"/>
      <c r="Q395" s="547"/>
      <c r="R395" s="547"/>
      <c r="S395" s="547"/>
      <c r="T395" s="547"/>
      <c r="U395" s="547"/>
      <c r="V395" s="547"/>
      <c r="W395" s="547"/>
      <c r="X395" s="547"/>
      <c r="Y395" s="547"/>
      <c r="Z395" s="547"/>
      <c r="AA395" s="547"/>
      <c r="AB395" s="884"/>
      <c r="AC395" s="547"/>
    </row>
    <row r="396" spans="1:29" ht="15.75" customHeight="1">
      <c r="A396" s="549"/>
      <c r="B396" s="550"/>
      <c r="C396" s="551"/>
      <c r="D396" s="551"/>
      <c r="E396" s="547"/>
      <c r="F396" s="547"/>
      <c r="G396" s="547"/>
      <c r="H396" s="547"/>
      <c r="I396" s="547"/>
      <c r="J396" s="547"/>
      <c r="K396" s="547"/>
      <c r="M396" s="547"/>
      <c r="N396" s="547"/>
      <c r="O396" s="547"/>
      <c r="P396" s="547"/>
      <c r="Q396" s="547"/>
      <c r="R396" s="547"/>
      <c r="S396" s="547"/>
      <c r="T396" s="547"/>
      <c r="U396" s="547"/>
      <c r="V396" s="547"/>
      <c r="W396" s="547"/>
      <c r="X396" s="547"/>
      <c r="Y396" s="547"/>
      <c r="Z396" s="547"/>
      <c r="AA396" s="547"/>
      <c r="AB396" s="884"/>
      <c r="AC396" s="547"/>
    </row>
    <row r="397" spans="1:29" ht="15.75" customHeight="1">
      <c r="A397" s="549"/>
      <c r="B397" s="550"/>
      <c r="C397" s="551"/>
      <c r="D397" s="551"/>
      <c r="E397" s="547"/>
      <c r="F397" s="547"/>
      <c r="G397" s="547"/>
      <c r="H397" s="547"/>
      <c r="I397" s="547"/>
      <c r="J397" s="547"/>
      <c r="K397" s="547"/>
      <c r="M397" s="547"/>
      <c r="N397" s="547"/>
      <c r="O397" s="547"/>
      <c r="P397" s="547"/>
      <c r="Q397" s="547"/>
      <c r="R397" s="547"/>
      <c r="S397" s="547"/>
      <c r="T397" s="547"/>
      <c r="U397" s="547"/>
      <c r="V397" s="547"/>
      <c r="W397" s="547"/>
      <c r="X397" s="547"/>
      <c r="Y397" s="547"/>
      <c r="Z397" s="547"/>
      <c r="AA397" s="547"/>
      <c r="AB397" s="884"/>
      <c r="AC397" s="547"/>
    </row>
    <row r="398" spans="1:29" ht="15.75" customHeight="1">
      <c r="A398" s="549"/>
      <c r="B398" s="550"/>
      <c r="C398" s="551"/>
      <c r="D398" s="551"/>
      <c r="E398" s="547"/>
      <c r="F398" s="547"/>
      <c r="G398" s="547"/>
      <c r="H398" s="547"/>
      <c r="I398" s="547"/>
      <c r="J398" s="547"/>
      <c r="K398" s="547"/>
      <c r="M398" s="547"/>
      <c r="N398" s="547"/>
      <c r="O398" s="547"/>
      <c r="P398" s="547"/>
      <c r="Q398" s="547"/>
      <c r="R398" s="547"/>
      <c r="S398" s="547"/>
      <c r="T398" s="547"/>
      <c r="U398" s="547"/>
      <c r="V398" s="547"/>
      <c r="W398" s="547"/>
      <c r="X398" s="547"/>
      <c r="Y398" s="547"/>
      <c r="Z398" s="547"/>
      <c r="AA398" s="547"/>
      <c r="AB398" s="884"/>
      <c r="AC398" s="547"/>
    </row>
    <row r="399" spans="1:29" ht="15.75" customHeight="1">
      <c r="A399" s="549"/>
      <c r="B399" s="550"/>
      <c r="C399" s="551"/>
      <c r="D399" s="551"/>
      <c r="E399" s="547"/>
      <c r="F399" s="547"/>
      <c r="G399" s="547"/>
      <c r="H399" s="547"/>
      <c r="I399" s="547"/>
      <c r="J399" s="547"/>
      <c r="K399" s="547"/>
      <c r="M399" s="547"/>
      <c r="N399" s="547"/>
      <c r="O399" s="547"/>
      <c r="P399" s="547"/>
      <c r="Q399" s="547"/>
      <c r="R399" s="547"/>
      <c r="S399" s="547"/>
      <c r="T399" s="547"/>
      <c r="U399" s="547"/>
      <c r="V399" s="547"/>
      <c r="W399" s="547"/>
      <c r="X399" s="547"/>
      <c r="Y399" s="547"/>
      <c r="Z399" s="547"/>
      <c r="AA399" s="547"/>
      <c r="AB399" s="884"/>
      <c r="AC399" s="547"/>
    </row>
    <row r="400" spans="1:29" ht="15.75" customHeight="1">
      <c r="A400" s="549"/>
      <c r="B400" s="550"/>
      <c r="C400" s="551"/>
      <c r="D400" s="551"/>
      <c r="E400" s="547"/>
      <c r="F400" s="547"/>
      <c r="G400" s="547"/>
      <c r="H400" s="547"/>
      <c r="I400" s="547"/>
      <c r="J400" s="547"/>
      <c r="K400" s="547"/>
      <c r="M400" s="547"/>
      <c r="N400" s="547"/>
      <c r="O400" s="547"/>
      <c r="P400" s="547"/>
      <c r="Q400" s="547"/>
      <c r="R400" s="547"/>
      <c r="S400" s="547"/>
      <c r="T400" s="547"/>
      <c r="U400" s="547"/>
      <c r="V400" s="547"/>
      <c r="W400" s="547"/>
      <c r="X400" s="547"/>
      <c r="Y400" s="547"/>
      <c r="Z400" s="547"/>
      <c r="AA400" s="547"/>
      <c r="AB400" s="884"/>
      <c r="AC400" s="547"/>
    </row>
    <row r="401" spans="1:29" ht="15.75" customHeight="1">
      <c r="A401" s="549"/>
      <c r="B401" s="550"/>
      <c r="C401" s="551"/>
      <c r="D401" s="551"/>
      <c r="E401" s="547"/>
      <c r="F401" s="547"/>
      <c r="G401" s="547"/>
      <c r="H401" s="547"/>
      <c r="I401" s="547"/>
      <c r="J401" s="547"/>
      <c r="K401" s="547"/>
      <c r="M401" s="547"/>
      <c r="N401" s="547"/>
      <c r="O401" s="547"/>
      <c r="P401" s="547"/>
      <c r="Q401" s="547"/>
      <c r="R401" s="547"/>
      <c r="S401" s="547"/>
      <c r="T401" s="547"/>
      <c r="U401" s="547"/>
      <c r="V401" s="547"/>
      <c r="W401" s="547"/>
      <c r="X401" s="547"/>
      <c r="Y401" s="547"/>
      <c r="Z401" s="547"/>
      <c r="AA401" s="547"/>
      <c r="AB401" s="884"/>
      <c r="AC401" s="547"/>
    </row>
    <row r="402" spans="1:29" ht="15.75" customHeight="1">
      <c r="A402" s="549"/>
      <c r="B402" s="550"/>
      <c r="C402" s="551"/>
      <c r="D402" s="551"/>
      <c r="E402" s="547"/>
      <c r="F402" s="547"/>
      <c r="G402" s="547"/>
      <c r="H402" s="547"/>
      <c r="I402" s="547"/>
      <c r="J402" s="547"/>
      <c r="K402" s="547"/>
      <c r="M402" s="547"/>
      <c r="N402" s="547"/>
      <c r="O402" s="547"/>
      <c r="P402" s="547"/>
      <c r="Q402" s="547"/>
      <c r="R402" s="547"/>
      <c r="S402" s="547"/>
      <c r="T402" s="547"/>
      <c r="U402" s="547"/>
      <c r="V402" s="547"/>
      <c r="W402" s="547"/>
      <c r="X402" s="547"/>
      <c r="Y402" s="547"/>
      <c r="Z402" s="547"/>
      <c r="AA402" s="547"/>
      <c r="AB402" s="884"/>
      <c r="AC402" s="547"/>
    </row>
    <row r="403" spans="1:29" ht="15.75" customHeight="1">
      <c r="A403" s="549"/>
      <c r="B403" s="550"/>
      <c r="C403" s="551"/>
      <c r="D403" s="551"/>
      <c r="E403" s="547"/>
      <c r="F403" s="547"/>
      <c r="G403" s="547"/>
      <c r="H403" s="547"/>
      <c r="I403" s="547"/>
      <c r="J403" s="547"/>
      <c r="K403" s="547"/>
      <c r="M403" s="547"/>
      <c r="N403" s="547"/>
      <c r="O403" s="547"/>
      <c r="P403" s="547"/>
      <c r="Q403" s="547"/>
      <c r="R403" s="547"/>
      <c r="S403" s="547"/>
      <c r="T403" s="547"/>
      <c r="U403" s="547"/>
      <c r="V403" s="547"/>
      <c r="W403" s="547"/>
      <c r="X403" s="547"/>
      <c r="Y403" s="547"/>
      <c r="Z403" s="547"/>
      <c r="AA403" s="547"/>
      <c r="AB403" s="884"/>
      <c r="AC403" s="547"/>
    </row>
    <row r="404" spans="1:29" ht="15.75" customHeight="1">
      <c r="A404" s="549"/>
      <c r="B404" s="550"/>
      <c r="C404" s="551"/>
      <c r="D404" s="551"/>
      <c r="E404" s="547"/>
      <c r="F404" s="547"/>
      <c r="G404" s="547"/>
      <c r="H404" s="547"/>
      <c r="I404" s="547"/>
      <c r="J404" s="547"/>
      <c r="K404" s="547"/>
      <c r="M404" s="547"/>
      <c r="N404" s="547"/>
      <c r="O404" s="547"/>
      <c r="P404" s="547"/>
      <c r="Q404" s="547"/>
      <c r="R404" s="547"/>
      <c r="S404" s="547"/>
      <c r="T404" s="547"/>
      <c r="U404" s="547"/>
      <c r="V404" s="547"/>
      <c r="W404" s="547"/>
      <c r="X404" s="547"/>
      <c r="Y404" s="547"/>
      <c r="Z404" s="547"/>
      <c r="AA404" s="547"/>
      <c r="AB404" s="884"/>
      <c r="AC404" s="547"/>
    </row>
    <row r="405" spans="1:29" ht="15.75" customHeight="1">
      <c r="A405" s="549"/>
      <c r="B405" s="550"/>
      <c r="C405" s="551"/>
      <c r="D405" s="551"/>
      <c r="E405" s="547"/>
      <c r="F405" s="547"/>
      <c r="G405" s="547"/>
      <c r="H405" s="547"/>
      <c r="I405" s="547"/>
      <c r="J405" s="547"/>
      <c r="K405" s="547"/>
      <c r="M405" s="547"/>
      <c r="N405" s="547"/>
      <c r="O405" s="547"/>
      <c r="P405" s="547"/>
      <c r="Q405" s="547"/>
      <c r="R405" s="547"/>
      <c r="S405" s="547"/>
      <c r="T405" s="547"/>
      <c r="U405" s="547"/>
      <c r="V405" s="547"/>
      <c r="W405" s="547"/>
      <c r="X405" s="547"/>
      <c r="Y405" s="547"/>
      <c r="Z405" s="547"/>
      <c r="AA405" s="547"/>
      <c r="AB405" s="884"/>
      <c r="AC405" s="547"/>
    </row>
    <row r="406" spans="1:29" ht="15.75" customHeight="1">
      <c r="A406" s="549"/>
      <c r="B406" s="550"/>
      <c r="C406" s="551"/>
      <c r="D406" s="551"/>
      <c r="E406" s="547"/>
      <c r="F406" s="547"/>
      <c r="G406" s="547"/>
      <c r="H406" s="547"/>
      <c r="I406" s="547"/>
      <c r="J406" s="547"/>
      <c r="K406" s="547"/>
      <c r="M406" s="547"/>
      <c r="N406" s="547"/>
      <c r="O406" s="547"/>
      <c r="P406" s="547"/>
      <c r="Q406" s="547"/>
      <c r="R406" s="547"/>
      <c r="S406" s="547"/>
      <c r="T406" s="547"/>
      <c r="U406" s="547"/>
      <c r="V406" s="547"/>
      <c r="W406" s="547"/>
      <c r="X406" s="547"/>
      <c r="Y406" s="547"/>
      <c r="Z406" s="547"/>
      <c r="AA406" s="547"/>
      <c r="AB406" s="884"/>
      <c r="AC406" s="547"/>
    </row>
    <row r="407" spans="1:29" ht="15.75" customHeight="1">
      <c r="A407" s="549"/>
      <c r="B407" s="550"/>
      <c r="C407" s="551"/>
      <c r="D407" s="551"/>
      <c r="E407" s="547"/>
      <c r="F407" s="547"/>
      <c r="G407" s="547"/>
      <c r="H407" s="547"/>
      <c r="I407" s="547"/>
      <c r="J407" s="547"/>
      <c r="K407" s="547"/>
      <c r="M407" s="547"/>
      <c r="N407" s="547"/>
      <c r="O407" s="547"/>
      <c r="P407" s="547"/>
      <c r="Q407" s="547"/>
      <c r="R407" s="547"/>
      <c r="S407" s="547"/>
      <c r="T407" s="547"/>
      <c r="U407" s="547"/>
      <c r="V407" s="547"/>
      <c r="W407" s="547"/>
      <c r="X407" s="547"/>
      <c r="Y407" s="547"/>
      <c r="Z407" s="547"/>
      <c r="AA407" s="547"/>
      <c r="AB407" s="884"/>
      <c r="AC407" s="547"/>
    </row>
    <row r="408" spans="1:29" ht="15.75" customHeight="1">
      <c r="A408" s="549"/>
      <c r="B408" s="550"/>
      <c r="C408" s="551"/>
      <c r="D408" s="551"/>
      <c r="E408" s="547"/>
      <c r="F408" s="547"/>
      <c r="G408" s="547"/>
      <c r="H408" s="547"/>
      <c r="I408" s="547"/>
      <c r="J408" s="547"/>
      <c r="K408" s="547"/>
      <c r="M408" s="547"/>
      <c r="N408" s="547"/>
      <c r="O408" s="547"/>
      <c r="P408" s="547"/>
      <c r="Q408" s="547"/>
      <c r="R408" s="547"/>
      <c r="S408" s="547"/>
      <c r="T408" s="547"/>
      <c r="U408" s="547"/>
      <c r="V408" s="547"/>
      <c r="W408" s="547"/>
      <c r="X408" s="547"/>
      <c r="Y408" s="547"/>
      <c r="Z408" s="547"/>
      <c r="AA408" s="547"/>
      <c r="AB408" s="884"/>
      <c r="AC408" s="547"/>
    </row>
    <row r="409" spans="1:29" ht="15.75" customHeight="1">
      <c r="A409" s="549"/>
      <c r="B409" s="550"/>
      <c r="C409" s="551"/>
      <c r="D409" s="551"/>
      <c r="E409" s="547"/>
      <c r="F409" s="547"/>
      <c r="G409" s="547"/>
      <c r="H409" s="547"/>
      <c r="I409" s="547"/>
      <c r="J409" s="547"/>
      <c r="K409" s="547"/>
      <c r="M409" s="547"/>
      <c r="N409" s="547"/>
      <c r="O409" s="547"/>
      <c r="P409" s="547"/>
      <c r="Q409" s="547"/>
      <c r="R409" s="547"/>
      <c r="S409" s="547"/>
      <c r="T409" s="547"/>
      <c r="U409" s="547"/>
      <c r="V409" s="547"/>
      <c r="W409" s="547"/>
      <c r="X409" s="547"/>
      <c r="Y409" s="547"/>
      <c r="Z409" s="547"/>
      <c r="AA409" s="547"/>
      <c r="AB409" s="884"/>
      <c r="AC409" s="547"/>
    </row>
    <row r="410" spans="1:29" ht="15.75" customHeight="1">
      <c r="A410" s="549"/>
      <c r="B410" s="550"/>
      <c r="C410" s="551"/>
      <c r="D410" s="551"/>
      <c r="E410" s="547"/>
      <c r="F410" s="547"/>
      <c r="G410" s="547"/>
      <c r="H410" s="547"/>
      <c r="I410" s="547"/>
      <c r="J410" s="547"/>
      <c r="K410" s="547"/>
      <c r="M410" s="547"/>
      <c r="N410" s="547"/>
      <c r="O410" s="547"/>
      <c r="P410" s="547"/>
      <c r="Q410" s="547"/>
      <c r="R410" s="547"/>
      <c r="S410" s="547"/>
      <c r="T410" s="547"/>
      <c r="U410" s="547"/>
      <c r="V410" s="547"/>
      <c r="W410" s="547"/>
      <c r="X410" s="547"/>
      <c r="Y410" s="547"/>
      <c r="Z410" s="547"/>
      <c r="AA410" s="547"/>
      <c r="AB410" s="884"/>
      <c r="AC410" s="547"/>
    </row>
    <row r="411" spans="1:29" ht="15.75" customHeight="1">
      <c r="A411" s="549"/>
      <c r="B411" s="550"/>
      <c r="C411" s="551"/>
      <c r="D411" s="551"/>
      <c r="E411" s="547"/>
      <c r="F411" s="547"/>
      <c r="G411" s="547"/>
      <c r="H411" s="547"/>
      <c r="I411" s="547"/>
      <c r="J411" s="547"/>
      <c r="K411" s="547"/>
      <c r="M411" s="547"/>
      <c r="N411" s="547"/>
      <c r="O411" s="547"/>
      <c r="P411" s="547"/>
      <c r="Q411" s="547"/>
      <c r="R411" s="547"/>
      <c r="S411" s="547"/>
      <c r="T411" s="547"/>
      <c r="U411" s="547"/>
      <c r="V411" s="547"/>
      <c r="W411" s="547"/>
      <c r="X411" s="547"/>
      <c r="Y411" s="547"/>
      <c r="Z411" s="547"/>
      <c r="AA411" s="547"/>
      <c r="AB411" s="884"/>
      <c r="AC411" s="547"/>
    </row>
    <row r="412" spans="1:29" ht="15.75" customHeight="1">
      <c r="A412" s="549"/>
      <c r="B412" s="550"/>
      <c r="C412" s="551"/>
      <c r="D412" s="551"/>
      <c r="E412" s="547"/>
      <c r="F412" s="547"/>
      <c r="G412" s="547"/>
      <c r="H412" s="547"/>
      <c r="I412" s="547"/>
      <c r="J412" s="547"/>
      <c r="K412" s="547"/>
      <c r="M412" s="547"/>
      <c r="N412" s="547"/>
      <c r="O412" s="547"/>
      <c r="P412" s="547"/>
      <c r="Q412" s="547"/>
      <c r="R412" s="547"/>
      <c r="S412" s="547"/>
      <c r="T412" s="547"/>
      <c r="U412" s="547"/>
      <c r="V412" s="547"/>
      <c r="W412" s="547"/>
      <c r="X412" s="547"/>
      <c r="Y412" s="547"/>
      <c r="Z412" s="547"/>
      <c r="AA412" s="547"/>
      <c r="AB412" s="884"/>
      <c r="AC412" s="547"/>
    </row>
    <row r="413" spans="1:29" ht="15.75" customHeight="1">
      <c r="A413" s="549"/>
      <c r="B413" s="550"/>
      <c r="C413" s="551"/>
      <c r="D413" s="551"/>
      <c r="E413" s="547"/>
      <c r="F413" s="547"/>
      <c r="G413" s="547"/>
      <c r="H413" s="547"/>
      <c r="I413" s="547"/>
      <c r="J413" s="547"/>
      <c r="K413" s="547"/>
      <c r="M413" s="547"/>
      <c r="N413" s="547"/>
      <c r="O413" s="547"/>
      <c r="P413" s="547"/>
      <c r="Q413" s="547"/>
      <c r="R413" s="547"/>
      <c r="S413" s="547"/>
      <c r="T413" s="547"/>
      <c r="U413" s="547"/>
      <c r="V413" s="547"/>
      <c r="W413" s="547"/>
      <c r="X413" s="547"/>
      <c r="Y413" s="547"/>
      <c r="Z413" s="547"/>
      <c r="AA413" s="547"/>
      <c r="AB413" s="884"/>
      <c r="AC413" s="547"/>
    </row>
    <row r="414" spans="1:29" ht="15.75" customHeight="1">
      <c r="A414" s="549"/>
      <c r="B414" s="550"/>
      <c r="C414" s="551"/>
      <c r="D414" s="551"/>
      <c r="E414" s="547"/>
      <c r="F414" s="547"/>
      <c r="G414" s="547"/>
      <c r="H414" s="547"/>
      <c r="I414" s="547"/>
      <c r="J414" s="547"/>
      <c r="K414" s="547"/>
      <c r="M414" s="547"/>
      <c r="N414" s="547"/>
      <c r="O414" s="547"/>
      <c r="P414" s="547"/>
      <c r="Q414" s="547"/>
      <c r="R414" s="547"/>
      <c r="S414" s="547"/>
      <c r="T414" s="547"/>
      <c r="U414" s="547"/>
      <c r="V414" s="547"/>
      <c r="W414" s="547"/>
      <c r="X414" s="547"/>
      <c r="Y414" s="547"/>
      <c r="Z414" s="547"/>
      <c r="AA414" s="547"/>
      <c r="AB414" s="884"/>
      <c r="AC414" s="547"/>
    </row>
    <row r="415" spans="1:29" ht="15.75" customHeight="1">
      <c r="A415" s="549"/>
      <c r="B415" s="550"/>
      <c r="C415" s="551"/>
      <c r="D415" s="551"/>
      <c r="E415" s="547"/>
      <c r="F415" s="547"/>
      <c r="G415" s="547"/>
      <c r="H415" s="547"/>
      <c r="I415" s="547"/>
      <c r="J415" s="547"/>
      <c r="K415" s="547"/>
      <c r="M415" s="547"/>
      <c r="N415" s="547"/>
      <c r="O415" s="547"/>
      <c r="P415" s="547"/>
      <c r="Q415" s="547"/>
      <c r="R415" s="547"/>
      <c r="S415" s="547"/>
      <c r="T415" s="547"/>
      <c r="U415" s="547"/>
      <c r="V415" s="547"/>
      <c r="W415" s="547"/>
      <c r="X415" s="547"/>
      <c r="Y415" s="547"/>
      <c r="Z415" s="547"/>
      <c r="AA415" s="547"/>
      <c r="AB415" s="884"/>
      <c r="AC415" s="547"/>
    </row>
    <row r="416" spans="1:29" ht="15.75" customHeight="1">
      <c r="A416" s="549"/>
      <c r="B416" s="550"/>
      <c r="C416" s="551"/>
      <c r="D416" s="551"/>
      <c r="E416" s="547"/>
      <c r="F416" s="547"/>
      <c r="G416" s="547"/>
      <c r="H416" s="547"/>
      <c r="I416" s="547"/>
      <c r="J416" s="547"/>
      <c r="K416" s="547"/>
      <c r="M416" s="547"/>
      <c r="N416" s="547"/>
      <c r="O416" s="547"/>
      <c r="P416" s="547"/>
      <c r="Q416" s="547"/>
      <c r="R416" s="547"/>
      <c r="S416" s="547"/>
      <c r="T416" s="547"/>
      <c r="U416" s="547"/>
      <c r="V416" s="547"/>
      <c r="W416" s="547"/>
      <c r="X416" s="547"/>
      <c r="Y416" s="547"/>
      <c r="Z416" s="547"/>
      <c r="AA416" s="547"/>
      <c r="AB416" s="884"/>
      <c r="AC416" s="547"/>
    </row>
    <row r="417" spans="1:29" ht="15.75" customHeight="1">
      <c r="A417" s="549"/>
      <c r="B417" s="550"/>
      <c r="C417" s="551"/>
      <c r="D417" s="551"/>
      <c r="E417" s="547"/>
      <c r="F417" s="547"/>
      <c r="G417" s="547"/>
      <c r="H417" s="547"/>
      <c r="I417" s="547"/>
      <c r="J417" s="547"/>
      <c r="K417" s="547"/>
      <c r="M417" s="547"/>
      <c r="N417" s="547"/>
      <c r="O417" s="547"/>
      <c r="P417" s="547"/>
      <c r="Q417" s="547"/>
      <c r="R417" s="547"/>
      <c r="S417" s="547"/>
      <c r="T417" s="547"/>
      <c r="U417" s="547"/>
      <c r="V417" s="547"/>
      <c r="W417" s="547"/>
      <c r="X417" s="547"/>
      <c r="Y417" s="547"/>
      <c r="Z417" s="547"/>
      <c r="AA417" s="547"/>
      <c r="AB417" s="884"/>
      <c r="AC417" s="547"/>
    </row>
    <row r="418" spans="1:29" ht="15.75" customHeight="1">
      <c r="A418" s="549"/>
      <c r="B418" s="550"/>
      <c r="C418" s="551"/>
      <c r="D418" s="551"/>
      <c r="E418" s="547"/>
      <c r="F418" s="547"/>
      <c r="G418" s="547"/>
      <c r="H418" s="547"/>
      <c r="I418" s="547"/>
      <c r="J418" s="547"/>
      <c r="K418" s="547"/>
      <c r="M418" s="547"/>
      <c r="N418" s="547"/>
      <c r="O418" s="547"/>
      <c r="P418" s="547"/>
      <c r="Q418" s="547"/>
      <c r="R418" s="547"/>
      <c r="S418" s="547"/>
      <c r="T418" s="547"/>
      <c r="U418" s="547"/>
      <c r="V418" s="547"/>
      <c r="W418" s="547"/>
      <c r="X418" s="547"/>
      <c r="Y418" s="547"/>
      <c r="Z418" s="547"/>
      <c r="AA418" s="547"/>
      <c r="AB418" s="884"/>
      <c r="AC418" s="547"/>
    </row>
    <row r="419" spans="1:29" ht="15.75" customHeight="1">
      <c r="A419" s="549"/>
      <c r="B419" s="550"/>
      <c r="C419" s="551"/>
      <c r="D419" s="551"/>
      <c r="E419" s="547"/>
      <c r="F419" s="547"/>
      <c r="G419" s="547"/>
      <c r="H419" s="547"/>
      <c r="I419" s="547"/>
      <c r="J419" s="547"/>
      <c r="K419" s="547"/>
      <c r="M419" s="547"/>
      <c r="N419" s="547"/>
      <c r="O419" s="547"/>
      <c r="P419" s="547"/>
      <c r="Q419" s="547"/>
      <c r="R419" s="547"/>
      <c r="S419" s="547"/>
      <c r="T419" s="547"/>
      <c r="U419" s="547"/>
      <c r="V419" s="547"/>
      <c r="W419" s="547"/>
      <c r="X419" s="547"/>
      <c r="Y419" s="547"/>
      <c r="Z419" s="547"/>
      <c r="AA419" s="547"/>
      <c r="AB419" s="884"/>
      <c r="AC419" s="547"/>
    </row>
    <row r="420" spans="1:29" ht="15.75" customHeight="1">
      <c r="A420" s="549"/>
      <c r="B420" s="550"/>
      <c r="C420" s="551"/>
      <c r="D420" s="551"/>
      <c r="E420" s="547"/>
      <c r="F420" s="547"/>
      <c r="G420" s="547"/>
      <c r="H420" s="547"/>
      <c r="I420" s="547"/>
      <c r="J420" s="547"/>
      <c r="K420" s="547"/>
      <c r="M420" s="547"/>
      <c r="N420" s="547"/>
      <c r="O420" s="547"/>
      <c r="P420" s="547"/>
      <c r="Q420" s="547"/>
      <c r="R420" s="547"/>
      <c r="S420" s="547"/>
      <c r="T420" s="547"/>
      <c r="U420" s="547"/>
      <c r="V420" s="547"/>
      <c r="W420" s="547"/>
      <c r="X420" s="547"/>
      <c r="Y420" s="547"/>
      <c r="Z420" s="547"/>
      <c r="AA420" s="547"/>
      <c r="AB420" s="884"/>
      <c r="AC420" s="547"/>
    </row>
    <row r="421" spans="1:29" ht="15.75" customHeight="1">
      <c r="A421" s="549"/>
      <c r="B421" s="550"/>
      <c r="C421" s="551"/>
      <c r="D421" s="551"/>
      <c r="E421" s="547"/>
      <c r="F421" s="547"/>
      <c r="G421" s="547"/>
      <c r="H421" s="547"/>
      <c r="I421" s="547"/>
      <c r="J421" s="547"/>
      <c r="K421" s="547"/>
      <c r="M421" s="547"/>
      <c r="N421" s="547"/>
      <c r="O421" s="547"/>
      <c r="P421" s="547"/>
      <c r="Q421" s="547"/>
      <c r="R421" s="547"/>
      <c r="S421" s="547"/>
      <c r="T421" s="547"/>
      <c r="U421" s="547"/>
      <c r="V421" s="547"/>
      <c r="W421" s="547"/>
      <c r="X421" s="547"/>
      <c r="Y421" s="547"/>
      <c r="Z421" s="547"/>
      <c r="AA421" s="547"/>
      <c r="AB421" s="884"/>
      <c r="AC421" s="547"/>
    </row>
    <row r="422" spans="1:29" ht="15.75" customHeight="1">
      <c r="A422" s="549"/>
      <c r="B422" s="550"/>
      <c r="C422" s="551"/>
      <c r="D422" s="551"/>
      <c r="E422" s="547"/>
      <c r="F422" s="547"/>
      <c r="G422" s="547"/>
      <c r="H422" s="547"/>
      <c r="I422" s="547"/>
      <c r="J422" s="547"/>
      <c r="K422" s="547"/>
      <c r="M422" s="547"/>
      <c r="N422" s="547"/>
      <c r="O422" s="547"/>
      <c r="P422" s="547"/>
      <c r="Q422" s="547"/>
      <c r="R422" s="547"/>
      <c r="S422" s="547"/>
      <c r="T422" s="547"/>
      <c r="U422" s="547"/>
      <c r="V422" s="547"/>
      <c r="W422" s="547"/>
      <c r="X422" s="547"/>
      <c r="Y422" s="547"/>
      <c r="Z422" s="547"/>
      <c r="AA422" s="547"/>
      <c r="AB422" s="884"/>
      <c r="AC422" s="547"/>
    </row>
    <row r="423" spans="1:29" ht="15.75" customHeight="1">
      <c r="A423" s="549"/>
      <c r="B423" s="550"/>
      <c r="C423" s="551"/>
      <c r="D423" s="551"/>
      <c r="E423" s="547"/>
      <c r="F423" s="547"/>
      <c r="G423" s="547"/>
      <c r="H423" s="547"/>
      <c r="I423" s="547"/>
      <c r="J423" s="547"/>
      <c r="K423" s="547"/>
      <c r="M423" s="547"/>
      <c r="N423" s="547"/>
      <c r="O423" s="547"/>
      <c r="P423" s="547"/>
      <c r="Q423" s="547"/>
      <c r="R423" s="547"/>
      <c r="S423" s="547"/>
      <c r="T423" s="547"/>
      <c r="U423" s="547"/>
      <c r="V423" s="547"/>
      <c r="W423" s="547"/>
      <c r="X423" s="547"/>
      <c r="Y423" s="547"/>
      <c r="Z423" s="547"/>
      <c r="AA423" s="547"/>
      <c r="AB423" s="884"/>
      <c r="AC423" s="547"/>
    </row>
    <row r="424" spans="1:29" ht="15.75" customHeight="1">
      <c r="A424" s="549"/>
      <c r="B424" s="550"/>
      <c r="C424" s="551"/>
      <c r="D424" s="551"/>
      <c r="E424" s="547"/>
      <c r="F424" s="547"/>
      <c r="G424" s="547"/>
      <c r="H424" s="547"/>
      <c r="I424" s="547"/>
      <c r="J424" s="547"/>
      <c r="K424" s="547"/>
      <c r="M424" s="547"/>
      <c r="N424" s="547"/>
      <c r="O424" s="547"/>
      <c r="P424" s="547"/>
      <c r="Q424" s="547"/>
      <c r="R424" s="547"/>
      <c r="S424" s="547"/>
      <c r="T424" s="547"/>
      <c r="U424" s="547"/>
      <c r="V424" s="547"/>
      <c r="W424" s="547"/>
      <c r="X424" s="547"/>
      <c r="Y424" s="547"/>
      <c r="Z424" s="547"/>
      <c r="AA424" s="547"/>
      <c r="AB424" s="884"/>
      <c r="AC424" s="547"/>
    </row>
    <row r="425" spans="1:29" ht="15.75" customHeight="1">
      <c r="A425" s="549"/>
      <c r="B425" s="550"/>
      <c r="C425" s="551"/>
      <c r="D425" s="551"/>
      <c r="E425" s="547"/>
      <c r="F425" s="547"/>
      <c r="G425" s="547"/>
      <c r="H425" s="547"/>
      <c r="I425" s="547"/>
      <c r="J425" s="547"/>
      <c r="K425" s="547"/>
      <c r="M425" s="547"/>
      <c r="N425" s="547"/>
      <c r="O425" s="547"/>
      <c r="P425" s="547"/>
      <c r="Q425" s="547"/>
      <c r="R425" s="547"/>
      <c r="S425" s="547"/>
      <c r="T425" s="547"/>
      <c r="U425" s="547"/>
      <c r="V425" s="547"/>
      <c r="W425" s="547"/>
      <c r="X425" s="547"/>
      <c r="Y425" s="547"/>
      <c r="Z425" s="547"/>
      <c r="AA425" s="547"/>
      <c r="AB425" s="884"/>
      <c r="AC425" s="547"/>
    </row>
    <row r="426" spans="1:29" ht="15.75" customHeight="1">
      <c r="A426" s="549"/>
      <c r="B426" s="550"/>
      <c r="C426" s="551"/>
      <c r="D426" s="551"/>
      <c r="E426" s="547"/>
      <c r="F426" s="547"/>
      <c r="G426" s="547"/>
      <c r="H426" s="547"/>
      <c r="I426" s="547"/>
      <c r="J426" s="547"/>
      <c r="K426" s="547"/>
      <c r="M426" s="547"/>
      <c r="N426" s="547"/>
      <c r="O426" s="547"/>
      <c r="P426" s="547"/>
      <c r="Q426" s="547"/>
      <c r="R426" s="547"/>
      <c r="S426" s="547"/>
      <c r="T426" s="547"/>
      <c r="U426" s="547"/>
      <c r="V426" s="547"/>
      <c r="W426" s="547"/>
      <c r="X426" s="547"/>
      <c r="Y426" s="547"/>
      <c r="Z426" s="547"/>
      <c r="AA426" s="547"/>
      <c r="AB426" s="884"/>
      <c r="AC426" s="547"/>
    </row>
    <row r="427" spans="1:29" ht="15.75" customHeight="1">
      <c r="A427" s="549"/>
      <c r="B427" s="550"/>
      <c r="C427" s="551"/>
      <c r="D427" s="551"/>
      <c r="E427" s="547"/>
      <c r="F427" s="547"/>
      <c r="G427" s="547"/>
      <c r="H427" s="547"/>
      <c r="I427" s="547"/>
      <c r="J427" s="547"/>
      <c r="K427" s="547"/>
      <c r="M427" s="547"/>
      <c r="N427" s="547"/>
      <c r="O427" s="547"/>
      <c r="P427" s="547"/>
      <c r="Q427" s="547"/>
      <c r="R427" s="547"/>
      <c r="S427" s="547"/>
      <c r="T427" s="547"/>
      <c r="U427" s="547"/>
      <c r="V427" s="547"/>
      <c r="W427" s="547"/>
      <c r="X427" s="547"/>
      <c r="Y427" s="547"/>
      <c r="Z427" s="547"/>
      <c r="AA427" s="547"/>
      <c r="AB427" s="884"/>
      <c r="AC427" s="547"/>
    </row>
    <row r="428" spans="1:29" ht="15.75" customHeight="1">
      <c r="A428" s="549"/>
      <c r="B428" s="550"/>
      <c r="C428" s="551"/>
      <c r="D428" s="551"/>
      <c r="E428" s="547"/>
      <c r="F428" s="547"/>
      <c r="G428" s="547"/>
      <c r="H428" s="547"/>
      <c r="I428" s="547"/>
      <c r="J428" s="547"/>
      <c r="K428" s="547"/>
      <c r="M428" s="547"/>
      <c r="N428" s="547"/>
      <c r="O428" s="547"/>
      <c r="P428" s="547"/>
      <c r="Q428" s="547"/>
      <c r="R428" s="547"/>
      <c r="S428" s="547"/>
      <c r="T428" s="547"/>
      <c r="U428" s="547"/>
      <c r="V428" s="547"/>
      <c r="W428" s="547"/>
      <c r="X428" s="547"/>
      <c r="Y428" s="547"/>
      <c r="Z428" s="547"/>
      <c r="AA428" s="547"/>
      <c r="AB428" s="884"/>
      <c r="AC428" s="547"/>
    </row>
    <row r="429" spans="1:29" ht="15.75" customHeight="1">
      <c r="A429" s="549"/>
      <c r="B429" s="550"/>
      <c r="C429" s="551"/>
      <c r="D429" s="551"/>
      <c r="E429" s="547"/>
      <c r="F429" s="547"/>
      <c r="G429" s="547"/>
      <c r="H429" s="547"/>
      <c r="I429" s="547"/>
      <c r="J429" s="547"/>
      <c r="K429" s="547"/>
      <c r="M429" s="547"/>
      <c r="N429" s="547"/>
      <c r="O429" s="547"/>
      <c r="P429" s="547"/>
      <c r="Q429" s="547"/>
      <c r="R429" s="547"/>
      <c r="S429" s="547"/>
      <c r="T429" s="547"/>
      <c r="U429" s="547"/>
      <c r="V429" s="547"/>
      <c r="W429" s="547"/>
      <c r="X429" s="547"/>
      <c r="Y429" s="547"/>
      <c r="Z429" s="547"/>
      <c r="AA429" s="547"/>
      <c r="AB429" s="884"/>
      <c r="AC429" s="547"/>
    </row>
    <row r="430" spans="1:29" ht="15.75" customHeight="1">
      <c r="A430" s="549"/>
      <c r="B430" s="550"/>
      <c r="C430" s="551"/>
      <c r="D430" s="551"/>
      <c r="E430" s="547"/>
      <c r="F430" s="547"/>
      <c r="G430" s="547"/>
      <c r="H430" s="547"/>
      <c r="I430" s="547"/>
      <c r="J430" s="547"/>
      <c r="K430" s="547"/>
      <c r="M430" s="547"/>
      <c r="N430" s="547"/>
      <c r="O430" s="547"/>
      <c r="P430" s="547"/>
      <c r="Q430" s="547"/>
      <c r="R430" s="547"/>
      <c r="S430" s="547"/>
      <c r="T430" s="547"/>
      <c r="U430" s="547"/>
      <c r="V430" s="547"/>
      <c r="W430" s="547"/>
      <c r="X430" s="547"/>
      <c r="Y430" s="547"/>
      <c r="Z430" s="547"/>
      <c r="AA430" s="547"/>
      <c r="AB430" s="884"/>
      <c r="AC430" s="547"/>
    </row>
    <row r="431" spans="1:29" ht="15.75" customHeight="1">
      <c r="A431" s="549"/>
      <c r="B431" s="550"/>
      <c r="C431" s="551"/>
      <c r="D431" s="551"/>
      <c r="E431" s="547"/>
      <c r="F431" s="547"/>
      <c r="G431" s="547"/>
      <c r="H431" s="547"/>
      <c r="I431" s="547"/>
      <c r="J431" s="547"/>
      <c r="K431" s="547"/>
      <c r="M431" s="547"/>
      <c r="N431" s="547"/>
      <c r="O431" s="547"/>
      <c r="P431" s="547"/>
      <c r="Q431" s="547"/>
      <c r="R431" s="547"/>
      <c r="S431" s="547"/>
      <c r="T431" s="547"/>
      <c r="U431" s="547"/>
      <c r="V431" s="547"/>
      <c r="W431" s="547"/>
      <c r="X431" s="547"/>
      <c r="Y431" s="547"/>
      <c r="Z431" s="547"/>
      <c r="AA431" s="547"/>
      <c r="AB431" s="884"/>
      <c r="AC431" s="547"/>
    </row>
    <row r="432" spans="1:29" ht="15.75" customHeight="1">
      <c r="A432" s="549"/>
      <c r="B432" s="550"/>
      <c r="C432" s="551"/>
      <c r="D432" s="551"/>
      <c r="E432" s="547"/>
      <c r="F432" s="547"/>
      <c r="G432" s="547"/>
      <c r="H432" s="547"/>
      <c r="I432" s="547"/>
      <c r="J432" s="547"/>
      <c r="K432" s="547"/>
      <c r="M432" s="547"/>
      <c r="N432" s="547"/>
      <c r="O432" s="547"/>
      <c r="P432" s="547"/>
      <c r="Q432" s="547"/>
      <c r="R432" s="547"/>
      <c r="S432" s="547"/>
      <c r="T432" s="547"/>
      <c r="U432" s="547"/>
      <c r="V432" s="547"/>
      <c r="W432" s="547"/>
      <c r="X432" s="547"/>
      <c r="Y432" s="547"/>
      <c r="Z432" s="547"/>
      <c r="AA432" s="547"/>
      <c r="AB432" s="884"/>
      <c r="AC432" s="547"/>
    </row>
    <row r="433" spans="1:29" ht="15.75" customHeight="1">
      <c r="A433" s="549"/>
      <c r="B433" s="550"/>
      <c r="C433" s="551"/>
      <c r="D433" s="551"/>
      <c r="E433" s="547"/>
      <c r="F433" s="547"/>
      <c r="G433" s="547"/>
      <c r="H433" s="547"/>
      <c r="I433" s="547"/>
      <c r="J433" s="547"/>
      <c r="K433" s="547"/>
      <c r="M433" s="547"/>
      <c r="N433" s="547"/>
      <c r="O433" s="547"/>
      <c r="P433" s="547"/>
      <c r="Q433" s="547"/>
      <c r="R433" s="547"/>
      <c r="S433" s="547"/>
      <c r="T433" s="547"/>
      <c r="U433" s="547"/>
      <c r="V433" s="547"/>
      <c r="W433" s="547"/>
      <c r="X433" s="547"/>
      <c r="Y433" s="547"/>
      <c r="Z433" s="547"/>
      <c r="AA433" s="547"/>
      <c r="AB433" s="884"/>
      <c r="AC433" s="547"/>
    </row>
    <row r="434" spans="1:29" ht="15.75" customHeight="1">
      <c r="A434" s="549"/>
      <c r="B434" s="550"/>
      <c r="C434" s="551"/>
      <c r="D434" s="551"/>
      <c r="E434" s="547"/>
      <c r="F434" s="547"/>
      <c r="G434" s="547"/>
      <c r="H434" s="547"/>
      <c r="I434" s="547"/>
      <c r="J434" s="547"/>
      <c r="K434" s="547"/>
      <c r="M434" s="547"/>
      <c r="N434" s="547"/>
      <c r="O434" s="547"/>
      <c r="P434" s="547"/>
      <c r="Q434" s="547"/>
      <c r="R434" s="547"/>
      <c r="S434" s="547"/>
      <c r="T434" s="547"/>
      <c r="U434" s="547"/>
      <c r="V434" s="547"/>
      <c r="W434" s="547"/>
      <c r="X434" s="547"/>
      <c r="Y434" s="547"/>
      <c r="Z434" s="547"/>
      <c r="AA434" s="547"/>
      <c r="AB434" s="884"/>
      <c r="AC434" s="547"/>
    </row>
    <row r="435" spans="1:29" ht="15.75" customHeight="1">
      <c r="A435" s="549"/>
      <c r="B435" s="550"/>
      <c r="C435" s="551"/>
      <c r="D435" s="551"/>
      <c r="E435" s="547"/>
      <c r="F435" s="547"/>
      <c r="G435" s="547"/>
      <c r="H435" s="547"/>
      <c r="I435" s="547"/>
      <c r="J435" s="547"/>
      <c r="K435" s="547"/>
      <c r="M435" s="547"/>
      <c r="N435" s="547"/>
      <c r="O435" s="547"/>
      <c r="P435" s="547"/>
      <c r="Q435" s="547"/>
      <c r="R435" s="547"/>
      <c r="S435" s="547"/>
      <c r="T435" s="547"/>
      <c r="U435" s="547"/>
      <c r="V435" s="547"/>
      <c r="W435" s="547"/>
      <c r="X435" s="547"/>
      <c r="Y435" s="547"/>
      <c r="Z435" s="547"/>
      <c r="AA435" s="547"/>
      <c r="AB435" s="884"/>
      <c r="AC435" s="547"/>
    </row>
    <row r="436" spans="1:29" ht="15.75" customHeight="1">
      <c r="A436" s="549"/>
      <c r="B436" s="550"/>
      <c r="C436" s="551"/>
      <c r="D436" s="551"/>
      <c r="E436" s="547"/>
      <c r="F436" s="547"/>
      <c r="G436" s="547"/>
      <c r="H436" s="547"/>
      <c r="I436" s="547"/>
      <c r="J436" s="547"/>
      <c r="K436" s="547"/>
      <c r="M436" s="547"/>
      <c r="N436" s="547"/>
      <c r="O436" s="547"/>
      <c r="P436" s="547"/>
      <c r="Q436" s="547"/>
      <c r="R436" s="547"/>
      <c r="S436" s="547"/>
      <c r="T436" s="547"/>
      <c r="U436" s="547"/>
      <c r="V436" s="547"/>
      <c r="W436" s="547"/>
      <c r="X436" s="547"/>
      <c r="Y436" s="547"/>
      <c r="Z436" s="547"/>
      <c r="AA436" s="547"/>
      <c r="AB436" s="884"/>
      <c r="AC436" s="547"/>
    </row>
    <row r="437" spans="1:29" ht="15.75" customHeight="1">
      <c r="A437" s="549"/>
      <c r="B437" s="550"/>
      <c r="C437" s="551"/>
      <c r="D437" s="551"/>
      <c r="E437" s="547"/>
      <c r="F437" s="547"/>
      <c r="G437" s="547"/>
      <c r="H437" s="547"/>
      <c r="I437" s="547"/>
      <c r="J437" s="547"/>
      <c r="K437" s="547"/>
      <c r="M437" s="547"/>
      <c r="N437" s="547"/>
      <c r="O437" s="547"/>
      <c r="P437" s="547"/>
      <c r="Q437" s="547"/>
      <c r="R437" s="547"/>
      <c r="S437" s="547"/>
      <c r="T437" s="547"/>
      <c r="U437" s="547"/>
      <c r="V437" s="547"/>
      <c r="W437" s="547"/>
      <c r="X437" s="547"/>
      <c r="Y437" s="547"/>
      <c r="Z437" s="547"/>
      <c r="AA437" s="547"/>
      <c r="AB437" s="884"/>
      <c r="AC437" s="547"/>
    </row>
    <row r="438" spans="1:29" ht="15.75" customHeight="1">
      <c r="A438" s="549"/>
      <c r="B438" s="550"/>
      <c r="C438" s="551"/>
      <c r="D438" s="551"/>
      <c r="E438" s="547"/>
      <c r="F438" s="547"/>
      <c r="G438" s="547"/>
      <c r="H438" s="547"/>
      <c r="I438" s="547"/>
      <c r="J438" s="547"/>
      <c r="K438" s="547"/>
      <c r="M438" s="547"/>
      <c r="N438" s="547"/>
      <c r="O438" s="547"/>
      <c r="P438" s="547"/>
      <c r="Q438" s="547"/>
      <c r="R438" s="547"/>
      <c r="S438" s="547"/>
      <c r="T438" s="547"/>
      <c r="U438" s="547"/>
      <c r="V438" s="547"/>
      <c r="W438" s="547"/>
      <c r="X438" s="547"/>
      <c r="Y438" s="547"/>
      <c r="Z438" s="547"/>
      <c r="AA438" s="547"/>
      <c r="AB438" s="884"/>
      <c r="AC438" s="547"/>
    </row>
    <row r="439" spans="1:29" ht="15.75" customHeight="1">
      <c r="A439" s="549"/>
      <c r="B439" s="550"/>
      <c r="C439" s="551"/>
      <c r="D439" s="551"/>
      <c r="E439" s="547"/>
      <c r="F439" s="547"/>
      <c r="G439" s="547"/>
      <c r="H439" s="547"/>
      <c r="I439" s="547"/>
      <c r="J439" s="547"/>
      <c r="K439" s="547"/>
      <c r="M439" s="547"/>
      <c r="N439" s="547"/>
      <c r="O439" s="547"/>
      <c r="P439" s="547"/>
      <c r="Q439" s="547"/>
      <c r="R439" s="547"/>
      <c r="S439" s="547"/>
      <c r="T439" s="547"/>
      <c r="U439" s="547"/>
      <c r="V439" s="547"/>
      <c r="W439" s="547"/>
      <c r="X439" s="547"/>
      <c r="Y439" s="547"/>
      <c r="Z439" s="547"/>
      <c r="AA439" s="547"/>
      <c r="AB439" s="884"/>
      <c r="AC439" s="547"/>
    </row>
    <row r="440" spans="1:29" ht="15.75" customHeight="1">
      <c r="A440" s="549"/>
      <c r="B440" s="550"/>
      <c r="C440" s="551"/>
      <c r="D440" s="551"/>
      <c r="E440" s="547"/>
      <c r="F440" s="547"/>
      <c r="G440" s="547"/>
      <c r="H440" s="547"/>
      <c r="I440" s="547"/>
      <c r="J440" s="547"/>
      <c r="K440" s="547"/>
      <c r="M440" s="547"/>
      <c r="N440" s="547"/>
      <c r="O440" s="547"/>
      <c r="P440" s="547"/>
      <c r="Q440" s="547"/>
      <c r="R440" s="547"/>
      <c r="S440" s="547"/>
      <c r="T440" s="547"/>
      <c r="U440" s="547"/>
      <c r="V440" s="547"/>
      <c r="W440" s="547"/>
      <c r="X440" s="547"/>
      <c r="Y440" s="547"/>
      <c r="Z440" s="547"/>
      <c r="AA440" s="547"/>
      <c r="AB440" s="884"/>
      <c r="AC440" s="547"/>
    </row>
    <row r="441" spans="1:29" ht="15.75" customHeight="1">
      <c r="A441" s="549"/>
      <c r="B441" s="550"/>
      <c r="C441" s="551"/>
      <c r="D441" s="551"/>
      <c r="E441" s="547"/>
      <c r="F441" s="547"/>
      <c r="G441" s="547"/>
      <c r="H441" s="547"/>
      <c r="I441" s="547"/>
      <c r="J441" s="547"/>
      <c r="K441" s="547"/>
      <c r="M441" s="547"/>
      <c r="N441" s="547"/>
      <c r="O441" s="547"/>
      <c r="P441" s="547"/>
      <c r="Q441" s="547"/>
      <c r="R441" s="547"/>
      <c r="S441" s="547"/>
      <c r="T441" s="547"/>
      <c r="U441" s="547"/>
      <c r="V441" s="547"/>
      <c r="W441" s="547"/>
      <c r="X441" s="547"/>
      <c r="Y441" s="547"/>
      <c r="Z441" s="547"/>
      <c r="AA441" s="547"/>
      <c r="AB441" s="884"/>
      <c r="AC441" s="547"/>
    </row>
    <row r="442" spans="1:29" ht="15.75" customHeight="1">
      <c r="A442" s="549"/>
      <c r="B442" s="550"/>
      <c r="C442" s="551"/>
      <c r="D442" s="551"/>
      <c r="E442" s="547"/>
      <c r="F442" s="547"/>
      <c r="G442" s="547"/>
      <c r="H442" s="547"/>
      <c r="I442" s="547"/>
      <c r="J442" s="547"/>
      <c r="K442" s="547"/>
      <c r="M442" s="547"/>
      <c r="N442" s="547"/>
      <c r="O442" s="547"/>
      <c r="P442" s="547"/>
      <c r="Q442" s="547"/>
      <c r="R442" s="547"/>
      <c r="S442" s="547"/>
      <c r="T442" s="547"/>
      <c r="U442" s="547"/>
      <c r="V442" s="547"/>
      <c r="W442" s="547"/>
      <c r="X442" s="547"/>
      <c r="Y442" s="547"/>
      <c r="Z442" s="547"/>
      <c r="AA442" s="547"/>
      <c r="AB442" s="884"/>
      <c r="AC442" s="547"/>
    </row>
    <row r="443" spans="1:29" ht="15.75" customHeight="1">
      <c r="A443" s="549"/>
      <c r="B443" s="550"/>
      <c r="C443" s="551"/>
      <c r="D443" s="551"/>
      <c r="E443" s="547"/>
      <c r="F443" s="547"/>
      <c r="G443" s="547"/>
      <c r="H443" s="547"/>
      <c r="I443" s="547"/>
      <c r="J443" s="547"/>
      <c r="K443" s="547"/>
      <c r="M443" s="547"/>
      <c r="N443" s="547"/>
      <c r="O443" s="547"/>
      <c r="P443" s="547"/>
      <c r="Q443" s="547"/>
      <c r="R443" s="547"/>
      <c r="S443" s="547"/>
      <c r="T443" s="547"/>
      <c r="U443" s="547"/>
      <c r="V443" s="547"/>
      <c r="W443" s="547"/>
      <c r="X443" s="547"/>
      <c r="Y443" s="547"/>
      <c r="Z443" s="547"/>
      <c r="AA443" s="547"/>
      <c r="AB443" s="884"/>
      <c r="AC443" s="547"/>
    </row>
    <row r="444" spans="1:29" ht="15.75" customHeight="1">
      <c r="A444" s="549"/>
      <c r="B444" s="550"/>
      <c r="C444" s="551"/>
      <c r="D444" s="551"/>
      <c r="E444" s="547"/>
      <c r="F444" s="547"/>
      <c r="G444" s="547"/>
      <c r="H444" s="547"/>
      <c r="I444" s="547"/>
      <c r="J444" s="547"/>
      <c r="K444" s="547"/>
      <c r="M444" s="547"/>
      <c r="N444" s="547"/>
      <c r="O444" s="547"/>
      <c r="P444" s="547"/>
      <c r="Q444" s="547"/>
      <c r="R444" s="547"/>
      <c r="S444" s="547"/>
      <c r="T444" s="547"/>
      <c r="U444" s="547"/>
      <c r="V444" s="547"/>
      <c r="W444" s="547"/>
      <c r="X444" s="547"/>
      <c r="Y444" s="547"/>
      <c r="Z444" s="547"/>
      <c r="AA444" s="547"/>
      <c r="AB444" s="884"/>
      <c r="AC444" s="547"/>
    </row>
    <row r="445" spans="1:29" ht="15.75" customHeight="1">
      <c r="A445" s="549"/>
      <c r="B445" s="550"/>
      <c r="C445" s="551"/>
      <c r="D445" s="551"/>
      <c r="E445" s="547"/>
      <c r="F445" s="547"/>
      <c r="G445" s="547"/>
      <c r="H445" s="547"/>
      <c r="I445" s="547"/>
      <c r="J445" s="547"/>
      <c r="K445" s="547"/>
      <c r="M445" s="547"/>
      <c r="N445" s="547"/>
      <c r="O445" s="547"/>
      <c r="P445" s="547"/>
      <c r="Q445" s="547"/>
      <c r="R445" s="547"/>
      <c r="S445" s="547"/>
      <c r="T445" s="547"/>
      <c r="U445" s="547"/>
      <c r="V445" s="547"/>
      <c r="W445" s="547"/>
      <c r="X445" s="547"/>
      <c r="Y445" s="547"/>
      <c r="Z445" s="547"/>
      <c r="AA445" s="547"/>
      <c r="AB445" s="884"/>
      <c r="AC445" s="547"/>
    </row>
    <row r="446" spans="1:29" ht="15.75" customHeight="1">
      <c r="A446" s="549"/>
      <c r="B446" s="550"/>
      <c r="C446" s="551"/>
      <c r="D446" s="551"/>
      <c r="E446" s="547"/>
      <c r="F446" s="547"/>
      <c r="G446" s="547"/>
      <c r="H446" s="547"/>
      <c r="I446" s="547"/>
      <c r="J446" s="547"/>
      <c r="K446" s="547"/>
      <c r="M446" s="547"/>
      <c r="N446" s="547"/>
      <c r="O446" s="547"/>
      <c r="P446" s="547"/>
      <c r="Q446" s="547"/>
      <c r="R446" s="547"/>
      <c r="S446" s="547"/>
      <c r="T446" s="547"/>
      <c r="U446" s="547"/>
      <c r="V446" s="547"/>
      <c r="W446" s="547"/>
      <c r="X446" s="547"/>
      <c r="Y446" s="547"/>
      <c r="Z446" s="547"/>
      <c r="AA446" s="547"/>
      <c r="AB446" s="884"/>
      <c r="AC446" s="547"/>
    </row>
    <row r="447" spans="1:29" ht="15.75" customHeight="1">
      <c r="A447" s="549"/>
      <c r="B447" s="550"/>
      <c r="C447" s="551"/>
      <c r="D447" s="551"/>
      <c r="E447" s="547"/>
      <c r="F447" s="547"/>
      <c r="G447" s="547"/>
      <c r="H447" s="547"/>
      <c r="I447" s="547"/>
      <c r="J447" s="547"/>
      <c r="K447" s="547"/>
      <c r="M447" s="547"/>
      <c r="N447" s="547"/>
      <c r="O447" s="547"/>
      <c r="P447" s="547"/>
      <c r="Q447" s="547"/>
      <c r="R447" s="547"/>
      <c r="S447" s="547"/>
      <c r="T447" s="547"/>
      <c r="U447" s="547"/>
      <c r="V447" s="547"/>
      <c r="W447" s="547"/>
      <c r="X447" s="547"/>
      <c r="Y447" s="547"/>
      <c r="Z447" s="547"/>
      <c r="AA447" s="547"/>
      <c r="AB447" s="884"/>
      <c r="AC447" s="547"/>
    </row>
    <row r="448" spans="1:29" ht="15.75" customHeight="1">
      <c r="A448" s="549"/>
      <c r="B448" s="550"/>
      <c r="C448" s="551"/>
      <c r="D448" s="551"/>
      <c r="E448" s="547"/>
      <c r="F448" s="547"/>
      <c r="G448" s="547"/>
      <c r="H448" s="547"/>
      <c r="I448" s="547"/>
      <c r="J448" s="547"/>
      <c r="K448" s="547"/>
      <c r="M448" s="547"/>
      <c r="N448" s="547"/>
      <c r="O448" s="547"/>
      <c r="P448" s="547"/>
      <c r="Q448" s="547"/>
      <c r="R448" s="547"/>
      <c r="S448" s="547"/>
      <c r="T448" s="547"/>
      <c r="U448" s="547"/>
      <c r="V448" s="547"/>
      <c r="W448" s="547"/>
      <c r="X448" s="547"/>
      <c r="Y448" s="547"/>
      <c r="Z448" s="547"/>
      <c r="AA448" s="547"/>
      <c r="AB448" s="884"/>
      <c r="AC448" s="547"/>
    </row>
    <row r="449" spans="1:29" ht="15.75" customHeight="1">
      <c r="A449" s="549"/>
      <c r="B449" s="550"/>
      <c r="C449" s="551"/>
      <c r="D449" s="551"/>
      <c r="E449" s="547"/>
      <c r="F449" s="547"/>
      <c r="G449" s="547"/>
      <c r="H449" s="547"/>
      <c r="I449" s="547"/>
      <c r="J449" s="547"/>
      <c r="K449" s="547"/>
      <c r="M449" s="547"/>
      <c r="N449" s="547"/>
      <c r="O449" s="547"/>
      <c r="P449" s="547"/>
      <c r="Q449" s="547"/>
      <c r="R449" s="547"/>
      <c r="S449" s="547"/>
      <c r="T449" s="547"/>
      <c r="U449" s="547"/>
      <c r="V449" s="547"/>
      <c r="W449" s="547"/>
      <c r="X449" s="547"/>
      <c r="Y449" s="547"/>
      <c r="Z449" s="547"/>
      <c r="AA449" s="547"/>
      <c r="AB449" s="884"/>
      <c r="AC449" s="547"/>
    </row>
    <row r="450" spans="1:29" ht="15.75" customHeight="1">
      <c r="A450" s="549"/>
      <c r="B450" s="550"/>
      <c r="C450" s="551"/>
      <c r="D450" s="551"/>
      <c r="E450" s="547"/>
      <c r="F450" s="547"/>
      <c r="G450" s="547"/>
      <c r="H450" s="547"/>
      <c r="I450" s="547"/>
      <c r="J450" s="547"/>
      <c r="K450" s="547"/>
      <c r="M450" s="547"/>
      <c r="N450" s="547"/>
      <c r="O450" s="547"/>
      <c r="P450" s="547"/>
      <c r="Q450" s="547"/>
      <c r="R450" s="547"/>
      <c r="S450" s="547"/>
      <c r="T450" s="547"/>
      <c r="U450" s="547"/>
      <c r="V450" s="547"/>
      <c r="W450" s="547"/>
      <c r="X450" s="547"/>
      <c r="Y450" s="547"/>
      <c r="Z450" s="547"/>
      <c r="AA450" s="547"/>
      <c r="AB450" s="884"/>
      <c r="AC450" s="547"/>
    </row>
    <row r="451" spans="1:29" ht="15.75" customHeight="1">
      <c r="A451" s="549"/>
      <c r="B451" s="550"/>
      <c r="C451" s="551"/>
      <c r="D451" s="551"/>
      <c r="E451" s="547"/>
      <c r="F451" s="547"/>
      <c r="G451" s="547"/>
      <c r="H451" s="547"/>
      <c r="I451" s="547"/>
      <c r="J451" s="547"/>
      <c r="K451" s="547"/>
      <c r="M451" s="547"/>
      <c r="N451" s="547"/>
      <c r="O451" s="547"/>
      <c r="P451" s="547"/>
      <c r="Q451" s="547"/>
      <c r="R451" s="547"/>
      <c r="S451" s="547"/>
      <c r="T451" s="547"/>
      <c r="U451" s="547"/>
      <c r="V451" s="547"/>
      <c r="W451" s="547"/>
      <c r="X451" s="547"/>
      <c r="Y451" s="547"/>
      <c r="Z451" s="547"/>
      <c r="AA451" s="547"/>
      <c r="AB451" s="884"/>
      <c r="AC451" s="547"/>
    </row>
    <row r="452" spans="1:29" ht="15.75" customHeight="1">
      <c r="A452" s="549"/>
      <c r="B452" s="550"/>
      <c r="C452" s="551"/>
      <c r="D452" s="551"/>
      <c r="E452" s="547"/>
      <c r="F452" s="547"/>
      <c r="G452" s="547"/>
      <c r="H452" s="547"/>
      <c r="I452" s="547"/>
      <c r="J452" s="547"/>
      <c r="K452" s="547"/>
      <c r="M452" s="547"/>
      <c r="N452" s="547"/>
      <c r="O452" s="547"/>
      <c r="P452" s="547"/>
      <c r="Q452" s="547"/>
      <c r="R452" s="547"/>
      <c r="S452" s="547"/>
      <c r="T452" s="547"/>
      <c r="U452" s="547"/>
      <c r="V452" s="547"/>
      <c r="W452" s="547"/>
      <c r="X452" s="547"/>
      <c r="Y452" s="547"/>
      <c r="Z452" s="547"/>
      <c r="AA452" s="547"/>
      <c r="AB452" s="884"/>
      <c r="AC452" s="547"/>
    </row>
    <row r="453" spans="1:29" ht="15.75" customHeight="1">
      <c r="A453" s="549"/>
      <c r="B453" s="550"/>
      <c r="C453" s="551"/>
      <c r="D453" s="551"/>
      <c r="E453" s="547"/>
      <c r="F453" s="547"/>
      <c r="G453" s="547"/>
      <c r="H453" s="547"/>
      <c r="I453" s="547"/>
      <c r="J453" s="547"/>
      <c r="K453" s="547"/>
      <c r="M453" s="547"/>
      <c r="N453" s="547"/>
      <c r="O453" s="547"/>
      <c r="P453" s="547"/>
      <c r="Q453" s="547"/>
      <c r="R453" s="547"/>
      <c r="S453" s="547"/>
      <c r="T453" s="547"/>
      <c r="U453" s="547"/>
      <c r="V453" s="547"/>
      <c r="W453" s="547"/>
      <c r="X453" s="547"/>
      <c r="Y453" s="547"/>
      <c r="Z453" s="547"/>
      <c r="AA453" s="547"/>
      <c r="AB453" s="884"/>
      <c r="AC453" s="547"/>
    </row>
    <row r="454" spans="1:29" ht="15.75" customHeight="1">
      <c r="A454" s="549"/>
      <c r="B454" s="550"/>
      <c r="C454" s="551"/>
      <c r="D454" s="551"/>
      <c r="E454" s="547"/>
      <c r="F454" s="547"/>
      <c r="G454" s="547"/>
      <c r="H454" s="547"/>
      <c r="I454" s="547"/>
      <c r="J454" s="547"/>
      <c r="K454" s="547"/>
      <c r="M454" s="547"/>
      <c r="N454" s="547"/>
      <c r="O454" s="547"/>
      <c r="P454" s="547"/>
      <c r="Q454" s="547"/>
      <c r="R454" s="547"/>
      <c r="S454" s="547"/>
      <c r="T454" s="547"/>
      <c r="U454" s="547"/>
      <c r="V454" s="547"/>
      <c r="W454" s="547"/>
      <c r="X454" s="547"/>
      <c r="Y454" s="547"/>
      <c r="Z454" s="547"/>
      <c r="AA454" s="547"/>
      <c r="AB454" s="884"/>
      <c r="AC454" s="547"/>
    </row>
    <row r="455" spans="1:29" ht="15.75" customHeight="1">
      <c r="A455" s="549"/>
      <c r="B455" s="550"/>
      <c r="C455" s="551"/>
      <c r="D455" s="551"/>
      <c r="E455" s="547"/>
      <c r="F455" s="547"/>
      <c r="G455" s="547"/>
      <c r="H455" s="547"/>
      <c r="I455" s="547"/>
      <c r="J455" s="547"/>
      <c r="K455" s="547"/>
      <c r="M455" s="547"/>
      <c r="N455" s="547"/>
      <c r="O455" s="547"/>
      <c r="P455" s="547"/>
      <c r="Q455" s="547"/>
      <c r="R455" s="547"/>
      <c r="S455" s="547"/>
      <c r="T455" s="547"/>
      <c r="U455" s="547"/>
      <c r="V455" s="547"/>
      <c r="W455" s="547"/>
      <c r="X455" s="547"/>
      <c r="Y455" s="547"/>
      <c r="Z455" s="547"/>
      <c r="AA455" s="547"/>
      <c r="AB455" s="884"/>
      <c r="AC455" s="547"/>
    </row>
    <row r="456" spans="1:29" ht="15.75" customHeight="1">
      <c r="A456" s="549"/>
      <c r="B456" s="550"/>
      <c r="C456" s="551"/>
      <c r="D456" s="551"/>
      <c r="E456" s="547"/>
      <c r="F456" s="547"/>
      <c r="G456" s="547"/>
      <c r="H456" s="547"/>
      <c r="I456" s="547"/>
      <c r="J456" s="547"/>
      <c r="K456" s="547"/>
      <c r="M456" s="547"/>
      <c r="N456" s="547"/>
      <c r="O456" s="547"/>
      <c r="P456" s="547"/>
      <c r="Q456" s="547"/>
      <c r="R456" s="547"/>
      <c r="S456" s="547"/>
      <c r="T456" s="547"/>
      <c r="U456" s="547"/>
      <c r="V456" s="547"/>
      <c r="W456" s="547"/>
      <c r="X456" s="547"/>
      <c r="Y456" s="547"/>
      <c r="Z456" s="547"/>
      <c r="AA456" s="547"/>
      <c r="AB456" s="884"/>
      <c r="AC456" s="547"/>
    </row>
    <row r="457" spans="1:29" ht="15.75" customHeight="1">
      <c r="A457" s="549"/>
      <c r="B457" s="550"/>
      <c r="C457" s="551"/>
      <c r="D457" s="551"/>
      <c r="E457" s="547"/>
      <c r="F457" s="547"/>
      <c r="G457" s="547"/>
      <c r="H457" s="547"/>
      <c r="I457" s="547"/>
      <c r="J457" s="547"/>
      <c r="K457" s="547"/>
      <c r="M457" s="547"/>
      <c r="N457" s="547"/>
      <c r="O457" s="547"/>
      <c r="P457" s="547"/>
      <c r="Q457" s="547"/>
      <c r="R457" s="547"/>
      <c r="S457" s="547"/>
      <c r="T457" s="547"/>
      <c r="U457" s="547"/>
      <c r="V457" s="547"/>
      <c r="W457" s="547"/>
      <c r="X457" s="547"/>
      <c r="Y457" s="547"/>
      <c r="Z457" s="547"/>
      <c r="AA457" s="547"/>
      <c r="AB457" s="884"/>
      <c r="AC457" s="547"/>
    </row>
    <row r="458" spans="1:29" ht="15.75" customHeight="1">
      <c r="A458" s="549"/>
      <c r="B458" s="550"/>
      <c r="C458" s="551"/>
      <c r="D458" s="551"/>
      <c r="E458" s="547"/>
      <c r="F458" s="547"/>
      <c r="G458" s="547"/>
      <c r="H458" s="547"/>
      <c r="I458" s="547"/>
      <c r="J458" s="547"/>
      <c r="K458" s="547"/>
      <c r="M458" s="547"/>
      <c r="N458" s="547"/>
      <c r="O458" s="547"/>
      <c r="P458" s="547"/>
      <c r="Q458" s="547"/>
      <c r="R458" s="547"/>
      <c r="S458" s="547"/>
      <c r="T458" s="547"/>
      <c r="U458" s="547"/>
      <c r="V458" s="547"/>
      <c r="W458" s="547"/>
      <c r="X458" s="547"/>
      <c r="Y458" s="547"/>
      <c r="Z458" s="547"/>
      <c r="AA458" s="547"/>
      <c r="AB458" s="884"/>
      <c r="AC458" s="547"/>
    </row>
    <row r="459" spans="1:29" ht="15.75" customHeight="1">
      <c r="A459" s="549"/>
      <c r="B459" s="550"/>
      <c r="C459" s="551"/>
      <c r="D459" s="551"/>
      <c r="E459" s="547"/>
      <c r="F459" s="547"/>
      <c r="G459" s="547"/>
      <c r="H459" s="547"/>
      <c r="I459" s="547"/>
      <c r="J459" s="547"/>
      <c r="K459" s="547"/>
      <c r="M459" s="547"/>
      <c r="N459" s="547"/>
      <c r="O459" s="547"/>
      <c r="P459" s="547"/>
      <c r="Q459" s="547"/>
      <c r="R459" s="547"/>
      <c r="S459" s="547"/>
      <c r="T459" s="547"/>
      <c r="U459" s="547"/>
      <c r="V459" s="547"/>
      <c r="W459" s="547"/>
      <c r="X459" s="547"/>
      <c r="Y459" s="547"/>
      <c r="Z459" s="547"/>
      <c r="AA459" s="547"/>
      <c r="AB459" s="884"/>
      <c r="AC459" s="547"/>
    </row>
    <row r="460" spans="1:29" ht="15.75" customHeight="1">
      <c r="A460" s="549"/>
      <c r="B460" s="550"/>
      <c r="C460" s="551"/>
      <c r="D460" s="551"/>
      <c r="E460" s="547"/>
      <c r="F460" s="547"/>
      <c r="G460" s="547"/>
      <c r="H460" s="547"/>
      <c r="I460" s="547"/>
      <c r="J460" s="547"/>
      <c r="K460" s="547"/>
      <c r="M460" s="547"/>
      <c r="N460" s="547"/>
      <c r="O460" s="547"/>
      <c r="P460" s="547"/>
      <c r="Q460" s="547"/>
      <c r="R460" s="547"/>
      <c r="S460" s="547"/>
      <c r="T460" s="547"/>
      <c r="U460" s="547"/>
      <c r="V460" s="547"/>
      <c r="W460" s="547"/>
      <c r="X460" s="547"/>
      <c r="Y460" s="547"/>
      <c r="Z460" s="547"/>
      <c r="AA460" s="547"/>
      <c r="AB460" s="884"/>
      <c r="AC460" s="547"/>
    </row>
    <row r="461" spans="1:29" ht="15.75" customHeight="1">
      <c r="A461" s="549"/>
      <c r="B461" s="550"/>
      <c r="C461" s="551"/>
      <c r="D461" s="551"/>
      <c r="E461" s="547"/>
      <c r="F461" s="547"/>
      <c r="G461" s="547"/>
      <c r="H461" s="547"/>
      <c r="I461" s="547"/>
      <c r="J461" s="547"/>
      <c r="K461" s="547"/>
      <c r="M461" s="547"/>
      <c r="N461" s="547"/>
      <c r="O461" s="547"/>
      <c r="P461" s="547"/>
      <c r="Q461" s="547"/>
      <c r="R461" s="547"/>
      <c r="S461" s="547"/>
      <c r="T461" s="547"/>
      <c r="U461" s="547"/>
      <c r="V461" s="547"/>
      <c r="W461" s="547"/>
      <c r="X461" s="547"/>
      <c r="Y461" s="547"/>
      <c r="Z461" s="547"/>
      <c r="AA461" s="547"/>
      <c r="AB461" s="884"/>
      <c r="AC461" s="547"/>
    </row>
    <row r="462" spans="1:29" ht="15.75" customHeight="1">
      <c r="A462" s="549"/>
      <c r="B462" s="550"/>
      <c r="C462" s="551"/>
      <c r="D462" s="551"/>
      <c r="E462" s="547"/>
      <c r="F462" s="547"/>
      <c r="G462" s="547"/>
      <c r="H462" s="547"/>
      <c r="I462" s="547"/>
      <c r="J462" s="547"/>
      <c r="K462" s="547"/>
      <c r="M462" s="547"/>
      <c r="N462" s="547"/>
      <c r="O462" s="547"/>
      <c r="P462" s="547"/>
      <c r="Q462" s="547"/>
      <c r="R462" s="547"/>
      <c r="S462" s="547"/>
      <c r="T462" s="547"/>
      <c r="U462" s="547"/>
      <c r="V462" s="547"/>
      <c r="W462" s="547"/>
      <c r="X462" s="547"/>
      <c r="Y462" s="547"/>
      <c r="Z462" s="547"/>
      <c r="AA462" s="547"/>
      <c r="AB462" s="884"/>
      <c r="AC462" s="547"/>
    </row>
    <row r="463" spans="1:29" ht="15.75" customHeight="1">
      <c r="A463" s="549"/>
      <c r="B463" s="550"/>
      <c r="C463" s="551"/>
      <c r="D463" s="551"/>
      <c r="E463" s="547"/>
      <c r="F463" s="547"/>
      <c r="G463" s="547"/>
      <c r="H463" s="547"/>
      <c r="I463" s="547"/>
      <c r="J463" s="547"/>
      <c r="K463" s="547"/>
      <c r="M463" s="547"/>
      <c r="N463" s="547"/>
      <c r="O463" s="547"/>
      <c r="P463" s="547"/>
      <c r="Q463" s="547"/>
      <c r="R463" s="547"/>
      <c r="S463" s="547"/>
      <c r="T463" s="547"/>
      <c r="U463" s="547"/>
      <c r="V463" s="547"/>
      <c r="W463" s="547"/>
      <c r="X463" s="547"/>
      <c r="Y463" s="547"/>
      <c r="Z463" s="547"/>
      <c r="AA463" s="547"/>
      <c r="AB463" s="884"/>
      <c r="AC463" s="547"/>
    </row>
    <row r="464" spans="1:29" ht="15.75" customHeight="1">
      <c r="A464" s="549"/>
      <c r="B464" s="550"/>
      <c r="C464" s="551"/>
      <c r="D464" s="551"/>
      <c r="E464" s="547"/>
      <c r="F464" s="547"/>
      <c r="G464" s="547"/>
      <c r="H464" s="547"/>
      <c r="I464" s="547"/>
      <c r="J464" s="547"/>
      <c r="K464" s="547"/>
      <c r="M464" s="547"/>
      <c r="N464" s="547"/>
      <c r="O464" s="547"/>
      <c r="P464" s="547"/>
      <c r="Q464" s="547"/>
      <c r="R464" s="547"/>
      <c r="S464" s="547"/>
      <c r="T464" s="547"/>
      <c r="U464" s="547"/>
      <c r="V464" s="547"/>
      <c r="W464" s="547"/>
      <c r="X464" s="547"/>
      <c r="Y464" s="547"/>
      <c r="Z464" s="547"/>
      <c r="AA464" s="547"/>
      <c r="AB464" s="884"/>
      <c r="AC464" s="547"/>
    </row>
    <row r="465" spans="1:29" ht="15.75" customHeight="1">
      <c r="A465" s="549"/>
      <c r="B465" s="550"/>
      <c r="C465" s="551"/>
      <c r="D465" s="551"/>
      <c r="E465" s="547"/>
      <c r="F465" s="547"/>
      <c r="G465" s="547"/>
      <c r="H465" s="547"/>
      <c r="I465" s="547"/>
      <c r="J465" s="547"/>
      <c r="K465" s="547"/>
      <c r="M465" s="547"/>
      <c r="N465" s="547"/>
      <c r="O465" s="547"/>
      <c r="P465" s="547"/>
      <c r="Q465" s="547"/>
      <c r="R465" s="547"/>
      <c r="S465" s="547"/>
      <c r="T465" s="547"/>
      <c r="U465" s="547"/>
      <c r="V465" s="547"/>
      <c r="W465" s="547"/>
      <c r="X465" s="547"/>
      <c r="Y465" s="547"/>
      <c r="Z465" s="547"/>
      <c r="AA465" s="547"/>
      <c r="AB465" s="884"/>
      <c r="AC465" s="547"/>
    </row>
    <row r="466" spans="1:29" ht="15.75" customHeight="1">
      <c r="A466" s="549"/>
      <c r="B466" s="550"/>
      <c r="C466" s="551"/>
      <c r="D466" s="551"/>
      <c r="E466" s="547"/>
      <c r="F466" s="547"/>
      <c r="G466" s="547"/>
      <c r="H466" s="547"/>
      <c r="I466" s="547"/>
      <c r="J466" s="547"/>
      <c r="K466" s="547"/>
      <c r="M466" s="547"/>
      <c r="N466" s="547"/>
      <c r="O466" s="547"/>
      <c r="P466" s="547"/>
      <c r="Q466" s="547"/>
      <c r="R466" s="547"/>
      <c r="S466" s="547"/>
      <c r="T466" s="547"/>
      <c r="U466" s="547"/>
      <c r="V466" s="547"/>
      <c r="W466" s="547"/>
      <c r="X466" s="547"/>
      <c r="Y466" s="547"/>
      <c r="Z466" s="547"/>
      <c r="AA466" s="547"/>
      <c r="AB466" s="884"/>
      <c r="AC466" s="547"/>
    </row>
    <row r="467" spans="1:29" ht="15.75" customHeight="1">
      <c r="A467" s="549"/>
      <c r="B467" s="550"/>
      <c r="C467" s="551"/>
      <c r="D467" s="551"/>
      <c r="E467" s="547"/>
      <c r="F467" s="547"/>
      <c r="G467" s="547"/>
      <c r="H467" s="547"/>
      <c r="I467" s="547"/>
      <c r="J467" s="547"/>
      <c r="K467" s="547"/>
      <c r="M467" s="547"/>
      <c r="N467" s="547"/>
      <c r="O467" s="547"/>
      <c r="P467" s="547"/>
      <c r="Q467" s="547"/>
      <c r="R467" s="547"/>
      <c r="S467" s="547"/>
      <c r="T467" s="547"/>
      <c r="U467" s="547"/>
      <c r="V467" s="547"/>
      <c r="W467" s="547"/>
      <c r="X467" s="547"/>
      <c r="Y467" s="547"/>
      <c r="Z467" s="547"/>
      <c r="AA467" s="547"/>
      <c r="AB467" s="884"/>
      <c r="AC467" s="547"/>
    </row>
    <row r="468" spans="1:29" ht="15.75" customHeight="1">
      <c r="A468" s="549"/>
      <c r="B468" s="550"/>
      <c r="C468" s="551"/>
      <c r="D468" s="551"/>
      <c r="E468" s="547"/>
      <c r="F468" s="547"/>
      <c r="G468" s="547"/>
      <c r="H468" s="547"/>
      <c r="I468" s="547"/>
      <c r="J468" s="547"/>
      <c r="K468" s="547"/>
      <c r="M468" s="547"/>
      <c r="N468" s="547"/>
      <c r="O468" s="547"/>
      <c r="P468" s="547"/>
      <c r="Q468" s="547"/>
      <c r="R468" s="547"/>
      <c r="S468" s="547"/>
      <c r="T468" s="547"/>
      <c r="U468" s="547"/>
      <c r="V468" s="547"/>
      <c r="W468" s="547"/>
      <c r="X468" s="547"/>
      <c r="Y468" s="547"/>
      <c r="Z468" s="547"/>
      <c r="AA468" s="547"/>
      <c r="AB468" s="884"/>
      <c r="AC468" s="547"/>
    </row>
    <row r="469" spans="1:29" ht="15.75" customHeight="1">
      <c r="A469" s="549"/>
      <c r="B469" s="550"/>
      <c r="C469" s="551"/>
      <c r="D469" s="551"/>
      <c r="E469" s="547"/>
      <c r="F469" s="547"/>
      <c r="G469" s="547"/>
      <c r="H469" s="547"/>
      <c r="I469" s="547"/>
      <c r="J469" s="547"/>
      <c r="K469" s="547"/>
      <c r="M469" s="547"/>
      <c r="N469" s="547"/>
      <c r="O469" s="547"/>
      <c r="P469" s="547"/>
      <c r="Q469" s="547"/>
      <c r="R469" s="547"/>
      <c r="S469" s="547"/>
      <c r="T469" s="547"/>
      <c r="U469" s="547"/>
      <c r="V469" s="547"/>
      <c r="W469" s="547"/>
      <c r="X469" s="547"/>
      <c r="Y469" s="547"/>
      <c r="Z469" s="547"/>
      <c r="AA469" s="547"/>
      <c r="AB469" s="884"/>
      <c r="AC469" s="547"/>
    </row>
    <row r="470" spans="1:29" ht="15.75" customHeight="1">
      <c r="A470" s="549"/>
      <c r="B470" s="550"/>
      <c r="C470" s="551"/>
      <c r="D470" s="551"/>
      <c r="E470" s="547"/>
      <c r="F470" s="547"/>
      <c r="G470" s="547"/>
      <c r="H470" s="547"/>
      <c r="I470" s="547"/>
      <c r="J470" s="547"/>
      <c r="K470" s="547"/>
      <c r="M470" s="547"/>
      <c r="N470" s="547"/>
      <c r="O470" s="547"/>
      <c r="P470" s="547"/>
      <c r="Q470" s="547"/>
      <c r="R470" s="547"/>
      <c r="S470" s="547"/>
      <c r="T470" s="547"/>
      <c r="U470" s="547"/>
      <c r="V470" s="547"/>
      <c r="W470" s="547"/>
      <c r="X470" s="547"/>
      <c r="Y470" s="547"/>
      <c r="Z470" s="547"/>
      <c r="AA470" s="547"/>
      <c r="AB470" s="884"/>
      <c r="AC470" s="547"/>
    </row>
    <row r="471" spans="1:29" ht="15.75" customHeight="1">
      <c r="A471" s="549"/>
      <c r="B471" s="550"/>
      <c r="C471" s="551"/>
      <c r="D471" s="551"/>
      <c r="E471" s="547"/>
      <c r="F471" s="547"/>
      <c r="G471" s="547"/>
      <c r="H471" s="547"/>
      <c r="I471" s="547"/>
      <c r="J471" s="547"/>
      <c r="K471" s="547"/>
      <c r="M471" s="547"/>
      <c r="N471" s="547"/>
      <c r="O471" s="547"/>
      <c r="P471" s="547"/>
      <c r="Q471" s="547"/>
      <c r="R471" s="547"/>
      <c r="S471" s="547"/>
      <c r="T471" s="547"/>
      <c r="U471" s="547"/>
      <c r="V471" s="547"/>
      <c r="W471" s="547"/>
      <c r="X471" s="547"/>
      <c r="Y471" s="547"/>
      <c r="Z471" s="547"/>
      <c r="AA471" s="547"/>
      <c r="AB471" s="884"/>
      <c r="AC471" s="547"/>
    </row>
    <row r="472" spans="1:29" ht="15.75" customHeight="1">
      <c r="A472" s="549"/>
      <c r="B472" s="550"/>
      <c r="C472" s="551"/>
      <c r="D472" s="551"/>
      <c r="E472" s="547"/>
      <c r="F472" s="547"/>
      <c r="G472" s="547"/>
      <c r="H472" s="547"/>
      <c r="I472" s="547"/>
      <c r="J472" s="547"/>
      <c r="K472" s="547"/>
      <c r="M472" s="547"/>
      <c r="N472" s="547"/>
      <c r="O472" s="547"/>
      <c r="P472" s="547"/>
      <c r="Q472" s="547"/>
      <c r="R472" s="547"/>
      <c r="S472" s="547"/>
      <c r="T472" s="547"/>
      <c r="U472" s="547"/>
      <c r="V472" s="547"/>
      <c r="W472" s="547"/>
      <c r="X472" s="547"/>
      <c r="Y472" s="547"/>
      <c r="Z472" s="547"/>
      <c r="AA472" s="547"/>
      <c r="AB472" s="884"/>
      <c r="AC472" s="547"/>
    </row>
    <row r="473" spans="1:29" ht="15.75" customHeight="1">
      <c r="A473" s="549"/>
      <c r="B473" s="550"/>
      <c r="C473" s="551"/>
      <c r="D473" s="551"/>
      <c r="E473" s="547"/>
      <c r="F473" s="547"/>
      <c r="G473" s="547"/>
      <c r="H473" s="547"/>
      <c r="I473" s="547"/>
      <c r="J473" s="547"/>
      <c r="K473" s="547"/>
      <c r="M473" s="547"/>
      <c r="N473" s="547"/>
      <c r="O473" s="547"/>
      <c r="P473" s="547"/>
      <c r="Q473" s="547"/>
      <c r="R473" s="547"/>
      <c r="S473" s="547"/>
      <c r="T473" s="547"/>
      <c r="U473" s="547"/>
      <c r="V473" s="547"/>
      <c r="W473" s="547"/>
      <c r="X473" s="547"/>
      <c r="Y473" s="547"/>
      <c r="Z473" s="547"/>
      <c r="AA473" s="547"/>
      <c r="AB473" s="884"/>
      <c r="AC473" s="547"/>
    </row>
    <row r="474" spans="1:29" ht="15.75" customHeight="1">
      <c r="A474" s="549"/>
      <c r="B474" s="550"/>
      <c r="C474" s="551"/>
      <c r="D474" s="551"/>
      <c r="E474" s="547"/>
      <c r="F474" s="547"/>
      <c r="G474" s="547"/>
      <c r="H474" s="547"/>
      <c r="I474" s="547"/>
      <c r="J474" s="547"/>
      <c r="K474" s="547"/>
      <c r="M474" s="547"/>
      <c r="N474" s="547"/>
      <c r="O474" s="547"/>
      <c r="P474" s="547"/>
      <c r="Q474" s="547"/>
      <c r="R474" s="547"/>
      <c r="S474" s="547"/>
      <c r="T474" s="547"/>
      <c r="U474" s="547"/>
      <c r="V474" s="547"/>
      <c r="W474" s="547"/>
      <c r="X474" s="547"/>
      <c r="Y474" s="547"/>
      <c r="Z474" s="547"/>
      <c r="AA474" s="547"/>
      <c r="AB474" s="884"/>
      <c r="AC474" s="547"/>
    </row>
    <row r="475" spans="1:29" ht="15.75" customHeight="1">
      <c r="A475" s="549"/>
      <c r="B475" s="550"/>
      <c r="C475" s="551"/>
      <c r="D475" s="551"/>
      <c r="E475" s="547"/>
      <c r="F475" s="547"/>
      <c r="G475" s="547"/>
      <c r="H475" s="547"/>
      <c r="I475" s="547"/>
      <c r="J475" s="547"/>
      <c r="K475" s="547"/>
      <c r="M475" s="547"/>
      <c r="N475" s="547"/>
      <c r="O475" s="547"/>
      <c r="P475" s="547"/>
      <c r="Q475" s="547"/>
      <c r="R475" s="547"/>
      <c r="S475" s="547"/>
      <c r="T475" s="547"/>
      <c r="U475" s="547"/>
      <c r="V475" s="547"/>
      <c r="W475" s="547"/>
      <c r="X475" s="547"/>
      <c r="Y475" s="547"/>
      <c r="Z475" s="547"/>
      <c r="AA475" s="547"/>
      <c r="AB475" s="884"/>
      <c r="AC475" s="547"/>
    </row>
    <row r="476" spans="1:29" ht="15.75" customHeight="1">
      <c r="A476" s="549"/>
      <c r="B476" s="550"/>
      <c r="C476" s="551"/>
      <c r="D476" s="551"/>
      <c r="E476" s="547"/>
      <c r="F476" s="547"/>
      <c r="G476" s="547"/>
      <c r="H476" s="547"/>
      <c r="I476" s="547"/>
      <c r="J476" s="547"/>
      <c r="K476" s="547"/>
      <c r="M476" s="547"/>
      <c r="N476" s="547"/>
      <c r="O476" s="547"/>
      <c r="P476" s="547"/>
      <c r="Q476" s="547"/>
      <c r="R476" s="547"/>
      <c r="S476" s="547"/>
      <c r="T476" s="547"/>
      <c r="U476" s="547"/>
      <c r="V476" s="547"/>
      <c r="W476" s="547"/>
      <c r="X476" s="547"/>
      <c r="Y476" s="547"/>
      <c r="Z476" s="547"/>
      <c r="AA476" s="547"/>
      <c r="AB476" s="884"/>
      <c r="AC476" s="547"/>
    </row>
    <row r="477" spans="1:29" ht="15.75" customHeight="1">
      <c r="A477" s="549"/>
      <c r="B477" s="550"/>
      <c r="C477" s="551"/>
      <c r="D477" s="551"/>
      <c r="E477" s="547"/>
      <c r="F477" s="547"/>
      <c r="G477" s="547"/>
      <c r="H477" s="547"/>
      <c r="I477" s="547"/>
      <c r="J477" s="547"/>
      <c r="K477" s="547"/>
      <c r="M477" s="547"/>
      <c r="N477" s="547"/>
      <c r="O477" s="547"/>
      <c r="P477" s="547"/>
      <c r="Q477" s="547"/>
      <c r="R477" s="547"/>
      <c r="S477" s="547"/>
      <c r="T477" s="547"/>
      <c r="U477" s="547"/>
      <c r="V477" s="547"/>
      <c r="W477" s="547"/>
      <c r="X477" s="547"/>
      <c r="Y477" s="547"/>
      <c r="Z477" s="547"/>
      <c r="AA477" s="547"/>
      <c r="AB477" s="884"/>
      <c r="AC477" s="547"/>
    </row>
    <row r="478" spans="1:29" ht="15.75" customHeight="1">
      <c r="A478" s="549"/>
      <c r="B478" s="550"/>
      <c r="C478" s="551"/>
      <c r="D478" s="551"/>
      <c r="E478" s="547"/>
      <c r="F478" s="547"/>
      <c r="G478" s="547"/>
      <c r="H478" s="547"/>
      <c r="I478" s="547"/>
      <c r="J478" s="547"/>
      <c r="K478" s="547"/>
      <c r="M478" s="547"/>
      <c r="N478" s="547"/>
      <c r="O478" s="547"/>
      <c r="P478" s="547"/>
      <c r="Q478" s="547"/>
      <c r="R478" s="547"/>
      <c r="S478" s="547"/>
      <c r="T478" s="547"/>
      <c r="U478" s="547"/>
      <c r="V478" s="547"/>
      <c r="W478" s="547"/>
      <c r="X478" s="547"/>
      <c r="Y478" s="547"/>
      <c r="Z478" s="547"/>
      <c r="AA478" s="547"/>
      <c r="AB478" s="884"/>
      <c r="AC478" s="547"/>
    </row>
    <row r="479" spans="1:29" ht="15.75" customHeight="1">
      <c r="A479" s="549"/>
      <c r="B479" s="550"/>
      <c r="C479" s="551"/>
      <c r="D479" s="551"/>
      <c r="E479" s="547"/>
      <c r="F479" s="547"/>
      <c r="G479" s="547"/>
      <c r="H479" s="547"/>
      <c r="I479" s="547"/>
      <c r="J479" s="547"/>
      <c r="K479" s="547"/>
      <c r="M479" s="547"/>
      <c r="N479" s="547"/>
      <c r="O479" s="547"/>
      <c r="P479" s="547"/>
      <c r="Q479" s="547"/>
      <c r="R479" s="547"/>
      <c r="S479" s="547"/>
      <c r="T479" s="547"/>
      <c r="U479" s="547"/>
      <c r="V479" s="547"/>
      <c r="W479" s="547"/>
      <c r="X479" s="547"/>
      <c r="Y479" s="547"/>
      <c r="Z479" s="547"/>
      <c r="AA479" s="547"/>
      <c r="AB479" s="884"/>
      <c r="AC479" s="547"/>
    </row>
    <row r="480" spans="1:29" ht="15.75" customHeight="1">
      <c r="A480" s="549"/>
      <c r="B480" s="550"/>
      <c r="C480" s="551"/>
      <c r="D480" s="551"/>
      <c r="E480" s="547"/>
      <c r="F480" s="547"/>
      <c r="G480" s="547"/>
      <c r="H480" s="547"/>
      <c r="I480" s="547"/>
      <c r="J480" s="547"/>
      <c r="K480" s="547"/>
      <c r="M480" s="547"/>
      <c r="N480" s="547"/>
      <c r="O480" s="547"/>
      <c r="P480" s="547"/>
      <c r="Q480" s="547"/>
      <c r="R480" s="547"/>
      <c r="S480" s="547"/>
      <c r="T480" s="547"/>
      <c r="U480" s="547"/>
      <c r="V480" s="547"/>
      <c r="W480" s="547"/>
      <c r="X480" s="547"/>
      <c r="Y480" s="547"/>
      <c r="Z480" s="547"/>
      <c r="AA480" s="547"/>
      <c r="AB480" s="884"/>
      <c r="AC480" s="547"/>
    </row>
    <row r="481" spans="1:29" ht="15.75" customHeight="1">
      <c r="A481" s="549"/>
      <c r="B481" s="550"/>
      <c r="C481" s="551"/>
      <c r="D481" s="551"/>
      <c r="E481" s="547"/>
      <c r="F481" s="547"/>
      <c r="G481" s="547"/>
      <c r="H481" s="547"/>
      <c r="I481" s="547"/>
      <c r="J481" s="547"/>
      <c r="K481" s="547"/>
      <c r="M481" s="547"/>
      <c r="N481" s="547"/>
      <c r="O481" s="547"/>
      <c r="P481" s="547"/>
      <c r="Q481" s="547"/>
      <c r="R481" s="547"/>
      <c r="S481" s="547"/>
      <c r="T481" s="547"/>
      <c r="U481" s="547"/>
      <c r="V481" s="547"/>
      <c r="W481" s="547"/>
      <c r="X481" s="547"/>
      <c r="Y481" s="547"/>
      <c r="Z481" s="547"/>
      <c r="AA481" s="547"/>
      <c r="AB481" s="884"/>
      <c r="AC481" s="547"/>
    </row>
    <row r="482" spans="1:29" ht="15.75" customHeight="1">
      <c r="A482" s="549"/>
      <c r="B482" s="550"/>
      <c r="C482" s="551"/>
      <c r="D482" s="551"/>
      <c r="E482" s="547"/>
      <c r="F482" s="547"/>
      <c r="G482" s="547"/>
      <c r="H482" s="547"/>
      <c r="I482" s="547"/>
      <c r="J482" s="547"/>
      <c r="K482" s="547"/>
      <c r="M482" s="547"/>
      <c r="N482" s="547"/>
      <c r="O482" s="547"/>
      <c r="P482" s="547"/>
      <c r="Q482" s="547"/>
      <c r="R482" s="547"/>
      <c r="S482" s="547"/>
      <c r="T482" s="547"/>
      <c r="U482" s="547"/>
      <c r="V482" s="547"/>
      <c r="W482" s="547"/>
      <c r="X482" s="547"/>
      <c r="Y482" s="547"/>
      <c r="Z482" s="547"/>
      <c r="AA482" s="547"/>
      <c r="AB482" s="884"/>
      <c r="AC482" s="547"/>
    </row>
    <row r="483" spans="1:29" ht="15.75" customHeight="1">
      <c r="A483" s="549"/>
      <c r="B483" s="550"/>
      <c r="C483" s="551"/>
      <c r="D483" s="551"/>
      <c r="E483" s="547"/>
      <c r="F483" s="547"/>
      <c r="G483" s="547"/>
      <c r="H483" s="547"/>
      <c r="I483" s="547"/>
      <c r="J483" s="547"/>
      <c r="K483" s="547"/>
      <c r="M483" s="547"/>
      <c r="N483" s="547"/>
      <c r="O483" s="547"/>
      <c r="P483" s="547"/>
      <c r="Q483" s="547"/>
      <c r="R483" s="547"/>
      <c r="S483" s="547"/>
      <c r="T483" s="547"/>
      <c r="U483" s="547"/>
      <c r="V483" s="547"/>
      <c r="W483" s="547"/>
      <c r="X483" s="547"/>
      <c r="Y483" s="547"/>
      <c r="Z483" s="547"/>
      <c r="AA483" s="547"/>
      <c r="AB483" s="884"/>
      <c r="AC483" s="547"/>
    </row>
    <row r="484" spans="1:29" ht="15.75" customHeight="1">
      <c r="A484" s="549"/>
      <c r="B484" s="550"/>
      <c r="C484" s="551"/>
      <c r="D484" s="551"/>
      <c r="E484" s="547"/>
      <c r="F484" s="547"/>
      <c r="G484" s="547"/>
      <c r="H484" s="547"/>
      <c r="I484" s="547"/>
      <c r="J484" s="547"/>
      <c r="K484" s="547"/>
      <c r="M484" s="547"/>
      <c r="N484" s="547"/>
      <c r="O484" s="547"/>
      <c r="P484" s="547"/>
      <c r="Q484" s="547"/>
      <c r="R484" s="547"/>
      <c r="S484" s="547"/>
      <c r="T484" s="547"/>
      <c r="U484" s="547"/>
      <c r="V484" s="547"/>
      <c r="W484" s="547"/>
      <c r="X484" s="547"/>
      <c r="Y484" s="547"/>
      <c r="Z484" s="547"/>
      <c r="AA484" s="547"/>
      <c r="AB484" s="884"/>
      <c r="AC484" s="547"/>
    </row>
    <row r="485" spans="1:29" ht="15.75" customHeight="1">
      <c r="A485" s="549"/>
      <c r="B485" s="550"/>
      <c r="C485" s="551"/>
      <c r="D485" s="551"/>
      <c r="E485" s="547"/>
      <c r="F485" s="547"/>
      <c r="G485" s="547"/>
      <c r="H485" s="547"/>
      <c r="I485" s="547"/>
      <c r="J485" s="547"/>
      <c r="K485" s="547"/>
      <c r="M485" s="547"/>
      <c r="N485" s="547"/>
      <c r="O485" s="547"/>
      <c r="P485" s="547"/>
      <c r="Q485" s="547"/>
      <c r="R485" s="547"/>
      <c r="S485" s="547"/>
      <c r="T485" s="547"/>
      <c r="U485" s="547"/>
      <c r="V485" s="547"/>
      <c r="W485" s="547"/>
      <c r="X485" s="547"/>
      <c r="Y485" s="547"/>
      <c r="Z485" s="547"/>
      <c r="AA485" s="547"/>
      <c r="AB485" s="884"/>
      <c r="AC485" s="547"/>
    </row>
    <row r="486" spans="1:29" ht="15.75" customHeight="1">
      <c r="A486" s="549"/>
      <c r="B486" s="550"/>
      <c r="C486" s="551"/>
      <c r="D486" s="551"/>
      <c r="E486" s="547"/>
      <c r="F486" s="547"/>
      <c r="G486" s="547"/>
      <c r="H486" s="547"/>
      <c r="I486" s="547"/>
      <c r="J486" s="547"/>
      <c r="K486" s="547"/>
      <c r="M486" s="547"/>
      <c r="N486" s="547"/>
      <c r="O486" s="547"/>
      <c r="P486" s="547"/>
      <c r="Q486" s="547"/>
      <c r="R486" s="547"/>
      <c r="S486" s="547"/>
      <c r="T486" s="547"/>
      <c r="U486" s="547"/>
      <c r="V486" s="547"/>
      <c r="W486" s="547"/>
      <c r="X486" s="547"/>
      <c r="Y486" s="547"/>
      <c r="Z486" s="547"/>
      <c r="AA486" s="547"/>
      <c r="AB486" s="884"/>
      <c r="AC486" s="547"/>
    </row>
    <row r="487" spans="1:29" ht="15.75" customHeight="1">
      <c r="A487" s="549"/>
      <c r="B487" s="550"/>
      <c r="C487" s="551"/>
      <c r="D487" s="551"/>
      <c r="E487" s="547"/>
      <c r="F487" s="547"/>
      <c r="G487" s="547"/>
      <c r="H487" s="547"/>
      <c r="I487" s="547"/>
      <c r="J487" s="547"/>
      <c r="K487" s="547"/>
      <c r="M487" s="547"/>
      <c r="N487" s="547"/>
      <c r="O487" s="547"/>
      <c r="P487" s="547"/>
      <c r="Q487" s="547"/>
      <c r="R487" s="547"/>
      <c r="S487" s="547"/>
      <c r="T487" s="547"/>
      <c r="U487" s="547"/>
      <c r="V487" s="547"/>
      <c r="W487" s="547"/>
      <c r="X487" s="547"/>
      <c r="Y487" s="547"/>
      <c r="Z487" s="547"/>
      <c r="AA487" s="547"/>
      <c r="AB487" s="884"/>
      <c r="AC487" s="547"/>
    </row>
    <row r="488" spans="1:29" ht="15.75" customHeight="1">
      <c r="A488" s="549"/>
      <c r="B488" s="550"/>
      <c r="C488" s="551"/>
      <c r="D488" s="551"/>
      <c r="E488" s="547"/>
      <c r="F488" s="547"/>
      <c r="G488" s="547"/>
      <c r="H488" s="547"/>
      <c r="I488" s="547"/>
      <c r="J488" s="547"/>
      <c r="K488" s="547"/>
      <c r="M488" s="547"/>
      <c r="N488" s="547"/>
      <c r="O488" s="547"/>
      <c r="P488" s="547"/>
      <c r="Q488" s="547"/>
      <c r="R488" s="547"/>
      <c r="S488" s="547"/>
      <c r="T488" s="547"/>
      <c r="U488" s="547"/>
      <c r="V488" s="547"/>
      <c r="W488" s="547"/>
      <c r="X488" s="547"/>
      <c r="Y488" s="547"/>
      <c r="Z488" s="547"/>
      <c r="AA488" s="547"/>
      <c r="AB488" s="884"/>
      <c r="AC488" s="547"/>
    </row>
    <row r="489" spans="1:29" ht="15.75" customHeight="1">
      <c r="A489" s="549"/>
      <c r="B489" s="550"/>
      <c r="C489" s="551"/>
      <c r="D489" s="551"/>
      <c r="E489" s="547"/>
      <c r="F489" s="547"/>
      <c r="G489" s="547"/>
      <c r="H489" s="547"/>
      <c r="I489" s="547"/>
      <c r="J489" s="547"/>
      <c r="K489" s="547"/>
      <c r="M489" s="547"/>
      <c r="N489" s="547"/>
      <c r="O489" s="547"/>
      <c r="P489" s="547"/>
      <c r="Q489" s="547"/>
      <c r="R489" s="547"/>
      <c r="S489" s="547"/>
      <c r="T489" s="547"/>
      <c r="U489" s="547"/>
      <c r="V489" s="547"/>
      <c r="W489" s="547"/>
      <c r="X489" s="547"/>
      <c r="Y489" s="547"/>
      <c r="Z489" s="547"/>
      <c r="AA489" s="547"/>
      <c r="AB489" s="884"/>
      <c r="AC489" s="547"/>
    </row>
    <row r="490" spans="1:29" ht="15.75" customHeight="1">
      <c r="A490" s="549"/>
      <c r="B490" s="550"/>
      <c r="C490" s="551"/>
      <c r="D490" s="551"/>
      <c r="E490" s="547"/>
      <c r="F490" s="547"/>
      <c r="G490" s="547"/>
      <c r="H490" s="547"/>
      <c r="I490" s="547"/>
      <c r="J490" s="547"/>
      <c r="K490" s="547"/>
      <c r="M490" s="547"/>
      <c r="N490" s="547"/>
      <c r="O490" s="547"/>
      <c r="P490" s="547"/>
      <c r="Q490" s="547"/>
      <c r="R490" s="547"/>
      <c r="S490" s="547"/>
      <c r="T490" s="547"/>
      <c r="U490" s="547"/>
      <c r="V490" s="547"/>
      <c r="W490" s="547"/>
      <c r="X490" s="547"/>
      <c r="Y490" s="547"/>
      <c r="Z490" s="547"/>
      <c r="AA490" s="547"/>
      <c r="AB490" s="884"/>
      <c r="AC490" s="547"/>
    </row>
    <row r="491" spans="1:29" ht="15.75" customHeight="1">
      <c r="A491" s="549"/>
      <c r="B491" s="550"/>
      <c r="C491" s="551"/>
      <c r="D491" s="551"/>
      <c r="E491" s="547"/>
      <c r="F491" s="547"/>
      <c r="G491" s="547"/>
      <c r="H491" s="547"/>
      <c r="I491" s="547"/>
      <c r="J491" s="547"/>
      <c r="K491" s="547"/>
      <c r="M491" s="547"/>
      <c r="N491" s="547"/>
      <c r="O491" s="547"/>
      <c r="P491" s="547"/>
      <c r="Q491" s="547"/>
      <c r="R491" s="547"/>
      <c r="S491" s="547"/>
      <c r="T491" s="547"/>
      <c r="U491" s="547"/>
      <c r="V491" s="547"/>
      <c r="W491" s="547"/>
      <c r="X491" s="547"/>
      <c r="Y491" s="547"/>
      <c r="Z491" s="547"/>
      <c r="AA491" s="547"/>
      <c r="AB491" s="884"/>
      <c r="AC491" s="547"/>
    </row>
    <row r="492" spans="1:29" ht="15.75" customHeight="1">
      <c r="A492" s="549"/>
      <c r="B492" s="550"/>
      <c r="C492" s="551"/>
      <c r="D492" s="551"/>
      <c r="E492" s="547"/>
      <c r="F492" s="547"/>
      <c r="G492" s="547"/>
      <c r="H492" s="547"/>
      <c r="I492" s="547"/>
      <c r="J492" s="547"/>
      <c r="K492" s="547"/>
      <c r="M492" s="547"/>
      <c r="N492" s="547"/>
      <c r="O492" s="547"/>
      <c r="P492" s="547"/>
      <c r="Q492" s="547"/>
      <c r="R492" s="547"/>
      <c r="S492" s="547"/>
      <c r="T492" s="547"/>
      <c r="U492" s="547"/>
      <c r="V492" s="547"/>
      <c r="W492" s="547"/>
      <c r="X492" s="547"/>
      <c r="Y492" s="547"/>
      <c r="Z492" s="547"/>
      <c r="AA492" s="547"/>
      <c r="AB492" s="884"/>
      <c r="AC492" s="547"/>
    </row>
    <row r="493" spans="1:29" ht="15.75" customHeight="1">
      <c r="A493" s="549"/>
      <c r="B493" s="550"/>
      <c r="C493" s="551"/>
      <c r="D493" s="551"/>
      <c r="E493" s="547"/>
      <c r="F493" s="547"/>
      <c r="G493" s="547"/>
      <c r="H493" s="547"/>
      <c r="I493" s="547"/>
      <c r="J493" s="547"/>
      <c r="K493" s="547"/>
      <c r="M493" s="547"/>
      <c r="N493" s="547"/>
      <c r="O493" s="547"/>
      <c r="P493" s="547"/>
      <c r="Q493" s="547"/>
      <c r="R493" s="547"/>
      <c r="S493" s="547"/>
      <c r="T493" s="547"/>
      <c r="U493" s="547"/>
      <c r="V493" s="547"/>
      <c r="W493" s="547"/>
      <c r="X493" s="547"/>
      <c r="Y493" s="547"/>
      <c r="Z493" s="547"/>
      <c r="AA493" s="547"/>
      <c r="AB493" s="884"/>
      <c r="AC493" s="547"/>
    </row>
    <row r="494" spans="1:29" ht="15.75" customHeight="1">
      <c r="A494" s="549"/>
      <c r="B494" s="550"/>
      <c r="C494" s="551"/>
      <c r="D494" s="551"/>
      <c r="E494" s="547"/>
      <c r="F494" s="547"/>
      <c r="G494" s="547"/>
      <c r="H494" s="547"/>
      <c r="I494" s="547"/>
      <c r="J494" s="547"/>
      <c r="K494" s="547"/>
      <c r="M494" s="547"/>
      <c r="N494" s="547"/>
      <c r="O494" s="547"/>
      <c r="P494" s="547"/>
      <c r="Q494" s="547"/>
      <c r="R494" s="547"/>
      <c r="S494" s="547"/>
      <c r="T494" s="547"/>
      <c r="U494" s="547"/>
      <c r="V494" s="547"/>
      <c r="W494" s="547"/>
      <c r="X494" s="547"/>
      <c r="Y494" s="547"/>
      <c r="Z494" s="547"/>
      <c r="AA494" s="547"/>
      <c r="AB494" s="884"/>
      <c r="AC494" s="547"/>
    </row>
    <row r="495" spans="1:29" ht="15.75" customHeight="1">
      <c r="A495" s="549"/>
      <c r="B495" s="550"/>
      <c r="C495" s="551"/>
      <c r="D495" s="551"/>
      <c r="E495" s="547"/>
      <c r="F495" s="547"/>
      <c r="G495" s="547"/>
      <c r="H495" s="547"/>
      <c r="I495" s="547"/>
      <c r="J495" s="547"/>
      <c r="K495" s="547"/>
      <c r="M495" s="547"/>
      <c r="N495" s="547"/>
      <c r="O495" s="547"/>
      <c r="P495" s="547"/>
      <c r="Q495" s="547"/>
      <c r="R495" s="547"/>
      <c r="S495" s="547"/>
      <c r="T495" s="547"/>
      <c r="U495" s="547"/>
      <c r="V495" s="547"/>
      <c r="W495" s="547"/>
      <c r="X495" s="547"/>
      <c r="Y495" s="547"/>
      <c r="Z495" s="547"/>
      <c r="AA495" s="547"/>
      <c r="AB495" s="884"/>
      <c r="AC495" s="547"/>
    </row>
    <row r="496" spans="1:29" ht="15.75" customHeight="1">
      <c r="A496" s="549"/>
      <c r="B496" s="550"/>
      <c r="C496" s="551"/>
      <c r="D496" s="551"/>
      <c r="E496" s="547"/>
      <c r="F496" s="547"/>
      <c r="G496" s="547"/>
      <c r="H496" s="547"/>
      <c r="I496" s="547"/>
      <c r="J496" s="547"/>
      <c r="K496" s="547"/>
      <c r="M496" s="547"/>
      <c r="N496" s="547"/>
      <c r="O496" s="547"/>
      <c r="P496" s="547"/>
      <c r="Q496" s="547"/>
      <c r="R496" s="547"/>
      <c r="S496" s="547"/>
      <c r="T496" s="547"/>
      <c r="U496" s="547"/>
      <c r="V496" s="547"/>
      <c r="W496" s="547"/>
      <c r="X496" s="547"/>
      <c r="Y496" s="547"/>
      <c r="Z496" s="547"/>
      <c r="AA496" s="547"/>
      <c r="AB496" s="884"/>
      <c r="AC496" s="547"/>
    </row>
    <row r="497" spans="1:29" ht="15.75" customHeight="1">
      <c r="A497" s="549"/>
      <c r="B497" s="550"/>
      <c r="C497" s="551"/>
      <c r="D497" s="551"/>
      <c r="E497" s="547"/>
      <c r="F497" s="547"/>
      <c r="G497" s="547"/>
      <c r="H497" s="547"/>
      <c r="I497" s="547"/>
      <c r="J497" s="547"/>
      <c r="K497" s="547"/>
      <c r="M497" s="547"/>
      <c r="N497" s="547"/>
      <c r="O497" s="547"/>
      <c r="P497" s="547"/>
      <c r="Q497" s="547"/>
      <c r="R497" s="547"/>
      <c r="S497" s="547"/>
      <c r="T497" s="547"/>
      <c r="U497" s="547"/>
      <c r="V497" s="547"/>
      <c r="W497" s="547"/>
      <c r="X497" s="547"/>
      <c r="Y497" s="547"/>
      <c r="Z497" s="547"/>
      <c r="AA497" s="547"/>
      <c r="AB497" s="884"/>
      <c r="AC497" s="547"/>
    </row>
    <row r="498" spans="1:29" ht="15.75" customHeight="1">
      <c r="A498" s="549"/>
      <c r="B498" s="550"/>
      <c r="C498" s="551"/>
      <c r="D498" s="551"/>
      <c r="E498" s="547"/>
      <c r="F498" s="547"/>
      <c r="G498" s="547"/>
      <c r="H498" s="547"/>
      <c r="I498" s="547"/>
      <c r="J498" s="547"/>
      <c r="K498" s="547"/>
      <c r="M498" s="547"/>
      <c r="N498" s="547"/>
      <c r="O498" s="547"/>
      <c r="P498" s="547"/>
      <c r="Q498" s="547"/>
      <c r="R498" s="547"/>
      <c r="S498" s="547"/>
      <c r="T498" s="547"/>
      <c r="U498" s="547"/>
      <c r="V498" s="547"/>
      <c r="W498" s="547"/>
      <c r="X498" s="547"/>
      <c r="Y498" s="547"/>
      <c r="Z498" s="547"/>
      <c r="AA498" s="547"/>
      <c r="AB498" s="884"/>
      <c r="AC498" s="547"/>
    </row>
    <row r="499" spans="1:29" ht="15.75" customHeight="1">
      <c r="A499" s="549"/>
      <c r="B499" s="550"/>
      <c r="C499" s="551"/>
      <c r="D499" s="551"/>
      <c r="E499" s="547"/>
      <c r="F499" s="547"/>
      <c r="G499" s="547"/>
      <c r="H499" s="547"/>
      <c r="I499" s="547"/>
      <c r="J499" s="547"/>
      <c r="K499" s="547"/>
      <c r="M499" s="547"/>
      <c r="N499" s="547"/>
      <c r="O499" s="547"/>
      <c r="P499" s="547"/>
      <c r="Q499" s="547"/>
      <c r="R499" s="547"/>
      <c r="S499" s="547"/>
      <c r="T499" s="547"/>
      <c r="U499" s="547"/>
      <c r="V499" s="547"/>
      <c r="W499" s="547"/>
      <c r="X499" s="547"/>
      <c r="Y499" s="547"/>
      <c r="Z499" s="547"/>
      <c r="AA499" s="547"/>
      <c r="AB499" s="884"/>
      <c r="AC499" s="547"/>
    </row>
    <row r="500" spans="1:29" ht="15.75" customHeight="1">
      <c r="A500" s="549"/>
      <c r="B500" s="550"/>
      <c r="C500" s="551"/>
      <c r="D500" s="551"/>
      <c r="E500" s="547"/>
      <c r="F500" s="547"/>
      <c r="G500" s="547"/>
      <c r="H500" s="547"/>
      <c r="I500" s="547"/>
      <c r="J500" s="547"/>
      <c r="K500" s="547"/>
      <c r="M500" s="547"/>
      <c r="N500" s="547"/>
      <c r="O500" s="547"/>
      <c r="P500" s="547"/>
      <c r="Q500" s="547"/>
      <c r="R500" s="547"/>
      <c r="S500" s="547"/>
      <c r="T500" s="547"/>
      <c r="U500" s="547"/>
      <c r="V500" s="547"/>
      <c r="W500" s="547"/>
      <c r="X500" s="547"/>
      <c r="Y500" s="547"/>
      <c r="Z500" s="547"/>
      <c r="AA500" s="547"/>
      <c r="AB500" s="884"/>
      <c r="AC500" s="547"/>
    </row>
    <row r="501" spans="1:29" ht="15.75" customHeight="1">
      <c r="A501" s="549"/>
      <c r="B501" s="550"/>
      <c r="C501" s="551"/>
      <c r="D501" s="551"/>
      <c r="E501" s="547"/>
      <c r="F501" s="547"/>
      <c r="G501" s="547"/>
      <c r="H501" s="547"/>
      <c r="I501" s="547"/>
      <c r="J501" s="547"/>
      <c r="K501" s="547"/>
      <c r="M501" s="547"/>
      <c r="N501" s="547"/>
      <c r="O501" s="547"/>
      <c r="P501" s="547"/>
      <c r="Q501" s="547"/>
      <c r="R501" s="547"/>
      <c r="S501" s="547"/>
      <c r="T501" s="547"/>
      <c r="U501" s="547"/>
      <c r="V501" s="547"/>
      <c r="W501" s="547"/>
      <c r="X501" s="547"/>
      <c r="Y501" s="547"/>
      <c r="Z501" s="547"/>
      <c r="AA501" s="547"/>
      <c r="AB501" s="884"/>
      <c r="AC501" s="547"/>
    </row>
    <row r="502" spans="1:29" ht="15.75" customHeight="1">
      <c r="A502" s="549"/>
      <c r="B502" s="550"/>
      <c r="C502" s="551"/>
      <c r="D502" s="551"/>
      <c r="E502" s="547"/>
      <c r="F502" s="547"/>
      <c r="G502" s="547"/>
      <c r="H502" s="547"/>
      <c r="I502" s="547"/>
      <c r="J502" s="547"/>
      <c r="K502" s="547"/>
      <c r="M502" s="547"/>
      <c r="N502" s="547"/>
      <c r="O502" s="547"/>
      <c r="P502" s="547"/>
      <c r="Q502" s="547"/>
      <c r="R502" s="547"/>
      <c r="S502" s="547"/>
      <c r="T502" s="547"/>
      <c r="U502" s="547"/>
      <c r="V502" s="547"/>
      <c r="W502" s="547"/>
      <c r="X502" s="547"/>
      <c r="Y502" s="547"/>
      <c r="Z502" s="547"/>
      <c r="AA502" s="547"/>
      <c r="AB502" s="884"/>
      <c r="AC502" s="547"/>
    </row>
    <row r="503" spans="1:29" ht="15.75" customHeight="1">
      <c r="A503" s="549"/>
      <c r="B503" s="550"/>
      <c r="C503" s="551"/>
      <c r="D503" s="551"/>
      <c r="E503" s="547"/>
      <c r="F503" s="547"/>
      <c r="G503" s="547"/>
      <c r="H503" s="547"/>
      <c r="I503" s="547"/>
      <c r="J503" s="547"/>
      <c r="K503" s="547"/>
      <c r="M503" s="547"/>
      <c r="N503" s="547"/>
      <c r="O503" s="547"/>
      <c r="P503" s="547"/>
      <c r="Q503" s="547"/>
      <c r="R503" s="547"/>
      <c r="S503" s="547"/>
      <c r="T503" s="547"/>
      <c r="U503" s="547"/>
      <c r="V503" s="547"/>
      <c r="W503" s="547"/>
      <c r="X503" s="547"/>
      <c r="Y503" s="547"/>
      <c r="Z503" s="547"/>
      <c r="AA503" s="547"/>
      <c r="AB503" s="884"/>
      <c r="AC503" s="547"/>
    </row>
    <row r="504" spans="1:29" ht="15.75" customHeight="1">
      <c r="A504" s="549"/>
      <c r="B504" s="550"/>
      <c r="C504" s="551"/>
      <c r="D504" s="551"/>
      <c r="E504" s="547"/>
      <c r="F504" s="547"/>
      <c r="G504" s="547"/>
      <c r="H504" s="547"/>
      <c r="I504" s="547"/>
      <c r="J504" s="547"/>
      <c r="K504" s="547"/>
      <c r="M504" s="547"/>
      <c r="N504" s="547"/>
      <c r="O504" s="547"/>
      <c r="P504" s="547"/>
      <c r="Q504" s="547"/>
      <c r="R504" s="547"/>
      <c r="S504" s="547"/>
      <c r="T504" s="547"/>
      <c r="U504" s="547"/>
      <c r="V504" s="547"/>
      <c r="W504" s="547"/>
      <c r="X504" s="547"/>
      <c r="Y504" s="547"/>
      <c r="Z504" s="547"/>
      <c r="AA504" s="547"/>
      <c r="AB504" s="884"/>
      <c r="AC504" s="547"/>
    </row>
    <row r="505" spans="1:29" ht="15.75" customHeight="1">
      <c r="A505" s="549"/>
      <c r="B505" s="550"/>
      <c r="C505" s="551"/>
      <c r="D505" s="551"/>
      <c r="E505" s="547"/>
      <c r="F505" s="547"/>
      <c r="G505" s="547"/>
      <c r="H505" s="547"/>
      <c r="I505" s="547"/>
      <c r="J505" s="547"/>
      <c r="K505" s="547"/>
      <c r="M505" s="547"/>
      <c r="N505" s="547"/>
      <c r="O505" s="547"/>
      <c r="P505" s="547"/>
      <c r="Q505" s="547"/>
      <c r="R505" s="547"/>
      <c r="S505" s="547"/>
      <c r="T505" s="547"/>
      <c r="U505" s="547"/>
      <c r="V505" s="547"/>
      <c r="W505" s="547"/>
      <c r="X505" s="547"/>
      <c r="Y505" s="547"/>
      <c r="Z505" s="547"/>
      <c r="AA505" s="547"/>
      <c r="AB505" s="884"/>
      <c r="AC505" s="547"/>
    </row>
    <row r="506" spans="1:29" ht="15.75" customHeight="1">
      <c r="A506" s="549"/>
      <c r="B506" s="550"/>
      <c r="C506" s="551"/>
      <c r="D506" s="551"/>
      <c r="E506" s="547"/>
      <c r="F506" s="547"/>
      <c r="G506" s="547"/>
      <c r="H506" s="547"/>
      <c r="I506" s="547"/>
      <c r="J506" s="547"/>
      <c r="K506" s="547"/>
      <c r="M506" s="547"/>
      <c r="N506" s="547"/>
      <c r="O506" s="547"/>
      <c r="P506" s="547"/>
      <c r="Q506" s="547"/>
      <c r="R506" s="547"/>
      <c r="S506" s="547"/>
      <c r="T506" s="547"/>
      <c r="U506" s="547"/>
      <c r="V506" s="547"/>
      <c r="W506" s="547"/>
      <c r="X506" s="547"/>
      <c r="Y506" s="547"/>
      <c r="Z506" s="547"/>
      <c r="AA506" s="547"/>
      <c r="AB506" s="884"/>
      <c r="AC506" s="547"/>
    </row>
    <row r="507" spans="1:29" ht="15.75" customHeight="1">
      <c r="A507" s="549"/>
      <c r="B507" s="550"/>
      <c r="C507" s="551"/>
      <c r="D507" s="551"/>
      <c r="E507" s="547"/>
      <c r="F507" s="547"/>
      <c r="G507" s="547"/>
      <c r="H507" s="547"/>
      <c r="I507" s="547"/>
      <c r="J507" s="547"/>
      <c r="K507" s="547"/>
      <c r="M507" s="547"/>
      <c r="N507" s="547"/>
      <c r="O507" s="547"/>
      <c r="P507" s="547"/>
      <c r="Q507" s="547"/>
      <c r="R507" s="547"/>
      <c r="S507" s="547"/>
      <c r="T507" s="547"/>
      <c r="U507" s="547"/>
      <c r="V507" s="547"/>
      <c r="W507" s="547"/>
      <c r="X507" s="547"/>
      <c r="Y507" s="547"/>
      <c r="Z507" s="547"/>
      <c r="AA507" s="547"/>
      <c r="AB507" s="884"/>
      <c r="AC507" s="547"/>
    </row>
    <row r="508" spans="1:29" ht="15.75" customHeight="1">
      <c r="A508" s="549"/>
      <c r="B508" s="550"/>
      <c r="C508" s="551"/>
      <c r="D508" s="551"/>
      <c r="E508" s="547"/>
      <c r="F508" s="547"/>
      <c r="G508" s="547"/>
      <c r="H508" s="547"/>
      <c r="I508" s="547"/>
      <c r="J508" s="547"/>
      <c r="K508" s="547"/>
      <c r="M508" s="547"/>
      <c r="N508" s="547"/>
      <c r="O508" s="547"/>
      <c r="P508" s="547"/>
      <c r="Q508" s="547"/>
      <c r="R508" s="547"/>
      <c r="S508" s="547"/>
      <c r="T508" s="547"/>
      <c r="U508" s="547"/>
      <c r="V508" s="547"/>
      <c r="W508" s="547"/>
      <c r="X508" s="547"/>
      <c r="Y508" s="547"/>
      <c r="Z508" s="547"/>
      <c r="AA508" s="547"/>
      <c r="AB508" s="884"/>
      <c r="AC508" s="547"/>
    </row>
    <row r="509" spans="1:29" ht="15.75" customHeight="1">
      <c r="A509" s="549"/>
      <c r="B509" s="550"/>
      <c r="C509" s="551"/>
      <c r="D509" s="551"/>
      <c r="E509" s="547"/>
      <c r="F509" s="547"/>
      <c r="G509" s="547"/>
      <c r="H509" s="547"/>
      <c r="I509" s="547"/>
      <c r="J509" s="547"/>
      <c r="K509" s="547"/>
      <c r="M509" s="547"/>
      <c r="N509" s="547"/>
      <c r="O509" s="547"/>
      <c r="P509" s="547"/>
      <c r="Q509" s="547"/>
      <c r="R509" s="547"/>
      <c r="S509" s="547"/>
      <c r="T509" s="547"/>
      <c r="U509" s="547"/>
      <c r="V509" s="547"/>
      <c r="W509" s="547"/>
      <c r="X509" s="547"/>
      <c r="Y509" s="547"/>
      <c r="Z509" s="547"/>
      <c r="AA509" s="547"/>
      <c r="AB509" s="884"/>
      <c r="AC509" s="547"/>
    </row>
    <row r="510" spans="1:29" ht="15.75" customHeight="1">
      <c r="A510" s="549"/>
      <c r="B510" s="550"/>
      <c r="C510" s="551"/>
      <c r="D510" s="551"/>
      <c r="E510" s="547"/>
      <c r="F510" s="547"/>
      <c r="G510" s="547"/>
      <c r="H510" s="547"/>
      <c r="I510" s="547"/>
      <c r="J510" s="547"/>
      <c r="K510" s="547"/>
      <c r="M510" s="547"/>
      <c r="N510" s="547"/>
      <c r="O510" s="547"/>
      <c r="P510" s="547"/>
      <c r="Q510" s="547"/>
      <c r="R510" s="547"/>
      <c r="S510" s="547"/>
      <c r="T510" s="547"/>
      <c r="U510" s="547"/>
      <c r="V510" s="547"/>
      <c r="W510" s="547"/>
      <c r="X510" s="547"/>
      <c r="Y510" s="547"/>
      <c r="Z510" s="547"/>
      <c r="AA510" s="547"/>
      <c r="AB510" s="884"/>
      <c r="AC510" s="547"/>
    </row>
    <row r="511" spans="1:29" ht="15.75" customHeight="1">
      <c r="A511" s="549"/>
      <c r="B511" s="550"/>
      <c r="C511" s="551"/>
      <c r="D511" s="551"/>
      <c r="E511" s="547"/>
      <c r="F511" s="547"/>
      <c r="G511" s="547"/>
      <c r="H511" s="547"/>
      <c r="I511" s="547"/>
      <c r="J511" s="547"/>
      <c r="K511" s="547"/>
      <c r="M511" s="547"/>
      <c r="N511" s="547"/>
      <c r="O511" s="547"/>
      <c r="P511" s="547"/>
      <c r="Q511" s="547"/>
      <c r="R511" s="547"/>
      <c r="S511" s="547"/>
      <c r="T511" s="547"/>
      <c r="U511" s="547"/>
      <c r="V511" s="547"/>
      <c r="W511" s="547"/>
      <c r="X511" s="547"/>
      <c r="Y511" s="547"/>
      <c r="Z511" s="547"/>
      <c r="AA511" s="547"/>
      <c r="AB511" s="884"/>
      <c r="AC511" s="547"/>
    </row>
    <row r="512" spans="1:29" ht="15.75" customHeight="1">
      <c r="A512" s="549"/>
      <c r="B512" s="550"/>
      <c r="C512" s="551"/>
      <c r="D512" s="551"/>
      <c r="E512" s="547"/>
      <c r="F512" s="547"/>
      <c r="G512" s="547"/>
      <c r="H512" s="547"/>
      <c r="I512" s="547"/>
      <c r="J512" s="547"/>
      <c r="K512" s="547"/>
      <c r="M512" s="547"/>
      <c r="N512" s="547"/>
      <c r="O512" s="547"/>
      <c r="P512" s="547"/>
      <c r="Q512" s="547"/>
      <c r="R512" s="547"/>
      <c r="S512" s="547"/>
      <c r="T512" s="547"/>
      <c r="U512" s="547"/>
      <c r="V512" s="547"/>
      <c r="W512" s="547"/>
      <c r="X512" s="547"/>
      <c r="Y512" s="547"/>
      <c r="Z512" s="547"/>
      <c r="AA512" s="547"/>
      <c r="AB512" s="884"/>
      <c r="AC512" s="547"/>
    </row>
    <row r="513" spans="1:29" ht="15.75" customHeight="1">
      <c r="A513" s="549"/>
      <c r="B513" s="550"/>
      <c r="C513" s="551"/>
      <c r="D513" s="551"/>
      <c r="E513" s="547"/>
      <c r="F513" s="547"/>
      <c r="G513" s="547"/>
      <c r="H513" s="547"/>
      <c r="I513" s="547"/>
      <c r="J513" s="547"/>
      <c r="K513" s="547"/>
      <c r="M513" s="547"/>
      <c r="N513" s="547"/>
      <c r="O513" s="547"/>
      <c r="P513" s="547"/>
      <c r="Q513" s="547"/>
      <c r="R513" s="547"/>
      <c r="S513" s="547"/>
      <c r="T513" s="547"/>
      <c r="U513" s="547"/>
      <c r="V513" s="547"/>
      <c r="W513" s="547"/>
      <c r="X513" s="547"/>
      <c r="Y513" s="547"/>
      <c r="Z513" s="547"/>
      <c r="AA513" s="547"/>
      <c r="AB513" s="884"/>
      <c r="AC513" s="547"/>
    </row>
    <row r="514" spans="1:29" ht="15.75" customHeight="1">
      <c r="A514" s="549"/>
      <c r="B514" s="550"/>
      <c r="C514" s="551"/>
      <c r="D514" s="551"/>
      <c r="E514" s="547"/>
      <c r="F514" s="547"/>
      <c r="G514" s="547"/>
      <c r="H514" s="547"/>
      <c r="I514" s="547"/>
      <c r="J514" s="547"/>
      <c r="K514" s="547"/>
      <c r="M514" s="547"/>
      <c r="N514" s="547"/>
      <c r="O514" s="547"/>
      <c r="P514" s="547"/>
      <c r="Q514" s="547"/>
      <c r="R514" s="547"/>
      <c r="S514" s="547"/>
      <c r="T514" s="547"/>
      <c r="U514" s="547"/>
      <c r="V514" s="547"/>
      <c r="W514" s="547"/>
      <c r="X514" s="547"/>
      <c r="Y514" s="547"/>
      <c r="Z514" s="547"/>
      <c r="AA514" s="547"/>
      <c r="AB514" s="884"/>
      <c r="AC514" s="547"/>
    </row>
    <row r="515" spans="1:29" ht="15.75" customHeight="1">
      <c r="A515" s="549"/>
      <c r="B515" s="550"/>
      <c r="C515" s="551"/>
      <c r="D515" s="551"/>
      <c r="E515" s="547"/>
      <c r="F515" s="547"/>
      <c r="G515" s="547"/>
      <c r="H515" s="547"/>
      <c r="I515" s="547"/>
      <c r="J515" s="547"/>
      <c r="K515" s="547"/>
      <c r="M515" s="547"/>
      <c r="N515" s="547"/>
      <c r="O515" s="547"/>
      <c r="P515" s="547"/>
      <c r="Q515" s="547"/>
      <c r="R515" s="547"/>
      <c r="S515" s="547"/>
      <c r="T515" s="547"/>
      <c r="U515" s="547"/>
      <c r="V515" s="547"/>
      <c r="W515" s="547"/>
      <c r="X515" s="547"/>
      <c r="Y515" s="547"/>
      <c r="Z515" s="547"/>
      <c r="AA515" s="547"/>
      <c r="AB515" s="884"/>
      <c r="AC515" s="547"/>
    </row>
    <row r="516" spans="1:29" ht="15.75" customHeight="1">
      <c r="A516" s="549"/>
      <c r="B516" s="550"/>
      <c r="C516" s="551"/>
      <c r="D516" s="551"/>
      <c r="E516" s="547"/>
      <c r="F516" s="547"/>
      <c r="G516" s="547"/>
      <c r="H516" s="547"/>
      <c r="I516" s="547"/>
      <c r="J516" s="547"/>
      <c r="K516" s="547"/>
      <c r="M516" s="547"/>
      <c r="N516" s="547"/>
      <c r="O516" s="547"/>
      <c r="P516" s="547"/>
      <c r="Q516" s="547"/>
      <c r="R516" s="547"/>
      <c r="S516" s="547"/>
      <c r="T516" s="547"/>
      <c r="U516" s="547"/>
      <c r="V516" s="547"/>
      <c r="W516" s="547"/>
      <c r="X516" s="547"/>
      <c r="Y516" s="547"/>
      <c r="Z516" s="547"/>
      <c r="AA516" s="547"/>
      <c r="AB516" s="884"/>
      <c r="AC516" s="547"/>
    </row>
    <row r="517" spans="1:29" ht="15.75" customHeight="1">
      <c r="A517" s="549"/>
      <c r="B517" s="550"/>
      <c r="C517" s="551"/>
      <c r="D517" s="551"/>
      <c r="E517" s="547"/>
      <c r="F517" s="547"/>
      <c r="G517" s="547"/>
      <c r="H517" s="547"/>
      <c r="I517" s="547"/>
      <c r="J517" s="547"/>
      <c r="K517" s="547"/>
      <c r="M517" s="547"/>
      <c r="N517" s="547"/>
      <c r="O517" s="547"/>
      <c r="P517" s="547"/>
      <c r="Q517" s="547"/>
      <c r="R517" s="547"/>
      <c r="S517" s="547"/>
      <c r="T517" s="547"/>
      <c r="U517" s="547"/>
      <c r="V517" s="547"/>
      <c r="W517" s="547"/>
      <c r="X517" s="547"/>
      <c r="Y517" s="547"/>
      <c r="Z517" s="547"/>
      <c r="AA517" s="547"/>
      <c r="AB517" s="884"/>
      <c r="AC517" s="547"/>
    </row>
    <row r="518" spans="1:29" ht="15.75" customHeight="1">
      <c r="A518" s="549"/>
      <c r="B518" s="550"/>
      <c r="C518" s="551"/>
      <c r="D518" s="551"/>
      <c r="E518" s="547"/>
      <c r="F518" s="547"/>
      <c r="G518" s="547"/>
      <c r="H518" s="547"/>
      <c r="I518" s="547"/>
      <c r="J518" s="547"/>
      <c r="K518" s="547"/>
      <c r="M518" s="547"/>
      <c r="N518" s="547"/>
      <c r="O518" s="547"/>
      <c r="P518" s="547"/>
      <c r="Q518" s="547"/>
      <c r="R518" s="547"/>
      <c r="S518" s="547"/>
      <c r="T518" s="547"/>
      <c r="U518" s="547"/>
      <c r="V518" s="547"/>
      <c r="W518" s="547"/>
      <c r="X518" s="547"/>
      <c r="Y518" s="547"/>
      <c r="Z518" s="547"/>
      <c r="AA518" s="547"/>
      <c r="AB518" s="884"/>
      <c r="AC518" s="547"/>
    </row>
    <row r="519" spans="1:29" ht="15.75" customHeight="1">
      <c r="A519" s="549"/>
      <c r="B519" s="550"/>
      <c r="C519" s="551"/>
      <c r="D519" s="551"/>
      <c r="E519" s="547"/>
      <c r="F519" s="547"/>
      <c r="G519" s="547"/>
      <c r="H519" s="547"/>
      <c r="I519" s="547"/>
      <c r="J519" s="547"/>
      <c r="K519" s="547"/>
      <c r="M519" s="547"/>
      <c r="N519" s="547"/>
      <c r="O519" s="547"/>
      <c r="P519" s="547"/>
      <c r="Q519" s="547"/>
      <c r="R519" s="547"/>
      <c r="S519" s="547"/>
      <c r="T519" s="547"/>
      <c r="U519" s="547"/>
      <c r="V519" s="547"/>
      <c r="W519" s="547"/>
      <c r="X519" s="547"/>
      <c r="Y519" s="547"/>
      <c r="Z519" s="547"/>
      <c r="AA519" s="547"/>
      <c r="AB519" s="884"/>
      <c r="AC519" s="547"/>
    </row>
    <row r="520" spans="1:29" ht="15.75" customHeight="1">
      <c r="A520" s="549"/>
      <c r="B520" s="550"/>
      <c r="C520" s="551"/>
      <c r="D520" s="551"/>
      <c r="E520" s="547"/>
      <c r="F520" s="547"/>
      <c r="G520" s="547"/>
      <c r="H520" s="547"/>
      <c r="I520" s="547"/>
      <c r="J520" s="547"/>
      <c r="K520" s="547"/>
      <c r="M520" s="547"/>
      <c r="N520" s="547"/>
      <c r="O520" s="547"/>
      <c r="P520" s="547"/>
      <c r="Q520" s="547"/>
      <c r="R520" s="547"/>
      <c r="S520" s="547"/>
      <c r="T520" s="547"/>
      <c r="U520" s="547"/>
      <c r="V520" s="547"/>
      <c r="W520" s="547"/>
      <c r="X520" s="547"/>
      <c r="Y520" s="547"/>
      <c r="Z520" s="547"/>
      <c r="AA520" s="547"/>
      <c r="AB520" s="884"/>
      <c r="AC520" s="547"/>
    </row>
    <row r="521" spans="1:29" ht="15.75" customHeight="1">
      <c r="A521" s="549"/>
      <c r="B521" s="550"/>
      <c r="C521" s="551"/>
      <c r="D521" s="551"/>
      <c r="E521" s="547"/>
      <c r="F521" s="547"/>
      <c r="G521" s="547"/>
      <c r="H521" s="547"/>
      <c r="I521" s="547"/>
      <c r="J521" s="547"/>
      <c r="K521" s="547"/>
      <c r="M521" s="547"/>
      <c r="N521" s="547"/>
      <c r="O521" s="547"/>
      <c r="P521" s="547"/>
      <c r="Q521" s="547"/>
      <c r="R521" s="547"/>
      <c r="S521" s="547"/>
      <c r="T521" s="547"/>
      <c r="U521" s="547"/>
      <c r="V521" s="547"/>
      <c r="W521" s="547"/>
      <c r="X521" s="547"/>
      <c r="Y521" s="547"/>
      <c r="Z521" s="547"/>
      <c r="AA521" s="547"/>
      <c r="AB521" s="884"/>
      <c r="AC521" s="547"/>
    </row>
    <row r="522" spans="1:29" ht="15.75" customHeight="1">
      <c r="A522" s="549"/>
      <c r="B522" s="550"/>
      <c r="C522" s="551"/>
      <c r="D522" s="551"/>
      <c r="E522" s="547"/>
      <c r="F522" s="547"/>
      <c r="G522" s="547"/>
      <c r="H522" s="547"/>
      <c r="I522" s="547"/>
      <c r="J522" s="547"/>
      <c r="K522" s="547"/>
      <c r="M522" s="547"/>
      <c r="N522" s="547"/>
      <c r="O522" s="547"/>
      <c r="P522" s="547"/>
      <c r="Q522" s="547"/>
      <c r="R522" s="547"/>
      <c r="S522" s="547"/>
      <c r="T522" s="547"/>
      <c r="U522" s="547"/>
      <c r="V522" s="547"/>
      <c r="W522" s="547"/>
      <c r="X522" s="547"/>
      <c r="Y522" s="547"/>
      <c r="Z522" s="547"/>
      <c r="AA522" s="547"/>
      <c r="AB522" s="884"/>
      <c r="AC522" s="547"/>
    </row>
    <row r="523" spans="1:29" ht="15.75" customHeight="1">
      <c r="A523" s="549"/>
      <c r="B523" s="550"/>
      <c r="C523" s="551"/>
      <c r="D523" s="551"/>
      <c r="E523" s="547"/>
      <c r="F523" s="547"/>
      <c r="G523" s="547"/>
      <c r="H523" s="547"/>
      <c r="I523" s="547"/>
      <c r="J523" s="547"/>
      <c r="K523" s="547"/>
      <c r="M523" s="547"/>
      <c r="N523" s="547"/>
      <c r="O523" s="547"/>
      <c r="P523" s="547"/>
      <c r="Q523" s="547"/>
      <c r="R523" s="547"/>
      <c r="S523" s="547"/>
      <c r="T523" s="547"/>
      <c r="U523" s="547"/>
      <c r="V523" s="547"/>
      <c r="W523" s="547"/>
      <c r="X523" s="547"/>
      <c r="Y523" s="547"/>
      <c r="Z523" s="547"/>
      <c r="AA523" s="547"/>
      <c r="AB523" s="884"/>
      <c r="AC523" s="547"/>
    </row>
    <row r="524" spans="1:29" ht="15.75" customHeight="1">
      <c r="A524" s="549"/>
      <c r="B524" s="550"/>
      <c r="C524" s="551"/>
      <c r="D524" s="551"/>
      <c r="E524" s="547"/>
      <c r="F524" s="547"/>
      <c r="G524" s="547"/>
      <c r="H524" s="547"/>
      <c r="I524" s="547"/>
      <c r="J524" s="547"/>
      <c r="K524" s="547"/>
      <c r="M524" s="547"/>
      <c r="N524" s="547"/>
      <c r="O524" s="547"/>
      <c r="P524" s="547"/>
      <c r="Q524" s="547"/>
      <c r="R524" s="547"/>
      <c r="S524" s="547"/>
      <c r="T524" s="547"/>
      <c r="U524" s="547"/>
      <c r="V524" s="547"/>
      <c r="W524" s="547"/>
      <c r="X524" s="547"/>
      <c r="Y524" s="547"/>
      <c r="Z524" s="547"/>
      <c r="AA524" s="547"/>
      <c r="AB524" s="884"/>
      <c r="AC524" s="547"/>
    </row>
    <row r="525" spans="1:29" ht="15.75" customHeight="1">
      <c r="A525" s="549"/>
      <c r="B525" s="550"/>
      <c r="C525" s="551"/>
      <c r="D525" s="551"/>
      <c r="E525" s="547"/>
      <c r="F525" s="547"/>
      <c r="G525" s="547"/>
      <c r="H525" s="547"/>
      <c r="I525" s="547"/>
      <c r="J525" s="547"/>
      <c r="K525" s="547"/>
      <c r="M525" s="547"/>
      <c r="N525" s="547"/>
      <c r="O525" s="547"/>
      <c r="P525" s="547"/>
      <c r="Q525" s="547"/>
      <c r="R525" s="547"/>
      <c r="S525" s="547"/>
      <c r="T525" s="547"/>
      <c r="U525" s="547"/>
      <c r="V525" s="547"/>
      <c r="W525" s="547"/>
      <c r="X525" s="547"/>
      <c r="Y525" s="547"/>
      <c r="Z525" s="547"/>
      <c r="AA525" s="547"/>
      <c r="AB525" s="884"/>
      <c r="AC525" s="547"/>
    </row>
    <row r="526" spans="1:29" ht="15.75" customHeight="1">
      <c r="A526" s="549"/>
      <c r="B526" s="550"/>
      <c r="C526" s="551"/>
      <c r="D526" s="551"/>
      <c r="E526" s="547"/>
      <c r="F526" s="547"/>
      <c r="G526" s="547"/>
      <c r="H526" s="547"/>
      <c r="I526" s="547"/>
      <c r="J526" s="547"/>
      <c r="K526" s="547"/>
      <c r="M526" s="547"/>
      <c r="N526" s="547"/>
      <c r="O526" s="547"/>
      <c r="P526" s="547"/>
      <c r="Q526" s="547"/>
      <c r="R526" s="547"/>
      <c r="S526" s="547"/>
      <c r="T526" s="547"/>
      <c r="U526" s="547"/>
      <c r="V526" s="547"/>
      <c r="W526" s="547"/>
      <c r="X526" s="547"/>
      <c r="Y526" s="547"/>
      <c r="Z526" s="547"/>
      <c r="AA526" s="547"/>
      <c r="AB526" s="884"/>
      <c r="AC526" s="547"/>
    </row>
    <row r="527" spans="1:29" ht="15.75" customHeight="1">
      <c r="A527" s="549"/>
      <c r="B527" s="550"/>
      <c r="C527" s="551"/>
      <c r="D527" s="551"/>
      <c r="E527" s="547"/>
      <c r="F527" s="547"/>
      <c r="G527" s="547"/>
      <c r="H527" s="547"/>
      <c r="I527" s="547"/>
      <c r="J527" s="547"/>
      <c r="K527" s="547"/>
      <c r="M527" s="547"/>
      <c r="N527" s="547"/>
      <c r="O527" s="547"/>
      <c r="P527" s="547"/>
      <c r="Q527" s="547"/>
      <c r="R527" s="547"/>
      <c r="S527" s="547"/>
      <c r="T527" s="547"/>
      <c r="U527" s="547"/>
      <c r="V527" s="547"/>
      <c r="W527" s="547"/>
      <c r="X527" s="547"/>
      <c r="Y527" s="547"/>
      <c r="Z527" s="547"/>
      <c r="AA527" s="547"/>
      <c r="AB527" s="884"/>
      <c r="AC527" s="547"/>
    </row>
    <row r="528" spans="1:29" ht="15.75" customHeight="1">
      <c r="A528" s="549"/>
      <c r="B528" s="550"/>
      <c r="C528" s="551"/>
      <c r="D528" s="551"/>
      <c r="E528" s="547"/>
      <c r="F528" s="547"/>
      <c r="G528" s="547"/>
      <c r="H528" s="547"/>
      <c r="I528" s="547"/>
      <c r="J528" s="547"/>
      <c r="K528" s="547"/>
      <c r="M528" s="547"/>
      <c r="N528" s="547"/>
      <c r="O528" s="547"/>
      <c r="P528" s="547"/>
      <c r="Q528" s="547"/>
      <c r="R528" s="547"/>
      <c r="S528" s="547"/>
      <c r="T528" s="547"/>
      <c r="U528" s="547"/>
      <c r="V528" s="547"/>
      <c r="W528" s="547"/>
      <c r="X528" s="547"/>
      <c r="Y528" s="547"/>
      <c r="Z528" s="547"/>
      <c r="AA528" s="547"/>
      <c r="AB528" s="884"/>
      <c r="AC528" s="547"/>
    </row>
    <row r="529" spans="1:29" ht="15.75" customHeight="1">
      <c r="A529" s="549"/>
      <c r="B529" s="550"/>
      <c r="C529" s="551"/>
      <c r="D529" s="551"/>
      <c r="E529" s="547"/>
      <c r="F529" s="547"/>
      <c r="G529" s="547"/>
      <c r="H529" s="547"/>
      <c r="I529" s="547"/>
      <c r="J529" s="547"/>
      <c r="K529" s="547"/>
      <c r="M529" s="547"/>
      <c r="N529" s="547"/>
      <c r="O529" s="547"/>
      <c r="P529" s="547"/>
      <c r="Q529" s="547"/>
      <c r="R529" s="547"/>
      <c r="S529" s="547"/>
      <c r="T529" s="547"/>
      <c r="U529" s="547"/>
      <c r="V529" s="547"/>
      <c r="W529" s="547"/>
      <c r="X529" s="547"/>
      <c r="Y529" s="547"/>
      <c r="Z529" s="547"/>
      <c r="AA529" s="547"/>
      <c r="AB529" s="884"/>
      <c r="AC529" s="547"/>
    </row>
    <row r="530" spans="1:29" ht="15.75" customHeight="1">
      <c r="A530" s="549"/>
      <c r="B530" s="550"/>
      <c r="C530" s="551"/>
      <c r="D530" s="551"/>
      <c r="E530" s="547"/>
      <c r="F530" s="547"/>
      <c r="G530" s="547"/>
      <c r="H530" s="547"/>
      <c r="I530" s="547"/>
      <c r="J530" s="547"/>
      <c r="K530" s="547"/>
      <c r="M530" s="547"/>
      <c r="N530" s="547"/>
      <c r="O530" s="547"/>
      <c r="P530" s="547"/>
      <c r="Q530" s="547"/>
      <c r="R530" s="547"/>
      <c r="S530" s="547"/>
      <c r="T530" s="547"/>
      <c r="U530" s="547"/>
      <c r="V530" s="547"/>
      <c r="W530" s="547"/>
      <c r="X530" s="547"/>
      <c r="Y530" s="547"/>
      <c r="Z530" s="547"/>
      <c r="AA530" s="547"/>
      <c r="AB530" s="884"/>
      <c r="AC530" s="547"/>
    </row>
    <row r="531" spans="1:29" ht="15.75" customHeight="1">
      <c r="A531" s="549"/>
      <c r="B531" s="550"/>
      <c r="C531" s="551"/>
      <c r="D531" s="551"/>
      <c r="E531" s="547"/>
      <c r="F531" s="547"/>
      <c r="G531" s="547"/>
      <c r="H531" s="547"/>
      <c r="I531" s="547"/>
      <c r="J531" s="547"/>
      <c r="K531" s="547"/>
      <c r="M531" s="547"/>
      <c r="N531" s="547"/>
      <c r="O531" s="547"/>
      <c r="P531" s="547"/>
      <c r="Q531" s="547"/>
      <c r="R531" s="547"/>
      <c r="S531" s="547"/>
      <c r="T531" s="547"/>
      <c r="U531" s="547"/>
      <c r="V531" s="547"/>
      <c r="W531" s="547"/>
      <c r="X531" s="547"/>
      <c r="Y531" s="547"/>
      <c r="Z531" s="547"/>
      <c r="AA531" s="547"/>
      <c r="AB531" s="884"/>
      <c r="AC531" s="547"/>
    </row>
    <row r="532" spans="1:29" ht="15.75" customHeight="1">
      <c r="A532" s="549"/>
      <c r="B532" s="550"/>
      <c r="C532" s="551"/>
      <c r="D532" s="551"/>
      <c r="E532" s="547"/>
      <c r="F532" s="547"/>
      <c r="G532" s="547"/>
      <c r="H532" s="547"/>
      <c r="I532" s="547"/>
      <c r="J532" s="547"/>
      <c r="K532" s="547"/>
      <c r="M532" s="547"/>
      <c r="N532" s="547"/>
      <c r="O532" s="547"/>
      <c r="P532" s="547"/>
      <c r="Q532" s="547"/>
      <c r="R532" s="547"/>
      <c r="S532" s="547"/>
      <c r="T532" s="547"/>
      <c r="U532" s="547"/>
      <c r="V532" s="547"/>
      <c r="W532" s="547"/>
      <c r="X532" s="547"/>
      <c r="Y532" s="547"/>
      <c r="Z532" s="547"/>
      <c r="AA532" s="547"/>
      <c r="AB532" s="884"/>
      <c r="AC532" s="547"/>
    </row>
    <row r="533" spans="1:29" ht="15.75" customHeight="1">
      <c r="A533" s="549"/>
      <c r="B533" s="550"/>
      <c r="C533" s="551"/>
      <c r="D533" s="551"/>
      <c r="E533" s="547"/>
      <c r="F533" s="547"/>
      <c r="G533" s="547"/>
      <c r="H533" s="547"/>
      <c r="I533" s="547"/>
      <c r="J533" s="547"/>
      <c r="K533" s="547"/>
      <c r="M533" s="547"/>
      <c r="N533" s="547"/>
      <c r="O533" s="547"/>
      <c r="P533" s="547"/>
      <c r="Q533" s="547"/>
      <c r="R533" s="547"/>
      <c r="S533" s="547"/>
      <c r="T533" s="547"/>
      <c r="U533" s="547"/>
      <c r="V533" s="547"/>
      <c r="W533" s="547"/>
      <c r="X533" s="547"/>
      <c r="Y533" s="547"/>
      <c r="Z533" s="547"/>
      <c r="AA533" s="547"/>
      <c r="AB533" s="884"/>
      <c r="AC533" s="547"/>
    </row>
    <row r="534" spans="1:29" ht="15.75" customHeight="1">
      <c r="A534" s="549"/>
      <c r="B534" s="550"/>
      <c r="C534" s="551"/>
      <c r="D534" s="551"/>
      <c r="E534" s="547"/>
      <c r="F534" s="547"/>
      <c r="G534" s="547"/>
      <c r="H534" s="547"/>
      <c r="I534" s="547"/>
      <c r="J534" s="547"/>
      <c r="K534" s="547"/>
      <c r="M534" s="547"/>
      <c r="N534" s="547"/>
      <c r="O534" s="547"/>
      <c r="P534" s="547"/>
      <c r="Q534" s="547"/>
      <c r="R534" s="547"/>
      <c r="S534" s="547"/>
      <c r="T534" s="547"/>
      <c r="U534" s="547"/>
      <c r="V534" s="547"/>
      <c r="W534" s="547"/>
      <c r="X534" s="547"/>
      <c r="Y534" s="547"/>
      <c r="Z534" s="547"/>
      <c r="AA534" s="547"/>
      <c r="AB534" s="884"/>
      <c r="AC534" s="547"/>
    </row>
    <row r="535" spans="1:29" ht="15.75" customHeight="1">
      <c r="A535" s="549"/>
      <c r="B535" s="550"/>
      <c r="C535" s="551"/>
      <c r="D535" s="551"/>
      <c r="E535" s="547"/>
      <c r="F535" s="547"/>
      <c r="G535" s="547"/>
      <c r="H535" s="547"/>
      <c r="I535" s="547"/>
      <c r="J535" s="547"/>
      <c r="K535" s="547"/>
      <c r="M535" s="547"/>
      <c r="N535" s="547"/>
      <c r="O535" s="547"/>
      <c r="P535" s="547"/>
      <c r="Q535" s="547"/>
      <c r="R535" s="547"/>
      <c r="S535" s="547"/>
      <c r="T535" s="547"/>
      <c r="U535" s="547"/>
      <c r="V535" s="547"/>
      <c r="W535" s="547"/>
      <c r="X535" s="547"/>
      <c r="Y535" s="547"/>
      <c r="Z535" s="547"/>
      <c r="AA535" s="547"/>
      <c r="AB535" s="884"/>
      <c r="AC535" s="547"/>
    </row>
    <row r="536" spans="1:29" ht="15.75" customHeight="1">
      <c r="A536" s="549"/>
      <c r="B536" s="550"/>
      <c r="C536" s="551"/>
      <c r="D536" s="551"/>
      <c r="E536" s="547"/>
      <c r="F536" s="547"/>
      <c r="G536" s="547"/>
      <c r="H536" s="547"/>
      <c r="I536" s="547"/>
      <c r="J536" s="547"/>
      <c r="K536" s="547"/>
      <c r="M536" s="547"/>
      <c r="N536" s="547"/>
      <c r="O536" s="547"/>
      <c r="P536" s="547"/>
      <c r="Q536" s="547"/>
      <c r="R536" s="547"/>
      <c r="S536" s="547"/>
      <c r="T536" s="547"/>
      <c r="U536" s="547"/>
      <c r="V536" s="547"/>
      <c r="W536" s="547"/>
      <c r="X536" s="547"/>
      <c r="Y536" s="547"/>
      <c r="Z536" s="547"/>
      <c r="AA536" s="547"/>
      <c r="AB536" s="884"/>
      <c r="AC536" s="547"/>
    </row>
    <row r="537" spans="1:29" ht="15.75" customHeight="1">
      <c r="A537" s="549"/>
      <c r="B537" s="550"/>
      <c r="C537" s="551"/>
      <c r="D537" s="551"/>
      <c r="E537" s="547"/>
      <c r="F537" s="547"/>
      <c r="G537" s="547"/>
      <c r="H537" s="547"/>
      <c r="I537" s="547"/>
      <c r="J537" s="547"/>
      <c r="K537" s="547"/>
      <c r="M537" s="547"/>
      <c r="N537" s="547"/>
      <c r="O537" s="547"/>
      <c r="P537" s="547"/>
      <c r="Q537" s="547"/>
      <c r="R537" s="547"/>
      <c r="S537" s="547"/>
      <c r="T537" s="547"/>
      <c r="U537" s="547"/>
      <c r="V537" s="547"/>
      <c r="W537" s="547"/>
      <c r="X537" s="547"/>
      <c r="Y537" s="547"/>
      <c r="Z537" s="547"/>
      <c r="AA537" s="547"/>
      <c r="AB537" s="884"/>
      <c r="AC537" s="547"/>
    </row>
    <row r="538" spans="1:29" ht="15.75" customHeight="1">
      <c r="A538" s="549"/>
      <c r="B538" s="550"/>
      <c r="C538" s="551"/>
      <c r="D538" s="551"/>
      <c r="E538" s="547"/>
      <c r="F538" s="547"/>
      <c r="G538" s="547"/>
      <c r="H538" s="547"/>
      <c r="I538" s="547"/>
      <c r="J538" s="547"/>
      <c r="K538" s="547"/>
      <c r="M538" s="547"/>
      <c r="N538" s="547"/>
      <c r="O538" s="547"/>
      <c r="P538" s="547"/>
      <c r="Q538" s="547"/>
      <c r="R538" s="547"/>
      <c r="S538" s="547"/>
      <c r="T538" s="547"/>
      <c r="U538" s="547"/>
      <c r="V538" s="547"/>
      <c r="W538" s="547"/>
      <c r="X538" s="547"/>
      <c r="Y538" s="547"/>
      <c r="Z538" s="547"/>
      <c r="AA538" s="547"/>
      <c r="AB538" s="884"/>
      <c r="AC538" s="547"/>
    </row>
    <row r="539" spans="1:29" ht="15.75" customHeight="1">
      <c r="A539" s="549"/>
      <c r="B539" s="550"/>
      <c r="C539" s="551"/>
      <c r="D539" s="551"/>
      <c r="E539" s="547"/>
      <c r="F539" s="547"/>
      <c r="G539" s="547"/>
      <c r="H539" s="547"/>
      <c r="I539" s="547"/>
      <c r="J539" s="547"/>
      <c r="K539" s="547"/>
      <c r="M539" s="547"/>
      <c r="N539" s="547"/>
      <c r="O539" s="547"/>
      <c r="P539" s="547"/>
      <c r="Q539" s="547"/>
      <c r="R539" s="547"/>
      <c r="S539" s="547"/>
      <c r="T539" s="547"/>
      <c r="U539" s="547"/>
      <c r="V539" s="547"/>
      <c r="W539" s="547"/>
      <c r="X539" s="547"/>
      <c r="Y539" s="547"/>
      <c r="Z539" s="547"/>
      <c r="AA539" s="547"/>
      <c r="AB539" s="884"/>
      <c r="AC539" s="547"/>
    </row>
    <row r="540" spans="1:29" ht="15.75" customHeight="1">
      <c r="A540" s="549"/>
      <c r="B540" s="550"/>
      <c r="C540" s="551"/>
      <c r="D540" s="551"/>
      <c r="E540" s="547"/>
      <c r="F540" s="547"/>
      <c r="G540" s="547"/>
      <c r="H540" s="547"/>
      <c r="I540" s="547"/>
      <c r="J540" s="547"/>
      <c r="K540" s="547"/>
      <c r="M540" s="547"/>
      <c r="N540" s="547"/>
      <c r="O540" s="547"/>
      <c r="P540" s="547"/>
      <c r="Q540" s="547"/>
      <c r="R540" s="547"/>
      <c r="S540" s="547"/>
      <c r="T540" s="547"/>
      <c r="U540" s="547"/>
      <c r="V540" s="547"/>
      <c r="W540" s="547"/>
      <c r="X540" s="547"/>
      <c r="Y540" s="547"/>
      <c r="Z540" s="547"/>
      <c r="AA540" s="547"/>
      <c r="AB540" s="884"/>
      <c r="AC540" s="547"/>
    </row>
    <row r="541" spans="1:29" ht="15.75" customHeight="1">
      <c r="A541" s="549"/>
      <c r="B541" s="550"/>
      <c r="C541" s="551"/>
      <c r="D541" s="551"/>
      <c r="E541" s="547"/>
      <c r="F541" s="547"/>
      <c r="G541" s="547"/>
      <c r="H541" s="547"/>
      <c r="I541" s="547"/>
      <c r="J541" s="547"/>
      <c r="K541" s="547"/>
      <c r="M541" s="547"/>
      <c r="N541" s="547"/>
      <c r="O541" s="547"/>
      <c r="P541" s="547"/>
      <c r="Q541" s="547"/>
      <c r="R541" s="547"/>
      <c r="S541" s="547"/>
      <c r="T541" s="547"/>
      <c r="U541" s="547"/>
      <c r="V541" s="547"/>
      <c r="W541" s="547"/>
      <c r="X541" s="547"/>
      <c r="Y541" s="547"/>
      <c r="Z541" s="547"/>
      <c r="AA541" s="547"/>
      <c r="AB541" s="884"/>
      <c r="AC541" s="547"/>
    </row>
    <row r="542" spans="1:29" ht="15.75" customHeight="1">
      <c r="A542" s="549"/>
      <c r="B542" s="550"/>
      <c r="C542" s="551"/>
      <c r="D542" s="551"/>
      <c r="E542" s="547"/>
      <c r="F542" s="547"/>
      <c r="G542" s="547"/>
      <c r="H542" s="547"/>
      <c r="I542" s="547"/>
      <c r="J542" s="547"/>
      <c r="K542" s="547"/>
      <c r="M542" s="547"/>
      <c r="N542" s="547"/>
      <c r="O542" s="547"/>
      <c r="P542" s="547"/>
      <c r="Q542" s="547"/>
      <c r="R542" s="547"/>
      <c r="S542" s="547"/>
      <c r="T542" s="547"/>
      <c r="U542" s="547"/>
      <c r="V542" s="547"/>
      <c r="W542" s="547"/>
      <c r="X542" s="547"/>
      <c r="Y542" s="547"/>
      <c r="Z542" s="547"/>
      <c r="AA542" s="547"/>
      <c r="AB542" s="884"/>
      <c r="AC542" s="547"/>
    </row>
    <row r="543" spans="1:29" ht="15.75" customHeight="1">
      <c r="A543" s="549"/>
      <c r="B543" s="550"/>
      <c r="C543" s="551"/>
      <c r="D543" s="551"/>
      <c r="E543" s="547"/>
      <c r="F543" s="547"/>
      <c r="G543" s="547"/>
      <c r="H543" s="547"/>
      <c r="I543" s="547"/>
      <c r="J543" s="547"/>
      <c r="K543" s="547"/>
      <c r="M543" s="547"/>
      <c r="N543" s="547"/>
      <c r="O543" s="547"/>
      <c r="P543" s="547"/>
      <c r="Q543" s="547"/>
      <c r="R543" s="547"/>
      <c r="S543" s="547"/>
      <c r="T543" s="547"/>
      <c r="U543" s="547"/>
      <c r="V543" s="547"/>
      <c r="W543" s="547"/>
      <c r="X543" s="547"/>
      <c r="Y543" s="547"/>
      <c r="Z543" s="547"/>
      <c r="AA543" s="547"/>
      <c r="AB543" s="884"/>
      <c r="AC543" s="547"/>
    </row>
    <row r="544" spans="1:29" ht="15.75" customHeight="1">
      <c r="A544" s="549"/>
      <c r="B544" s="550"/>
      <c r="C544" s="551"/>
      <c r="D544" s="551"/>
      <c r="E544" s="547"/>
      <c r="F544" s="547"/>
      <c r="G544" s="547"/>
      <c r="H544" s="547"/>
      <c r="I544" s="547"/>
      <c r="J544" s="547"/>
      <c r="K544" s="547"/>
      <c r="M544" s="547"/>
      <c r="N544" s="547"/>
      <c r="O544" s="547"/>
      <c r="P544" s="547"/>
      <c r="Q544" s="547"/>
      <c r="R544" s="547"/>
      <c r="S544" s="547"/>
      <c r="T544" s="547"/>
      <c r="U544" s="547"/>
      <c r="V544" s="547"/>
      <c r="W544" s="547"/>
      <c r="X544" s="547"/>
      <c r="Y544" s="547"/>
      <c r="Z544" s="547"/>
      <c r="AA544" s="547"/>
      <c r="AB544" s="884"/>
      <c r="AC544" s="547"/>
    </row>
    <row r="545" spans="1:29" ht="15.75" customHeight="1">
      <c r="A545" s="549"/>
      <c r="B545" s="550"/>
      <c r="C545" s="551"/>
      <c r="D545" s="551"/>
      <c r="E545" s="547"/>
      <c r="F545" s="547"/>
      <c r="G545" s="547"/>
      <c r="H545" s="547"/>
      <c r="I545" s="547"/>
      <c r="J545" s="547"/>
      <c r="K545" s="547"/>
      <c r="M545" s="547"/>
      <c r="N545" s="547"/>
      <c r="O545" s="547"/>
      <c r="P545" s="547"/>
      <c r="Q545" s="547"/>
      <c r="R545" s="547"/>
      <c r="S545" s="547"/>
      <c r="T545" s="547"/>
      <c r="U545" s="547"/>
      <c r="V545" s="547"/>
      <c r="W545" s="547"/>
      <c r="X545" s="547"/>
      <c r="Y545" s="547"/>
      <c r="Z545" s="547"/>
      <c r="AA545" s="547"/>
      <c r="AB545" s="884"/>
      <c r="AC545" s="547"/>
    </row>
    <row r="546" spans="1:29" ht="15.75" customHeight="1">
      <c r="A546" s="549"/>
      <c r="B546" s="550"/>
      <c r="C546" s="551"/>
      <c r="D546" s="551"/>
      <c r="E546" s="547"/>
      <c r="F546" s="547"/>
      <c r="G546" s="547"/>
      <c r="H546" s="547"/>
      <c r="I546" s="547"/>
      <c r="J546" s="547"/>
      <c r="K546" s="547"/>
      <c r="M546" s="547"/>
      <c r="N546" s="547"/>
      <c r="O546" s="547"/>
      <c r="P546" s="547"/>
      <c r="Q546" s="547"/>
      <c r="R546" s="547"/>
      <c r="S546" s="547"/>
      <c r="T546" s="547"/>
      <c r="U546" s="547"/>
      <c r="V546" s="547"/>
      <c r="W546" s="547"/>
      <c r="X546" s="547"/>
      <c r="Y546" s="547"/>
      <c r="Z546" s="547"/>
      <c r="AA546" s="547"/>
      <c r="AB546" s="884"/>
      <c r="AC546" s="547"/>
    </row>
    <row r="547" spans="1:29" ht="15.75" customHeight="1">
      <c r="A547" s="549"/>
      <c r="B547" s="550"/>
      <c r="C547" s="551"/>
      <c r="D547" s="551"/>
      <c r="E547" s="547"/>
      <c r="F547" s="547"/>
      <c r="G547" s="547"/>
      <c r="H547" s="547"/>
      <c r="I547" s="547"/>
      <c r="J547" s="547"/>
      <c r="K547" s="547"/>
      <c r="M547" s="547"/>
      <c r="N547" s="547"/>
      <c r="O547" s="547"/>
      <c r="P547" s="547"/>
      <c r="Q547" s="547"/>
      <c r="R547" s="547"/>
      <c r="S547" s="547"/>
      <c r="T547" s="547"/>
      <c r="U547" s="547"/>
      <c r="V547" s="547"/>
      <c r="W547" s="547"/>
      <c r="X547" s="547"/>
      <c r="Y547" s="547"/>
      <c r="Z547" s="547"/>
      <c r="AA547" s="547"/>
      <c r="AB547" s="884"/>
      <c r="AC547" s="547"/>
    </row>
    <row r="548" spans="1:29" ht="15.75" customHeight="1">
      <c r="A548" s="549"/>
      <c r="B548" s="550"/>
      <c r="C548" s="551"/>
      <c r="D548" s="551"/>
      <c r="E548" s="547"/>
      <c r="F548" s="547"/>
      <c r="G548" s="547"/>
      <c r="H548" s="547"/>
      <c r="I548" s="547"/>
      <c r="J548" s="547"/>
      <c r="K548" s="547"/>
      <c r="M548" s="547"/>
      <c r="N548" s="547"/>
      <c r="O548" s="547"/>
      <c r="P548" s="547"/>
      <c r="Q548" s="547"/>
      <c r="R548" s="547"/>
      <c r="S548" s="547"/>
      <c r="T548" s="547"/>
      <c r="U548" s="547"/>
      <c r="V548" s="547"/>
      <c r="W548" s="547"/>
      <c r="X548" s="547"/>
      <c r="Y548" s="547"/>
      <c r="Z548" s="547"/>
      <c r="AA548" s="547"/>
      <c r="AB548" s="884"/>
      <c r="AC548" s="547"/>
    </row>
    <row r="549" spans="1:29" ht="15.75" customHeight="1">
      <c r="A549" s="549"/>
      <c r="B549" s="550"/>
      <c r="C549" s="551"/>
      <c r="D549" s="551"/>
      <c r="E549" s="547"/>
      <c r="F549" s="547"/>
      <c r="G549" s="547"/>
      <c r="H549" s="547"/>
      <c r="I549" s="547"/>
      <c r="J549" s="547"/>
      <c r="K549" s="547"/>
      <c r="M549" s="547"/>
      <c r="N549" s="547"/>
      <c r="O549" s="547"/>
      <c r="P549" s="547"/>
      <c r="Q549" s="547"/>
      <c r="R549" s="547"/>
      <c r="S549" s="547"/>
      <c r="T549" s="547"/>
      <c r="U549" s="547"/>
      <c r="V549" s="547"/>
      <c r="W549" s="547"/>
      <c r="X549" s="547"/>
      <c r="Y549" s="547"/>
      <c r="Z549" s="547"/>
      <c r="AA549" s="547"/>
      <c r="AB549" s="884"/>
      <c r="AC549" s="547"/>
    </row>
    <row r="550" spans="1:29" ht="15.75" customHeight="1">
      <c r="A550" s="549"/>
      <c r="B550" s="550"/>
      <c r="C550" s="551"/>
      <c r="D550" s="551"/>
      <c r="E550" s="547"/>
      <c r="F550" s="547"/>
      <c r="G550" s="547"/>
      <c r="H550" s="547"/>
      <c r="I550" s="547"/>
      <c r="J550" s="547"/>
      <c r="K550" s="547"/>
      <c r="M550" s="547"/>
      <c r="N550" s="547"/>
      <c r="O550" s="547"/>
      <c r="P550" s="547"/>
      <c r="Q550" s="547"/>
      <c r="R550" s="547"/>
      <c r="S550" s="547"/>
      <c r="T550" s="547"/>
      <c r="U550" s="547"/>
      <c r="V550" s="547"/>
      <c r="W550" s="547"/>
      <c r="X550" s="547"/>
      <c r="Y550" s="547"/>
      <c r="Z550" s="547"/>
      <c r="AA550" s="547"/>
      <c r="AB550" s="884"/>
      <c r="AC550" s="547"/>
    </row>
    <row r="551" spans="1:29" ht="15.75" customHeight="1">
      <c r="A551" s="549"/>
      <c r="B551" s="550"/>
      <c r="C551" s="551"/>
      <c r="D551" s="551"/>
      <c r="E551" s="547"/>
      <c r="F551" s="547"/>
      <c r="G551" s="547"/>
      <c r="H551" s="547"/>
      <c r="I551" s="547"/>
      <c r="J551" s="547"/>
      <c r="K551" s="547"/>
      <c r="M551" s="547"/>
      <c r="N551" s="547"/>
      <c r="O551" s="547"/>
      <c r="P551" s="547"/>
      <c r="Q551" s="547"/>
      <c r="R551" s="547"/>
      <c r="S551" s="547"/>
      <c r="T551" s="547"/>
      <c r="U551" s="547"/>
      <c r="V551" s="547"/>
      <c r="W551" s="547"/>
      <c r="X551" s="547"/>
      <c r="Y551" s="547"/>
      <c r="Z551" s="547"/>
      <c r="AA551" s="547"/>
      <c r="AB551" s="884"/>
      <c r="AC551" s="547"/>
    </row>
    <row r="552" spans="1:29" ht="15.75" customHeight="1">
      <c r="A552" s="549"/>
      <c r="B552" s="550"/>
      <c r="C552" s="551"/>
      <c r="D552" s="551"/>
      <c r="E552" s="547"/>
      <c r="F552" s="547"/>
      <c r="G552" s="547"/>
      <c r="H552" s="547"/>
      <c r="I552" s="547"/>
      <c r="J552" s="547"/>
      <c r="K552" s="547"/>
      <c r="M552" s="547"/>
      <c r="N552" s="547"/>
      <c r="O552" s="547"/>
      <c r="P552" s="547"/>
      <c r="Q552" s="547"/>
      <c r="R552" s="547"/>
      <c r="S552" s="547"/>
      <c r="T552" s="547"/>
      <c r="U552" s="547"/>
      <c r="V552" s="547"/>
      <c r="W552" s="547"/>
      <c r="X552" s="547"/>
      <c r="Y552" s="547"/>
      <c r="Z552" s="547"/>
      <c r="AA552" s="547"/>
      <c r="AB552" s="884"/>
      <c r="AC552" s="547"/>
    </row>
    <row r="553" spans="1:29" ht="15.75" customHeight="1">
      <c r="A553" s="549"/>
      <c r="B553" s="550"/>
      <c r="C553" s="551"/>
      <c r="D553" s="551"/>
      <c r="E553" s="547"/>
      <c r="F553" s="547"/>
      <c r="G553" s="547"/>
      <c r="H553" s="547"/>
      <c r="I553" s="547"/>
      <c r="J553" s="547"/>
      <c r="K553" s="547"/>
      <c r="M553" s="547"/>
      <c r="N553" s="547"/>
      <c r="O553" s="547"/>
      <c r="P553" s="547"/>
      <c r="Q553" s="547"/>
      <c r="R553" s="547"/>
      <c r="S553" s="547"/>
      <c r="T553" s="547"/>
      <c r="U553" s="547"/>
      <c r="V553" s="547"/>
      <c r="W553" s="547"/>
      <c r="X553" s="547"/>
      <c r="Y553" s="547"/>
      <c r="Z553" s="547"/>
      <c r="AA553" s="547"/>
      <c r="AB553" s="884"/>
      <c r="AC553" s="547"/>
    </row>
    <row r="554" spans="1:29" ht="15.75" customHeight="1">
      <c r="A554" s="549"/>
      <c r="B554" s="550"/>
      <c r="C554" s="551"/>
      <c r="D554" s="551"/>
      <c r="E554" s="547"/>
      <c r="F554" s="547"/>
      <c r="G554" s="547"/>
      <c r="H554" s="547"/>
      <c r="I554" s="547"/>
      <c r="J554" s="547"/>
      <c r="K554" s="547"/>
      <c r="M554" s="547"/>
      <c r="N554" s="547"/>
      <c r="O554" s="547"/>
      <c r="P554" s="547"/>
      <c r="Q554" s="547"/>
      <c r="R554" s="547"/>
      <c r="S554" s="547"/>
      <c r="T554" s="547"/>
      <c r="U554" s="547"/>
      <c r="V554" s="547"/>
      <c r="W554" s="547"/>
      <c r="X554" s="547"/>
      <c r="Y554" s="547"/>
      <c r="Z554" s="547"/>
      <c r="AA554" s="547"/>
      <c r="AB554" s="884"/>
      <c r="AC554" s="547"/>
    </row>
    <row r="555" spans="1:29" ht="15.75" customHeight="1">
      <c r="A555" s="549"/>
      <c r="B555" s="550"/>
      <c r="C555" s="551"/>
      <c r="D555" s="551"/>
      <c r="E555" s="547"/>
      <c r="F555" s="547"/>
      <c r="G555" s="547"/>
      <c r="H555" s="547"/>
      <c r="I555" s="547"/>
      <c r="J555" s="547"/>
      <c r="K555" s="547"/>
      <c r="M555" s="547"/>
      <c r="N555" s="547"/>
      <c r="O555" s="547"/>
      <c r="P555" s="547"/>
      <c r="Q555" s="547"/>
      <c r="R555" s="547"/>
      <c r="S555" s="547"/>
      <c r="T555" s="547"/>
      <c r="U555" s="547"/>
      <c r="V555" s="547"/>
      <c r="W555" s="547"/>
      <c r="X555" s="547"/>
      <c r="Y555" s="547"/>
      <c r="Z555" s="547"/>
      <c r="AA555" s="547"/>
      <c r="AB555" s="884"/>
      <c r="AC555" s="547"/>
    </row>
    <row r="556" spans="1:29" ht="15.75" customHeight="1">
      <c r="A556" s="549"/>
      <c r="B556" s="550"/>
      <c r="C556" s="551"/>
      <c r="D556" s="551"/>
      <c r="E556" s="547"/>
      <c r="F556" s="547"/>
      <c r="G556" s="547"/>
      <c r="H556" s="547"/>
      <c r="I556" s="547"/>
      <c r="J556" s="547"/>
      <c r="K556" s="547"/>
      <c r="M556" s="547"/>
      <c r="N556" s="547"/>
      <c r="O556" s="547"/>
      <c r="P556" s="547"/>
      <c r="Q556" s="547"/>
      <c r="R556" s="547"/>
      <c r="S556" s="547"/>
      <c r="T556" s="547"/>
      <c r="U556" s="547"/>
      <c r="V556" s="547"/>
      <c r="W556" s="547"/>
      <c r="X556" s="547"/>
      <c r="Y556" s="547"/>
      <c r="Z556" s="547"/>
      <c r="AA556" s="547"/>
      <c r="AB556" s="884"/>
      <c r="AC556" s="547"/>
    </row>
    <row r="557" spans="1:29" ht="15.75" customHeight="1">
      <c r="A557" s="549"/>
      <c r="B557" s="550"/>
      <c r="C557" s="551"/>
      <c r="D557" s="551"/>
      <c r="E557" s="547"/>
      <c r="F557" s="547"/>
      <c r="G557" s="547"/>
      <c r="H557" s="547"/>
      <c r="I557" s="547"/>
      <c r="J557" s="547"/>
      <c r="K557" s="547"/>
      <c r="M557" s="547"/>
      <c r="N557" s="547"/>
      <c r="O557" s="547"/>
      <c r="P557" s="547"/>
      <c r="Q557" s="547"/>
      <c r="R557" s="547"/>
      <c r="S557" s="547"/>
      <c r="T557" s="547"/>
      <c r="U557" s="547"/>
      <c r="V557" s="547"/>
      <c r="W557" s="547"/>
      <c r="X557" s="547"/>
      <c r="Y557" s="547"/>
      <c r="Z557" s="547"/>
      <c r="AA557" s="547"/>
      <c r="AB557" s="884"/>
      <c r="AC557" s="547"/>
    </row>
    <row r="558" spans="1:29" ht="15.75" customHeight="1">
      <c r="A558" s="549"/>
      <c r="B558" s="550"/>
      <c r="C558" s="551"/>
      <c r="D558" s="551"/>
      <c r="E558" s="547"/>
      <c r="F558" s="547"/>
      <c r="G558" s="547"/>
      <c r="H558" s="547"/>
      <c r="I558" s="547"/>
      <c r="J558" s="547"/>
      <c r="K558" s="547"/>
      <c r="M558" s="547"/>
      <c r="N558" s="547"/>
      <c r="O558" s="547"/>
      <c r="P558" s="547"/>
      <c r="Q558" s="547"/>
      <c r="R558" s="547"/>
      <c r="S558" s="547"/>
      <c r="T558" s="547"/>
      <c r="U558" s="547"/>
      <c r="V558" s="547"/>
      <c r="W558" s="547"/>
      <c r="X558" s="547"/>
      <c r="Y558" s="547"/>
      <c r="Z558" s="547"/>
      <c r="AA558" s="547"/>
      <c r="AB558" s="884"/>
      <c r="AC558" s="547"/>
    </row>
    <row r="559" spans="1:29" ht="15.75" customHeight="1">
      <c r="A559" s="549"/>
      <c r="B559" s="550"/>
      <c r="C559" s="551"/>
      <c r="D559" s="551"/>
      <c r="E559" s="547"/>
      <c r="F559" s="547"/>
      <c r="G559" s="547"/>
      <c r="H559" s="547"/>
      <c r="I559" s="547"/>
      <c r="J559" s="547"/>
      <c r="K559" s="547"/>
      <c r="M559" s="547"/>
      <c r="N559" s="547"/>
      <c r="O559" s="547"/>
      <c r="P559" s="547"/>
      <c r="Q559" s="547"/>
      <c r="R559" s="547"/>
      <c r="S559" s="547"/>
      <c r="T559" s="547"/>
      <c r="U559" s="547"/>
      <c r="V559" s="547"/>
      <c r="W559" s="547"/>
      <c r="X559" s="547"/>
      <c r="Y559" s="547"/>
      <c r="Z559" s="547"/>
      <c r="AA559" s="547"/>
      <c r="AB559" s="884"/>
      <c r="AC559" s="547"/>
    </row>
    <row r="560" spans="1:29" ht="15.75" customHeight="1">
      <c r="A560" s="549"/>
      <c r="B560" s="550"/>
      <c r="C560" s="551"/>
      <c r="D560" s="551"/>
      <c r="E560" s="547"/>
      <c r="F560" s="547"/>
      <c r="G560" s="547"/>
      <c r="H560" s="547"/>
      <c r="I560" s="547"/>
      <c r="J560" s="547"/>
      <c r="K560" s="547"/>
      <c r="M560" s="547"/>
      <c r="N560" s="547"/>
      <c r="O560" s="547"/>
      <c r="P560" s="547"/>
      <c r="Q560" s="547"/>
      <c r="R560" s="547"/>
      <c r="S560" s="547"/>
      <c r="T560" s="547"/>
      <c r="U560" s="547"/>
      <c r="V560" s="547"/>
      <c r="W560" s="547"/>
      <c r="X560" s="547"/>
      <c r="Y560" s="547"/>
      <c r="Z560" s="547"/>
      <c r="AA560" s="547"/>
      <c r="AB560" s="884"/>
      <c r="AC560" s="547"/>
    </row>
    <row r="561" spans="1:29" ht="15.75" customHeight="1">
      <c r="A561" s="549"/>
      <c r="B561" s="550"/>
      <c r="C561" s="551"/>
      <c r="D561" s="551"/>
      <c r="E561" s="547"/>
      <c r="F561" s="547"/>
      <c r="G561" s="547"/>
      <c r="H561" s="547"/>
      <c r="I561" s="547"/>
      <c r="J561" s="547"/>
      <c r="K561" s="547"/>
      <c r="M561" s="547"/>
      <c r="N561" s="547"/>
      <c r="O561" s="547"/>
      <c r="P561" s="547"/>
      <c r="Q561" s="547"/>
      <c r="R561" s="547"/>
      <c r="S561" s="547"/>
      <c r="T561" s="547"/>
      <c r="U561" s="547"/>
      <c r="V561" s="547"/>
      <c r="W561" s="547"/>
      <c r="X561" s="547"/>
      <c r="Y561" s="547"/>
      <c r="Z561" s="547"/>
      <c r="AA561" s="547"/>
      <c r="AB561" s="884"/>
      <c r="AC561" s="547"/>
    </row>
    <row r="562" spans="1:29" ht="15.75" customHeight="1">
      <c r="A562" s="549"/>
      <c r="B562" s="550"/>
      <c r="C562" s="551"/>
      <c r="D562" s="551"/>
      <c r="E562" s="547"/>
      <c r="F562" s="547"/>
      <c r="G562" s="547"/>
      <c r="H562" s="547"/>
      <c r="I562" s="547"/>
      <c r="J562" s="547"/>
      <c r="K562" s="547"/>
      <c r="M562" s="547"/>
      <c r="N562" s="547"/>
      <c r="O562" s="547"/>
      <c r="P562" s="547"/>
      <c r="Q562" s="547"/>
      <c r="R562" s="547"/>
      <c r="S562" s="547"/>
      <c r="T562" s="547"/>
      <c r="U562" s="547"/>
      <c r="V562" s="547"/>
      <c r="W562" s="547"/>
      <c r="X562" s="547"/>
      <c r="Y562" s="547"/>
      <c r="Z562" s="547"/>
      <c r="AA562" s="547"/>
      <c r="AB562" s="884"/>
      <c r="AC562" s="547"/>
    </row>
    <row r="563" spans="1:29" ht="15.75" customHeight="1">
      <c r="A563" s="549"/>
      <c r="B563" s="550"/>
      <c r="C563" s="551"/>
      <c r="D563" s="551"/>
      <c r="E563" s="547"/>
      <c r="F563" s="547"/>
      <c r="G563" s="547"/>
      <c r="H563" s="547"/>
      <c r="I563" s="547"/>
      <c r="J563" s="547"/>
      <c r="K563" s="547"/>
      <c r="M563" s="547"/>
      <c r="N563" s="547"/>
      <c r="O563" s="547"/>
      <c r="P563" s="547"/>
      <c r="Q563" s="547"/>
      <c r="R563" s="547"/>
      <c r="S563" s="547"/>
      <c r="T563" s="547"/>
      <c r="U563" s="547"/>
      <c r="V563" s="547"/>
      <c r="W563" s="547"/>
      <c r="X563" s="547"/>
      <c r="Y563" s="547"/>
      <c r="Z563" s="547"/>
      <c r="AA563" s="547"/>
      <c r="AB563" s="884"/>
      <c r="AC563" s="547"/>
    </row>
    <row r="564" spans="1:29" ht="15.75" customHeight="1">
      <c r="A564" s="549"/>
      <c r="B564" s="550"/>
      <c r="C564" s="551"/>
      <c r="D564" s="551"/>
      <c r="E564" s="547"/>
      <c r="F564" s="547"/>
      <c r="G564" s="547"/>
      <c r="H564" s="547"/>
      <c r="I564" s="547"/>
      <c r="J564" s="547"/>
      <c r="K564" s="547"/>
      <c r="M564" s="547"/>
      <c r="N564" s="547"/>
      <c r="O564" s="547"/>
      <c r="P564" s="547"/>
      <c r="Q564" s="547"/>
      <c r="R564" s="547"/>
      <c r="S564" s="547"/>
      <c r="T564" s="547"/>
      <c r="U564" s="547"/>
      <c r="V564" s="547"/>
      <c r="W564" s="547"/>
      <c r="X564" s="547"/>
      <c r="Y564" s="547"/>
      <c r="Z564" s="547"/>
      <c r="AA564" s="547"/>
      <c r="AB564" s="884"/>
      <c r="AC564" s="547"/>
    </row>
    <row r="565" spans="1:29" ht="15.75" customHeight="1">
      <c r="A565" s="549"/>
      <c r="B565" s="550"/>
      <c r="C565" s="551"/>
      <c r="D565" s="551"/>
      <c r="E565" s="547"/>
      <c r="F565" s="547"/>
      <c r="G565" s="547"/>
      <c r="H565" s="547"/>
      <c r="I565" s="547"/>
      <c r="J565" s="547"/>
      <c r="K565" s="547"/>
      <c r="M565" s="547"/>
      <c r="N565" s="547"/>
      <c r="O565" s="547"/>
      <c r="P565" s="547"/>
      <c r="Q565" s="547"/>
      <c r="R565" s="547"/>
      <c r="S565" s="547"/>
      <c r="T565" s="547"/>
      <c r="U565" s="547"/>
      <c r="V565" s="547"/>
      <c r="W565" s="547"/>
      <c r="X565" s="547"/>
      <c r="Y565" s="547"/>
      <c r="Z565" s="547"/>
      <c r="AA565" s="547"/>
      <c r="AB565" s="884"/>
      <c r="AC565" s="547"/>
    </row>
    <row r="566" spans="1:29" ht="15.75" customHeight="1">
      <c r="A566" s="549"/>
      <c r="B566" s="550"/>
      <c r="C566" s="551"/>
      <c r="D566" s="551"/>
      <c r="E566" s="547"/>
      <c r="F566" s="547"/>
      <c r="G566" s="547"/>
      <c r="H566" s="547"/>
      <c r="I566" s="547"/>
      <c r="J566" s="547"/>
      <c r="K566" s="547"/>
      <c r="M566" s="547"/>
      <c r="N566" s="547"/>
      <c r="O566" s="547"/>
      <c r="P566" s="547"/>
      <c r="Q566" s="547"/>
      <c r="R566" s="547"/>
      <c r="S566" s="547"/>
      <c r="T566" s="547"/>
      <c r="U566" s="547"/>
      <c r="V566" s="547"/>
      <c r="W566" s="547"/>
      <c r="X566" s="547"/>
      <c r="Y566" s="547"/>
      <c r="Z566" s="547"/>
      <c r="AA566" s="547"/>
      <c r="AB566" s="884"/>
      <c r="AC566" s="547"/>
    </row>
    <row r="567" spans="1:29" ht="15.75" customHeight="1">
      <c r="A567" s="549"/>
      <c r="B567" s="550"/>
      <c r="C567" s="551"/>
      <c r="D567" s="551"/>
      <c r="E567" s="547"/>
      <c r="F567" s="547"/>
      <c r="G567" s="547"/>
      <c r="H567" s="547"/>
      <c r="I567" s="547"/>
      <c r="J567" s="547"/>
      <c r="K567" s="547"/>
      <c r="M567" s="547"/>
      <c r="N567" s="547"/>
      <c r="O567" s="547"/>
      <c r="P567" s="547"/>
      <c r="Q567" s="547"/>
      <c r="R567" s="547"/>
      <c r="S567" s="547"/>
      <c r="T567" s="547"/>
      <c r="U567" s="547"/>
      <c r="V567" s="547"/>
      <c r="W567" s="547"/>
      <c r="X567" s="547"/>
      <c r="Y567" s="547"/>
      <c r="Z567" s="547"/>
      <c r="AA567" s="547"/>
      <c r="AB567" s="884"/>
      <c r="AC567" s="547"/>
    </row>
    <row r="568" spans="1:29" ht="15.75" customHeight="1">
      <c r="A568" s="549"/>
      <c r="B568" s="550"/>
      <c r="C568" s="551"/>
      <c r="D568" s="551"/>
      <c r="E568" s="547"/>
      <c r="F568" s="547"/>
      <c r="G568" s="547"/>
      <c r="H568" s="547"/>
      <c r="I568" s="547"/>
      <c r="J568" s="547"/>
      <c r="K568" s="547"/>
      <c r="M568" s="547"/>
      <c r="N568" s="547"/>
      <c r="O568" s="547"/>
      <c r="P568" s="547"/>
      <c r="Q568" s="547"/>
      <c r="R568" s="547"/>
      <c r="S568" s="547"/>
      <c r="T568" s="547"/>
      <c r="U568" s="547"/>
      <c r="V568" s="547"/>
      <c r="W568" s="547"/>
      <c r="X568" s="547"/>
      <c r="Y568" s="547"/>
      <c r="Z568" s="547"/>
      <c r="AA568" s="547"/>
      <c r="AB568" s="884"/>
      <c r="AC568" s="547"/>
    </row>
    <row r="569" spans="1:29" ht="15.75" customHeight="1">
      <c r="A569" s="549"/>
      <c r="B569" s="550"/>
      <c r="C569" s="551"/>
      <c r="D569" s="551"/>
      <c r="E569" s="547"/>
      <c r="F569" s="547"/>
      <c r="G569" s="547"/>
      <c r="H569" s="547"/>
      <c r="I569" s="547"/>
      <c r="J569" s="547"/>
      <c r="K569" s="547"/>
      <c r="M569" s="547"/>
      <c r="N569" s="547"/>
      <c r="O569" s="547"/>
      <c r="P569" s="547"/>
      <c r="Q569" s="547"/>
      <c r="R569" s="547"/>
      <c r="S569" s="547"/>
      <c r="T569" s="547"/>
      <c r="U569" s="547"/>
      <c r="V569" s="547"/>
      <c r="W569" s="547"/>
      <c r="X569" s="547"/>
      <c r="Y569" s="547"/>
      <c r="Z569" s="547"/>
      <c r="AA569" s="547"/>
      <c r="AB569" s="884"/>
      <c r="AC569" s="547"/>
    </row>
    <row r="570" spans="1:29" ht="15.75" customHeight="1">
      <c r="A570" s="549"/>
      <c r="B570" s="550"/>
      <c r="C570" s="551"/>
      <c r="D570" s="551"/>
      <c r="E570" s="547"/>
      <c r="F570" s="547"/>
      <c r="G570" s="547"/>
      <c r="H570" s="547"/>
      <c r="I570" s="547"/>
      <c r="J570" s="547"/>
      <c r="K570" s="547"/>
      <c r="M570" s="547"/>
      <c r="N570" s="547"/>
      <c r="O570" s="547"/>
      <c r="P570" s="547"/>
      <c r="Q570" s="547"/>
      <c r="R570" s="547"/>
      <c r="S570" s="547"/>
      <c r="T570" s="547"/>
      <c r="U570" s="547"/>
      <c r="V570" s="547"/>
      <c r="W570" s="547"/>
      <c r="X570" s="547"/>
      <c r="Y570" s="547"/>
      <c r="Z570" s="547"/>
      <c r="AA570" s="547"/>
      <c r="AB570" s="884"/>
      <c r="AC570" s="547"/>
    </row>
    <row r="571" spans="1:29" ht="15.75" customHeight="1">
      <c r="A571" s="549"/>
      <c r="B571" s="550"/>
      <c r="C571" s="551"/>
      <c r="D571" s="551"/>
      <c r="E571" s="547"/>
      <c r="F571" s="547"/>
      <c r="G571" s="547"/>
      <c r="H571" s="547"/>
      <c r="I571" s="547"/>
      <c r="J571" s="547"/>
      <c r="K571" s="547"/>
      <c r="M571" s="547"/>
      <c r="N571" s="547"/>
      <c r="O571" s="547"/>
      <c r="P571" s="547"/>
      <c r="Q571" s="547"/>
      <c r="R571" s="547"/>
      <c r="S571" s="547"/>
      <c r="T571" s="547"/>
      <c r="U571" s="547"/>
      <c r="V571" s="547"/>
      <c r="W571" s="547"/>
      <c r="X571" s="547"/>
      <c r="Y571" s="547"/>
      <c r="Z571" s="547"/>
      <c r="AA571" s="547"/>
      <c r="AB571" s="884"/>
      <c r="AC571" s="547"/>
    </row>
    <row r="572" spans="1:29" ht="15.75" customHeight="1">
      <c r="A572" s="549"/>
      <c r="B572" s="550"/>
      <c r="C572" s="551"/>
      <c r="D572" s="551"/>
      <c r="E572" s="547"/>
      <c r="F572" s="547"/>
      <c r="G572" s="547"/>
      <c r="H572" s="547"/>
      <c r="I572" s="547"/>
      <c r="J572" s="547"/>
      <c r="K572" s="547"/>
      <c r="M572" s="547"/>
      <c r="N572" s="547"/>
      <c r="O572" s="547"/>
      <c r="P572" s="547"/>
      <c r="Q572" s="547"/>
      <c r="R572" s="547"/>
      <c r="S572" s="547"/>
      <c r="T572" s="547"/>
      <c r="U572" s="547"/>
      <c r="V572" s="547"/>
      <c r="W572" s="547"/>
      <c r="X572" s="547"/>
      <c r="Y572" s="547"/>
      <c r="Z572" s="547"/>
      <c r="AA572" s="547"/>
      <c r="AB572" s="884"/>
      <c r="AC572" s="547"/>
    </row>
    <row r="573" spans="1:29" ht="15.75" customHeight="1">
      <c r="A573" s="549"/>
      <c r="B573" s="550"/>
      <c r="C573" s="551"/>
      <c r="D573" s="551"/>
      <c r="E573" s="547"/>
      <c r="F573" s="547"/>
      <c r="G573" s="547"/>
      <c r="H573" s="547"/>
      <c r="I573" s="547"/>
      <c r="J573" s="547"/>
      <c r="K573" s="547"/>
      <c r="M573" s="547"/>
      <c r="N573" s="547"/>
      <c r="O573" s="547"/>
      <c r="P573" s="547"/>
      <c r="Q573" s="547"/>
      <c r="R573" s="547"/>
      <c r="S573" s="547"/>
      <c r="T573" s="547"/>
      <c r="U573" s="547"/>
      <c r="V573" s="547"/>
      <c r="W573" s="547"/>
      <c r="X573" s="547"/>
      <c r="Y573" s="547"/>
      <c r="Z573" s="547"/>
      <c r="AA573" s="547"/>
      <c r="AB573" s="884"/>
      <c r="AC573" s="547"/>
    </row>
    <row r="574" spans="1:29" ht="15.75" customHeight="1">
      <c r="A574" s="549"/>
      <c r="B574" s="550"/>
      <c r="C574" s="551"/>
      <c r="D574" s="551"/>
      <c r="E574" s="547"/>
      <c r="F574" s="547"/>
      <c r="G574" s="547"/>
      <c r="H574" s="547"/>
      <c r="I574" s="547"/>
      <c r="J574" s="547"/>
      <c r="K574" s="547"/>
      <c r="M574" s="547"/>
      <c r="N574" s="547"/>
      <c r="O574" s="547"/>
      <c r="P574" s="547"/>
      <c r="Q574" s="547"/>
      <c r="R574" s="547"/>
      <c r="S574" s="547"/>
      <c r="T574" s="547"/>
      <c r="U574" s="547"/>
      <c r="V574" s="547"/>
      <c r="W574" s="547"/>
      <c r="X574" s="547"/>
      <c r="Y574" s="547"/>
      <c r="Z574" s="547"/>
      <c r="AA574" s="547"/>
      <c r="AB574" s="884"/>
      <c r="AC574" s="547"/>
    </row>
    <row r="575" spans="1:29" ht="15.75" customHeight="1">
      <c r="A575" s="549"/>
      <c r="B575" s="550"/>
      <c r="C575" s="551"/>
      <c r="D575" s="551"/>
      <c r="E575" s="547"/>
      <c r="F575" s="547"/>
      <c r="G575" s="547"/>
      <c r="H575" s="547"/>
      <c r="I575" s="547"/>
      <c r="J575" s="547"/>
      <c r="K575" s="547"/>
      <c r="M575" s="547"/>
      <c r="N575" s="547"/>
      <c r="O575" s="547"/>
      <c r="P575" s="547"/>
      <c r="Q575" s="547"/>
      <c r="R575" s="547"/>
      <c r="S575" s="547"/>
      <c r="T575" s="547"/>
      <c r="U575" s="547"/>
      <c r="V575" s="547"/>
      <c r="W575" s="547"/>
      <c r="X575" s="547"/>
      <c r="Y575" s="547"/>
      <c r="Z575" s="547"/>
      <c r="AA575" s="547"/>
      <c r="AB575" s="884"/>
      <c r="AC575" s="547"/>
    </row>
    <row r="576" spans="1:29" ht="15.75" customHeight="1">
      <c r="A576" s="549"/>
      <c r="B576" s="550"/>
      <c r="C576" s="551"/>
      <c r="D576" s="551"/>
      <c r="E576" s="547"/>
      <c r="F576" s="547"/>
      <c r="G576" s="547"/>
      <c r="H576" s="547"/>
      <c r="I576" s="547"/>
      <c r="J576" s="547"/>
      <c r="K576" s="547"/>
      <c r="M576" s="547"/>
      <c r="N576" s="547"/>
      <c r="O576" s="547"/>
      <c r="P576" s="547"/>
      <c r="Q576" s="547"/>
      <c r="R576" s="547"/>
      <c r="S576" s="547"/>
      <c r="T576" s="547"/>
      <c r="U576" s="547"/>
      <c r="V576" s="547"/>
      <c r="W576" s="547"/>
      <c r="X576" s="547"/>
      <c r="Y576" s="547"/>
      <c r="Z576" s="547"/>
      <c r="AA576" s="547"/>
      <c r="AB576" s="884"/>
      <c r="AC576" s="547"/>
    </row>
    <row r="577" spans="1:29" ht="15.75" customHeight="1">
      <c r="A577" s="549"/>
      <c r="B577" s="550"/>
      <c r="C577" s="551"/>
      <c r="D577" s="551"/>
      <c r="E577" s="547"/>
      <c r="F577" s="547"/>
      <c r="G577" s="547"/>
      <c r="H577" s="547"/>
      <c r="I577" s="547"/>
      <c r="J577" s="547"/>
      <c r="K577" s="547"/>
      <c r="M577" s="547"/>
      <c r="N577" s="547"/>
      <c r="O577" s="547"/>
      <c r="P577" s="547"/>
      <c r="Q577" s="547"/>
      <c r="R577" s="547"/>
      <c r="S577" s="547"/>
      <c r="T577" s="547"/>
      <c r="U577" s="547"/>
      <c r="V577" s="547"/>
      <c r="W577" s="547"/>
      <c r="X577" s="547"/>
      <c r="Y577" s="547"/>
      <c r="Z577" s="547"/>
      <c r="AA577" s="547"/>
      <c r="AB577" s="884"/>
      <c r="AC577" s="547"/>
    </row>
    <row r="578" spans="1:29" ht="15.75" customHeight="1">
      <c r="A578" s="549"/>
      <c r="B578" s="550"/>
      <c r="C578" s="551"/>
      <c r="D578" s="551"/>
      <c r="E578" s="547"/>
      <c r="F578" s="547"/>
      <c r="G578" s="547"/>
      <c r="H578" s="547"/>
      <c r="I578" s="547"/>
      <c r="J578" s="547"/>
      <c r="K578" s="547"/>
      <c r="M578" s="547"/>
      <c r="N578" s="547"/>
      <c r="O578" s="547"/>
      <c r="P578" s="547"/>
      <c r="Q578" s="547"/>
      <c r="R578" s="547"/>
      <c r="S578" s="547"/>
      <c r="T578" s="547"/>
      <c r="U578" s="547"/>
      <c r="V578" s="547"/>
      <c r="W578" s="547"/>
      <c r="X578" s="547"/>
      <c r="Y578" s="547"/>
      <c r="Z578" s="547"/>
      <c r="AA578" s="547"/>
      <c r="AB578" s="884"/>
      <c r="AC578" s="547"/>
    </row>
    <row r="579" spans="1:29" ht="15.75" customHeight="1">
      <c r="A579" s="549"/>
      <c r="B579" s="550"/>
      <c r="C579" s="551"/>
      <c r="D579" s="551"/>
      <c r="E579" s="547"/>
      <c r="F579" s="547"/>
      <c r="G579" s="547"/>
      <c r="H579" s="547"/>
      <c r="I579" s="547"/>
      <c r="J579" s="547"/>
      <c r="K579" s="547"/>
      <c r="M579" s="547"/>
      <c r="N579" s="547"/>
      <c r="O579" s="547"/>
      <c r="P579" s="547"/>
      <c r="Q579" s="547"/>
      <c r="R579" s="547"/>
      <c r="S579" s="547"/>
      <c r="T579" s="547"/>
      <c r="U579" s="547"/>
      <c r="V579" s="547"/>
      <c r="W579" s="547"/>
      <c r="X579" s="547"/>
      <c r="Y579" s="547"/>
      <c r="Z579" s="547"/>
      <c r="AA579" s="547"/>
      <c r="AB579" s="884"/>
      <c r="AC579" s="547"/>
    </row>
    <row r="580" spans="1:29" ht="15.75" customHeight="1">
      <c r="A580" s="549"/>
      <c r="B580" s="550"/>
      <c r="C580" s="551"/>
      <c r="D580" s="551"/>
      <c r="E580" s="547"/>
      <c r="F580" s="547"/>
      <c r="G580" s="547"/>
      <c r="H580" s="547"/>
      <c r="I580" s="547"/>
      <c r="J580" s="547"/>
      <c r="K580" s="547"/>
      <c r="M580" s="547"/>
      <c r="N580" s="547"/>
      <c r="O580" s="547"/>
      <c r="P580" s="547"/>
      <c r="Q580" s="547"/>
      <c r="R580" s="547"/>
      <c r="S580" s="547"/>
      <c r="T580" s="547"/>
      <c r="U580" s="547"/>
      <c r="V580" s="547"/>
      <c r="W580" s="547"/>
      <c r="X580" s="547"/>
      <c r="Y580" s="547"/>
      <c r="Z580" s="547"/>
      <c r="AA580" s="547"/>
      <c r="AB580" s="884"/>
      <c r="AC580" s="547"/>
    </row>
    <row r="581" spans="1:29" ht="15.75" customHeight="1">
      <c r="A581" s="549"/>
      <c r="B581" s="550"/>
      <c r="C581" s="551"/>
      <c r="D581" s="551"/>
      <c r="E581" s="547"/>
      <c r="F581" s="547"/>
      <c r="G581" s="547"/>
      <c r="H581" s="547"/>
      <c r="I581" s="547"/>
      <c r="J581" s="547"/>
      <c r="K581" s="547"/>
      <c r="M581" s="547"/>
      <c r="N581" s="547"/>
      <c r="O581" s="547"/>
      <c r="P581" s="547"/>
      <c r="Q581" s="547"/>
      <c r="R581" s="547"/>
      <c r="S581" s="547"/>
      <c r="T581" s="547"/>
      <c r="U581" s="547"/>
      <c r="V581" s="547"/>
      <c r="W581" s="547"/>
      <c r="X581" s="547"/>
      <c r="Y581" s="547"/>
      <c r="Z581" s="547"/>
      <c r="AA581" s="547"/>
      <c r="AB581" s="884"/>
      <c r="AC581" s="547"/>
    </row>
    <row r="582" spans="1:29" ht="15.75" customHeight="1">
      <c r="A582" s="549"/>
      <c r="B582" s="550"/>
      <c r="C582" s="551"/>
      <c r="D582" s="551"/>
      <c r="E582" s="547"/>
      <c r="F582" s="547"/>
      <c r="G582" s="547"/>
      <c r="H582" s="547"/>
      <c r="I582" s="547"/>
      <c r="J582" s="547"/>
      <c r="K582" s="547"/>
      <c r="M582" s="547"/>
      <c r="N582" s="547"/>
      <c r="O582" s="547"/>
      <c r="P582" s="547"/>
      <c r="Q582" s="547"/>
      <c r="R582" s="547"/>
      <c r="S582" s="547"/>
      <c r="T582" s="547"/>
      <c r="U582" s="547"/>
      <c r="V582" s="547"/>
      <c r="W582" s="547"/>
      <c r="X582" s="547"/>
      <c r="Y582" s="547"/>
      <c r="Z582" s="547"/>
      <c r="AA582" s="547"/>
      <c r="AB582" s="884"/>
      <c r="AC582" s="547"/>
    </row>
    <row r="583" spans="1:29" ht="15.75" customHeight="1">
      <c r="A583" s="549"/>
      <c r="B583" s="550"/>
      <c r="C583" s="551"/>
      <c r="D583" s="551"/>
      <c r="E583" s="547"/>
      <c r="F583" s="547"/>
      <c r="G583" s="547"/>
      <c r="H583" s="547"/>
      <c r="I583" s="547"/>
      <c r="J583" s="547"/>
      <c r="K583" s="547"/>
      <c r="M583" s="547"/>
      <c r="N583" s="547"/>
      <c r="O583" s="547"/>
      <c r="P583" s="547"/>
      <c r="Q583" s="547"/>
      <c r="R583" s="547"/>
      <c r="S583" s="547"/>
      <c r="T583" s="547"/>
      <c r="U583" s="547"/>
      <c r="V583" s="547"/>
      <c r="W583" s="547"/>
      <c r="X583" s="547"/>
      <c r="Y583" s="547"/>
      <c r="Z583" s="547"/>
      <c r="AA583" s="547"/>
      <c r="AB583" s="884"/>
      <c r="AC583" s="547"/>
    </row>
    <row r="584" spans="1:29" ht="15.75" customHeight="1">
      <c r="A584" s="549"/>
      <c r="B584" s="550"/>
      <c r="C584" s="551"/>
      <c r="D584" s="551"/>
      <c r="E584" s="547"/>
      <c r="F584" s="547"/>
      <c r="G584" s="547"/>
      <c r="H584" s="547"/>
      <c r="I584" s="547"/>
      <c r="J584" s="547"/>
      <c r="K584" s="547"/>
      <c r="M584" s="547"/>
      <c r="N584" s="547"/>
      <c r="O584" s="547"/>
      <c r="P584" s="547"/>
      <c r="Q584" s="547"/>
      <c r="R584" s="547"/>
      <c r="S584" s="547"/>
      <c r="T584" s="547"/>
      <c r="U584" s="547"/>
      <c r="V584" s="547"/>
      <c r="W584" s="547"/>
      <c r="X584" s="547"/>
      <c r="Y584" s="547"/>
      <c r="Z584" s="547"/>
      <c r="AA584" s="547"/>
      <c r="AB584" s="884"/>
      <c r="AC584" s="547"/>
    </row>
    <row r="585" spans="1:29" ht="15.75" customHeight="1">
      <c r="A585" s="549"/>
      <c r="B585" s="550"/>
      <c r="C585" s="551"/>
      <c r="D585" s="551"/>
      <c r="E585" s="547"/>
      <c r="F585" s="547"/>
      <c r="G585" s="547"/>
      <c r="H585" s="547"/>
      <c r="I585" s="547"/>
      <c r="J585" s="547"/>
      <c r="K585" s="547"/>
      <c r="M585" s="547"/>
      <c r="N585" s="547"/>
      <c r="O585" s="547"/>
      <c r="P585" s="547"/>
      <c r="Q585" s="547"/>
      <c r="R585" s="547"/>
      <c r="S585" s="547"/>
      <c r="T585" s="547"/>
      <c r="U585" s="547"/>
      <c r="V585" s="547"/>
      <c r="W585" s="547"/>
      <c r="X585" s="547"/>
      <c r="Y585" s="547"/>
      <c r="Z585" s="547"/>
      <c r="AA585" s="547"/>
      <c r="AB585" s="884"/>
      <c r="AC585" s="547"/>
    </row>
    <row r="586" spans="1:29" ht="15.75" customHeight="1">
      <c r="A586" s="549"/>
      <c r="B586" s="550"/>
      <c r="C586" s="551"/>
      <c r="D586" s="551"/>
      <c r="E586" s="547"/>
      <c r="F586" s="547"/>
      <c r="G586" s="547"/>
      <c r="H586" s="547"/>
      <c r="I586" s="547"/>
      <c r="J586" s="547"/>
      <c r="K586" s="547"/>
      <c r="M586" s="547"/>
      <c r="N586" s="547"/>
      <c r="O586" s="547"/>
      <c r="P586" s="547"/>
      <c r="Q586" s="547"/>
      <c r="R586" s="547"/>
      <c r="S586" s="547"/>
      <c r="T586" s="547"/>
      <c r="U586" s="547"/>
      <c r="V586" s="547"/>
      <c r="W586" s="547"/>
      <c r="X586" s="547"/>
      <c r="Y586" s="547"/>
      <c r="Z586" s="547"/>
      <c r="AA586" s="547"/>
      <c r="AB586" s="884"/>
      <c r="AC586" s="547"/>
    </row>
    <row r="587" spans="1:29" ht="15.75" customHeight="1">
      <c r="A587" s="549"/>
      <c r="B587" s="550"/>
      <c r="C587" s="551"/>
      <c r="D587" s="551"/>
      <c r="E587" s="547"/>
      <c r="F587" s="547"/>
      <c r="G587" s="547"/>
      <c r="H587" s="547"/>
      <c r="I587" s="547"/>
      <c r="J587" s="547"/>
      <c r="K587" s="547"/>
      <c r="M587" s="547"/>
      <c r="N587" s="547"/>
      <c r="O587" s="547"/>
      <c r="P587" s="547"/>
      <c r="Q587" s="547"/>
      <c r="R587" s="547"/>
      <c r="S587" s="547"/>
      <c r="T587" s="547"/>
      <c r="U587" s="547"/>
      <c r="V587" s="547"/>
      <c r="W587" s="547"/>
      <c r="X587" s="547"/>
      <c r="Y587" s="547"/>
      <c r="Z587" s="547"/>
      <c r="AA587" s="547"/>
      <c r="AB587" s="884"/>
      <c r="AC587" s="547"/>
    </row>
    <row r="588" spans="1:29" ht="15.75" customHeight="1">
      <c r="A588" s="549"/>
      <c r="B588" s="550"/>
      <c r="C588" s="551"/>
      <c r="D588" s="551"/>
      <c r="E588" s="547"/>
      <c r="F588" s="547"/>
      <c r="G588" s="547"/>
      <c r="H588" s="547"/>
      <c r="I588" s="547"/>
      <c r="J588" s="547"/>
      <c r="K588" s="547"/>
      <c r="M588" s="547"/>
      <c r="N588" s="547"/>
      <c r="O588" s="547"/>
      <c r="P588" s="547"/>
      <c r="Q588" s="547"/>
      <c r="R588" s="547"/>
      <c r="S588" s="547"/>
      <c r="T588" s="547"/>
      <c r="U588" s="547"/>
      <c r="V588" s="547"/>
      <c r="W588" s="547"/>
      <c r="X588" s="547"/>
      <c r="Y588" s="547"/>
      <c r="Z588" s="547"/>
      <c r="AA588" s="547"/>
      <c r="AB588" s="884"/>
      <c r="AC588" s="547"/>
    </row>
    <row r="589" spans="1:29" ht="15.75" customHeight="1">
      <c r="A589" s="549"/>
      <c r="B589" s="550"/>
      <c r="C589" s="551"/>
      <c r="D589" s="551"/>
      <c r="E589" s="547"/>
      <c r="F589" s="547"/>
      <c r="G589" s="547"/>
      <c r="H589" s="547"/>
      <c r="I589" s="547"/>
      <c r="J589" s="547"/>
      <c r="K589" s="547"/>
      <c r="M589" s="547"/>
      <c r="N589" s="547"/>
      <c r="O589" s="547"/>
      <c r="P589" s="547"/>
      <c r="Q589" s="547"/>
      <c r="R589" s="547"/>
      <c r="S589" s="547"/>
      <c r="T589" s="547"/>
      <c r="U589" s="547"/>
      <c r="V589" s="547"/>
      <c r="W589" s="547"/>
      <c r="X589" s="547"/>
      <c r="Y589" s="547"/>
      <c r="Z589" s="547"/>
      <c r="AA589" s="547"/>
      <c r="AB589" s="884"/>
      <c r="AC589" s="547"/>
    </row>
    <row r="590" spans="1:29" ht="15.75" customHeight="1">
      <c r="A590" s="549"/>
      <c r="B590" s="550"/>
      <c r="C590" s="551"/>
      <c r="D590" s="551"/>
      <c r="E590" s="547"/>
      <c r="F590" s="547"/>
      <c r="G590" s="547"/>
      <c r="H590" s="547"/>
      <c r="I590" s="547"/>
      <c r="J590" s="547"/>
      <c r="K590" s="547"/>
      <c r="M590" s="547"/>
      <c r="N590" s="547"/>
      <c r="O590" s="547"/>
      <c r="P590" s="547"/>
      <c r="Q590" s="547"/>
      <c r="R590" s="547"/>
      <c r="S590" s="547"/>
      <c r="T590" s="547"/>
      <c r="U590" s="547"/>
      <c r="V590" s="547"/>
      <c r="W590" s="547"/>
      <c r="X590" s="547"/>
      <c r="Y590" s="547"/>
      <c r="Z590" s="547"/>
      <c r="AA590" s="547"/>
      <c r="AB590" s="884"/>
      <c r="AC590" s="547"/>
    </row>
    <row r="591" spans="1:29" ht="15.75" customHeight="1">
      <c r="A591" s="549"/>
      <c r="B591" s="550"/>
      <c r="C591" s="551"/>
      <c r="D591" s="551"/>
      <c r="E591" s="547"/>
      <c r="F591" s="547"/>
      <c r="G591" s="547"/>
      <c r="H591" s="547"/>
      <c r="I591" s="547"/>
      <c r="J591" s="547"/>
      <c r="K591" s="547"/>
      <c r="M591" s="547"/>
      <c r="N591" s="547"/>
      <c r="O591" s="547"/>
      <c r="P591" s="547"/>
      <c r="Q591" s="547"/>
      <c r="R591" s="547"/>
      <c r="S591" s="547"/>
      <c r="T591" s="547"/>
      <c r="U591" s="547"/>
      <c r="V591" s="547"/>
      <c r="W591" s="547"/>
      <c r="X591" s="547"/>
      <c r="Y591" s="547"/>
      <c r="Z591" s="547"/>
      <c r="AA591" s="547"/>
      <c r="AB591" s="884"/>
      <c r="AC591" s="547"/>
    </row>
    <row r="592" spans="1:29" ht="15.75" customHeight="1">
      <c r="A592" s="549"/>
      <c r="B592" s="550"/>
      <c r="C592" s="551"/>
      <c r="D592" s="551"/>
      <c r="E592" s="547"/>
      <c r="F592" s="547"/>
      <c r="G592" s="547"/>
      <c r="H592" s="547"/>
      <c r="I592" s="547"/>
      <c r="J592" s="547"/>
      <c r="K592" s="547"/>
      <c r="M592" s="547"/>
      <c r="N592" s="547"/>
      <c r="O592" s="547"/>
      <c r="P592" s="547"/>
      <c r="Q592" s="547"/>
      <c r="R592" s="547"/>
      <c r="S592" s="547"/>
      <c r="T592" s="547"/>
      <c r="U592" s="547"/>
      <c r="V592" s="547"/>
      <c r="W592" s="547"/>
      <c r="X592" s="547"/>
      <c r="Y592" s="547"/>
      <c r="Z592" s="547"/>
      <c r="AA592" s="547"/>
      <c r="AB592" s="884"/>
      <c r="AC592" s="547"/>
    </row>
    <row r="593" spans="1:29" ht="15.75" customHeight="1">
      <c r="A593" s="549"/>
      <c r="B593" s="550"/>
      <c r="C593" s="551"/>
      <c r="D593" s="551"/>
      <c r="E593" s="547"/>
      <c r="F593" s="547"/>
      <c r="G593" s="547"/>
      <c r="H593" s="547"/>
      <c r="I593" s="547"/>
      <c r="J593" s="547"/>
      <c r="K593" s="547"/>
      <c r="M593" s="547"/>
      <c r="N593" s="547"/>
      <c r="O593" s="547"/>
      <c r="P593" s="547"/>
      <c r="Q593" s="547"/>
      <c r="R593" s="547"/>
      <c r="S593" s="547"/>
      <c r="T593" s="547"/>
      <c r="U593" s="547"/>
      <c r="V593" s="547"/>
      <c r="W593" s="547"/>
      <c r="X593" s="547"/>
      <c r="Y593" s="547"/>
      <c r="Z593" s="547"/>
      <c r="AA593" s="547"/>
      <c r="AB593" s="884"/>
      <c r="AC593" s="547"/>
    </row>
    <row r="594" spans="1:29" ht="15.75" customHeight="1">
      <c r="A594" s="549"/>
      <c r="B594" s="550"/>
      <c r="C594" s="551"/>
      <c r="D594" s="551"/>
      <c r="E594" s="547"/>
      <c r="F594" s="547"/>
      <c r="G594" s="547"/>
      <c r="H594" s="547"/>
      <c r="I594" s="547"/>
      <c r="J594" s="547"/>
      <c r="K594" s="547"/>
      <c r="M594" s="547"/>
      <c r="N594" s="547"/>
      <c r="O594" s="547"/>
      <c r="P594" s="547"/>
      <c r="Q594" s="547"/>
      <c r="R594" s="547"/>
      <c r="S594" s="547"/>
      <c r="T594" s="547"/>
      <c r="U594" s="547"/>
      <c r="V594" s="547"/>
      <c r="W594" s="547"/>
      <c r="X594" s="547"/>
      <c r="Y594" s="547"/>
      <c r="Z594" s="547"/>
      <c r="AA594" s="547"/>
      <c r="AB594" s="884"/>
      <c r="AC594" s="547"/>
    </row>
    <row r="595" spans="1:29" ht="15.75" customHeight="1">
      <c r="A595" s="549"/>
      <c r="B595" s="550"/>
      <c r="C595" s="551"/>
      <c r="D595" s="551"/>
      <c r="E595" s="547"/>
      <c r="F595" s="547"/>
      <c r="G595" s="547"/>
      <c r="H595" s="547"/>
      <c r="I595" s="547"/>
      <c r="J595" s="547"/>
      <c r="K595" s="547"/>
      <c r="M595" s="547"/>
      <c r="N595" s="547"/>
      <c r="O595" s="547"/>
      <c r="P595" s="547"/>
      <c r="Q595" s="547"/>
      <c r="R595" s="547"/>
      <c r="S595" s="547"/>
      <c r="T595" s="547"/>
      <c r="U595" s="547"/>
      <c r="V595" s="547"/>
      <c r="W595" s="547"/>
      <c r="X595" s="547"/>
      <c r="Y595" s="547"/>
      <c r="Z595" s="547"/>
      <c r="AA595" s="547"/>
      <c r="AB595" s="884"/>
      <c r="AC595" s="547"/>
    </row>
    <row r="596" spans="1:29" ht="15.75" customHeight="1">
      <c r="A596" s="549"/>
      <c r="B596" s="550"/>
      <c r="C596" s="551"/>
      <c r="D596" s="551"/>
      <c r="E596" s="547"/>
      <c r="F596" s="547"/>
      <c r="G596" s="547"/>
      <c r="H596" s="547"/>
      <c r="I596" s="547"/>
      <c r="J596" s="547"/>
      <c r="K596" s="547"/>
      <c r="M596" s="547"/>
      <c r="N596" s="547"/>
      <c r="O596" s="547"/>
      <c r="P596" s="547"/>
      <c r="Q596" s="547"/>
      <c r="R596" s="547"/>
      <c r="S596" s="547"/>
      <c r="T596" s="547"/>
      <c r="U596" s="547"/>
      <c r="V596" s="547"/>
      <c r="W596" s="547"/>
      <c r="X596" s="547"/>
      <c r="Y596" s="547"/>
      <c r="Z596" s="547"/>
      <c r="AA596" s="547"/>
      <c r="AB596" s="884"/>
      <c r="AC596" s="547"/>
    </row>
    <row r="597" spans="1:29" ht="15.75" customHeight="1">
      <c r="A597" s="549"/>
      <c r="B597" s="550"/>
      <c r="C597" s="551"/>
      <c r="D597" s="551"/>
      <c r="E597" s="547"/>
      <c r="F597" s="547"/>
      <c r="G597" s="547"/>
      <c r="H597" s="547"/>
      <c r="I597" s="547"/>
      <c r="J597" s="547"/>
      <c r="K597" s="547"/>
      <c r="M597" s="547"/>
      <c r="N597" s="547"/>
      <c r="O597" s="547"/>
      <c r="P597" s="547"/>
      <c r="Q597" s="547"/>
      <c r="R597" s="547"/>
      <c r="S597" s="547"/>
      <c r="T597" s="547"/>
      <c r="U597" s="547"/>
      <c r="V597" s="547"/>
      <c r="W597" s="547"/>
      <c r="X597" s="547"/>
      <c r="Y597" s="547"/>
      <c r="Z597" s="547"/>
      <c r="AA597" s="547"/>
      <c r="AB597" s="884"/>
      <c r="AC597" s="547"/>
    </row>
    <row r="598" spans="1:29" ht="15.75" customHeight="1">
      <c r="A598" s="549"/>
      <c r="B598" s="550"/>
      <c r="C598" s="551"/>
      <c r="D598" s="551"/>
      <c r="E598" s="547"/>
      <c r="F598" s="547"/>
      <c r="G598" s="547"/>
      <c r="H598" s="547"/>
      <c r="I598" s="547"/>
      <c r="J598" s="547"/>
      <c r="K598" s="547"/>
      <c r="M598" s="547"/>
      <c r="N598" s="547"/>
      <c r="O598" s="547"/>
      <c r="P598" s="547"/>
      <c r="Q598" s="547"/>
      <c r="R598" s="547"/>
      <c r="S598" s="547"/>
      <c r="T598" s="547"/>
      <c r="U598" s="547"/>
      <c r="V598" s="547"/>
      <c r="W598" s="547"/>
      <c r="X598" s="547"/>
      <c r="Y598" s="547"/>
      <c r="Z598" s="547"/>
      <c r="AA598" s="547"/>
      <c r="AB598" s="884"/>
      <c r="AC598" s="547"/>
    </row>
    <row r="599" spans="1:29" ht="15.75" customHeight="1">
      <c r="A599" s="549"/>
      <c r="B599" s="550"/>
      <c r="C599" s="551"/>
      <c r="D599" s="551"/>
      <c r="E599" s="547"/>
      <c r="F599" s="547"/>
      <c r="G599" s="547"/>
      <c r="H599" s="547"/>
      <c r="I599" s="547"/>
      <c r="J599" s="547"/>
      <c r="K599" s="547"/>
      <c r="M599" s="547"/>
      <c r="N599" s="547"/>
      <c r="O599" s="547"/>
      <c r="P599" s="547"/>
      <c r="Q599" s="547"/>
      <c r="R599" s="547"/>
      <c r="S599" s="547"/>
      <c r="T599" s="547"/>
      <c r="U599" s="547"/>
      <c r="V599" s="547"/>
      <c r="W599" s="547"/>
      <c r="X599" s="547"/>
      <c r="Y599" s="547"/>
      <c r="Z599" s="547"/>
      <c r="AA599" s="547"/>
      <c r="AB599" s="884"/>
      <c r="AC599" s="547"/>
    </row>
    <row r="600" spans="1:29" ht="15.75" customHeight="1">
      <c r="A600" s="549"/>
      <c r="B600" s="550"/>
      <c r="C600" s="551"/>
      <c r="D600" s="551"/>
      <c r="E600" s="547"/>
      <c r="F600" s="547"/>
      <c r="G600" s="547"/>
      <c r="H600" s="547"/>
      <c r="I600" s="547"/>
      <c r="J600" s="547"/>
      <c r="K600" s="547"/>
      <c r="M600" s="547"/>
      <c r="N600" s="547"/>
      <c r="O600" s="547"/>
      <c r="P600" s="547"/>
      <c r="Q600" s="547"/>
      <c r="R600" s="547"/>
      <c r="S600" s="547"/>
      <c r="T600" s="547"/>
      <c r="U600" s="547"/>
      <c r="V600" s="547"/>
      <c r="W600" s="547"/>
      <c r="X600" s="547"/>
      <c r="Y600" s="547"/>
      <c r="Z600" s="547"/>
      <c r="AA600" s="547"/>
      <c r="AB600" s="884"/>
      <c r="AC600" s="547"/>
    </row>
    <row r="601" spans="1:29" ht="15.75" customHeight="1">
      <c r="A601" s="549"/>
      <c r="B601" s="550"/>
      <c r="C601" s="551"/>
      <c r="D601" s="551"/>
      <c r="E601" s="547"/>
      <c r="F601" s="547"/>
      <c r="G601" s="547"/>
      <c r="H601" s="547"/>
      <c r="I601" s="547"/>
      <c r="J601" s="547"/>
      <c r="K601" s="547"/>
      <c r="M601" s="547"/>
      <c r="N601" s="547"/>
      <c r="O601" s="547"/>
      <c r="P601" s="547"/>
      <c r="Q601" s="547"/>
      <c r="R601" s="547"/>
      <c r="S601" s="547"/>
      <c r="T601" s="547"/>
      <c r="U601" s="547"/>
      <c r="V601" s="547"/>
      <c r="W601" s="547"/>
      <c r="X601" s="547"/>
      <c r="Y601" s="547"/>
      <c r="Z601" s="547"/>
      <c r="AA601" s="547"/>
      <c r="AB601" s="884"/>
      <c r="AC601" s="547"/>
    </row>
    <row r="602" spans="1:29" ht="15.75" customHeight="1">
      <c r="A602" s="549"/>
      <c r="B602" s="550"/>
      <c r="C602" s="551"/>
      <c r="D602" s="551"/>
      <c r="E602" s="547"/>
      <c r="F602" s="547"/>
      <c r="G602" s="547"/>
      <c r="H602" s="547"/>
      <c r="I602" s="547"/>
      <c r="J602" s="547"/>
      <c r="K602" s="547"/>
      <c r="M602" s="547"/>
      <c r="N602" s="547"/>
      <c r="O602" s="547"/>
      <c r="P602" s="547"/>
      <c r="Q602" s="547"/>
      <c r="R602" s="547"/>
      <c r="S602" s="547"/>
      <c r="T602" s="547"/>
      <c r="U602" s="547"/>
      <c r="V602" s="547"/>
      <c r="W602" s="547"/>
      <c r="X602" s="547"/>
      <c r="Y602" s="547"/>
      <c r="Z602" s="547"/>
      <c r="AA602" s="547"/>
      <c r="AB602" s="884"/>
      <c r="AC602" s="547"/>
    </row>
    <row r="603" spans="1:29" ht="15.75" customHeight="1">
      <c r="A603" s="549"/>
      <c r="B603" s="550"/>
      <c r="C603" s="551"/>
      <c r="D603" s="551"/>
      <c r="E603" s="547"/>
      <c r="F603" s="547"/>
      <c r="G603" s="547"/>
      <c r="H603" s="547"/>
      <c r="I603" s="547"/>
      <c r="J603" s="547"/>
      <c r="K603" s="547"/>
      <c r="M603" s="547"/>
      <c r="N603" s="547"/>
      <c r="O603" s="547"/>
      <c r="P603" s="547"/>
      <c r="Q603" s="547"/>
      <c r="R603" s="547"/>
      <c r="S603" s="547"/>
      <c r="T603" s="547"/>
      <c r="U603" s="547"/>
      <c r="V603" s="547"/>
      <c r="W603" s="547"/>
      <c r="X603" s="547"/>
      <c r="Y603" s="547"/>
      <c r="Z603" s="547"/>
      <c r="AA603" s="547"/>
      <c r="AB603" s="884"/>
      <c r="AC603" s="547"/>
    </row>
    <row r="604" spans="1:29" ht="15.75" customHeight="1">
      <c r="A604" s="549"/>
      <c r="B604" s="550"/>
      <c r="C604" s="551"/>
      <c r="D604" s="551"/>
      <c r="E604" s="547"/>
      <c r="F604" s="547"/>
      <c r="G604" s="547"/>
      <c r="H604" s="547"/>
      <c r="I604" s="547"/>
      <c r="J604" s="547"/>
      <c r="K604" s="547"/>
      <c r="M604" s="547"/>
      <c r="N604" s="547"/>
      <c r="O604" s="547"/>
      <c r="P604" s="547"/>
      <c r="Q604" s="547"/>
      <c r="R604" s="547"/>
      <c r="S604" s="547"/>
      <c r="T604" s="547"/>
      <c r="U604" s="547"/>
      <c r="V604" s="547"/>
      <c r="W604" s="547"/>
      <c r="X604" s="547"/>
      <c r="Y604" s="547"/>
      <c r="Z604" s="547"/>
      <c r="AA604" s="547"/>
      <c r="AB604" s="884"/>
      <c r="AC604" s="547"/>
    </row>
    <row r="605" spans="1:29" ht="15.75" customHeight="1">
      <c r="A605" s="549"/>
      <c r="B605" s="550"/>
      <c r="C605" s="551"/>
      <c r="D605" s="551"/>
      <c r="E605" s="547"/>
      <c r="F605" s="547"/>
      <c r="G605" s="547"/>
      <c r="H605" s="547"/>
      <c r="I605" s="547"/>
      <c r="J605" s="547"/>
      <c r="K605" s="547"/>
      <c r="M605" s="547"/>
      <c r="N605" s="547"/>
      <c r="O605" s="547"/>
      <c r="P605" s="547"/>
      <c r="Q605" s="547"/>
      <c r="R605" s="547"/>
      <c r="S605" s="547"/>
      <c r="T605" s="547"/>
      <c r="U605" s="547"/>
      <c r="V605" s="547"/>
      <c r="W605" s="547"/>
      <c r="X605" s="547"/>
      <c r="Y605" s="547"/>
      <c r="Z605" s="547"/>
      <c r="AA605" s="547"/>
      <c r="AB605" s="884"/>
      <c r="AC605" s="547"/>
    </row>
    <row r="606" spans="1:29" ht="15.75" customHeight="1">
      <c r="A606" s="549"/>
      <c r="B606" s="550"/>
      <c r="C606" s="551"/>
      <c r="D606" s="551"/>
      <c r="E606" s="547"/>
      <c r="F606" s="547"/>
      <c r="G606" s="547"/>
      <c r="H606" s="547"/>
      <c r="I606" s="547"/>
      <c r="J606" s="547"/>
      <c r="K606" s="547"/>
      <c r="M606" s="547"/>
      <c r="N606" s="547"/>
      <c r="O606" s="547"/>
      <c r="P606" s="547"/>
      <c r="Q606" s="547"/>
      <c r="R606" s="547"/>
      <c r="S606" s="547"/>
      <c r="T606" s="547"/>
      <c r="U606" s="547"/>
      <c r="V606" s="547"/>
      <c r="W606" s="547"/>
      <c r="X606" s="547"/>
      <c r="Y606" s="547"/>
      <c r="Z606" s="547"/>
      <c r="AA606" s="547"/>
      <c r="AB606" s="884"/>
      <c r="AC606" s="547"/>
    </row>
    <row r="607" spans="1:29" ht="15.75" customHeight="1">
      <c r="A607" s="549"/>
      <c r="B607" s="550"/>
      <c r="C607" s="551"/>
      <c r="D607" s="551"/>
      <c r="E607" s="547"/>
      <c r="F607" s="547"/>
      <c r="G607" s="547"/>
      <c r="H607" s="547"/>
      <c r="I607" s="547"/>
      <c r="J607" s="547"/>
      <c r="K607" s="547"/>
      <c r="M607" s="547"/>
      <c r="N607" s="547"/>
      <c r="O607" s="547"/>
      <c r="P607" s="547"/>
      <c r="Q607" s="547"/>
      <c r="R607" s="547"/>
      <c r="S607" s="547"/>
      <c r="T607" s="547"/>
      <c r="U607" s="547"/>
      <c r="V607" s="547"/>
      <c r="W607" s="547"/>
      <c r="X607" s="547"/>
      <c r="Y607" s="547"/>
      <c r="Z607" s="547"/>
      <c r="AA607" s="547"/>
      <c r="AB607" s="884"/>
      <c r="AC607" s="547"/>
    </row>
    <row r="608" spans="1:29" ht="15.75" customHeight="1">
      <c r="A608" s="549"/>
      <c r="B608" s="550"/>
      <c r="C608" s="551"/>
      <c r="D608" s="551"/>
      <c r="E608" s="547"/>
      <c r="F608" s="547"/>
      <c r="G608" s="547"/>
      <c r="H608" s="547"/>
      <c r="I608" s="547"/>
      <c r="J608" s="547"/>
      <c r="K608" s="547"/>
      <c r="M608" s="547"/>
      <c r="N608" s="547"/>
      <c r="O608" s="547"/>
      <c r="P608" s="547"/>
      <c r="Q608" s="547"/>
      <c r="R608" s="547"/>
      <c r="S608" s="547"/>
      <c r="T608" s="547"/>
      <c r="U608" s="547"/>
      <c r="V608" s="547"/>
      <c r="W608" s="547"/>
      <c r="X608" s="547"/>
      <c r="Y608" s="547"/>
      <c r="Z608" s="547"/>
      <c r="AA608" s="547"/>
      <c r="AB608" s="884"/>
      <c r="AC608" s="547"/>
    </row>
    <row r="609" spans="1:29" ht="15.75" customHeight="1">
      <c r="A609" s="549"/>
      <c r="B609" s="550"/>
      <c r="C609" s="551"/>
      <c r="D609" s="551"/>
      <c r="E609" s="547"/>
      <c r="F609" s="547"/>
      <c r="G609" s="547"/>
      <c r="H609" s="547"/>
      <c r="I609" s="547"/>
      <c r="J609" s="547"/>
      <c r="K609" s="547"/>
      <c r="M609" s="547"/>
      <c r="N609" s="547"/>
      <c r="O609" s="547"/>
      <c r="P609" s="547"/>
      <c r="Q609" s="547"/>
      <c r="R609" s="547"/>
      <c r="S609" s="547"/>
      <c r="T609" s="547"/>
      <c r="U609" s="547"/>
      <c r="V609" s="547"/>
      <c r="W609" s="547"/>
      <c r="X609" s="547"/>
      <c r="Y609" s="547"/>
      <c r="Z609" s="547"/>
      <c r="AA609" s="547"/>
      <c r="AB609" s="884"/>
      <c r="AC609" s="547"/>
    </row>
    <row r="610" spans="1:29" ht="15.75" customHeight="1">
      <c r="A610" s="549"/>
      <c r="B610" s="550"/>
      <c r="C610" s="551"/>
      <c r="D610" s="551"/>
      <c r="E610" s="547"/>
      <c r="F610" s="547"/>
      <c r="G610" s="547"/>
      <c r="H610" s="547"/>
      <c r="I610" s="547"/>
      <c r="J610" s="547"/>
      <c r="K610" s="547"/>
      <c r="M610" s="547"/>
      <c r="N610" s="547"/>
      <c r="O610" s="547"/>
      <c r="P610" s="547"/>
      <c r="Q610" s="547"/>
      <c r="R610" s="547"/>
      <c r="S610" s="547"/>
      <c r="T610" s="547"/>
      <c r="U610" s="547"/>
      <c r="V610" s="547"/>
      <c r="W610" s="547"/>
      <c r="X610" s="547"/>
      <c r="Y610" s="547"/>
      <c r="Z610" s="547"/>
      <c r="AA610" s="547"/>
      <c r="AB610" s="884"/>
      <c r="AC610" s="547"/>
    </row>
    <row r="611" spans="1:29" ht="15.75" customHeight="1">
      <c r="A611" s="549"/>
      <c r="B611" s="550"/>
      <c r="C611" s="551"/>
      <c r="D611" s="551"/>
      <c r="E611" s="547"/>
      <c r="F611" s="547"/>
      <c r="G611" s="547"/>
      <c r="H611" s="547"/>
      <c r="I611" s="547"/>
      <c r="J611" s="547"/>
      <c r="K611" s="547"/>
      <c r="M611" s="547"/>
      <c r="N611" s="547"/>
      <c r="O611" s="547"/>
      <c r="P611" s="547"/>
      <c r="Q611" s="547"/>
      <c r="R611" s="547"/>
      <c r="S611" s="547"/>
      <c r="T611" s="547"/>
      <c r="U611" s="547"/>
      <c r="V611" s="547"/>
      <c r="W611" s="547"/>
      <c r="X611" s="547"/>
      <c r="Y611" s="547"/>
      <c r="Z611" s="547"/>
      <c r="AA611" s="547"/>
      <c r="AB611" s="884"/>
      <c r="AC611" s="547"/>
    </row>
    <row r="612" spans="1:29" ht="15.75" customHeight="1">
      <c r="A612" s="549"/>
      <c r="B612" s="550"/>
      <c r="C612" s="551"/>
      <c r="D612" s="551"/>
      <c r="E612" s="547"/>
      <c r="F612" s="547"/>
      <c r="G612" s="547"/>
      <c r="H612" s="547"/>
      <c r="I612" s="547"/>
      <c r="J612" s="547"/>
      <c r="K612" s="547"/>
      <c r="M612" s="547"/>
      <c r="N612" s="547"/>
      <c r="O612" s="547"/>
      <c r="P612" s="547"/>
      <c r="Q612" s="547"/>
      <c r="R612" s="547"/>
      <c r="S612" s="547"/>
      <c r="T612" s="547"/>
      <c r="U612" s="547"/>
      <c r="V612" s="547"/>
      <c r="W612" s="547"/>
      <c r="X612" s="547"/>
      <c r="Y612" s="547"/>
      <c r="Z612" s="547"/>
      <c r="AA612" s="547"/>
      <c r="AB612" s="884"/>
      <c r="AC612" s="547"/>
    </row>
    <row r="613" spans="1:29" ht="15.75" customHeight="1">
      <c r="A613" s="549"/>
      <c r="B613" s="550"/>
      <c r="C613" s="551"/>
      <c r="D613" s="551"/>
      <c r="E613" s="547"/>
      <c r="F613" s="547"/>
      <c r="G613" s="547"/>
      <c r="H613" s="547"/>
      <c r="I613" s="547"/>
      <c r="J613" s="547"/>
      <c r="K613" s="547"/>
      <c r="M613" s="547"/>
      <c r="N613" s="547"/>
      <c r="O613" s="547"/>
      <c r="P613" s="547"/>
      <c r="Q613" s="547"/>
      <c r="R613" s="547"/>
      <c r="S613" s="547"/>
      <c r="T613" s="547"/>
      <c r="U613" s="547"/>
      <c r="V613" s="547"/>
      <c r="W613" s="547"/>
      <c r="X613" s="547"/>
      <c r="Y613" s="547"/>
      <c r="Z613" s="547"/>
      <c r="AA613" s="547"/>
      <c r="AB613" s="884"/>
      <c r="AC613" s="547"/>
    </row>
    <row r="614" spans="1:29" ht="15.75" customHeight="1">
      <c r="A614" s="549"/>
      <c r="B614" s="550"/>
      <c r="C614" s="551"/>
      <c r="D614" s="551"/>
      <c r="E614" s="547"/>
      <c r="F614" s="547"/>
      <c r="G614" s="547"/>
      <c r="H614" s="547"/>
      <c r="I614" s="547"/>
      <c r="J614" s="547"/>
      <c r="K614" s="547"/>
      <c r="M614" s="547"/>
      <c r="N614" s="547"/>
      <c r="O614" s="547"/>
      <c r="P614" s="547"/>
      <c r="Q614" s="547"/>
      <c r="R614" s="547"/>
      <c r="S614" s="547"/>
      <c r="T614" s="547"/>
      <c r="U614" s="547"/>
      <c r="V614" s="547"/>
      <c r="W614" s="547"/>
      <c r="X614" s="547"/>
      <c r="Y614" s="547"/>
      <c r="Z614" s="547"/>
      <c r="AA614" s="547"/>
      <c r="AB614" s="884"/>
      <c r="AC614" s="547"/>
    </row>
    <row r="615" spans="1:29" ht="15.75" customHeight="1">
      <c r="A615" s="549"/>
      <c r="B615" s="550"/>
      <c r="C615" s="551"/>
      <c r="D615" s="551"/>
      <c r="E615" s="547"/>
      <c r="F615" s="547"/>
      <c r="G615" s="547"/>
      <c r="H615" s="547"/>
      <c r="I615" s="547"/>
      <c r="J615" s="547"/>
      <c r="K615" s="547"/>
      <c r="M615" s="547"/>
      <c r="N615" s="547"/>
      <c r="O615" s="547"/>
      <c r="P615" s="547"/>
      <c r="Q615" s="547"/>
      <c r="R615" s="547"/>
      <c r="S615" s="547"/>
      <c r="T615" s="547"/>
      <c r="U615" s="547"/>
      <c r="V615" s="547"/>
      <c r="W615" s="547"/>
      <c r="X615" s="547"/>
      <c r="Y615" s="547"/>
      <c r="Z615" s="547"/>
      <c r="AA615" s="547"/>
      <c r="AB615" s="884"/>
      <c r="AC615" s="547"/>
    </row>
    <row r="616" spans="1:29" ht="15.75" customHeight="1">
      <c r="A616" s="549"/>
      <c r="B616" s="550"/>
      <c r="C616" s="551"/>
      <c r="D616" s="551"/>
      <c r="E616" s="547"/>
      <c r="F616" s="547"/>
      <c r="G616" s="547"/>
      <c r="H616" s="547"/>
      <c r="I616" s="547"/>
      <c r="J616" s="547"/>
      <c r="K616" s="547"/>
      <c r="M616" s="547"/>
      <c r="N616" s="547"/>
      <c r="O616" s="547"/>
      <c r="P616" s="547"/>
      <c r="Q616" s="547"/>
      <c r="R616" s="547"/>
      <c r="S616" s="547"/>
      <c r="T616" s="547"/>
      <c r="U616" s="547"/>
      <c r="V616" s="547"/>
      <c r="W616" s="547"/>
      <c r="X616" s="547"/>
      <c r="Y616" s="547"/>
      <c r="Z616" s="547"/>
      <c r="AA616" s="547"/>
      <c r="AB616" s="884"/>
      <c r="AC616" s="547"/>
    </row>
    <row r="617" spans="1:29" ht="15.75" customHeight="1">
      <c r="A617" s="549"/>
      <c r="B617" s="550"/>
      <c r="C617" s="551"/>
      <c r="D617" s="551"/>
      <c r="E617" s="547"/>
      <c r="F617" s="547"/>
      <c r="G617" s="547"/>
      <c r="H617" s="547"/>
      <c r="I617" s="547"/>
      <c r="J617" s="547"/>
      <c r="K617" s="547"/>
      <c r="M617" s="547"/>
      <c r="N617" s="547"/>
      <c r="O617" s="547"/>
      <c r="P617" s="547"/>
      <c r="Q617" s="547"/>
      <c r="R617" s="547"/>
      <c r="S617" s="547"/>
      <c r="T617" s="547"/>
      <c r="U617" s="547"/>
      <c r="V617" s="547"/>
      <c r="W617" s="547"/>
      <c r="X617" s="547"/>
      <c r="Y617" s="547"/>
      <c r="Z617" s="547"/>
      <c r="AA617" s="547"/>
      <c r="AB617" s="884"/>
      <c r="AC617" s="547"/>
    </row>
    <row r="618" spans="1:29" ht="15.75" customHeight="1">
      <c r="A618" s="549"/>
      <c r="B618" s="550"/>
      <c r="C618" s="551"/>
      <c r="D618" s="551"/>
      <c r="E618" s="547"/>
      <c r="F618" s="547"/>
      <c r="G618" s="547"/>
      <c r="H618" s="547"/>
      <c r="I618" s="547"/>
      <c r="J618" s="547"/>
      <c r="K618" s="547"/>
      <c r="M618" s="547"/>
      <c r="N618" s="547"/>
      <c r="O618" s="547"/>
      <c r="P618" s="547"/>
      <c r="Q618" s="547"/>
      <c r="R618" s="547"/>
      <c r="S618" s="547"/>
      <c r="T618" s="547"/>
      <c r="U618" s="547"/>
      <c r="V618" s="547"/>
      <c r="W618" s="547"/>
      <c r="X618" s="547"/>
      <c r="Y618" s="547"/>
      <c r="Z618" s="547"/>
      <c r="AA618" s="547"/>
      <c r="AB618" s="884"/>
      <c r="AC618" s="547"/>
    </row>
    <row r="619" spans="1:29" ht="15.75" customHeight="1">
      <c r="A619" s="549"/>
      <c r="B619" s="550"/>
      <c r="C619" s="551"/>
      <c r="D619" s="551"/>
      <c r="E619" s="547"/>
      <c r="F619" s="547"/>
      <c r="G619" s="547"/>
      <c r="H619" s="547"/>
      <c r="I619" s="547"/>
      <c r="J619" s="547"/>
      <c r="K619" s="547"/>
      <c r="M619" s="547"/>
      <c r="N619" s="547"/>
      <c r="O619" s="547"/>
      <c r="P619" s="547"/>
      <c r="Q619" s="547"/>
      <c r="R619" s="547"/>
      <c r="S619" s="547"/>
      <c r="T619" s="547"/>
      <c r="U619" s="547"/>
      <c r="V619" s="547"/>
      <c r="W619" s="547"/>
      <c r="X619" s="547"/>
      <c r="Y619" s="547"/>
      <c r="Z619" s="547"/>
      <c r="AA619" s="547"/>
      <c r="AB619" s="884"/>
      <c r="AC619" s="547"/>
    </row>
    <row r="620" spans="1:29" ht="15.75" customHeight="1">
      <c r="A620" s="549"/>
      <c r="B620" s="550"/>
      <c r="C620" s="551"/>
      <c r="D620" s="551"/>
      <c r="E620" s="547"/>
      <c r="F620" s="547"/>
      <c r="G620" s="547"/>
      <c r="H620" s="547"/>
      <c r="I620" s="547"/>
      <c r="J620" s="547"/>
      <c r="K620" s="547"/>
      <c r="M620" s="547"/>
      <c r="N620" s="547"/>
      <c r="O620" s="547"/>
      <c r="P620" s="547"/>
      <c r="Q620" s="547"/>
      <c r="R620" s="547"/>
      <c r="S620" s="547"/>
      <c r="T620" s="547"/>
      <c r="U620" s="547"/>
      <c r="V620" s="547"/>
      <c r="W620" s="547"/>
      <c r="X620" s="547"/>
      <c r="Y620" s="547"/>
      <c r="Z620" s="547"/>
      <c r="AA620" s="547"/>
      <c r="AB620" s="884"/>
      <c r="AC620" s="547"/>
    </row>
    <row r="621" spans="1:29" ht="15.75" customHeight="1">
      <c r="A621" s="549"/>
      <c r="B621" s="550"/>
      <c r="C621" s="551"/>
      <c r="D621" s="551"/>
      <c r="E621" s="547"/>
      <c r="F621" s="547"/>
      <c r="G621" s="547"/>
      <c r="H621" s="547"/>
      <c r="I621" s="547"/>
      <c r="J621" s="547"/>
      <c r="K621" s="547"/>
      <c r="M621" s="547"/>
      <c r="N621" s="547"/>
      <c r="O621" s="547"/>
      <c r="P621" s="547"/>
      <c r="Q621" s="547"/>
      <c r="R621" s="547"/>
      <c r="S621" s="547"/>
      <c r="T621" s="547"/>
      <c r="U621" s="547"/>
      <c r="V621" s="547"/>
      <c r="W621" s="547"/>
      <c r="X621" s="547"/>
      <c r="Y621" s="547"/>
      <c r="Z621" s="547"/>
      <c r="AA621" s="547"/>
      <c r="AB621" s="884"/>
      <c r="AC621" s="547"/>
    </row>
    <row r="622" spans="1:29" ht="15.75" customHeight="1">
      <c r="A622" s="549"/>
      <c r="B622" s="550"/>
      <c r="C622" s="551"/>
      <c r="D622" s="551"/>
      <c r="E622" s="547"/>
      <c r="F622" s="547"/>
      <c r="G622" s="547"/>
      <c r="H622" s="547"/>
      <c r="I622" s="547"/>
      <c r="J622" s="547"/>
      <c r="K622" s="547"/>
      <c r="M622" s="547"/>
      <c r="N622" s="547"/>
      <c r="O622" s="547"/>
      <c r="P622" s="547"/>
      <c r="Q622" s="547"/>
      <c r="R622" s="547"/>
      <c r="S622" s="547"/>
      <c r="T622" s="547"/>
      <c r="U622" s="547"/>
      <c r="V622" s="547"/>
      <c r="W622" s="547"/>
      <c r="X622" s="547"/>
      <c r="Y622" s="547"/>
      <c r="Z622" s="547"/>
      <c r="AA622" s="547"/>
      <c r="AB622" s="884"/>
      <c r="AC622" s="547"/>
    </row>
    <row r="623" spans="1:29" ht="15.75" customHeight="1">
      <c r="A623" s="549"/>
      <c r="B623" s="550"/>
      <c r="C623" s="551"/>
      <c r="D623" s="551"/>
      <c r="E623" s="547"/>
      <c r="F623" s="547"/>
      <c r="G623" s="547"/>
      <c r="H623" s="547"/>
      <c r="I623" s="547"/>
      <c r="J623" s="547"/>
      <c r="K623" s="547"/>
      <c r="M623" s="547"/>
      <c r="N623" s="547"/>
      <c r="O623" s="547"/>
      <c r="P623" s="547"/>
      <c r="Q623" s="547"/>
      <c r="R623" s="547"/>
      <c r="S623" s="547"/>
      <c r="T623" s="547"/>
      <c r="U623" s="547"/>
      <c r="V623" s="547"/>
      <c r="W623" s="547"/>
      <c r="X623" s="547"/>
      <c r="Y623" s="547"/>
      <c r="Z623" s="547"/>
      <c r="AA623" s="547"/>
      <c r="AB623" s="884"/>
      <c r="AC623" s="547"/>
    </row>
    <row r="624" spans="1:29" ht="15.75" customHeight="1">
      <c r="A624" s="549"/>
      <c r="B624" s="550"/>
      <c r="C624" s="551"/>
      <c r="D624" s="551"/>
      <c r="E624" s="547"/>
      <c r="F624" s="547"/>
      <c r="G624" s="547"/>
      <c r="H624" s="547"/>
      <c r="I624" s="547"/>
      <c r="J624" s="547"/>
      <c r="K624" s="547"/>
      <c r="M624" s="547"/>
      <c r="N624" s="547"/>
      <c r="O624" s="547"/>
      <c r="P624" s="547"/>
      <c r="Q624" s="547"/>
      <c r="R624" s="547"/>
      <c r="S624" s="547"/>
      <c r="T624" s="547"/>
      <c r="U624" s="547"/>
      <c r="V624" s="547"/>
      <c r="W624" s="547"/>
      <c r="X624" s="547"/>
      <c r="Y624" s="547"/>
      <c r="Z624" s="547"/>
      <c r="AA624" s="547"/>
      <c r="AB624" s="884"/>
      <c r="AC624" s="547"/>
    </row>
    <row r="625" spans="1:29" ht="15.75" customHeight="1">
      <c r="A625" s="549"/>
      <c r="B625" s="550"/>
      <c r="C625" s="551"/>
      <c r="D625" s="551"/>
      <c r="E625" s="547"/>
      <c r="F625" s="547"/>
      <c r="G625" s="547"/>
      <c r="H625" s="547"/>
      <c r="I625" s="547"/>
      <c r="J625" s="547"/>
      <c r="K625" s="547"/>
      <c r="M625" s="547"/>
      <c r="N625" s="547"/>
      <c r="O625" s="547"/>
      <c r="P625" s="547"/>
      <c r="Q625" s="547"/>
      <c r="R625" s="547"/>
      <c r="S625" s="547"/>
      <c r="T625" s="547"/>
      <c r="U625" s="547"/>
      <c r="V625" s="547"/>
      <c r="W625" s="547"/>
      <c r="X625" s="547"/>
      <c r="Y625" s="547"/>
      <c r="Z625" s="547"/>
      <c r="AA625" s="547"/>
      <c r="AB625" s="884"/>
      <c r="AC625" s="547"/>
    </row>
    <row r="626" spans="1:29" ht="15.75" customHeight="1">
      <c r="A626" s="549"/>
      <c r="B626" s="550"/>
      <c r="C626" s="551"/>
      <c r="D626" s="551"/>
      <c r="E626" s="547"/>
      <c r="F626" s="547"/>
      <c r="G626" s="547"/>
      <c r="H626" s="547"/>
      <c r="I626" s="547"/>
      <c r="J626" s="547"/>
      <c r="K626" s="547"/>
      <c r="M626" s="547"/>
      <c r="N626" s="547"/>
      <c r="O626" s="547"/>
      <c r="P626" s="547"/>
      <c r="Q626" s="547"/>
      <c r="R626" s="547"/>
      <c r="S626" s="547"/>
      <c r="T626" s="547"/>
      <c r="U626" s="547"/>
      <c r="V626" s="547"/>
      <c r="W626" s="547"/>
      <c r="X626" s="547"/>
      <c r="Y626" s="547"/>
      <c r="Z626" s="547"/>
      <c r="AA626" s="547"/>
      <c r="AB626" s="884"/>
      <c r="AC626" s="547"/>
    </row>
    <row r="627" spans="1:29" ht="15.75" customHeight="1">
      <c r="A627" s="549"/>
      <c r="B627" s="550"/>
      <c r="C627" s="551"/>
      <c r="D627" s="551"/>
      <c r="E627" s="547"/>
      <c r="F627" s="547"/>
      <c r="G627" s="547"/>
      <c r="H627" s="547"/>
      <c r="I627" s="547"/>
      <c r="J627" s="547"/>
      <c r="K627" s="547"/>
      <c r="M627" s="547"/>
      <c r="N627" s="547"/>
      <c r="O627" s="547"/>
      <c r="P627" s="547"/>
      <c r="Q627" s="547"/>
      <c r="R627" s="547"/>
      <c r="S627" s="547"/>
      <c r="T627" s="547"/>
      <c r="U627" s="547"/>
      <c r="V627" s="547"/>
      <c r="W627" s="547"/>
      <c r="X627" s="547"/>
      <c r="Y627" s="547"/>
      <c r="Z627" s="547"/>
      <c r="AA627" s="547"/>
      <c r="AB627" s="884"/>
      <c r="AC627" s="547"/>
    </row>
    <row r="628" spans="1:29" ht="15.75" customHeight="1">
      <c r="A628" s="549"/>
      <c r="B628" s="550"/>
      <c r="C628" s="551"/>
      <c r="D628" s="551"/>
      <c r="E628" s="547"/>
      <c r="F628" s="547"/>
      <c r="G628" s="547"/>
      <c r="H628" s="547"/>
      <c r="I628" s="547"/>
      <c r="J628" s="547"/>
      <c r="K628" s="547"/>
      <c r="M628" s="547"/>
      <c r="N628" s="547"/>
      <c r="O628" s="547"/>
      <c r="P628" s="547"/>
      <c r="Q628" s="547"/>
      <c r="R628" s="547"/>
      <c r="S628" s="547"/>
      <c r="T628" s="547"/>
      <c r="U628" s="547"/>
      <c r="V628" s="547"/>
      <c r="W628" s="547"/>
      <c r="X628" s="547"/>
      <c r="Y628" s="547"/>
      <c r="Z628" s="547"/>
      <c r="AA628" s="547"/>
      <c r="AB628" s="884"/>
      <c r="AC628" s="547"/>
    </row>
    <row r="629" spans="1:29" ht="15.75" customHeight="1">
      <c r="A629" s="549"/>
      <c r="B629" s="550"/>
      <c r="C629" s="551"/>
      <c r="D629" s="551"/>
      <c r="E629" s="547"/>
      <c r="F629" s="547"/>
      <c r="G629" s="547"/>
      <c r="H629" s="547"/>
      <c r="I629" s="547"/>
      <c r="J629" s="547"/>
      <c r="K629" s="547"/>
      <c r="M629" s="547"/>
      <c r="N629" s="547"/>
      <c r="O629" s="547"/>
      <c r="P629" s="547"/>
      <c r="Q629" s="547"/>
      <c r="R629" s="547"/>
      <c r="S629" s="547"/>
      <c r="T629" s="547"/>
      <c r="U629" s="547"/>
      <c r="V629" s="547"/>
      <c r="W629" s="547"/>
      <c r="X629" s="547"/>
      <c r="Y629" s="547"/>
      <c r="Z629" s="547"/>
      <c r="AA629" s="547"/>
      <c r="AB629" s="884"/>
      <c r="AC629" s="547"/>
    </row>
    <row r="630" spans="1:29" ht="15.75" customHeight="1">
      <c r="A630" s="549"/>
      <c r="B630" s="550"/>
      <c r="C630" s="551"/>
      <c r="D630" s="551"/>
      <c r="E630" s="547"/>
      <c r="F630" s="547"/>
      <c r="G630" s="547"/>
      <c r="H630" s="547"/>
      <c r="I630" s="547"/>
      <c r="J630" s="547"/>
      <c r="K630" s="547"/>
      <c r="M630" s="547"/>
      <c r="N630" s="547"/>
      <c r="O630" s="547"/>
      <c r="P630" s="547"/>
      <c r="Q630" s="547"/>
      <c r="R630" s="547"/>
      <c r="S630" s="547"/>
      <c r="T630" s="547"/>
      <c r="U630" s="547"/>
      <c r="V630" s="547"/>
      <c r="W630" s="547"/>
      <c r="X630" s="547"/>
      <c r="Y630" s="547"/>
      <c r="Z630" s="547"/>
      <c r="AA630" s="547"/>
      <c r="AB630" s="884"/>
      <c r="AC630" s="547"/>
    </row>
    <row r="631" spans="1:29" ht="15.75" customHeight="1">
      <c r="A631" s="549"/>
      <c r="B631" s="550"/>
      <c r="C631" s="551"/>
      <c r="D631" s="551"/>
      <c r="E631" s="547"/>
      <c r="F631" s="547"/>
      <c r="G631" s="547"/>
      <c r="H631" s="547"/>
      <c r="I631" s="547"/>
      <c r="J631" s="547"/>
      <c r="K631" s="547"/>
      <c r="M631" s="547"/>
      <c r="N631" s="547"/>
      <c r="O631" s="547"/>
      <c r="P631" s="547"/>
      <c r="Q631" s="547"/>
      <c r="R631" s="547"/>
      <c r="S631" s="547"/>
      <c r="T631" s="547"/>
      <c r="U631" s="547"/>
      <c r="V631" s="547"/>
      <c r="W631" s="547"/>
      <c r="X631" s="547"/>
      <c r="Y631" s="547"/>
      <c r="Z631" s="547"/>
      <c r="AA631" s="547"/>
      <c r="AB631" s="884"/>
      <c r="AC631" s="547"/>
    </row>
    <row r="632" spans="1:29" ht="15.75" customHeight="1">
      <c r="A632" s="549"/>
      <c r="B632" s="550"/>
      <c r="C632" s="551"/>
      <c r="D632" s="551"/>
      <c r="E632" s="547"/>
      <c r="F632" s="547"/>
      <c r="G632" s="547"/>
      <c r="H632" s="547"/>
      <c r="I632" s="547"/>
      <c r="J632" s="547"/>
      <c r="K632" s="547"/>
      <c r="M632" s="547"/>
      <c r="N632" s="547"/>
      <c r="O632" s="547"/>
      <c r="P632" s="547"/>
      <c r="Q632" s="547"/>
      <c r="R632" s="547"/>
      <c r="S632" s="547"/>
      <c r="T632" s="547"/>
      <c r="U632" s="547"/>
      <c r="V632" s="547"/>
      <c r="W632" s="547"/>
      <c r="X632" s="547"/>
      <c r="Y632" s="547"/>
      <c r="Z632" s="547"/>
      <c r="AA632" s="547"/>
      <c r="AB632" s="884"/>
      <c r="AC632" s="547"/>
    </row>
    <row r="633" spans="1:29" ht="15.75" customHeight="1">
      <c r="A633" s="549"/>
      <c r="B633" s="550"/>
      <c r="C633" s="551"/>
      <c r="D633" s="551"/>
      <c r="E633" s="547"/>
      <c r="F633" s="547"/>
      <c r="G633" s="547"/>
      <c r="H633" s="547"/>
      <c r="I633" s="547"/>
      <c r="J633" s="547"/>
      <c r="K633" s="547"/>
      <c r="M633" s="547"/>
      <c r="N633" s="547"/>
      <c r="O633" s="547"/>
      <c r="P633" s="547"/>
      <c r="Q633" s="547"/>
      <c r="R633" s="547"/>
      <c r="S633" s="547"/>
      <c r="T633" s="547"/>
      <c r="U633" s="547"/>
      <c r="V633" s="547"/>
      <c r="W633" s="547"/>
      <c r="X633" s="547"/>
      <c r="Y633" s="547"/>
      <c r="Z633" s="547"/>
      <c r="AA633" s="547"/>
      <c r="AB633" s="884"/>
      <c r="AC633" s="547"/>
    </row>
    <row r="634" spans="1:29" ht="15.75" customHeight="1">
      <c r="A634" s="549"/>
      <c r="B634" s="550"/>
      <c r="C634" s="551"/>
      <c r="D634" s="551"/>
      <c r="E634" s="547"/>
      <c r="F634" s="547"/>
      <c r="G634" s="547"/>
      <c r="H634" s="547"/>
      <c r="I634" s="547"/>
      <c r="J634" s="547"/>
      <c r="K634" s="547"/>
      <c r="M634" s="547"/>
      <c r="N634" s="547"/>
      <c r="O634" s="547"/>
      <c r="P634" s="547"/>
      <c r="Q634" s="547"/>
      <c r="R634" s="547"/>
      <c r="S634" s="547"/>
      <c r="T634" s="547"/>
      <c r="U634" s="547"/>
      <c r="V634" s="547"/>
      <c r="W634" s="547"/>
      <c r="X634" s="547"/>
      <c r="Y634" s="547"/>
      <c r="Z634" s="547"/>
      <c r="AA634" s="547"/>
      <c r="AB634" s="884"/>
      <c r="AC634" s="547"/>
    </row>
    <row r="635" spans="1:29" ht="15.75" customHeight="1">
      <c r="A635" s="549"/>
      <c r="B635" s="550"/>
      <c r="C635" s="551"/>
      <c r="D635" s="551"/>
      <c r="E635" s="547"/>
      <c r="F635" s="547"/>
      <c r="G635" s="547"/>
      <c r="H635" s="547"/>
      <c r="I635" s="547"/>
      <c r="J635" s="547"/>
      <c r="K635" s="547"/>
      <c r="M635" s="547"/>
      <c r="N635" s="547"/>
      <c r="O635" s="547"/>
      <c r="P635" s="547"/>
      <c r="Q635" s="547"/>
      <c r="R635" s="547"/>
      <c r="S635" s="547"/>
      <c r="T635" s="547"/>
      <c r="U635" s="547"/>
      <c r="V635" s="547"/>
      <c r="W635" s="547"/>
      <c r="X635" s="547"/>
      <c r="Y635" s="547"/>
      <c r="Z635" s="547"/>
      <c r="AA635" s="547"/>
      <c r="AB635" s="884"/>
      <c r="AC635" s="547"/>
    </row>
    <row r="636" spans="1:29" ht="15.75" customHeight="1">
      <c r="A636" s="549"/>
      <c r="B636" s="550"/>
      <c r="C636" s="551"/>
      <c r="D636" s="551"/>
      <c r="E636" s="547"/>
      <c r="F636" s="547"/>
      <c r="G636" s="547"/>
      <c r="H636" s="547"/>
      <c r="I636" s="547"/>
      <c r="J636" s="547"/>
      <c r="K636" s="547"/>
      <c r="M636" s="547"/>
      <c r="N636" s="547"/>
      <c r="O636" s="547"/>
      <c r="P636" s="547"/>
      <c r="Q636" s="547"/>
      <c r="R636" s="547"/>
      <c r="S636" s="547"/>
      <c r="T636" s="547"/>
      <c r="U636" s="547"/>
      <c r="V636" s="547"/>
      <c r="W636" s="547"/>
      <c r="X636" s="547"/>
      <c r="Y636" s="547"/>
      <c r="Z636" s="547"/>
      <c r="AA636" s="547"/>
      <c r="AB636" s="884"/>
      <c r="AC636" s="547"/>
    </row>
    <row r="637" spans="1:29" ht="15.75" customHeight="1">
      <c r="A637" s="549"/>
      <c r="B637" s="550"/>
      <c r="C637" s="551"/>
      <c r="D637" s="551"/>
      <c r="E637" s="547"/>
      <c r="F637" s="547"/>
      <c r="G637" s="547"/>
      <c r="H637" s="547"/>
      <c r="I637" s="547"/>
      <c r="J637" s="547"/>
      <c r="K637" s="547"/>
      <c r="M637" s="547"/>
      <c r="N637" s="547"/>
      <c r="O637" s="547"/>
      <c r="P637" s="547"/>
      <c r="Q637" s="547"/>
      <c r="R637" s="547"/>
      <c r="S637" s="547"/>
      <c r="T637" s="547"/>
      <c r="U637" s="547"/>
      <c r="V637" s="547"/>
      <c r="W637" s="547"/>
      <c r="X637" s="547"/>
      <c r="Y637" s="547"/>
      <c r="Z637" s="547"/>
      <c r="AA637" s="547"/>
      <c r="AB637" s="884"/>
      <c r="AC637" s="547"/>
    </row>
    <row r="638" spans="1:29" ht="15.75" customHeight="1">
      <c r="A638" s="549"/>
      <c r="B638" s="550"/>
      <c r="C638" s="551"/>
      <c r="D638" s="551"/>
      <c r="E638" s="547"/>
      <c r="F638" s="547"/>
      <c r="G638" s="547"/>
      <c r="H638" s="547"/>
      <c r="I638" s="547"/>
      <c r="J638" s="547"/>
      <c r="K638" s="547"/>
      <c r="M638" s="547"/>
      <c r="N638" s="547"/>
      <c r="O638" s="547"/>
      <c r="P638" s="547"/>
      <c r="Q638" s="547"/>
      <c r="R638" s="547"/>
      <c r="S638" s="547"/>
      <c r="T638" s="547"/>
      <c r="U638" s="547"/>
      <c r="V638" s="547"/>
      <c r="W638" s="547"/>
      <c r="X638" s="547"/>
      <c r="Y638" s="547"/>
      <c r="Z638" s="547"/>
      <c r="AA638" s="547"/>
      <c r="AB638" s="884"/>
      <c r="AC638" s="547"/>
    </row>
    <row r="639" spans="1:29" ht="15.75" customHeight="1">
      <c r="A639" s="549"/>
      <c r="B639" s="550"/>
      <c r="C639" s="551"/>
      <c r="D639" s="551"/>
      <c r="E639" s="547"/>
      <c r="F639" s="547"/>
      <c r="G639" s="547"/>
      <c r="H639" s="547"/>
      <c r="I639" s="547"/>
      <c r="J639" s="547"/>
      <c r="K639" s="547"/>
      <c r="M639" s="547"/>
      <c r="N639" s="547"/>
      <c r="O639" s="547"/>
      <c r="P639" s="547"/>
      <c r="Q639" s="547"/>
      <c r="R639" s="547"/>
      <c r="S639" s="547"/>
      <c r="T639" s="547"/>
      <c r="U639" s="547"/>
      <c r="V639" s="547"/>
      <c r="W639" s="547"/>
      <c r="X639" s="547"/>
      <c r="Y639" s="547"/>
      <c r="Z639" s="547"/>
      <c r="AA639" s="547"/>
      <c r="AB639" s="884"/>
      <c r="AC639" s="547"/>
    </row>
    <row r="640" spans="1:29" ht="15.75" customHeight="1">
      <c r="A640" s="549"/>
      <c r="B640" s="550"/>
      <c r="C640" s="551"/>
      <c r="D640" s="551"/>
      <c r="E640" s="547"/>
      <c r="F640" s="547"/>
      <c r="G640" s="547"/>
      <c r="H640" s="547"/>
      <c r="I640" s="547"/>
      <c r="J640" s="547"/>
      <c r="K640" s="547"/>
      <c r="M640" s="547"/>
      <c r="N640" s="547"/>
      <c r="O640" s="547"/>
      <c r="P640" s="547"/>
      <c r="Q640" s="547"/>
      <c r="R640" s="547"/>
      <c r="S640" s="547"/>
      <c r="T640" s="547"/>
      <c r="U640" s="547"/>
      <c r="V640" s="547"/>
      <c r="W640" s="547"/>
      <c r="X640" s="547"/>
      <c r="Y640" s="547"/>
      <c r="Z640" s="547"/>
      <c r="AA640" s="547"/>
      <c r="AB640" s="884"/>
      <c r="AC640" s="547"/>
    </row>
    <row r="641" spans="1:29" ht="15.75" customHeight="1">
      <c r="A641" s="549"/>
      <c r="B641" s="550"/>
      <c r="C641" s="551"/>
      <c r="D641" s="551"/>
      <c r="E641" s="547"/>
      <c r="F641" s="547"/>
      <c r="G641" s="547"/>
      <c r="H641" s="547"/>
      <c r="I641" s="547"/>
      <c r="J641" s="547"/>
      <c r="K641" s="547"/>
      <c r="M641" s="547"/>
      <c r="N641" s="547"/>
      <c r="O641" s="547"/>
      <c r="P641" s="547"/>
      <c r="Q641" s="547"/>
      <c r="R641" s="547"/>
      <c r="S641" s="547"/>
      <c r="T641" s="547"/>
      <c r="U641" s="547"/>
      <c r="V641" s="547"/>
      <c r="W641" s="547"/>
      <c r="X641" s="547"/>
      <c r="Y641" s="547"/>
      <c r="Z641" s="547"/>
      <c r="AA641" s="547"/>
      <c r="AB641" s="884"/>
      <c r="AC641" s="547"/>
    </row>
    <row r="642" spans="1:29" ht="15.75" customHeight="1">
      <c r="A642" s="549"/>
      <c r="B642" s="550"/>
      <c r="C642" s="551"/>
      <c r="D642" s="551"/>
      <c r="E642" s="547"/>
      <c r="F642" s="547"/>
      <c r="G642" s="547"/>
      <c r="H642" s="547"/>
      <c r="I642" s="547"/>
      <c r="J642" s="547"/>
      <c r="K642" s="547"/>
      <c r="M642" s="547"/>
      <c r="N642" s="547"/>
      <c r="O642" s="547"/>
      <c r="P642" s="547"/>
      <c r="Q642" s="547"/>
      <c r="R642" s="547"/>
      <c r="S642" s="547"/>
      <c r="T642" s="547"/>
      <c r="U642" s="547"/>
      <c r="V642" s="547"/>
      <c r="W642" s="547"/>
      <c r="X642" s="547"/>
      <c r="Y642" s="547"/>
      <c r="Z642" s="547"/>
      <c r="AA642" s="547"/>
      <c r="AB642" s="884"/>
      <c r="AC642" s="547"/>
    </row>
    <row r="643" spans="1:29" ht="15.75" customHeight="1">
      <c r="A643" s="549"/>
      <c r="B643" s="550"/>
      <c r="C643" s="551"/>
      <c r="D643" s="551"/>
      <c r="E643" s="547"/>
      <c r="F643" s="547"/>
      <c r="G643" s="547"/>
      <c r="H643" s="547"/>
      <c r="I643" s="547"/>
      <c r="J643" s="547"/>
      <c r="K643" s="547"/>
      <c r="M643" s="547"/>
      <c r="N643" s="547"/>
      <c r="O643" s="547"/>
      <c r="P643" s="547"/>
      <c r="Q643" s="547"/>
      <c r="R643" s="547"/>
      <c r="S643" s="547"/>
      <c r="T643" s="547"/>
      <c r="U643" s="547"/>
      <c r="V643" s="547"/>
      <c r="W643" s="547"/>
      <c r="X643" s="547"/>
      <c r="Y643" s="547"/>
      <c r="Z643" s="547"/>
      <c r="AA643" s="547"/>
      <c r="AB643" s="884"/>
      <c r="AC643" s="547"/>
    </row>
    <row r="644" spans="1:29" ht="15.75" customHeight="1">
      <c r="A644" s="549"/>
      <c r="B644" s="550"/>
      <c r="C644" s="551"/>
      <c r="D644" s="551"/>
      <c r="E644" s="547"/>
      <c r="F644" s="547"/>
      <c r="G644" s="547"/>
      <c r="H644" s="547"/>
      <c r="I644" s="547"/>
      <c r="J644" s="547"/>
      <c r="K644" s="547"/>
      <c r="M644" s="547"/>
      <c r="N644" s="547"/>
      <c r="O644" s="547"/>
      <c r="P644" s="547"/>
      <c r="Q644" s="547"/>
      <c r="R644" s="547"/>
      <c r="S644" s="547"/>
      <c r="T644" s="547"/>
      <c r="U644" s="547"/>
      <c r="V644" s="547"/>
      <c r="W644" s="547"/>
      <c r="X644" s="547"/>
      <c r="Y644" s="547"/>
      <c r="Z644" s="547"/>
      <c r="AA644" s="547"/>
      <c r="AB644" s="884"/>
      <c r="AC644" s="547"/>
    </row>
    <row r="645" spans="1:29" ht="15.75" customHeight="1">
      <c r="A645" s="549"/>
      <c r="B645" s="550"/>
      <c r="C645" s="551"/>
      <c r="D645" s="551"/>
      <c r="E645" s="547"/>
      <c r="F645" s="547"/>
      <c r="G645" s="547"/>
      <c r="H645" s="547"/>
      <c r="I645" s="547"/>
      <c r="J645" s="547"/>
      <c r="K645" s="547"/>
      <c r="M645" s="547"/>
      <c r="N645" s="547"/>
      <c r="O645" s="547"/>
      <c r="P645" s="547"/>
      <c r="Q645" s="547"/>
      <c r="R645" s="547"/>
      <c r="S645" s="547"/>
      <c r="T645" s="547"/>
      <c r="U645" s="547"/>
      <c r="V645" s="547"/>
      <c r="W645" s="547"/>
      <c r="X645" s="547"/>
      <c r="Y645" s="547"/>
      <c r="Z645" s="547"/>
      <c r="AA645" s="547"/>
      <c r="AB645" s="884"/>
      <c r="AC645" s="547"/>
    </row>
    <row r="646" spans="1:29" ht="15.75" customHeight="1">
      <c r="A646" s="549"/>
      <c r="B646" s="550"/>
      <c r="C646" s="551"/>
      <c r="D646" s="551"/>
      <c r="E646" s="547"/>
      <c r="F646" s="547"/>
      <c r="G646" s="547"/>
      <c r="H646" s="547"/>
      <c r="I646" s="547"/>
      <c r="J646" s="547"/>
      <c r="K646" s="547"/>
      <c r="M646" s="547"/>
      <c r="N646" s="547"/>
      <c r="O646" s="547"/>
      <c r="P646" s="547"/>
      <c r="Q646" s="547"/>
      <c r="R646" s="547"/>
      <c r="S646" s="547"/>
      <c r="T646" s="547"/>
      <c r="U646" s="547"/>
      <c r="V646" s="547"/>
      <c r="W646" s="547"/>
      <c r="X646" s="547"/>
      <c r="Y646" s="547"/>
      <c r="Z646" s="547"/>
      <c r="AA646" s="547"/>
      <c r="AB646" s="884"/>
      <c r="AC646" s="547"/>
    </row>
    <row r="647" spans="1:29" ht="15.75" customHeight="1">
      <c r="A647" s="549"/>
      <c r="B647" s="550"/>
      <c r="C647" s="551"/>
      <c r="D647" s="551"/>
      <c r="E647" s="547"/>
      <c r="F647" s="547"/>
      <c r="G647" s="547"/>
      <c r="H647" s="547"/>
      <c r="I647" s="547"/>
      <c r="J647" s="547"/>
      <c r="K647" s="547"/>
      <c r="M647" s="547"/>
      <c r="N647" s="547"/>
      <c r="O647" s="547"/>
      <c r="P647" s="547"/>
      <c r="Q647" s="547"/>
      <c r="R647" s="547"/>
      <c r="S647" s="547"/>
      <c r="T647" s="547"/>
      <c r="U647" s="547"/>
      <c r="V647" s="547"/>
      <c r="W647" s="547"/>
      <c r="X647" s="547"/>
      <c r="Y647" s="547"/>
      <c r="Z647" s="547"/>
      <c r="AA647" s="547"/>
      <c r="AB647" s="884"/>
      <c r="AC647" s="547"/>
    </row>
    <row r="648" spans="1:29" ht="15.75" customHeight="1">
      <c r="A648" s="549"/>
      <c r="B648" s="550"/>
      <c r="C648" s="551"/>
      <c r="D648" s="551"/>
      <c r="E648" s="547"/>
      <c r="F648" s="547"/>
      <c r="G648" s="547"/>
      <c r="H648" s="547"/>
      <c r="I648" s="547"/>
      <c r="J648" s="547"/>
      <c r="K648" s="547"/>
      <c r="M648" s="547"/>
      <c r="N648" s="547"/>
      <c r="O648" s="547"/>
      <c r="P648" s="547"/>
      <c r="Q648" s="547"/>
      <c r="R648" s="547"/>
      <c r="S648" s="547"/>
      <c r="T648" s="547"/>
      <c r="U648" s="547"/>
      <c r="V648" s="547"/>
      <c r="W648" s="547"/>
      <c r="X648" s="547"/>
      <c r="Y648" s="547"/>
      <c r="Z648" s="547"/>
      <c r="AA648" s="547"/>
      <c r="AB648" s="884"/>
      <c r="AC648" s="547"/>
    </row>
    <row r="649" spans="1:29" ht="15.75" customHeight="1">
      <c r="A649" s="549"/>
      <c r="B649" s="550"/>
      <c r="C649" s="551"/>
      <c r="D649" s="551"/>
      <c r="E649" s="547"/>
      <c r="F649" s="547"/>
      <c r="G649" s="547"/>
      <c r="H649" s="547"/>
      <c r="I649" s="547"/>
      <c r="J649" s="547"/>
      <c r="K649" s="547"/>
      <c r="M649" s="547"/>
      <c r="N649" s="547"/>
      <c r="O649" s="547"/>
      <c r="P649" s="547"/>
      <c r="Q649" s="547"/>
      <c r="R649" s="547"/>
      <c r="S649" s="547"/>
      <c r="T649" s="547"/>
      <c r="U649" s="547"/>
      <c r="V649" s="547"/>
      <c r="W649" s="547"/>
      <c r="X649" s="547"/>
      <c r="Y649" s="547"/>
      <c r="Z649" s="547"/>
      <c r="AA649" s="547"/>
      <c r="AB649" s="884"/>
      <c r="AC649" s="547"/>
    </row>
    <row r="650" spans="1:29" ht="15.75" customHeight="1">
      <c r="A650" s="549"/>
      <c r="B650" s="550"/>
      <c r="C650" s="551"/>
      <c r="D650" s="551"/>
      <c r="E650" s="547"/>
      <c r="F650" s="547"/>
      <c r="G650" s="547"/>
      <c r="H650" s="547"/>
      <c r="I650" s="547"/>
      <c r="J650" s="547"/>
      <c r="K650" s="547"/>
      <c r="M650" s="547"/>
      <c r="N650" s="547"/>
      <c r="O650" s="547"/>
      <c r="P650" s="547"/>
      <c r="Q650" s="547"/>
      <c r="R650" s="547"/>
      <c r="S650" s="547"/>
      <c r="T650" s="547"/>
      <c r="U650" s="547"/>
      <c r="V650" s="547"/>
      <c r="W650" s="547"/>
      <c r="X650" s="547"/>
      <c r="Y650" s="547"/>
      <c r="Z650" s="547"/>
      <c r="AA650" s="547"/>
      <c r="AB650" s="884"/>
      <c r="AC650" s="547"/>
    </row>
    <row r="651" spans="1:29" ht="15.75" customHeight="1">
      <c r="A651" s="549"/>
      <c r="B651" s="550"/>
      <c r="C651" s="551"/>
      <c r="D651" s="551"/>
      <c r="E651" s="547"/>
      <c r="F651" s="547"/>
      <c r="G651" s="547"/>
      <c r="H651" s="547"/>
      <c r="I651" s="547"/>
      <c r="J651" s="547"/>
      <c r="K651" s="547"/>
      <c r="M651" s="547"/>
      <c r="N651" s="547"/>
      <c r="O651" s="547"/>
      <c r="P651" s="547"/>
      <c r="Q651" s="547"/>
      <c r="R651" s="547"/>
      <c r="S651" s="547"/>
      <c r="T651" s="547"/>
      <c r="U651" s="547"/>
      <c r="V651" s="547"/>
      <c r="W651" s="547"/>
      <c r="X651" s="547"/>
      <c r="Y651" s="547"/>
      <c r="Z651" s="547"/>
      <c r="AA651" s="547"/>
      <c r="AB651" s="884"/>
      <c r="AC651" s="547"/>
    </row>
    <row r="652" spans="1:29" ht="15.75" customHeight="1">
      <c r="A652" s="549"/>
      <c r="B652" s="550"/>
      <c r="C652" s="551"/>
      <c r="D652" s="551"/>
      <c r="E652" s="547"/>
      <c r="F652" s="547"/>
      <c r="G652" s="547"/>
      <c r="H652" s="547"/>
      <c r="I652" s="547"/>
      <c r="J652" s="547"/>
      <c r="K652" s="547"/>
      <c r="M652" s="547"/>
      <c r="N652" s="547"/>
      <c r="O652" s="547"/>
      <c r="P652" s="547"/>
      <c r="Q652" s="547"/>
      <c r="R652" s="547"/>
      <c r="S652" s="547"/>
      <c r="T652" s="547"/>
      <c r="U652" s="547"/>
      <c r="V652" s="547"/>
      <c r="W652" s="547"/>
      <c r="X652" s="547"/>
      <c r="Y652" s="547"/>
      <c r="Z652" s="547"/>
      <c r="AA652" s="547"/>
      <c r="AB652" s="884"/>
      <c r="AC652" s="547"/>
    </row>
    <row r="653" spans="1:29" ht="15.75" customHeight="1">
      <c r="A653" s="549"/>
      <c r="B653" s="550"/>
      <c r="C653" s="551"/>
      <c r="D653" s="551"/>
      <c r="E653" s="547"/>
      <c r="F653" s="547"/>
      <c r="G653" s="547"/>
      <c r="H653" s="547"/>
      <c r="I653" s="547"/>
      <c r="J653" s="547"/>
      <c r="K653" s="547"/>
      <c r="M653" s="547"/>
      <c r="N653" s="547"/>
      <c r="O653" s="547"/>
      <c r="P653" s="547"/>
      <c r="Q653" s="547"/>
      <c r="R653" s="547"/>
      <c r="S653" s="547"/>
      <c r="T653" s="547"/>
      <c r="U653" s="547"/>
      <c r="V653" s="547"/>
      <c r="W653" s="547"/>
      <c r="X653" s="547"/>
      <c r="Y653" s="547"/>
      <c r="Z653" s="547"/>
      <c r="AA653" s="547"/>
      <c r="AB653" s="884"/>
      <c r="AC653" s="547"/>
    </row>
    <row r="654" spans="1:29" ht="15.75" customHeight="1">
      <c r="A654" s="549"/>
      <c r="B654" s="550"/>
      <c r="C654" s="551"/>
      <c r="D654" s="551"/>
      <c r="E654" s="547"/>
      <c r="F654" s="547"/>
      <c r="G654" s="547"/>
      <c r="H654" s="547"/>
      <c r="I654" s="547"/>
      <c r="J654" s="547"/>
      <c r="K654" s="547"/>
      <c r="M654" s="547"/>
      <c r="N654" s="547"/>
      <c r="O654" s="547"/>
      <c r="P654" s="547"/>
      <c r="Q654" s="547"/>
      <c r="R654" s="547"/>
      <c r="S654" s="547"/>
      <c r="T654" s="547"/>
      <c r="U654" s="547"/>
      <c r="V654" s="547"/>
      <c r="W654" s="547"/>
      <c r="X654" s="547"/>
      <c r="Y654" s="547"/>
      <c r="Z654" s="547"/>
      <c r="AA654" s="547"/>
      <c r="AB654" s="884"/>
      <c r="AC654" s="547"/>
    </row>
    <row r="655" spans="1:29" ht="15.75" customHeight="1">
      <c r="A655" s="549"/>
      <c r="B655" s="550"/>
      <c r="C655" s="551"/>
      <c r="D655" s="551"/>
      <c r="E655" s="547"/>
      <c r="F655" s="547"/>
      <c r="G655" s="547"/>
      <c r="H655" s="547"/>
      <c r="I655" s="547"/>
      <c r="J655" s="547"/>
      <c r="K655" s="547"/>
      <c r="M655" s="547"/>
      <c r="N655" s="547"/>
      <c r="O655" s="547"/>
      <c r="P655" s="547"/>
      <c r="Q655" s="547"/>
      <c r="R655" s="547"/>
      <c r="S655" s="547"/>
      <c r="T655" s="547"/>
      <c r="U655" s="547"/>
      <c r="V655" s="547"/>
      <c r="W655" s="547"/>
      <c r="X655" s="547"/>
      <c r="Y655" s="547"/>
      <c r="Z655" s="547"/>
      <c r="AA655" s="547"/>
      <c r="AB655" s="884"/>
      <c r="AC655" s="547"/>
    </row>
    <row r="656" spans="1:29" ht="15.75" customHeight="1">
      <c r="A656" s="549"/>
      <c r="B656" s="550"/>
      <c r="C656" s="551"/>
      <c r="D656" s="551"/>
      <c r="E656" s="547"/>
      <c r="F656" s="547"/>
      <c r="G656" s="547"/>
      <c r="H656" s="547"/>
      <c r="I656" s="547"/>
      <c r="J656" s="547"/>
      <c r="K656" s="547"/>
      <c r="M656" s="547"/>
      <c r="N656" s="547"/>
      <c r="O656" s="547"/>
      <c r="P656" s="547"/>
      <c r="Q656" s="547"/>
      <c r="R656" s="547"/>
      <c r="S656" s="547"/>
      <c r="T656" s="547"/>
      <c r="U656" s="547"/>
      <c r="V656" s="547"/>
      <c r="W656" s="547"/>
      <c r="X656" s="547"/>
      <c r="Y656" s="547"/>
      <c r="Z656" s="547"/>
      <c r="AA656" s="547"/>
      <c r="AB656" s="884"/>
      <c r="AC656" s="547"/>
    </row>
    <row r="657" spans="1:29" ht="15.75" customHeight="1">
      <c r="A657" s="549"/>
      <c r="B657" s="550"/>
      <c r="C657" s="551"/>
      <c r="D657" s="551"/>
      <c r="E657" s="547"/>
      <c r="F657" s="547"/>
      <c r="G657" s="547"/>
      <c r="H657" s="547"/>
      <c r="I657" s="547"/>
      <c r="J657" s="547"/>
      <c r="K657" s="547"/>
      <c r="M657" s="547"/>
      <c r="N657" s="547"/>
      <c r="O657" s="547"/>
      <c r="P657" s="547"/>
      <c r="Q657" s="547"/>
      <c r="R657" s="547"/>
      <c r="S657" s="547"/>
      <c r="T657" s="547"/>
      <c r="U657" s="547"/>
      <c r="V657" s="547"/>
      <c r="W657" s="547"/>
      <c r="X657" s="547"/>
      <c r="Y657" s="547"/>
      <c r="Z657" s="547"/>
      <c r="AA657" s="547"/>
      <c r="AB657" s="884"/>
      <c r="AC657" s="547"/>
    </row>
    <row r="658" spans="1:29" ht="15.75" customHeight="1">
      <c r="A658" s="549"/>
      <c r="B658" s="550"/>
      <c r="C658" s="551"/>
      <c r="D658" s="551"/>
      <c r="E658" s="547"/>
      <c r="F658" s="547"/>
      <c r="G658" s="547"/>
      <c r="H658" s="547"/>
      <c r="I658" s="547"/>
      <c r="J658" s="547"/>
      <c r="K658" s="547"/>
      <c r="M658" s="547"/>
      <c r="N658" s="547"/>
      <c r="O658" s="547"/>
      <c r="P658" s="547"/>
      <c r="Q658" s="547"/>
      <c r="R658" s="547"/>
      <c r="S658" s="547"/>
      <c r="T658" s="547"/>
      <c r="U658" s="547"/>
      <c r="V658" s="547"/>
      <c r="W658" s="547"/>
      <c r="X658" s="547"/>
      <c r="Y658" s="547"/>
      <c r="Z658" s="547"/>
      <c r="AA658" s="547"/>
      <c r="AB658" s="884"/>
      <c r="AC658" s="547"/>
    </row>
    <row r="659" spans="1:29" ht="15.75" customHeight="1">
      <c r="A659" s="549"/>
      <c r="B659" s="550"/>
      <c r="C659" s="551"/>
      <c r="D659" s="551"/>
      <c r="E659" s="547"/>
      <c r="F659" s="547"/>
      <c r="G659" s="547"/>
      <c r="H659" s="547"/>
      <c r="I659" s="547"/>
      <c r="J659" s="547"/>
      <c r="K659" s="547"/>
      <c r="M659" s="547"/>
      <c r="N659" s="547"/>
      <c r="O659" s="547"/>
      <c r="P659" s="547"/>
      <c r="Q659" s="547"/>
      <c r="R659" s="547"/>
      <c r="S659" s="547"/>
      <c r="T659" s="547"/>
      <c r="U659" s="547"/>
      <c r="V659" s="547"/>
      <c r="W659" s="547"/>
      <c r="X659" s="547"/>
      <c r="Y659" s="547"/>
      <c r="Z659" s="547"/>
      <c r="AA659" s="547"/>
      <c r="AB659" s="884"/>
      <c r="AC659" s="547"/>
    </row>
    <row r="660" spans="1:29" ht="15.75" customHeight="1">
      <c r="A660" s="549"/>
      <c r="B660" s="550"/>
      <c r="C660" s="551"/>
      <c r="D660" s="551"/>
      <c r="E660" s="547"/>
      <c r="F660" s="547"/>
      <c r="G660" s="547"/>
      <c r="H660" s="547"/>
      <c r="I660" s="547"/>
      <c r="J660" s="547"/>
      <c r="K660" s="547"/>
      <c r="M660" s="547"/>
      <c r="N660" s="547"/>
      <c r="O660" s="547"/>
      <c r="P660" s="547"/>
      <c r="Q660" s="547"/>
      <c r="R660" s="547"/>
      <c r="S660" s="547"/>
      <c r="T660" s="547"/>
      <c r="U660" s="547"/>
      <c r="V660" s="547"/>
      <c r="W660" s="547"/>
      <c r="X660" s="547"/>
      <c r="Y660" s="547"/>
      <c r="Z660" s="547"/>
      <c r="AA660" s="547"/>
      <c r="AB660" s="884"/>
      <c r="AC660" s="547"/>
    </row>
    <row r="661" spans="1:29" ht="15.75" customHeight="1">
      <c r="A661" s="549"/>
      <c r="B661" s="550"/>
      <c r="C661" s="551"/>
      <c r="D661" s="551"/>
      <c r="E661" s="547"/>
      <c r="F661" s="547"/>
      <c r="G661" s="547"/>
      <c r="H661" s="547"/>
      <c r="I661" s="547"/>
      <c r="J661" s="547"/>
      <c r="K661" s="547"/>
      <c r="M661" s="547"/>
      <c r="N661" s="547"/>
      <c r="O661" s="547"/>
      <c r="P661" s="547"/>
      <c r="Q661" s="547"/>
      <c r="R661" s="547"/>
      <c r="S661" s="547"/>
      <c r="T661" s="547"/>
      <c r="U661" s="547"/>
      <c r="V661" s="547"/>
      <c r="W661" s="547"/>
      <c r="X661" s="547"/>
      <c r="Y661" s="547"/>
      <c r="Z661" s="547"/>
      <c r="AA661" s="547"/>
      <c r="AB661" s="884"/>
      <c r="AC661" s="547"/>
    </row>
    <row r="662" spans="1:29" ht="15.75" customHeight="1">
      <c r="A662" s="549"/>
      <c r="B662" s="550"/>
      <c r="C662" s="551"/>
      <c r="D662" s="551"/>
      <c r="E662" s="547"/>
      <c r="F662" s="547"/>
      <c r="G662" s="547"/>
      <c r="H662" s="547"/>
      <c r="I662" s="547"/>
      <c r="J662" s="547"/>
      <c r="K662" s="547"/>
      <c r="M662" s="547"/>
      <c r="N662" s="547"/>
      <c r="O662" s="547"/>
      <c r="P662" s="547"/>
      <c r="Q662" s="547"/>
      <c r="R662" s="547"/>
      <c r="S662" s="547"/>
      <c r="T662" s="547"/>
      <c r="U662" s="547"/>
      <c r="V662" s="547"/>
      <c r="W662" s="547"/>
      <c r="X662" s="547"/>
      <c r="Y662" s="547"/>
      <c r="Z662" s="547"/>
      <c r="AA662" s="547"/>
      <c r="AB662" s="884"/>
      <c r="AC662" s="547"/>
    </row>
    <row r="663" spans="1:29" ht="15.75" customHeight="1">
      <c r="A663" s="549"/>
      <c r="B663" s="550"/>
      <c r="C663" s="551"/>
      <c r="D663" s="551"/>
      <c r="E663" s="547"/>
      <c r="F663" s="547"/>
      <c r="G663" s="547"/>
      <c r="H663" s="547"/>
      <c r="I663" s="547"/>
      <c r="J663" s="547"/>
      <c r="K663" s="547"/>
      <c r="M663" s="547"/>
      <c r="N663" s="547"/>
      <c r="O663" s="547"/>
      <c r="P663" s="547"/>
      <c r="Q663" s="547"/>
      <c r="R663" s="547"/>
      <c r="S663" s="547"/>
      <c r="T663" s="547"/>
      <c r="U663" s="547"/>
      <c r="V663" s="547"/>
      <c r="W663" s="547"/>
      <c r="X663" s="547"/>
      <c r="Y663" s="547"/>
      <c r="Z663" s="547"/>
      <c r="AA663" s="547"/>
      <c r="AB663" s="884"/>
      <c r="AC663" s="547"/>
    </row>
    <row r="664" spans="1:29" ht="15.75" customHeight="1">
      <c r="A664" s="549"/>
      <c r="B664" s="550"/>
      <c r="C664" s="551"/>
      <c r="D664" s="551"/>
      <c r="E664" s="547"/>
      <c r="F664" s="547"/>
      <c r="G664" s="547"/>
      <c r="H664" s="547"/>
      <c r="I664" s="547"/>
      <c r="J664" s="547"/>
      <c r="K664" s="547"/>
      <c r="M664" s="547"/>
      <c r="N664" s="547"/>
      <c r="O664" s="547"/>
      <c r="P664" s="547"/>
      <c r="Q664" s="547"/>
      <c r="R664" s="547"/>
      <c r="S664" s="547"/>
      <c r="T664" s="547"/>
      <c r="U664" s="547"/>
      <c r="V664" s="547"/>
      <c r="W664" s="547"/>
      <c r="X664" s="547"/>
      <c r="Y664" s="547"/>
      <c r="Z664" s="547"/>
      <c r="AA664" s="547"/>
      <c r="AB664" s="884"/>
      <c r="AC664" s="547"/>
    </row>
    <row r="665" spans="1:29" ht="15.75" customHeight="1">
      <c r="A665" s="549"/>
      <c r="B665" s="550"/>
      <c r="C665" s="551"/>
      <c r="D665" s="551"/>
      <c r="E665" s="547"/>
      <c r="F665" s="547"/>
      <c r="G665" s="547"/>
      <c r="H665" s="547"/>
      <c r="I665" s="547"/>
      <c r="J665" s="547"/>
      <c r="K665" s="547"/>
      <c r="M665" s="547"/>
      <c r="N665" s="547"/>
      <c r="O665" s="547"/>
      <c r="P665" s="547"/>
      <c r="Q665" s="547"/>
      <c r="R665" s="547"/>
      <c r="S665" s="547"/>
      <c r="T665" s="547"/>
      <c r="U665" s="547"/>
      <c r="V665" s="547"/>
      <c r="W665" s="547"/>
      <c r="X665" s="547"/>
      <c r="Y665" s="547"/>
      <c r="Z665" s="547"/>
      <c r="AA665" s="547"/>
      <c r="AB665" s="884"/>
      <c r="AC665" s="547"/>
    </row>
    <row r="666" spans="1:29" ht="15.75" customHeight="1">
      <c r="A666" s="549"/>
      <c r="B666" s="550"/>
      <c r="C666" s="551"/>
      <c r="D666" s="551"/>
      <c r="E666" s="547"/>
      <c r="F666" s="547"/>
      <c r="G666" s="547"/>
      <c r="H666" s="547"/>
      <c r="I666" s="547"/>
      <c r="J666" s="547"/>
      <c r="K666" s="547"/>
      <c r="M666" s="547"/>
      <c r="N666" s="547"/>
      <c r="O666" s="547"/>
      <c r="P666" s="547"/>
      <c r="Q666" s="547"/>
      <c r="R666" s="547"/>
      <c r="S666" s="547"/>
      <c r="T666" s="547"/>
      <c r="U666" s="547"/>
      <c r="V666" s="547"/>
      <c r="W666" s="547"/>
      <c r="X666" s="547"/>
      <c r="Y666" s="547"/>
      <c r="Z666" s="547"/>
      <c r="AA666" s="547"/>
      <c r="AB666" s="884"/>
      <c r="AC666" s="547"/>
    </row>
    <row r="667" spans="1:29" ht="15.75" customHeight="1">
      <c r="A667" s="549"/>
      <c r="B667" s="550"/>
      <c r="C667" s="551"/>
      <c r="D667" s="551"/>
      <c r="E667" s="547"/>
      <c r="F667" s="547"/>
      <c r="G667" s="547"/>
      <c r="H667" s="547"/>
      <c r="I667" s="547"/>
      <c r="J667" s="547"/>
      <c r="K667" s="547"/>
      <c r="M667" s="547"/>
      <c r="N667" s="547"/>
      <c r="O667" s="547"/>
      <c r="P667" s="547"/>
      <c r="Q667" s="547"/>
      <c r="R667" s="547"/>
      <c r="S667" s="547"/>
      <c r="T667" s="547"/>
      <c r="U667" s="547"/>
      <c r="V667" s="547"/>
      <c r="W667" s="547"/>
      <c r="X667" s="547"/>
      <c r="Y667" s="547"/>
      <c r="Z667" s="547"/>
      <c r="AA667" s="547"/>
      <c r="AB667" s="884"/>
      <c r="AC667" s="547"/>
    </row>
    <row r="668" spans="1:29" ht="15.75" customHeight="1">
      <c r="A668" s="549"/>
      <c r="B668" s="550"/>
      <c r="C668" s="551"/>
      <c r="D668" s="551"/>
      <c r="E668" s="547"/>
      <c r="F668" s="547"/>
      <c r="G668" s="547"/>
      <c r="H668" s="547"/>
      <c r="I668" s="547"/>
      <c r="J668" s="547"/>
      <c r="K668" s="547"/>
      <c r="M668" s="547"/>
      <c r="N668" s="547"/>
      <c r="O668" s="547"/>
      <c r="P668" s="547"/>
      <c r="Q668" s="547"/>
      <c r="R668" s="547"/>
      <c r="S668" s="547"/>
      <c r="T668" s="547"/>
      <c r="U668" s="547"/>
      <c r="V668" s="547"/>
      <c r="W668" s="547"/>
      <c r="X668" s="547"/>
      <c r="Y668" s="547"/>
      <c r="Z668" s="547"/>
      <c r="AA668" s="547"/>
      <c r="AB668" s="884"/>
      <c r="AC668" s="547"/>
    </row>
    <row r="669" spans="1:29" ht="15.75" customHeight="1">
      <c r="A669" s="549"/>
      <c r="B669" s="550"/>
      <c r="C669" s="551"/>
      <c r="D669" s="551"/>
      <c r="E669" s="547"/>
      <c r="F669" s="547"/>
      <c r="G669" s="547"/>
      <c r="H669" s="547"/>
      <c r="I669" s="547"/>
      <c r="J669" s="547"/>
      <c r="K669" s="547"/>
      <c r="M669" s="547"/>
      <c r="N669" s="547"/>
      <c r="O669" s="547"/>
      <c r="P669" s="547"/>
      <c r="Q669" s="547"/>
      <c r="R669" s="547"/>
      <c r="S669" s="547"/>
      <c r="T669" s="547"/>
      <c r="U669" s="547"/>
      <c r="V669" s="547"/>
      <c r="W669" s="547"/>
      <c r="X669" s="547"/>
      <c r="Y669" s="547"/>
      <c r="Z669" s="547"/>
      <c r="AA669" s="547"/>
      <c r="AB669" s="884"/>
      <c r="AC669" s="547"/>
    </row>
    <row r="670" spans="1:29" ht="15.75" customHeight="1">
      <c r="A670" s="549"/>
      <c r="B670" s="550"/>
      <c r="C670" s="551"/>
      <c r="D670" s="551"/>
      <c r="E670" s="547"/>
      <c r="F670" s="547"/>
      <c r="G670" s="547"/>
      <c r="H670" s="547"/>
      <c r="I670" s="547"/>
      <c r="J670" s="547"/>
      <c r="K670" s="547"/>
      <c r="M670" s="547"/>
      <c r="N670" s="547"/>
      <c r="O670" s="547"/>
      <c r="P670" s="547"/>
      <c r="Q670" s="547"/>
      <c r="R670" s="547"/>
      <c r="S670" s="547"/>
      <c r="T670" s="547"/>
      <c r="U670" s="547"/>
      <c r="V670" s="547"/>
      <c r="W670" s="547"/>
      <c r="X670" s="547"/>
      <c r="Y670" s="547"/>
      <c r="Z670" s="547"/>
      <c r="AA670" s="547"/>
      <c r="AB670" s="884"/>
      <c r="AC670" s="547"/>
    </row>
    <row r="671" spans="1:29" ht="15.75" customHeight="1">
      <c r="A671" s="549"/>
      <c r="B671" s="550"/>
      <c r="C671" s="551"/>
      <c r="D671" s="551"/>
      <c r="E671" s="547"/>
      <c r="F671" s="547"/>
      <c r="G671" s="547"/>
      <c r="H671" s="547"/>
      <c r="I671" s="547"/>
      <c r="J671" s="547"/>
      <c r="K671" s="547"/>
      <c r="M671" s="547"/>
      <c r="N671" s="547"/>
      <c r="O671" s="547"/>
      <c r="P671" s="547"/>
      <c r="Q671" s="547"/>
      <c r="R671" s="547"/>
      <c r="S671" s="547"/>
      <c r="T671" s="547"/>
      <c r="U671" s="547"/>
      <c r="V671" s="547"/>
      <c r="W671" s="547"/>
      <c r="X671" s="547"/>
      <c r="Y671" s="547"/>
      <c r="Z671" s="547"/>
      <c r="AA671" s="547"/>
      <c r="AB671" s="884"/>
      <c r="AC671" s="547"/>
    </row>
    <row r="672" spans="1:29" ht="15.75" customHeight="1">
      <c r="A672" s="549"/>
      <c r="B672" s="550"/>
      <c r="C672" s="551"/>
      <c r="D672" s="551"/>
      <c r="E672" s="547"/>
      <c r="F672" s="547"/>
      <c r="G672" s="547"/>
      <c r="H672" s="547"/>
      <c r="I672" s="547"/>
      <c r="J672" s="547"/>
      <c r="K672" s="547"/>
      <c r="M672" s="547"/>
      <c r="N672" s="547"/>
      <c r="O672" s="547"/>
      <c r="P672" s="547"/>
      <c r="Q672" s="547"/>
      <c r="R672" s="547"/>
      <c r="S672" s="547"/>
      <c r="T672" s="547"/>
      <c r="U672" s="547"/>
      <c r="V672" s="547"/>
      <c r="W672" s="547"/>
      <c r="X672" s="547"/>
      <c r="Y672" s="547"/>
      <c r="Z672" s="547"/>
      <c r="AA672" s="547"/>
      <c r="AB672" s="884"/>
      <c r="AC672" s="547"/>
    </row>
    <row r="673" spans="1:29" ht="15.75" customHeight="1">
      <c r="A673" s="549"/>
      <c r="B673" s="550"/>
      <c r="C673" s="551"/>
      <c r="D673" s="551"/>
      <c r="E673" s="547"/>
      <c r="F673" s="547"/>
      <c r="G673" s="547"/>
      <c r="H673" s="547"/>
      <c r="I673" s="547"/>
      <c r="J673" s="547"/>
      <c r="K673" s="547"/>
      <c r="M673" s="547"/>
      <c r="N673" s="547"/>
      <c r="O673" s="547"/>
      <c r="P673" s="547"/>
      <c r="Q673" s="547"/>
      <c r="R673" s="547"/>
      <c r="S673" s="547"/>
      <c r="T673" s="547"/>
      <c r="U673" s="547"/>
      <c r="V673" s="547"/>
      <c r="W673" s="547"/>
      <c r="X673" s="547"/>
      <c r="Y673" s="547"/>
      <c r="Z673" s="547"/>
      <c r="AA673" s="547"/>
      <c r="AB673" s="884"/>
      <c r="AC673" s="547"/>
    </row>
    <row r="674" spans="1:29" ht="15.75" customHeight="1">
      <c r="A674" s="549"/>
      <c r="B674" s="550"/>
      <c r="C674" s="551"/>
      <c r="D674" s="551"/>
      <c r="E674" s="547"/>
      <c r="F674" s="547"/>
      <c r="G674" s="547"/>
      <c r="H674" s="547"/>
      <c r="I674" s="547"/>
      <c r="J674" s="547"/>
      <c r="K674" s="547"/>
      <c r="M674" s="547"/>
      <c r="N674" s="547"/>
      <c r="O674" s="547"/>
      <c r="P674" s="547"/>
      <c r="Q674" s="547"/>
      <c r="R674" s="547"/>
      <c r="S674" s="547"/>
      <c r="T674" s="547"/>
      <c r="U674" s="547"/>
      <c r="V674" s="547"/>
      <c r="W674" s="547"/>
      <c r="X674" s="547"/>
      <c r="Y674" s="547"/>
      <c r="Z674" s="547"/>
      <c r="AA674" s="547"/>
      <c r="AB674" s="884"/>
      <c r="AC674" s="547"/>
    </row>
    <row r="675" spans="1:29" ht="15.75" customHeight="1">
      <c r="A675" s="549"/>
      <c r="B675" s="550"/>
      <c r="C675" s="551"/>
      <c r="D675" s="551"/>
      <c r="E675" s="547"/>
      <c r="F675" s="547"/>
      <c r="G675" s="547"/>
      <c r="H675" s="547"/>
      <c r="I675" s="547"/>
      <c r="J675" s="547"/>
      <c r="K675" s="547"/>
      <c r="M675" s="547"/>
      <c r="N675" s="547"/>
      <c r="O675" s="547"/>
      <c r="P675" s="547"/>
      <c r="Q675" s="547"/>
      <c r="R675" s="547"/>
      <c r="S675" s="547"/>
      <c r="T675" s="547"/>
      <c r="U675" s="547"/>
      <c r="V675" s="547"/>
      <c r="W675" s="547"/>
      <c r="X675" s="547"/>
      <c r="Y675" s="547"/>
      <c r="Z675" s="547"/>
      <c r="AA675" s="547"/>
      <c r="AB675" s="884"/>
      <c r="AC675" s="547"/>
    </row>
    <row r="676" spans="1:29" ht="15.75" customHeight="1">
      <c r="A676" s="549"/>
      <c r="B676" s="550"/>
      <c r="C676" s="551"/>
      <c r="D676" s="551"/>
      <c r="E676" s="547"/>
      <c r="F676" s="547"/>
      <c r="G676" s="547"/>
      <c r="H676" s="547"/>
      <c r="I676" s="547"/>
      <c r="J676" s="547"/>
      <c r="K676" s="547"/>
      <c r="M676" s="547"/>
      <c r="N676" s="547"/>
      <c r="O676" s="547"/>
      <c r="P676" s="547"/>
      <c r="Q676" s="547"/>
      <c r="R676" s="547"/>
      <c r="S676" s="547"/>
      <c r="T676" s="547"/>
      <c r="U676" s="547"/>
      <c r="V676" s="547"/>
      <c r="W676" s="547"/>
      <c r="X676" s="547"/>
      <c r="Y676" s="547"/>
      <c r="Z676" s="547"/>
      <c r="AA676" s="547"/>
      <c r="AB676" s="884"/>
      <c r="AC676" s="547"/>
    </row>
    <row r="677" spans="1:29" ht="15.75" customHeight="1">
      <c r="A677" s="549"/>
      <c r="B677" s="550"/>
      <c r="C677" s="551"/>
      <c r="D677" s="551"/>
      <c r="E677" s="547"/>
      <c r="F677" s="547"/>
      <c r="G677" s="547"/>
      <c r="H677" s="547"/>
      <c r="I677" s="547"/>
      <c r="J677" s="547"/>
      <c r="K677" s="547"/>
      <c r="M677" s="547"/>
      <c r="N677" s="547"/>
      <c r="O677" s="547"/>
      <c r="P677" s="547"/>
      <c r="Q677" s="547"/>
      <c r="R677" s="547"/>
      <c r="S677" s="547"/>
      <c r="T677" s="547"/>
      <c r="U677" s="547"/>
      <c r="V677" s="547"/>
      <c r="W677" s="547"/>
      <c r="X677" s="547"/>
      <c r="Y677" s="547"/>
      <c r="Z677" s="547"/>
      <c r="AA677" s="547"/>
      <c r="AB677" s="884"/>
      <c r="AC677" s="547"/>
    </row>
    <row r="678" spans="1:29" ht="15.75" customHeight="1">
      <c r="A678" s="549"/>
      <c r="B678" s="550"/>
      <c r="C678" s="551"/>
      <c r="D678" s="551"/>
      <c r="E678" s="547"/>
      <c r="F678" s="547"/>
      <c r="G678" s="547"/>
      <c r="H678" s="547"/>
      <c r="I678" s="547"/>
      <c r="J678" s="547"/>
      <c r="K678" s="547"/>
      <c r="M678" s="547"/>
      <c r="N678" s="547"/>
      <c r="O678" s="547"/>
      <c r="P678" s="547"/>
      <c r="Q678" s="547"/>
      <c r="R678" s="547"/>
      <c r="S678" s="547"/>
      <c r="T678" s="547"/>
      <c r="U678" s="547"/>
      <c r="V678" s="547"/>
      <c r="W678" s="547"/>
      <c r="X678" s="547"/>
      <c r="Y678" s="547"/>
      <c r="Z678" s="547"/>
      <c r="AA678" s="547"/>
      <c r="AB678" s="884"/>
      <c r="AC678" s="547"/>
    </row>
    <row r="679" spans="1:29" ht="15.75" customHeight="1">
      <c r="A679" s="549"/>
      <c r="B679" s="550"/>
      <c r="C679" s="551"/>
      <c r="D679" s="551"/>
      <c r="E679" s="547"/>
      <c r="F679" s="547"/>
      <c r="G679" s="547"/>
      <c r="H679" s="547"/>
      <c r="I679" s="547"/>
      <c r="J679" s="547"/>
      <c r="K679" s="547"/>
      <c r="M679" s="547"/>
      <c r="N679" s="547"/>
      <c r="O679" s="547"/>
      <c r="P679" s="547"/>
      <c r="Q679" s="547"/>
      <c r="R679" s="547"/>
      <c r="S679" s="547"/>
      <c r="T679" s="547"/>
      <c r="U679" s="547"/>
      <c r="V679" s="547"/>
      <c r="W679" s="547"/>
      <c r="X679" s="547"/>
      <c r="Y679" s="547"/>
      <c r="Z679" s="547"/>
      <c r="AA679" s="547"/>
      <c r="AB679" s="884"/>
      <c r="AC679" s="547"/>
    </row>
    <row r="680" spans="1:29" ht="15.75" customHeight="1">
      <c r="A680" s="549"/>
      <c r="B680" s="550"/>
      <c r="C680" s="551"/>
      <c r="D680" s="551"/>
      <c r="E680" s="547"/>
      <c r="F680" s="547"/>
      <c r="G680" s="547"/>
      <c r="H680" s="547"/>
      <c r="I680" s="547"/>
      <c r="J680" s="547"/>
      <c r="K680" s="547"/>
      <c r="M680" s="547"/>
      <c r="N680" s="547"/>
      <c r="O680" s="547"/>
      <c r="P680" s="547"/>
      <c r="Q680" s="547"/>
      <c r="R680" s="547"/>
      <c r="S680" s="547"/>
      <c r="T680" s="547"/>
      <c r="U680" s="547"/>
      <c r="V680" s="547"/>
      <c r="W680" s="547"/>
      <c r="X680" s="547"/>
      <c r="Y680" s="547"/>
      <c r="Z680" s="547"/>
      <c r="AA680" s="547"/>
      <c r="AB680" s="884"/>
      <c r="AC680" s="547"/>
    </row>
    <row r="681" spans="1:29" ht="15.75" customHeight="1">
      <c r="A681" s="549"/>
      <c r="B681" s="550"/>
      <c r="C681" s="551"/>
      <c r="D681" s="551"/>
      <c r="E681" s="547"/>
      <c r="F681" s="547"/>
      <c r="G681" s="547"/>
      <c r="H681" s="547"/>
      <c r="I681" s="547"/>
      <c r="J681" s="547"/>
      <c r="K681" s="547"/>
      <c r="M681" s="547"/>
      <c r="N681" s="547"/>
      <c r="O681" s="547"/>
      <c r="P681" s="547"/>
      <c r="Q681" s="547"/>
      <c r="R681" s="547"/>
      <c r="S681" s="547"/>
      <c r="T681" s="547"/>
      <c r="U681" s="547"/>
      <c r="V681" s="547"/>
      <c r="W681" s="547"/>
      <c r="X681" s="547"/>
      <c r="Y681" s="547"/>
      <c r="Z681" s="547"/>
      <c r="AA681" s="547"/>
      <c r="AB681" s="884"/>
      <c r="AC681" s="547"/>
    </row>
    <row r="682" spans="1:29" ht="15.75" customHeight="1">
      <c r="A682" s="549"/>
      <c r="B682" s="550"/>
      <c r="C682" s="551"/>
      <c r="D682" s="551"/>
      <c r="E682" s="547"/>
      <c r="F682" s="547"/>
      <c r="G682" s="547"/>
      <c r="H682" s="547"/>
      <c r="I682" s="547"/>
      <c r="J682" s="547"/>
      <c r="K682" s="547"/>
      <c r="M682" s="547"/>
      <c r="N682" s="547"/>
      <c r="O682" s="547"/>
      <c r="P682" s="547"/>
      <c r="Q682" s="547"/>
      <c r="R682" s="547"/>
      <c r="S682" s="547"/>
      <c r="T682" s="547"/>
      <c r="U682" s="547"/>
      <c r="V682" s="547"/>
      <c r="W682" s="547"/>
      <c r="X682" s="547"/>
      <c r="Y682" s="547"/>
      <c r="Z682" s="547"/>
      <c r="AA682" s="547"/>
      <c r="AB682" s="884"/>
      <c r="AC682" s="547"/>
    </row>
    <row r="683" spans="1:29" ht="15.75" customHeight="1">
      <c r="A683" s="549"/>
      <c r="B683" s="550"/>
      <c r="C683" s="551"/>
      <c r="D683" s="551"/>
      <c r="E683" s="547"/>
      <c r="F683" s="547"/>
      <c r="G683" s="547"/>
      <c r="H683" s="547"/>
      <c r="I683" s="547"/>
      <c r="J683" s="547"/>
      <c r="K683" s="547"/>
      <c r="M683" s="547"/>
      <c r="N683" s="547"/>
      <c r="O683" s="547"/>
      <c r="P683" s="547"/>
      <c r="Q683" s="547"/>
      <c r="R683" s="547"/>
      <c r="S683" s="547"/>
      <c r="T683" s="547"/>
      <c r="U683" s="547"/>
      <c r="V683" s="547"/>
      <c r="W683" s="547"/>
      <c r="X683" s="547"/>
      <c r="Y683" s="547"/>
      <c r="Z683" s="547"/>
      <c r="AA683" s="547"/>
      <c r="AB683" s="884"/>
      <c r="AC683" s="547"/>
    </row>
    <row r="684" spans="1:29" ht="15.75" customHeight="1">
      <c r="A684" s="549"/>
      <c r="B684" s="550"/>
      <c r="C684" s="551"/>
      <c r="D684" s="551"/>
      <c r="E684" s="547"/>
      <c r="F684" s="547"/>
      <c r="G684" s="547"/>
      <c r="H684" s="547"/>
      <c r="I684" s="547"/>
      <c r="J684" s="547"/>
      <c r="K684" s="547"/>
      <c r="M684" s="547"/>
      <c r="N684" s="547"/>
      <c r="O684" s="547"/>
      <c r="P684" s="547"/>
      <c r="Q684" s="547"/>
      <c r="R684" s="547"/>
      <c r="S684" s="547"/>
      <c r="T684" s="547"/>
      <c r="U684" s="547"/>
      <c r="V684" s="547"/>
      <c r="W684" s="547"/>
      <c r="X684" s="547"/>
      <c r="Y684" s="547"/>
      <c r="Z684" s="547"/>
      <c r="AA684" s="547"/>
      <c r="AB684" s="884"/>
      <c r="AC684" s="547"/>
    </row>
    <row r="685" spans="1:29" ht="15.75" customHeight="1">
      <c r="A685" s="549"/>
      <c r="B685" s="550"/>
      <c r="C685" s="551"/>
      <c r="D685" s="551"/>
      <c r="E685" s="547"/>
      <c r="F685" s="547"/>
      <c r="G685" s="547"/>
      <c r="H685" s="547"/>
      <c r="I685" s="547"/>
      <c r="J685" s="547"/>
      <c r="K685" s="547"/>
      <c r="M685" s="547"/>
      <c r="N685" s="547"/>
      <c r="O685" s="547"/>
      <c r="P685" s="547"/>
      <c r="Q685" s="547"/>
      <c r="R685" s="547"/>
      <c r="S685" s="547"/>
      <c r="T685" s="547"/>
      <c r="U685" s="547"/>
      <c r="V685" s="547"/>
      <c r="W685" s="547"/>
      <c r="X685" s="547"/>
      <c r="Y685" s="547"/>
      <c r="Z685" s="547"/>
      <c r="AA685" s="547"/>
      <c r="AB685" s="884"/>
      <c r="AC685" s="547"/>
    </row>
    <row r="686" spans="1:29" ht="15.75" customHeight="1">
      <c r="A686" s="549"/>
      <c r="B686" s="550"/>
      <c r="C686" s="551"/>
      <c r="D686" s="551"/>
      <c r="E686" s="547"/>
      <c r="F686" s="547"/>
      <c r="G686" s="547"/>
      <c r="H686" s="547"/>
      <c r="I686" s="547"/>
      <c r="J686" s="547"/>
      <c r="K686" s="547"/>
      <c r="M686" s="547"/>
      <c r="N686" s="547"/>
      <c r="O686" s="547"/>
      <c r="P686" s="547"/>
      <c r="Q686" s="547"/>
      <c r="R686" s="547"/>
      <c r="S686" s="547"/>
      <c r="T686" s="547"/>
      <c r="U686" s="547"/>
      <c r="V686" s="547"/>
      <c r="W686" s="547"/>
      <c r="X686" s="547"/>
      <c r="Y686" s="547"/>
      <c r="Z686" s="547"/>
      <c r="AA686" s="547"/>
      <c r="AB686" s="884"/>
      <c r="AC686" s="547"/>
    </row>
    <row r="687" spans="1:29" ht="15.75" customHeight="1">
      <c r="A687" s="549"/>
      <c r="B687" s="550"/>
      <c r="C687" s="551"/>
      <c r="D687" s="551"/>
      <c r="E687" s="547"/>
      <c r="F687" s="547"/>
      <c r="G687" s="547"/>
      <c r="H687" s="547"/>
      <c r="I687" s="547"/>
      <c r="J687" s="547"/>
      <c r="K687" s="547"/>
      <c r="M687" s="547"/>
      <c r="N687" s="547"/>
      <c r="O687" s="547"/>
      <c r="P687" s="547"/>
      <c r="Q687" s="547"/>
      <c r="R687" s="547"/>
      <c r="S687" s="547"/>
      <c r="T687" s="547"/>
      <c r="U687" s="547"/>
      <c r="V687" s="547"/>
      <c r="W687" s="547"/>
      <c r="X687" s="547"/>
      <c r="Y687" s="547"/>
      <c r="Z687" s="547"/>
      <c r="AA687" s="547"/>
      <c r="AB687" s="884"/>
      <c r="AC687" s="547"/>
    </row>
    <row r="688" spans="1:29" ht="15.75" customHeight="1">
      <c r="A688" s="549"/>
      <c r="B688" s="550"/>
      <c r="C688" s="551"/>
      <c r="D688" s="551"/>
      <c r="E688" s="547"/>
      <c r="F688" s="547"/>
      <c r="G688" s="547"/>
      <c r="H688" s="547"/>
      <c r="I688" s="547"/>
      <c r="J688" s="547"/>
      <c r="K688" s="547"/>
      <c r="M688" s="547"/>
      <c r="N688" s="547"/>
      <c r="O688" s="547"/>
      <c r="P688" s="547"/>
      <c r="Q688" s="547"/>
      <c r="R688" s="547"/>
      <c r="S688" s="547"/>
      <c r="T688" s="547"/>
      <c r="U688" s="547"/>
      <c r="V688" s="547"/>
      <c r="W688" s="547"/>
      <c r="X688" s="547"/>
      <c r="Y688" s="547"/>
      <c r="Z688" s="547"/>
      <c r="AA688" s="547"/>
      <c r="AB688" s="884"/>
      <c r="AC688" s="547"/>
    </row>
    <row r="689" spans="1:29" ht="15.75" customHeight="1">
      <c r="A689" s="549"/>
      <c r="B689" s="550"/>
      <c r="C689" s="551"/>
      <c r="D689" s="551"/>
      <c r="E689" s="547"/>
      <c r="F689" s="547"/>
      <c r="G689" s="547"/>
      <c r="H689" s="547"/>
      <c r="I689" s="547"/>
      <c r="J689" s="547"/>
      <c r="K689" s="547"/>
      <c r="M689" s="547"/>
      <c r="N689" s="547"/>
      <c r="O689" s="547"/>
      <c r="P689" s="547"/>
      <c r="Q689" s="547"/>
      <c r="R689" s="547"/>
      <c r="S689" s="547"/>
      <c r="T689" s="547"/>
      <c r="U689" s="547"/>
      <c r="V689" s="547"/>
      <c r="W689" s="547"/>
      <c r="X689" s="547"/>
      <c r="Y689" s="547"/>
      <c r="Z689" s="547"/>
      <c r="AA689" s="547"/>
      <c r="AB689" s="884"/>
      <c r="AC689" s="547"/>
    </row>
    <row r="690" spans="1:29" ht="15.75" customHeight="1">
      <c r="A690" s="549"/>
      <c r="B690" s="550"/>
      <c r="C690" s="551"/>
      <c r="D690" s="551"/>
      <c r="E690" s="547"/>
      <c r="F690" s="547"/>
      <c r="G690" s="547"/>
      <c r="H690" s="547"/>
      <c r="I690" s="547"/>
      <c r="J690" s="547"/>
      <c r="K690" s="547"/>
      <c r="M690" s="547"/>
      <c r="N690" s="547"/>
      <c r="O690" s="547"/>
      <c r="P690" s="547"/>
      <c r="Q690" s="547"/>
      <c r="R690" s="547"/>
      <c r="S690" s="547"/>
      <c r="T690" s="547"/>
      <c r="U690" s="547"/>
      <c r="V690" s="547"/>
      <c r="W690" s="547"/>
      <c r="X690" s="547"/>
      <c r="Y690" s="547"/>
      <c r="Z690" s="547"/>
      <c r="AA690" s="547"/>
      <c r="AB690" s="884"/>
      <c r="AC690" s="547"/>
    </row>
    <row r="691" spans="1:29" ht="15.75" customHeight="1">
      <c r="A691" s="549"/>
      <c r="B691" s="550"/>
      <c r="C691" s="551"/>
      <c r="D691" s="551"/>
      <c r="E691" s="547"/>
      <c r="F691" s="547"/>
      <c r="G691" s="547"/>
      <c r="H691" s="547"/>
      <c r="I691" s="547"/>
      <c r="J691" s="547"/>
      <c r="K691" s="547"/>
      <c r="M691" s="547"/>
      <c r="N691" s="547"/>
      <c r="O691" s="547"/>
      <c r="P691" s="547"/>
      <c r="Q691" s="547"/>
      <c r="R691" s="547"/>
      <c r="S691" s="547"/>
      <c r="T691" s="547"/>
      <c r="U691" s="547"/>
      <c r="V691" s="547"/>
      <c r="W691" s="547"/>
      <c r="X691" s="547"/>
      <c r="Y691" s="547"/>
      <c r="Z691" s="547"/>
      <c r="AA691" s="547"/>
      <c r="AB691" s="884"/>
      <c r="AC691" s="547"/>
    </row>
    <row r="692" spans="1:29" ht="15.75" customHeight="1">
      <c r="A692" s="549"/>
      <c r="B692" s="550"/>
      <c r="C692" s="551"/>
      <c r="D692" s="551"/>
      <c r="E692" s="547"/>
      <c r="F692" s="547"/>
      <c r="G692" s="547"/>
      <c r="H692" s="547"/>
      <c r="I692" s="547"/>
      <c r="J692" s="547"/>
      <c r="K692" s="547"/>
      <c r="M692" s="547"/>
      <c r="N692" s="547"/>
      <c r="O692" s="547"/>
      <c r="P692" s="547"/>
      <c r="Q692" s="547"/>
      <c r="R692" s="547"/>
      <c r="S692" s="547"/>
      <c r="T692" s="547"/>
      <c r="U692" s="547"/>
      <c r="V692" s="547"/>
      <c r="W692" s="547"/>
      <c r="X692" s="547"/>
      <c r="Y692" s="547"/>
      <c r="Z692" s="547"/>
      <c r="AA692" s="547"/>
      <c r="AB692" s="884"/>
      <c r="AC692" s="547"/>
    </row>
    <row r="693" spans="1:29" ht="15.75" customHeight="1">
      <c r="A693" s="549"/>
      <c r="B693" s="550"/>
      <c r="C693" s="551"/>
      <c r="D693" s="551"/>
      <c r="E693" s="547"/>
      <c r="F693" s="547"/>
      <c r="G693" s="547"/>
      <c r="H693" s="547"/>
      <c r="I693" s="547"/>
      <c r="J693" s="547"/>
      <c r="K693" s="547"/>
      <c r="M693" s="547"/>
      <c r="N693" s="547"/>
      <c r="O693" s="547"/>
      <c r="P693" s="547"/>
      <c r="Q693" s="547"/>
      <c r="R693" s="547"/>
      <c r="S693" s="547"/>
      <c r="T693" s="547"/>
      <c r="U693" s="547"/>
      <c r="V693" s="547"/>
      <c r="W693" s="547"/>
      <c r="X693" s="547"/>
      <c r="Y693" s="547"/>
      <c r="Z693" s="547"/>
      <c r="AA693" s="547"/>
      <c r="AB693" s="884"/>
      <c r="AC693" s="547"/>
    </row>
    <row r="694" spans="1:29" ht="15.75" customHeight="1">
      <c r="A694" s="549"/>
      <c r="B694" s="550"/>
      <c r="C694" s="551"/>
      <c r="D694" s="551"/>
      <c r="E694" s="547"/>
      <c r="F694" s="547"/>
      <c r="G694" s="547"/>
      <c r="H694" s="547"/>
      <c r="I694" s="547"/>
      <c r="J694" s="547"/>
      <c r="K694" s="547"/>
      <c r="M694" s="547"/>
      <c r="N694" s="547"/>
      <c r="O694" s="547"/>
      <c r="P694" s="547"/>
      <c r="Q694" s="547"/>
      <c r="R694" s="547"/>
      <c r="S694" s="547"/>
      <c r="T694" s="547"/>
      <c r="U694" s="547"/>
      <c r="V694" s="547"/>
      <c r="W694" s="547"/>
      <c r="X694" s="547"/>
      <c r="Y694" s="547"/>
      <c r="Z694" s="547"/>
      <c r="AA694" s="547"/>
      <c r="AB694" s="884"/>
      <c r="AC694" s="547"/>
    </row>
    <row r="695" spans="1:29" ht="15.75" customHeight="1">
      <c r="A695" s="549"/>
      <c r="B695" s="550"/>
      <c r="C695" s="551"/>
      <c r="D695" s="551"/>
      <c r="E695" s="547"/>
      <c r="F695" s="547"/>
      <c r="G695" s="547"/>
      <c r="H695" s="547"/>
      <c r="I695" s="547"/>
      <c r="J695" s="547"/>
      <c r="K695" s="547"/>
      <c r="M695" s="547"/>
      <c r="N695" s="547"/>
      <c r="O695" s="547"/>
      <c r="P695" s="547"/>
      <c r="Q695" s="547"/>
      <c r="R695" s="547"/>
      <c r="S695" s="547"/>
      <c r="T695" s="547"/>
      <c r="U695" s="547"/>
      <c r="V695" s="547"/>
      <c r="W695" s="547"/>
      <c r="X695" s="547"/>
      <c r="Y695" s="547"/>
      <c r="Z695" s="547"/>
      <c r="AA695" s="547"/>
      <c r="AB695" s="884"/>
      <c r="AC695" s="547"/>
    </row>
    <row r="696" spans="1:29" ht="15.75" customHeight="1">
      <c r="A696" s="549"/>
      <c r="B696" s="550"/>
      <c r="C696" s="551"/>
      <c r="D696" s="551"/>
      <c r="E696" s="547"/>
      <c r="F696" s="547"/>
      <c r="G696" s="547"/>
      <c r="H696" s="547"/>
      <c r="I696" s="547"/>
      <c r="J696" s="547"/>
      <c r="K696" s="547"/>
      <c r="M696" s="547"/>
      <c r="N696" s="547"/>
      <c r="O696" s="547"/>
      <c r="P696" s="547"/>
      <c r="Q696" s="547"/>
      <c r="R696" s="547"/>
      <c r="S696" s="547"/>
      <c r="T696" s="547"/>
      <c r="U696" s="547"/>
      <c r="V696" s="547"/>
      <c r="W696" s="547"/>
      <c r="X696" s="547"/>
      <c r="Y696" s="547"/>
      <c r="Z696" s="547"/>
      <c r="AA696" s="547"/>
      <c r="AB696" s="884"/>
      <c r="AC696" s="547"/>
    </row>
    <row r="697" spans="1:29" ht="15.75" customHeight="1">
      <c r="A697" s="549"/>
      <c r="B697" s="550"/>
      <c r="C697" s="551"/>
      <c r="D697" s="551"/>
      <c r="E697" s="547"/>
      <c r="F697" s="547"/>
      <c r="G697" s="547"/>
      <c r="H697" s="547"/>
      <c r="I697" s="547"/>
      <c r="J697" s="547"/>
      <c r="K697" s="547"/>
      <c r="M697" s="547"/>
      <c r="N697" s="547"/>
      <c r="O697" s="547"/>
      <c r="P697" s="547"/>
      <c r="Q697" s="547"/>
      <c r="R697" s="547"/>
      <c r="S697" s="547"/>
      <c r="T697" s="547"/>
      <c r="U697" s="547"/>
      <c r="V697" s="547"/>
      <c r="W697" s="547"/>
      <c r="X697" s="547"/>
      <c r="Y697" s="547"/>
      <c r="Z697" s="547"/>
      <c r="AA697" s="547"/>
      <c r="AB697" s="884"/>
      <c r="AC697" s="547"/>
    </row>
    <row r="698" spans="1:29" ht="15.75" customHeight="1">
      <c r="A698" s="549"/>
      <c r="B698" s="550"/>
      <c r="C698" s="551"/>
      <c r="D698" s="551"/>
      <c r="E698" s="547"/>
      <c r="F698" s="547"/>
      <c r="G698" s="547"/>
      <c r="H698" s="547"/>
      <c r="I698" s="547"/>
      <c r="J698" s="547"/>
      <c r="K698" s="547"/>
      <c r="M698" s="547"/>
      <c r="N698" s="547"/>
      <c r="O698" s="547"/>
      <c r="P698" s="547"/>
      <c r="Q698" s="547"/>
      <c r="R698" s="547"/>
      <c r="S698" s="547"/>
      <c r="T698" s="547"/>
      <c r="U698" s="547"/>
      <c r="V698" s="547"/>
      <c r="W698" s="547"/>
      <c r="X698" s="547"/>
      <c r="Y698" s="547"/>
      <c r="Z698" s="547"/>
      <c r="AA698" s="547"/>
      <c r="AB698" s="884"/>
      <c r="AC698" s="547"/>
    </row>
    <row r="699" spans="1:29" ht="15.75" customHeight="1">
      <c r="A699" s="549"/>
      <c r="B699" s="550"/>
      <c r="C699" s="551"/>
      <c r="D699" s="551"/>
      <c r="E699" s="547"/>
      <c r="F699" s="547"/>
      <c r="G699" s="547"/>
      <c r="H699" s="547"/>
      <c r="I699" s="547"/>
      <c r="J699" s="547"/>
      <c r="K699" s="547"/>
      <c r="M699" s="547"/>
      <c r="N699" s="547"/>
      <c r="O699" s="547"/>
      <c r="P699" s="547"/>
      <c r="Q699" s="547"/>
      <c r="R699" s="547"/>
      <c r="S699" s="547"/>
      <c r="T699" s="547"/>
      <c r="U699" s="547"/>
      <c r="V699" s="547"/>
      <c r="W699" s="547"/>
      <c r="X699" s="547"/>
      <c r="Y699" s="547"/>
      <c r="Z699" s="547"/>
      <c r="AA699" s="547"/>
      <c r="AB699" s="884"/>
      <c r="AC699" s="547"/>
    </row>
    <row r="700" spans="1:29" ht="15.75" customHeight="1">
      <c r="A700" s="549"/>
      <c r="B700" s="550"/>
      <c r="C700" s="551"/>
      <c r="D700" s="551"/>
      <c r="E700" s="547"/>
      <c r="F700" s="547"/>
      <c r="G700" s="547"/>
      <c r="H700" s="547"/>
      <c r="I700" s="547"/>
      <c r="J700" s="547"/>
      <c r="K700" s="547"/>
      <c r="M700" s="547"/>
      <c r="N700" s="547"/>
      <c r="O700" s="547"/>
      <c r="P700" s="547"/>
      <c r="Q700" s="547"/>
      <c r="R700" s="547"/>
      <c r="S700" s="547"/>
      <c r="T700" s="547"/>
      <c r="U700" s="547"/>
      <c r="V700" s="547"/>
      <c r="W700" s="547"/>
      <c r="X700" s="547"/>
      <c r="Y700" s="547"/>
      <c r="Z700" s="547"/>
      <c r="AA700" s="547"/>
      <c r="AB700" s="884"/>
      <c r="AC700" s="547"/>
    </row>
    <row r="701" spans="1:29" ht="15.75" customHeight="1">
      <c r="A701" s="549"/>
      <c r="B701" s="550"/>
      <c r="C701" s="551"/>
      <c r="D701" s="551"/>
      <c r="E701" s="547"/>
      <c r="F701" s="547"/>
      <c r="G701" s="547"/>
      <c r="H701" s="547"/>
      <c r="I701" s="547"/>
      <c r="J701" s="547"/>
      <c r="K701" s="547"/>
      <c r="M701" s="547"/>
      <c r="N701" s="547"/>
      <c r="O701" s="547"/>
      <c r="P701" s="547"/>
      <c r="Q701" s="547"/>
      <c r="R701" s="547"/>
      <c r="S701" s="547"/>
      <c r="T701" s="547"/>
      <c r="U701" s="547"/>
      <c r="V701" s="547"/>
      <c r="W701" s="547"/>
      <c r="X701" s="547"/>
      <c r="Y701" s="547"/>
      <c r="Z701" s="547"/>
      <c r="AA701" s="547"/>
      <c r="AB701" s="884"/>
      <c r="AC701" s="547"/>
    </row>
    <row r="702" spans="1:29" ht="15.75" customHeight="1">
      <c r="A702" s="549"/>
      <c r="B702" s="550"/>
      <c r="C702" s="551"/>
      <c r="D702" s="551"/>
      <c r="E702" s="547"/>
      <c r="F702" s="547"/>
      <c r="G702" s="547"/>
      <c r="H702" s="547"/>
      <c r="I702" s="547"/>
      <c r="J702" s="547"/>
      <c r="K702" s="547"/>
      <c r="M702" s="547"/>
      <c r="N702" s="547"/>
      <c r="O702" s="547"/>
      <c r="P702" s="547"/>
      <c r="Q702" s="547"/>
      <c r="R702" s="547"/>
      <c r="S702" s="547"/>
      <c r="T702" s="547"/>
      <c r="U702" s="547"/>
      <c r="V702" s="547"/>
      <c r="W702" s="547"/>
      <c r="X702" s="547"/>
      <c r="Y702" s="547"/>
      <c r="Z702" s="547"/>
      <c r="AA702" s="547"/>
      <c r="AB702" s="884"/>
      <c r="AC702" s="547"/>
    </row>
    <row r="703" spans="1:29" ht="15.75" customHeight="1">
      <c r="A703" s="549"/>
      <c r="B703" s="550"/>
      <c r="C703" s="551"/>
      <c r="D703" s="551"/>
      <c r="E703" s="547"/>
      <c r="F703" s="547"/>
      <c r="G703" s="547"/>
      <c r="H703" s="547"/>
      <c r="I703" s="547"/>
      <c r="J703" s="547"/>
      <c r="K703" s="547"/>
      <c r="M703" s="547"/>
      <c r="N703" s="547"/>
      <c r="O703" s="547"/>
      <c r="P703" s="547"/>
      <c r="Q703" s="547"/>
      <c r="R703" s="547"/>
      <c r="S703" s="547"/>
      <c r="T703" s="547"/>
      <c r="U703" s="547"/>
      <c r="V703" s="547"/>
      <c r="W703" s="547"/>
      <c r="X703" s="547"/>
      <c r="Y703" s="547"/>
      <c r="Z703" s="547"/>
      <c r="AA703" s="547"/>
      <c r="AB703" s="884"/>
      <c r="AC703" s="547"/>
    </row>
    <row r="704" spans="1:29" ht="15.75" customHeight="1">
      <c r="A704" s="549"/>
      <c r="B704" s="550"/>
      <c r="C704" s="551"/>
      <c r="D704" s="551"/>
      <c r="E704" s="547"/>
      <c r="F704" s="547"/>
      <c r="G704" s="547"/>
      <c r="H704" s="547"/>
      <c r="I704" s="547"/>
      <c r="J704" s="547"/>
      <c r="K704" s="547"/>
      <c r="M704" s="547"/>
      <c r="N704" s="547"/>
      <c r="O704" s="547"/>
      <c r="P704" s="547"/>
      <c r="Q704" s="547"/>
      <c r="R704" s="547"/>
      <c r="S704" s="547"/>
      <c r="T704" s="547"/>
      <c r="U704" s="547"/>
      <c r="V704" s="547"/>
      <c r="W704" s="547"/>
      <c r="X704" s="547"/>
      <c r="Y704" s="547"/>
      <c r="Z704" s="547"/>
      <c r="AA704" s="547"/>
      <c r="AB704" s="884"/>
      <c r="AC704" s="547"/>
    </row>
    <row r="705" spans="1:29" ht="15.75" customHeight="1">
      <c r="A705" s="549"/>
      <c r="B705" s="550"/>
      <c r="C705" s="551"/>
      <c r="D705" s="551"/>
      <c r="E705" s="547"/>
      <c r="F705" s="547"/>
      <c r="G705" s="547"/>
      <c r="H705" s="547"/>
      <c r="I705" s="547"/>
      <c r="J705" s="547"/>
      <c r="K705" s="547"/>
      <c r="M705" s="547"/>
      <c r="N705" s="547"/>
      <c r="O705" s="547"/>
      <c r="P705" s="547"/>
      <c r="Q705" s="547"/>
      <c r="R705" s="547"/>
      <c r="S705" s="547"/>
      <c r="T705" s="547"/>
      <c r="U705" s="547"/>
      <c r="V705" s="547"/>
      <c r="W705" s="547"/>
      <c r="X705" s="547"/>
      <c r="Y705" s="547"/>
      <c r="Z705" s="547"/>
      <c r="AA705" s="547"/>
      <c r="AB705" s="884"/>
      <c r="AC705" s="547"/>
    </row>
    <row r="706" spans="1:29" ht="15.75" customHeight="1">
      <c r="A706" s="549"/>
      <c r="B706" s="550"/>
      <c r="C706" s="551"/>
      <c r="D706" s="551"/>
      <c r="E706" s="547"/>
      <c r="F706" s="547"/>
      <c r="G706" s="547"/>
      <c r="H706" s="547"/>
      <c r="I706" s="547"/>
      <c r="J706" s="547"/>
      <c r="K706" s="547"/>
      <c r="M706" s="547"/>
      <c r="N706" s="547"/>
      <c r="O706" s="547"/>
      <c r="P706" s="547"/>
      <c r="Q706" s="547"/>
      <c r="R706" s="547"/>
      <c r="S706" s="547"/>
      <c r="T706" s="547"/>
      <c r="U706" s="547"/>
      <c r="V706" s="547"/>
      <c r="W706" s="547"/>
      <c r="X706" s="547"/>
      <c r="Y706" s="547"/>
      <c r="Z706" s="547"/>
      <c r="AA706" s="547"/>
      <c r="AB706" s="884"/>
      <c r="AC706" s="547"/>
    </row>
    <row r="707" spans="1:29" ht="15.75" customHeight="1">
      <c r="A707" s="549"/>
      <c r="B707" s="550"/>
      <c r="C707" s="551"/>
      <c r="D707" s="551"/>
      <c r="E707" s="547"/>
      <c r="F707" s="547"/>
      <c r="G707" s="547"/>
      <c r="H707" s="547"/>
      <c r="I707" s="547"/>
      <c r="J707" s="547"/>
      <c r="K707" s="547"/>
      <c r="M707" s="547"/>
      <c r="N707" s="547"/>
      <c r="O707" s="547"/>
      <c r="P707" s="547"/>
      <c r="Q707" s="547"/>
      <c r="R707" s="547"/>
      <c r="S707" s="547"/>
      <c r="T707" s="547"/>
      <c r="U707" s="547"/>
      <c r="V707" s="547"/>
      <c r="W707" s="547"/>
      <c r="X707" s="547"/>
      <c r="Y707" s="547"/>
      <c r="Z707" s="547"/>
      <c r="AA707" s="547"/>
      <c r="AB707" s="884"/>
      <c r="AC707" s="547"/>
    </row>
    <row r="708" spans="1:29" ht="15.75" customHeight="1">
      <c r="A708" s="549"/>
      <c r="B708" s="550"/>
      <c r="C708" s="551"/>
      <c r="D708" s="551"/>
      <c r="E708" s="547"/>
      <c r="F708" s="547"/>
      <c r="G708" s="547"/>
      <c r="H708" s="547"/>
      <c r="I708" s="547"/>
      <c r="J708" s="547"/>
      <c r="K708" s="547"/>
      <c r="M708" s="547"/>
      <c r="N708" s="547"/>
      <c r="O708" s="547"/>
      <c r="P708" s="547"/>
      <c r="Q708" s="547"/>
      <c r="R708" s="547"/>
      <c r="S708" s="547"/>
      <c r="T708" s="547"/>
      <c r="U708" s="547"/>
      <c r="V708" s="547"/>
      <c r="W708" s="547"/>
      <c r="X708" s="547"/>
      <c r="Y708" s="547"/>
      <c r="Z708" s="547"/>
      <c r="AA708" s="547"/>
      <c r="AB708" s="884"/>
      <c r="AC708" s="547"/>
    </row>
    <row r="709" spans="1:29" ht="15.75" customHeight="1">
      <c r="A709" s="549"/>
      <c r="B709" s="550"/>
      <c r="C709" s="551"/>
      <c r="D709" s="551"/>
      <c r="E709" s="547"/>
      <c r="F709" s="547"/>
      <c r="G709" s="547"/>
      <c r="H709" s="547"/>
      <c r="I709" s="547"/>
      <c r="J709" s="547"/>
      <c r="K709" s="547"/>
      <c r="M709" s="547"/>
      <c r="N709" s="547"/>
      <c r="O709" s="547"/>
      <c r="P709" s="547"/>
      <c r="Q709" s="547"/>
      <c r="R709" s="547"/>
      <c r="S709" s="547"/>
      <c r="T709" s="547"/>
      <c r="U709" s="547"/>
      <c r="V709" s="547"/>
      <c r="W709" s="547"/>
      <c r="X709" s="547"/>
      <c r="Y709" s="547"/>
      <c r="Z709" s="547"/>
      <c r="AA709" s="547"/>
      <c r="AB709" s="884"/>
      <c r="AC709" s="547"/>
    </row>
    <row r="710" spans="1:29" ht="15.75" customHeight="1">
      <c r="A710" s="549"/>
      <c r="B710" s="550"/>
      <c r="C710" s="551"/>
      <c r="D710" s="551"/>
      <c r="E710" s="547"/>
      <c r="F710" s="547"/>
      <c r="G710" s="547"/>
      <c r="H710" s="547"/>
      <c r="I710" s="547"/>
      <c r="J710" s="547"/>
      <c r="K710" s="547"/>
      <c r="M710" s="547"/>
      <c r="N710" s="547"/>
      <c r="O710" s="547"/>
      <c r="P710" s="547"/>
      <c r="Q710" s="547"/>
      <c r="R710" s="547"/>
      <c r="S710" s="547"/>
      <c r="T710" s="547"/>
      <c r="U710" s="547"/>
      <c r="V710" s="547"/>
      <c r="W710" s="547"/>
      <c r="X710" s="547"/>
      <c r="Y710" s="547"/>
      <c r="Z710" s="547"/>
      <c r="AA710" s="547"/>
      <c r="AB710" s="884"/>
      <c r="AC710" s="547"/>
    </row>
    <row r="711" spans="1:29" ht="15.75" customHeight="1">
      <c r="A711" s="549"/>
      <c r="B711" s="550"/>
      <c r="C711" s="551"/>
      <c r="D711" s="551"/>
      <c r="E711" s="547"/>
      <c r="F711" s="547"/>
      <c r="G711" s="547"/>
      <c r="H711" s="547"/>
      <c r="I711" s="547"/>
      <c r="J711" s="547"/>
      <c r="K711" s="547"/>
      <c r="M711" s="547"/>
      <c r="N711" s="547"/>
      <c r="O711" s="547"/>
      <c r="P711" s="547"/>
      <c r="Q711" s="547"/>
      <c r="R711" s="547"/>
      <c r="S711" s="547"/>
      <c r="T711" s="547"/>
      <c r="U711" s="547"/>
      <c r="V711" s="547"/>
      <c r="W711" s="547"/>
      <c r="X711" s="547"/>
      <c r="Y711" s="547"/>
      <c r="Z711" s="547"/>
      <c r="AA711" s="547"/>
      <c r="AB711" s="884"/>
      <c r="AC711" s="547"/>
    </row>
    <row r="712" spans="1:29" ht="15.75" customHeight="1">
      <c r="A712" s="549"/>
      <c r="B712" s="550"/>
      <c r="C712" s="551"/>
      <c r="D712" s="551"/>
      <c r="E712" s="547"/>
      <c r="F712" s="547"/>
      <c r="G712" s="547"/>
      <c r="H712" s="547"/>
      <c r="I712" s="547"/>
      <c r="J712" s="547"/>
      <c r="K712" s="547"/>
      <c r="M712" s="547"/>
      <c r="N712" s="547"/>
      <c r="O712" s="547"/>
      <c r="P712" s="547"/>
      <c r="Q712" s="547"/>
      <c r="R712" s="547"/>
      <c r="S712" s="547"/>
      <c r="T712" s="547"/>
      <c r="U712" s="547"/>
      <c r="V712" s="547"/>
      <c r="W712" s="547"/>
      <c r="X712" s="547"/>
      <c r="Y712" s="547"/>
      <c r="Z712" s="547"/>
      <c r="AA712" s="547"/>
      <c r="AB712" s="884"/>
      <c r="AC712" s="547"/>
    </row>
    <row r="713" spans="1:29" ht="15.75" customHeight="1">
      <c r="A713" s="549"/>
      <c r="B713" s="550"/>
      <c r="C713" s="551"/>
      <c r="D713" s="551"/>
      <c r="E713" s="547"/>
      <c r="F713" s="547"/>
      <c r="G713" s="547"/>
      <c r="H713" s="547"/>
      <c r="I713" s="547"/>
      <c r="J713" s="547"/>
      <c r="K713" s="547"/>
      <c r="M713" s="547"/>
      <c r="N713" s="547"/>
      <c r="O713" s="547"/>
      <c r="P713" s="547"/>
      <c r="Q713" s="547"/>
      <c r="R713" s="547"/>
      <c r="S713" s="547"/>
      <c r="T713" s="547"/>
      <c r="U713" s="547"/>
      <c r="V713" s="547"/>
      <c r="W713" s="547"/>
      <c r="X713" s="547"/>
      <c r="Y713" s="547"/>
      <c r="Z713" s="547"/>
      <c r="AA713" s="547"/>
      <c r="AB713" s="884"/>
      <c r="AC713" s="547"/>
    </row>
    <row r="714" spans="1:29" ht="15.75" customHeight="1">
      <c r="A714" s="549"/>
      <c r="B714" s="550"/>
      <c r="C714" s="551"/>
      <c r="D714" s="551"/>
      <c r="E714" s="547"/>
      <c r="F714" s="547"/>
      <c r="G714" s="547"/>
      <c r="H714" s="547"/>
      <c r="I714" s="547"/>
      <c r="J714" s="547"/>
      <c r="K714" s="547"/>
      <c r="M714" s="547"/>
      <c r="N714" s="547"/>
      <c r="O714" s="547"/>
      <c r="P714" s="547"/>
      <c r="Q714" s="547"/>
      <c r="R714" s="547"/>
      <c r="S714" s="547"/>
      <c r="T714" s="547"/>
      <c r="U714" s="547"/>
      <c r="V714" s="547"/>
      <c r="W714" s="547"/>
      <c r="X714" s="547"/>
      <c r="Y714" s="547"/>
      <c r="Z714" s="547"/>
      <c r="AA714" s="547"/>
      <c r="AB714" s="884"/>
      <c r="AC714" s="547"/>
    </row>
    <row r="715" spans="1:29" ht="15.75" customHeight="1">
      <c r="A715" s="549"/>
      <c r="B715" s="550"/>
      <c r="C715" s="551"/>
      <c r="D715" s="551"/>
      <c r="E715" s="547"/>
      <c r="F715" s="547"/>
      <c r="G715" s="547"/>
      <c r="H715" s="547"/>
      <c r="I715" s="547"/>
      <c r="J715" s="547"/>
      <c r="K715" s="547"/>
      <c r="M715" s="547"/>
      <c r="N715" s="547"/>
      <c r="O715" s="547"/>
      <c r="P715" s="547"/>
      <c r="Q715" s="547"/>
      <c r="R715" s="547"/>
      <c r="S715" s="547"/>
      <c r="T715" s="547"/>
      <c r="U715" s="547"/>
      <c r="V715" s="547"/>
      <c r="W715" s="547"/>
      <c r="X715" s="547"/>
      <c r="Y715" s="547"/>
      <c r="Z715" s="547"/>
      <c r="AA715" s="547"/>
      <c r="AB715" s="884"/>
      <c r="AC715" s="547"/>
    </row>
    <row r="716" spans="1:29" ht="15.75" customHeight="1">
      <c r="A716" s="549"/>
      <c r="B716" s="550"/>
      <c r="C716" s="551"/>
      <c r="D716" s="551"/>
      <c r="E716" s="547"/>
      <c r="F716" s="547"/>
      <c r="G716" s="547"/>
      <c r="H716" s="547"/>
      <c r="I716" s="547"/>
      <c r="J716" s="547"/>
      <c r="K716" s="547"/>
      <c r="M716" s="547"/>
      <c r="N716" s="547"/>
      <c r="O716" s="547"/>
      <c r="P716" s="547"/>
      <c r="Q716" s="547"/>
      <c r="R716" s="547"/>
      <c r="S716" s="547"/>
      <c r="T716" s="547"/>
      <c r="U716" s="547"/>
      <c r="V716" s="547"/>
      <c r="W716" s="547"/>
      <c r="X716" s="547"/>
      <c r="Y716" s="547"/>
      <c r="Z716" s="547"/>
      <c r="AA716" s="547"/>
      <c r="AB716" s="884"/>
      <c r="AC716" s="547"/>
    </row>
    <row r="717" spans="1:29" ht="15.75" customHeight="1">
      <c r="A717" s="549"/>
      <c r="B717" s="550"/>
      <c r="C717" s="551"/>
      <c r="D717" s="551"/>
      <c r="E717" s="547"/>
      <c r="F717" s="547"/>
      <c r="G717" s="547"/>
      <c r="H717" s="547"/>
      <c r="I717" s="547"/>
      <c r="J717" s="547"/>
      <c r="K717" s="547"/>
      <c r="M717" s="547"/>
      <c r="N717" s="547"/>
      <c r="O717" s="547"/>
      <c r="P717" s="547"/>
      <c r="Q717" s="547"/>
      <c r="R717" s="547"/>
      <c r="S717" s="547"/>
      <c r="T717" s="547"/>
      <c r="U717" s="547"/>
      <c r="V717" s="547"/>
      <c r="W717" s="547"/>
      <c r="X717" s="547"/>
      <c r="Y717" s="547"/>
      <c r="Z717" s="547"/>
      <c r="AA717" s="547"/>
      <c r="AB717" s="884"/>
      <c r="AC717" s="547"/>
    </row>
    <row r="718" spans="1:29" ht="15.75" customHeight="1">
      <c r="A718" s="549"/>
      <c r="B718" s="550"/>
      <c r="C718" s="551"/>
      <c r="D718" s="551"/>
      <c r="E718" s="547"/>
      <c r="F718" s="547"/>
      <c r="G718" s="547"/>
      <c r="H718" s="547"/>
      <c r="I718" s="547"/>
      <c r="J718" s="547"/>
      <c r="K718" s="547"/>
      <c r="M718" s="547"/>
      <c r="N718" s="547"/>
      <c r="O718" s="547"/>
      <c r="P718" s="547"/>
      <c r="Q718" s="547"/>
      <c r="R718" s="547"/>
      <c r="S718" s="547"/>
      <c r="T718" s="547"/>
      <c r="U718" s="547"/>
      <c r="V718" s="547"/>
      <c r="W718" s="547"/>
      <c r="X718" s="547"/>
      <c r="Y718" s="547"/>
      <c r="Z718" s="547"/>
      <c r="AA718" s="547"/>
      <c r="AB718" s="884"/>
      <c r="AC718" s="547"/>
    </row>
    <row r="719" spans="1:29" ht="15.75" customHeight="1">
      <c r="A719" s="549"/>
      <c r="B719" s="550"/>
      <c r="C719" s="551"/>
      <c r="D719" s="551"/>
      <c r="E719" s="547"/>
      <c r="F719" s="547"/>
      <c r="G719" s="547"/>
      <c r="H719" s="547"/>
      <c r="I719" s="547"/>
      <c r="J719" s="547"/>
      <c r="K719" s="547"/>
      <c r="M719" s="547"/>
      <c r="N719" s="547"/>
      <c r="O719" s="547"/>
      <c r="P719" s="547"/>
      <c r="Q719" s="547"/>
      <c r="R719" s="547"/>
      <c r="S719" s="547"/>
      <c r="T719" s="547"/>
      <c r="U719" s="547"/>
      <c r="V719" s="547"/>
      <c r="W719" s="547"/>
      <c r="X719" s="547"/>
      <c r="Y719" s="547"/>
      <c r="Z719" s="547"/>
      <c r="AA719" s="547"/>
      <c r="AB719" s="884"/>
      <c r="AC719" s="547"/>
    </row>
    <row r="720" spans="1:29" ht="15.75" customHeight="1">
      <c r="A720" s="549"/>
      <c r="B720" s="550"/>
      <c r="C720" s="551"/>
      <c r="D720" s="551"/>
      <c r="E720" s="547"/>
      <c r="F720" s="547"/>
      <c r="G720" s="547"/>
      <c r="H720" s="547"/>
      <c r="I720" s="547"/>
      <c r="J720" s="547"/>
      <c r="K720" s="547"/>
      <c r="M720" s="547"/>
      <c r="N720" s="547"/>
      <c r="O720" s="547"/>
      <c r="P720" s="547"/>
      <c r="Q720" s="547"/>
      <c r="R720" s="547"/>
      <c r="S720" s="547"/>
      <c r="T720" s="547"/>
      <c r="U720" s="547"/>
      <c r="V720" s="547"/>
      <c r="W720" s="547"/>
      <c r="X720" s="547"/>
      <c r="Y720" s="547"/>
      <c r="Z720" s="547"/>
      <c r="AA720" s="547"/>
      <c r="AB720" s="884"/>
      <c r="AC720" s="547"/>
    </row>
    <row r="721" spans="1:29" ht="15.75" customHeight="1">
      <c r="A721" s="549"/>
      <c r="B721" s="550"/>
      <c r="C721" s="551"/>
      <c r="D721" s="551"/>
      <c r="E721" s="547"/>
      <c r="F721" s="547"/>
      <c r="G721" s="547"/>
      <c r="H721" s="547"/>
      <c r="I721" s="547"/>
      <c r="J721" s="547"/>
      <c r="K721" s="547"/>
      <c r="M721" s="547"/>
      <c r="N721" s="547"/>
      <c r="O721" s="547"/>
      <c r="P721" s="547"/>
      <c r="Q721" s="547"/>
      <c r="R721" s="547"/>
      <c r="S721" s="547"/>
      <c r="T721" s="547"/>
      <c r="U721" s="547"/>
      <c r="V721" s="547"/>
      <c r="W721" s="547"/>
      <c r="X721" s="547"/>
      <c r="Y721" s="547"/>
      <c r="Z721" s="547"/>
      <c r="AA721" s="547"/>
      <c r="AB721" s="884"/>
      <c r="AC721" s="547"/>
    </row>
    <row r="722" spans="1:29" ht="15.75" customHeight="1">
      <c r="A722" s="549"/>
      <c r="B722" s="550"/>
      <c r="C722" s="551"/>
      <c r="D722" s="551"/>
      <c r="E722" s="547"/>
      <c r="F722" s="547"/>
      <c r="G722" s="547"/>
      <c r="H722" s="547"/>
      <c r="I722" s="547"/>
      <c r="J722" s="547"/>
      <c r="K722" s="547"/>
      <c r="M722" s="547"/>
      <c r="N722" s="547"/>
      <c r="O722" s="547"/>
      <c r="P722" s="547"/>
      <c r="Q722" s="547"/>
      <c r="R722" s="547"/>
      <c r="S722" s="547"/>
      <c r="T722" s="547"/>
      <c r="U722" s="547"/>
      <c r="V722" s="547"/>
      <c r="W722" s="547"/>
      <c r="X722" s="547"/>
      <c r="Y722" s="547"/>
      <c r="Z722" s="547"/>
      <c r="AA722" s="547"/>
      <c r="AB722" s="884"/>
      <c r="AC722" s="547"/>
    </row>
    <row r="723" spans="1:29" ht="15.75" customHeight="1">
      <c r="A723" s="549"/>
      <c r="B723" s="550"/>
      <c r="C723" s="551"/>
      <c r="D723" s="551"/>
      <c r="E723" s="547"/>
      <c r="F723" s="547"/>
      <c r="G723" s="547"/>
      <c r="H723" s="547"/>
      <c r="I723" s="547"/>
      <c r="J723" s="547"/>
      <c r="K723" s="547"/>
      <c r="M723" s="547"/>
      <c r="N723" s="547"/>
      <c r="O723" s="547"/>
      <c r="P723" s="547"/>
      <c r="Q723" s="547"/>
      <c r="R723" s="547"/>
      <c r="S723" s="547"/>
      <c r="T723" s="547"/>
      <c r="U723" s="547"/>
      <c r="V723" s="547"/>
      <c r="W723" s="547"/>
      <c r="X723" s="547"/>
      <c r="Y723" s="547"/>
      <c r="Z723" s="547"/>
      <c r="AA723" s="547"/>
      <c r="AB723" s="884"/>
      <c r="AC723" s="547"/>
    </row>
    <row r="724" spans="1:29" ht="15.75" customHeight="1">
      <c r="A724" s="549"/>
      <c r="B724" s="550"/>
      <c r="C724" s="551"/>
      <c r="D724" s="551"/>
      <c r="E724" s="547"/>
      <c r="F724" s="547"/>
      <c r="G724" s="547"/>
      <c r="H724" s="547"/>
      <c r="I724" s="547"/>
      <c r="J724" s="547"/>
      <c r="K724" s="547"/>
      <c r="M724" s="547"/>
      <c r="N724" s="547"/>
      <c r="O724" s="547"/>
      <c r="P724" s="547"/>
      <c r="Q724" s="547"/>
      <c r="R724" s="547"/>
      <c r="S724" s="547"/>
      <c r="T724" s="547"/>
      <c r="U724" s="547"/>
      <c r="V724" s="547"/>
      <c r="W724" s="547"/>
      <c r="X724" s="547"/>
      <c r="Y724" s="547"/>
      <c r="Z724" s="547"/>
      <c r="AA724" s="547"/>
      <c r="AB724" s="884"/>
      <c r="AC724" s="547"/>
    </row>
    <row r="725" spans="1:29" ht="15.75" customHeight="1">
      <c r="A725" s="549"/>
      <c r="B725" s="550"/>
      <c r="C725" s="551"/>
      <c r="D725" s="551"/>
      <c r="E725" s="547"/>
      <c r="F725" s="547"/>
      <c r="G725" s="547"/>
      <c r="H725" s="547"/>
      <c r="I725" s="547"/>
      <c r="J725" s="547"/>
      <c r="K725" s="547"/>
      <c r="M725" s="547"/>
      <c r="N725" s="547"/>
      <c r="O725" s="547"/>
      <c r="P725" s="547"/>
      <c r="Q725" s="547"/>
      <c r="R725" s="547"/>
      <c r="S725" s="547"/>
      <c r="T725" s="547"/>
      <c r="U725" s="547"/>
      <c r="V725" s="547"/>
      <c r="W725" s="547"/>
      <c r="X725" s="547"/>
      <c r="Y725" s="547"/>
      <c r="Z725" s="547"/>
      <c r="AA725" s="547"/>
      <c r="AB725" s="884"/>
      <c r="AC725" s="547"/>
    </row>
    <row r="726" spans="1:29" ht="15.75" customHeight="1">
      <c r="A726" s="549"/>
      <c r="B726" s="550"/>
      <c r="C726" s="551"/>
      <c r="D726" s="551"/>
      <c r="E726" s="547"/>
      <c r="F726" s="547"/>
      <c r="G726" s="547"/>
      <c r="H726" s="547"/>
      <c r="I726" s="547"/>
      <c r="J726" s="547"/>
      <c r="K726" s="547"/>
      <c r="M726" s="547"/>
      <c r="N726" s="547"/>
      <c r="O726" s="547"/>
      <c r="P726" s="547"/>
      <c r="Q726" s="547"/>
      <c r="R726" s="547"/>
      <c r="S726" s="547"/>
      <c r="T726" s="547"/>
      <c r="U726" s="547"/>
      <c r="V726" s="547"/>
      <c r="W726" s="547"/>
      <c r="X726" s="547"/>
      <c r="Y726" s="547"/>
      <c r="Z726" s="547"/>
      <c r="AA726" s="547"/>
      <c r="AB726" s="884"/>
      <c r="AC726" s="547"/>
    </row>
    <row r="727" spans="1:29" ht="15.75" customHeight="1">
      <c r="A727" s="549"/>
      <c r="B727" s="550"/>
      <c r="C727" s="551"/>
      <c r="D727" s="551"/>
      <c r="E727" s="547"/>
      <c r="F727" s="547"/>
      <c r="G727" s="547"/>
      <c r="H727" s="547"/>
      <c r="I727" s="547"/>
      <c r="J727" s="547"/>
      <c r="K727" s="547"/>
      <c r="M727" s="547"/>
      <c r="N727" s="547"/>
      <c r="O727" s="547"/>
      <c r="P727" s="547"/>
      <c r="Q727" s="547"/>
      <c r="R727" s="547"/>
      <c r="S727" s="547"/>
      <c r="T727" s="547"/>
      <c r="U727" s="547"/>
      <c r="V727" s="547"/>
      <c r="W727" s="547"/>
      <c r="X727" s="547"/>
      <c r="Y727" s="547"/>
      <c r="Z727" s="547"/>
      <c r="AA727" s="547"/>
      <c r="AB727" s="884"/>
      <c r="AC727" s="547"/>
    </row>
    <row r="728" spans="1:29" ht="15.75" customHeight="1">
      <c r="A728" s="549"/>
      <c r="B728" s="550"/>
      <c r="C728" s="551"/>
      <c r="D728" s="551"/>
      <c r="E728" s="547"/>
      <c r="F728" s="547"/>
      <c r="G728" s="547"/>
      <c r="H728" s="547"/>
      <c r="I728" s="547"/>
      <c r="J728" s="547"/>
      <c r="K728" s="547"/>
      <c r="M728" s="547"/>
      <c r="N728" s="547"/>
      <c r="O728" s="547"/>
      <c r="P728" s="547"/>
      <c r="Q728" s="547"/>
      <c r="R728" s="547"/>
      <c r="S728" s="547"/>
      <c r="T728" s="547"/>
      <c r="U728" s="547"/>
      <c r="V728" s="547"/>
      <c r="W728" s="547"/>
      <c r="X728" s="547"/>
      <c r="Y728" s="547"/>
      <c r="Z728" s="547"/>
      <c r="AA728" s="547"/>
      <c r="AB728" s="884"/>
      <c r="AC728" s="547"/>
    </row>
    <row r="729" spans="1:29" ht="15.75" customHeight="1">
      <c r="A729" s="549"/>
      <c r="B729" s="550"/>
      <c r="C729" s="551"/>
      <c r="D729" s="551"/>
      <c r="E729" s="547"/>
      <c r="F729" s="547"/>
      <c r="G729" s="547"/>
      <c r="H729" s="547"/>
      <c r="I729" s="547"/>
      <c r="J729" s="547"/>
      <c r="K729" s="547"/>
      <c r="M729" s="547"/>
      <c r="N729" s="547"/>
      <c r="O729" s="547"/>
      <c r="P729" s="547"/>
      <c r="Q729" s="547"/>
      <c r="R729" s="547"/>
      <c r="S729" s="547"/>
      <c r="T729" s="547"/>
      <c r="U729" s="547"/>
      <c r="V729" s="547"/>
      <c r="W729" s="547"/>
      <c r="X729" s="547"/>
      <c r="Y729" s="547"/>
      <c r="Z729" s="547"/>
      <c r="AA729" s="547"/>
      <c r="AB729" s="884"/>
      <c r="AC729" s="547"/>
    </row>
    <row r="730" spans="1:29" ht="15.75" customHeight="1">
      <c r="A730" s="549"/>
      <c r="B730" s="550"/>
      <c r="C730" s="551"/>
      <c r="D730" s="551"/>
      <c r="E730" s="547"/>
      <c r="F730" s="547"/>
      <c r="G730" s="547"/>
      <c r="H730" s="547"/>
      <c r="I730" s="547"/>
      <c r="J730" s="547"/>
      <c r="K730" s="547"/>
      <c r="M730" s="547"/>
      <c r="N730" s="547"/>
      <c r="O730" s="547"/>
      <c r="P730" s="547"/>
      <c r="Q730" s="547"/>
      <c r="R730" s="547"/>
      <c r="S730" s="547"/>
      <c r="T730" s="547"/>
      <c r="U730" s="547"/>
      <c r="V730" s="547"/>
      <c r="W730" s="547"/>
      <c r="X730" s="547"/>
      <c r="Y730" s="547"/>
      <c r="Z730" s="547"/>
      <c r="AA730" s="547"/>
      <c r="AB730" s="884"/>
      <c r="AC730" s="547"/>
    </row>
    <row r="731" spans="1:29" ht="15.75" customHeight="1">
      <c r="A731" s="549"/>
      <c r="B731" s="550"/>
      <c r="C731" s="551"/>
      <c r="D731" s="551"/>
      <c r="E731" s="547"/>
      <c r="F731" s="547"/>
      <c r="G731" s="547"/>
      <c r="H731" s="547"/>
      <c r="I731" s="547"/>
      <c r="J731" s="547"/>
      <c r="K731" s="547"/>
      <c r="M731" s="547"/>
      <c r="N731" s="547"/>
      <c r="O731" s="547"/>
      <c r="P731" s="547"/>
      <c r="Q731" s="547"/>
      <c r="R731" s="547"/>
      <c r="S731" s="547"/>
      <c r="T731" s="547"/>
      <c r="U731" s="547"/>
      <c r="V731" s="547"/>
      <c r="W731" s="547"/>
      <c r="X731" s="547"/>
      <c r="Y731" s="547"/>
      <c r="Z731" s="547"/>
      <c r="AA731" s="547"/>
      <c r="AB731" s="884"/>
      <c r="AC731" s="547"/>
    </row>
    <row r="732" spans="1:29" ht="15.75" customHeight="1">
      <c r="A732" s="549"/>
      <c r="B732" s="550"/>
      <c r="C732" s="551"/>
      <c r="D732" s="551"/>
      <c r="E732" s="547"/>
      <c r="F732" s="547"/>
      <c r="G732" s="547"/>
      <c r="H732" s="547"/>
      <c r="I732" s="547"/>
      <c r="J732" s="547"/>
      <c r="K732" s="547"/>
      <c r="M732" s="547"/>
      <c r="N732" s="547"/>
      <c r="O732" s="547"/>
      <c r="P732" s="547"/>
      <c r="Q732" s="547"/>
      <c r="R732" s="547"/>
      <c r="S732" s="547"/>
      <c r="T732" s="547"/>
      <c r="U732" s="547"/>
      <c r="V732" s="547"/>
      <c r="W732" s="547"/>
      <c r="X732" s="547"/>
      <c r="Y732" s="547"/>
      <c r="Z732" s="547"/>
      <c r="AA732" s="547"/>
      <c r="AB732" s="884"/>
      <c r="AC732" s="547"/>
    </row>
    <row r="733" spans="1:29" ht="15.75" customHeight="1">
      <c r="A733" s="549"/>
      <c r="B733" s="550"/>
      <c r="C733" s="551"/>
      <c r="D733" s="551"/>
      <c r="E733" s="547"/>
      <c r="F733" s="547"/>
      <c r="G733" s="547"/>
      <c r="H733" s="547"/>
      <c r="I733" s="547"/>
      <c r="J733" s="547"/>
      <c r="K733" s="547"/>
      <c r="M733" s="547"/>
      <c r="N733" s="547"/>
      <c r="O733" s="547"/>
      <c r="P733" s="547"/>
      <c r="Q733" s="547"/>
      <c r="R733" s="547"/>
      <c r="S733" s="547"/>
      <c r="T733" s="547"/>
      <c r="U733" s="547"/>
      <c r="V733" s="547"/>
      <c r="W733" s="547"/>
      <c r="X733" s="547"/>
      <c r="Y733" s="547"/>
      <c r="Z733" s="547"/>
      <c r="AA733" s="547"/>
      <c r="AB733" s="884"/>
      <c r="AC733" s="547"/>
    </row>
    <row r="734" spans="1:29" ht="15.75" customHeight="1">
      <c r="A734" s="549"/>
      <c r="B734" s="550"/>
      <c r="C734" s="551"/>
      <c r="D734" s="551"/>
      <c r="E734" s="547"/>
      <c r="F734" s="547"/>
      <c r="G734" s="547"/>
      <c r="H734" s="547"/>
      <c r="I734" s="547"/>
      <c r="J734" s="547"/>
      <c r="K734" s="547"/>
      <c r="M734" s="547"/>
      <c r="N734" s="547"/>
      <c r="O734" s="547"/>
      <c r="P734" s="547"/>
      <c r="Q734" s="547"/>
      <c r="R734" s="547"/>
      <c r="S734" s="547"/>
      <c r="T734" s="547"/>
      <c r="U734" s="547"/>
      <c r="V734" s="547"/>
      <c r="W734" s="547"/>
      <c r="X734" s="547"/>
      <c r="Y734" s="547"/>
      <c r="Z734" s="547"/>
      <c r="AA734" s="547"/>
      <c r="AB734" s="884"/>
      <c r="AC734" s="547"/>
    </row>
    <row r="735" spans="1:29" ht="15.75" customHeight="1">
      <c r="A735" s="549"/>
      <c r="B735" s="550"/>
      <c r="C735" s="551"/>
      <c r="D735" s="551"/>
      <c r="E735" s="547"/>
      <c r="F735" s="547"/>
      <c r="G735" s="547"/>
      <c r="H735" s="547"/>
      <c r="I735" s="547"/>
      <c r="J735" s="547"/>
      <c r="K735" s="547"/>
      <c r="M735" s="547"/>
      <c r="N735" s="547"/>
      <c r="O735" s="547"/>
      <c r="P735" s="547"/>
      <c r="Q735" s="547"/>
      <c r="R735" s="547"/>
      <c r="S735" s="547"/>
      <c r="T735" s="547"/>
      <c r="U735" s="547"/>
      <c r="V735" s="547"/>
      <c r="W735" s="547"/>
      <c r="X735" s="547"/>
      <c r="Y735" s="547"/>
      <c r="Z735" s="547"/>
      <c r="AA735" s="547"/>
      <c r="AB735" s="884"/>
      <c r="AC735" s="547"/>
    </row>
    <row r="736" spans="1:29" ht="15.75" customHeight="1">
      <c r="A736" s="549"/>
      <c r="B736" s="550"/>
      <c r="C736" s="551"/>
      <c r="D736" s="551"/>
      <c r="E736" s="547"/>
      <c r="F736" s="547"/>
      <c r="G736" s="547"/>
      <c r="H736" s="547"/>
      <c r="I736" s="547"/>
      <c r="J736" s="547"/>
      <c r="K736" s="547"/>
      <c r="M736" s="547"/>
      <c r="N736" s="547"/>
      <c r="O736" s="547"/>
      <c r="P736" s="547"/>
      <c r="Q736" s="547"/>
      <c r="R736" s="547"/>
      <c r="S736" s="547"/>
      <c r="T736" s="547"/>
      <c r="U736" s="547"/>
      <c r="V736" s="547"/>
      <c r="W736" s="547"/>
      <c r="X736" s="547"/>
      <c r="Y736" s="547"/>
      <c r="Z736" s="547"/>
      <c r="AA736" s="547"/>
      <c r="AB736" s="884"/>
      <c r="AC736" s="547"/>
    </row>
    <row r="737" spans="1:29" ht="15.75" customHeight="1">
      <c r="A737" s="549"/>
      <c r="B737" s="550"/>
      <c r="C737" s="551"/>
      <c r="D737" s="551"/>
      <c r="E737" s="547"/>
      <c r="F737" s="547"/>
      <c r="G737" s="547"/>
      <c r="H737" s="547"/>
      <c r="I737" s="547"/>
      <c r="J737" s="547"/>
      <c r="K737" s="547"/>
      <c r="M737" s="547"/>
      <c r="N737" s="547"/>
      <c r="O737" s="547"/>
      <c r="P737" s="547"/>
      <c r="Q737" s="547"/>
      <c r="R737" s="547"/>
      <c r="S737" s="547"/>
      <c r="T737" s="547"/>
      <c r="U737" s="547"/>
      <c r="V737" s="547"/>
      <c r="W737" s="547"/>
      <c r="X737" s="547"/>
      <c r="Y737" s="547"/>
      <c r="Z737" s="547"/>
      <c r="AA737" s="547"/>
      <c r="AB737" s="884"/>
      <c r="AC737" s="547"/>
    </row>
    <row r="738" spans="1:29" ht="15.75" customHeight="1">
      <c r="A738" s="549"/>
      <c r="B738" s="550"/>
      <c r="C738" s="551"/>
      <c r="D738" s="551"/>
      <c r="E738" s="547"/>
      <c r="F738" s="547"/>
      <c r="G738" s="547"/>
      <c r="H738" s="547"/>
      <c r="I738" s="547"/>
      <c r="J738" s="547"/>
      <c r="K738" s="547"/>
      <c r="M738" s="547"/>
      <c r="N738" s="547"/>
      <c r="O738" s="547"/>
      <c r="P738" s="547"/>
      <c r="Q738" s="547"/>
      <c r="R738" s="547"/>
      <c r="S738" s="547"/>
      <c r="T738" s="547"/>
      <c r="U738" s="547"/>
      <c r="V738" s="547"/>
      <c r="W738" s="547"/>
      <c r="X738" s="547"/>
      <c r="Y738" s="547"/>
      <c r="Z738" s="547"/>
      <c r="AA738" s="547"/>
      <c r="AB738" s="884"/>
      <c r="AC738" s="547"/>
    </row>
    <row r="739" spans="1:29" ht="15.75" customHeight="1">
      <c r="A739" s="549"/>
      <c r="B739" s="550"/>
      <c r="C739" s="551"/>
      <c r="D739" s="551"/>
      <c r="E739" s="547"/>
      <c r="F739" s="547"/>
      <c r="G739" s="547"/>
      <c r="H739" s="547"/>
      <c r="I739" s="547"/>
      <c r="J739" s="547"/>
      <c r="K739" s="547"/>
      <c r="M739" s="547"/>
      <c r="N739" s="547"/>
      <c r="O739" s="547"/>
      <c r="P739" s="547"/>
      <c r="Q739" s="547"/>
      <c r="R739" s="547"/>
      <c r="S739" s="547"/>
      <c r="T739" s="547"/>
      <c r="U739" s="547"/>
      <c r="V739" s="547"/>
      <c r="W739" s="547"/>
      <c r="X739" s="547"/>
      <c r="Y739" s="547"/>
      <c r="Z739" s="547"/>
      <c r="AA739" s="547"/>
      <c r="AB739" s="884"/>
      <c r="AC739" s="547"/>
    </row>
    <row r="740" spans="1:29" ht="15.75" customHeight="1">
      <c r="A740" s="549"/>
      <c r="B740" s="550"/>
      <c r="C740" s="551"/>
      <c r="D740" s="551"/>
      <c r="E740" s="547"/>
      <c r="F740" s="547"/>
      <c r="G740" s="547"/>
      <c r="H740" s="547"/>
      <c r="I740" s="547"/>
      <c r="J740" s="547"/>
      <c r="K740" s="547"/>
      <c r="M740" s="547"/>
      <c r="N740" s="547"/>
      <c r="O740" s="547"/>
      <c r="P740" s="547"/>
      <c r="Q740" s="547"/>
      <c r="R740" s="547"/>
      <c r="S740" s="547"/>
      <c r="T740" s="547"/>
      <c r="U740" s="547"/>
      <c r="V740" s="547"/>
      <c r="W740" s="547"/>
      <c r="X740" s="547"/>
      <c r="Y740" s="547"/>
      <c r="Z740" s="547"/>
      <c r="AA740" s="547"/>
      <c r="AB740" s="884"/>
      <c r="AC740" s="547"/>
    </row>
    <row r="741" spans="1:29" ht="15.75" customHeight="1">
      <c r="A741" s="549"/>
      <c r="B741" s="550"/>
      <c r="C741" s="551"/>
      <c r="D741" s="551"/>
      <c r="E741" s="547"/>
      <c r="F741" s="547"/>
      <c r="G741" s="547"/>
      <c r="H741" s="547"/>
      <c r="I741" s="547"/>
      <c r="J741" s="547"/>
      <c r="K741" s="547"/>
      <c r="M741" s="547"/>
      <c r="N741" s="547"/>
      <c r="O741" s="547"/>
      <c r="P741" s="547"/>
      <c r="Q741" s="547"/>
      <c r="R741" s="547"/>
      <c r="S741" s="547"/>
      <c r="T741" s="547"/>
      <c r="U741" s="547"/>
      <c r="V741" s="547"/>
      <c r="W741" s="547"/>
      <c r="X741" s="547"/>
      <c r="Y741" s="547"/>
      <c r="Z741" s="547"/>
      <c r="AA741" s="547"/>
      <c r="AB741" s="884"/>
      <c r="AC741" s="547"/>
    </row>
    <row r="742" spans="1:29" ht="15.75" customHeight="1">
      <c r="A742" s="549"/>
      <c r="B742" s="550"/>
      <c r="C742" s="551"/>
      <c r="D742" s="551"/>
      <c r="E742" s="547"/>
      <c r="F742" s="547"/>
      <c r="G742" s="547"/>
      <c r="H742" s="547"/>
      <c r="I742" s="547"/>
      <c r="J742" s="547"/>
      <c r="K742" s="547"/>
      <c r="M742" s="547"/>
      <c r="N742" s="547"/>
      <c r="O742" s="547"/>
      <c r="P742" s="547"/>
      <c r="Q742" s="547"/>
      <c r="R742" s="547"/>
      <c r="S742" s="547"/>
      <c r="T742" s="547"/>
      <c r="U742" s="547"/>
      <c r="V742" s="547"/>
      <c r="W742" s="547"/>
      <c r="X742" s="547"/>
      <c r="Y742" s="547"/>
      <c r="Z742" s="547"/>
      <c r="AA742" s="547"/>
      <c r="AB742" s="884"/>
      <c r="AC742" s="547"/>
    </row>
    <row r="743" spans="1:29" ht="15.75" customHeight="1">
      <c r="A743" s="549"/>
      <c r="B743" s="550"/>
      <c r="C743" s="551"/>
      <c r="D743" s="551"/>
      <c r="E743" s="547"/>
      <c r="F743" s="547"/>
      <c r="G743" s="547"/>
      <c r="H743" s="547"/>
      <c r="I743" s="547"/>
      <c r="J743" s="547"/>
      <c r="K743" s="547"/>
      <c r="M743" s="547"/>
      <c r="N743" s="547"/>
      <c r="O743" s="547"/>
      <c r="P743" s="547"/>
      <c r="Q743" s="547"/>
      <c r="R743" s="547"/>
      <c r="S743" s="547"/>
      <c r="T743" s="547"/>
      <c r="U743" s="547"/>
      <c r="V743" s="547"/>
      <c r="W743" s="547"/>
      <c r="X743" s="547"/>
      <c r="Y743" s="547"/>
      <c r="Z743" s="547"/>
      <c r="AA743" s="547"/>
      <c r="AB743" s="884"/>
      <c r="AC743" s="547"/>
    </row>
    <row r="744" spans="1:29" ht="15.75" customHeight="1">
      <c r="A744" s="549"/>
      <c r="B744" s="550"/>
      <c r="C744" s="551"/>
      <c r="D744" s="551"/>
      <c r="E744" s="547"/>
      <c r="F744" s="547"/>
      <c r="G744" s="547"/>
      <c r="H744" s="547"/>
      <c r="I744" s="547"/>
      <c r="J744" s="547"/>
      <c r="K744" s="547"/>
      <c r="M744" s="547"/>
      <c r="N744" s="547"/>
      <c r="O744" s="547"/>
      <c r="P744" s="547"/>
      <c r="Q744" s="547"/>
      <c r="R744" s="547"/>
      <c r="S744" s="547"/>
      <c r="T744" s="547"/>
      <c r="U744" s="547"/>
      <c r="V744" s="547"/>
      <c r="W744" s="547"/>
      <c r="X744" s="547"/>
      <c r="Y744" s="547"/>
      <c r="Z744" s="547"/>
      <c r="AA744" s="547"/>
      <c r="AB744" s="884"/>
      <c r="AC744" s="547"/>
    </row>
    <row r="745" spans="1:29" ht="15.75" customHeight="1">
      <c r="A745" s="549"/>
      <c r="B745" s="550"/>
      <c r="C745" s="551"/>
      <c r="D745" s="551"/>
      <c r="E745" s="547"/>
      <c r="F745" s="547"/>
      <c r="G745" s="547"/>
      <c r="H745" s="547"/>
      <c r="I745" s="547"/>
      <c r="J745" s="547"/>
      <c r="K745" s="547"/>
      <c r="M745" s="547"/>
      <c r="N745" s="547"/>
      <c r="O745" s="547"/>
      <c r="P745" s="547"/>
      <c r="Q745" s="547"/>
      <c r="R745" s="547"/>
      <c r="S745" s="547"/>
      <c r="T745" s="547"/>
      <c r="U745" s="547"/>
      <c r="V745" s="547"/>
      <c r="W745" s="547"/>
      <c r="X745" s="547"/>
      <c r="Y745" s="547"/>
      <c r="Z745" s="547"/>
      <c r="AA745" s="547"/>
      <c r="AB745" s="884"/>
      <c r="AC745" s="547"/>
    </row>
    <row r="746" spans="1:29" ht="15.75" customHeight="1">
      <c r="A746" s="549"/>
      <c r="B746" s="550"/>
      <c r="C746" s="551"/>
      <c r="D746" s="551"/>
      <c r="E746" s="547"/>
      <c r="F746" s="547"/>
      <c r="G746" s="547"/>
      <c r="H746" s="547"/>
      <c r="I746" s="547"/>
      <c r="J746" s="547"/>
      <c r="K746" s="547"/>
      <c r="M746" s="547"/>
      <c r="N746" s="547"/>
      <c r="O746" s="547"/>
      <c r="P746" s="547"/>
      <c r="Q746" s="547"/>
      <c r="R746" s="547"/>
      <c r="S746" s="547"/>
      <c r="T746" s="547"/>
      <c r="U746" s="547"/>
      <c r="V746" s="547"/>
      <c r="W746" s="547"/>
      <c r="X746" s="547"/>
      <c r="Y746" s="547"/>
      <c r="Z746" s="547"/>
      <c r="AA746" s="547"/>
      <c r="AB746" s="884"/>
      <c r="AC746" s="547"/>
    </row>
    <row r="747" spans="1:29" ht="15.75" customHeight="1">
      <c r="A747" s="549"/>
      <c r="B747" s="550"/>
      <c r="C747" s="551"/>
      <c r="D747" s="551"/>
      <c r="E747" s="547"/>
      <c r="F747" s="547"/>
      <c r="G747" s="547"/>
      <c r="H747" s="547"/>
      <c r="I747" s="547"/>
      <c r="J747" s="547"/>
      <c r="K747" s="547"/>
      <c r="M747" s="547"/>
      <c r="N747" s="547"/>
      <c r="O747" s="547"/>
      <c r="P747" s="547"/>
      <c r="Q747" s="547"/>
      <c r="R747" s="547"/>
      <c r="S747" s="547"/>
      <c r="T747" s="547"/>
      <c r="U747" s="547"/>
      <c r="V747" s="547"/>
      <c r="W747" s="547"/>
      <c r="X747" s="547"/>
      <c r="Y747" s="547"/>
      <c r="Z747" s="547"/>
      <c r="AA747" s="547"/>
      <c r="AB747" s="884"/>
      <c r="AC747" s="547"/>
    </row>
    <row r="748" spans="1:29" ht="15.75" customHeight="1">
      <c r="A748" s="549"/>
      <c r="B748" s="550"/>
      <c r="C748" s="551"/>
      <c r="D748" s="551"/>
      <c r="E748" s="547"/>
      <c r="F748" s="547"/>
      <c r="G748" s="547"/>
      <c r="H748" s="547"/>
      <c r="I748" s="547"/>
      <c r="J748" s="547"/>
      <c r="K748" s="547"/>
      <c r="M748" s="547"/>
      <c r="N748" s="547"/>
      <c r="O748" s="547"/>
      <c r="P748" s="547"/>
      <c r="Q748" s="547"/>
      <c r="R748" s="547"/>
      <c r="S748" s="547"/>
      <c r="T748" s="547"/>
      <c r="U748" s="547"/>
      <c r="V748" s="547"/>
      <c r="W748" s="547"/>
      <c r="X748" s="547"/>
      <c r="Y748" s="547"/>
      <c r="Z748" s="547"/>
      <c r="AA748" s="547"/>
      <c r="AB748" s="884"/>
      <c r="AC748" s="547"/>
    </row>
    <row r="749" spans="1:29" ht="15.75" customHeight="1">
      <c r="A749" s="549"/>
      <c r="B749" s="550"/>
      <c r="C749" s="551"/>
      <c r="D749" s="551"/>
      <c r="E749" s="547"/>
      <c r="F749" s="547"/>
      <c r="G749" s="547"/>
      <c r="H749" s="547"/>
      <c r="I749" s="547"/>
      <c r="J749" s="547"/>
      <c r="K749" s="547"/>
      <c r="M749" s="547"/>
      <c r="N749" s="547"/>
      <c r="O749" s="547"/>
      <c r="P749" s="547"/>
      <c r="Q749" s="547"/>
      <c r="R749" s="547"/>
      <c r="S749" s="547"/>
      <c r="T749" s="547"/>
      <c r="U749" s="547"/>
      <c r="V749" s="547"/>
      <c r="W749" s="547"/>
      <c r="X749" s="547"/>
      <c r="Y749" s="547"/>
      <c r="Z749" s="547"/>
      <c r="AA749" s="547"/>
      <c r="AB749" s="884"/>
      <c r="AC749" s="547"/>
    </row>
    <row r="750" spans="1:29" ht="15.75" customHeight="1">
      <c r="A750" s="549"/>
      <c r="B750" s="550"/>
      <c r="C750" s="551"/>
      <c r="D750" s="551"/>
      <c r="E750" s="547"/>
      <c r="F750" s="547"/>
      <c r="G750" s="547"/>
      <c r="H750" s="547"/>
      <c r="I750" s="547"/>
      <c r="J750" s="547"/>
      <c r="K750" s="547"/>
      <c r="M750" s="547"/>
      <c r="N750" s="547"/>
      <c r="O750" s="547"/>
      <c r="P750" s="547"/>
      <c r="Q750" s="547"/>
      <c r="R750" s="547"/>
      <c r="S750" s="547"/>
      <c r="T750" s="547"/>
      <c r="U750" s="547"/>
      <c r="V750" s="547"/>
      <c r="W750" s="547"/>
      <c r="X750" s="547"/>
      <c r="Y750" s="547"/>
      <c r="Z750" s="547"/>
      <c r="AA750" s="547"/>
      <c r="AB750" s="884"/>
      <c r="AC750" s="547"/>
    </row>
    <row r="751" spans="1:29" ht="15.75" customHeight="1">
      <c r="A751" s="549"/>
      <c r="B751" s="550"/>
      <c r="C751" s="551"/>
      <c r="D751" s="551"/>
      <c r="E751" s="547"/>
      <c r="F751" s="547"/>
      <c r="G751" s="547"/>
      <c r="H751" s="547"/>
      <c r="I751" s="547"/>
      <c r="J751" s="547"/>
      <c r="K751" s="547"/>
      <c r="M751" s="547"/>
      <c r="N751" s="547"/>
      <c r="O751" s="547"/>
      <c r="P751" s="547"/>
      <c r="Q751" s="547"/>
      <c r="R751" s="547"/>
      <c r="S751" s="547"/>
      <c r="T751" s="547"/>
      <c r="U751" s="547"/>
      <c r="V751" s="547"/>
      <c r="W751" s="547"/>
      <c r="X751" s="547"/>
      <c r="Y751" s="547"/>
      <c r="Z751" s="547"/>
      <c r="AA751" s="547"/>
      <c r="AB751" s="884"/>
      <c r="AC751" s="547"/>
    </row>
    <row r="752" spans="1:29" ht="15.75" customHeight="1">
      <c r="A752" s="549"/>
      <c r="B752" s="550"/>
      <c r="C752" s="551"/>
      <c r="D752" s="551"/>
      <c r="E752" s="547"/>
      <c r="F752" s="547"/>
      <c r="G752" s="547"/>
      <c r="H752" s="547"/>
      <c r="I752" s="547"/>
      <c r="J752" s="547"/>
      <c r="K752" s="547"/>
      <c r="M752" s="547"/>
      <c r="N752" s="547"/>
      <c r="O752" s="547"/>
      <c r="P752" s="547"/>
      <c r="Q752" s="547"/>
      <c r="R752" s="547"/>
      <c r="S752" s="547"/>
      <c r="T752" s="547"/>
      <c r="U752" s="547"/>
      <c r="V752" s="547"/>
      <c r="W752" s="547"/>
      <c r="X752" s="547"/>
      <c r="Y752" s="547"/>
      <c r="Z752" s="547"/>
      <c r="AA752" s="547"/>
      <c r="AB752" s="884"/>
      <c r="AC752" s="547"/>
    </row>
    <row r="753" spans="1:29" ht="15.75" customHeight="1">
      <c r="A753" s="549"/>
      <c r="B753" s="550"/>
      <c r="C753" s="551"/>
      <c r="D753" s="551"/>
      <c r="E753" s="547"/>
      <c r="F753" s="547"/>
      <c r="G753" s="547"/>
      <c r="H753" s="547"/>
      <c r="I753" s="547"/>
      <c r="J753" s="547"/>
      <c r="K753" s="547"/>
      <c r="M753" s="547"/>
      <c r="N753" s="547"/>
      <c r="O753" s="547"/>
      <c r="P753" s="547"/>
      <c r="Q753" s="547"/>
      <c r="R753" s="547"/>
      <c r="S753" s="547"/>
      <c r="T753" s="547"/>
      <c r="U753" s="547"/>
      <c r="V753" s="547"/>
      <c r="W753" s="547"/>
      <c r="X753" s="547"/>
      <c r="Y753" s="547"/>
      <c r="Z753" s="547"/>
      <c r="AA753" s="547"/>
      <c r="AB753" s="884"/>
      <c r="AC753" s="547"/>
    </row>
    <row r="754" spans="1:29" ht="15.75" customHeight="1">
      <c r="A754" s="549"/>
      <c r="B754" s="550"/>
      <c r="C754" s="551"/>
      <c r="D754" s="551"/>
      <c r="E754" s="547"/>
      <c r="F754" s="547"/>
      <c r="G754" s="547"/>
      <c r="H754" s="547"/>
      <c r="I754" s="547"/>
      <c r="J754" s="547"/>
      <c r="K754" s="547"/>
      <c r="M754" s="547"/>
      <c r="N754" s="547"/>
      <c r="O754" s="547"/>
      <c r="P754" s="547"/>
      <c r="Q754" s="547"/>
      <c r="R754" s="547"/>
      <c r="S754" s="547"/>
      <c r="T754" s="547"/>
      <c r="U754" s="547"/>
      <c r="V754" s="547"/>
      <c r="W754" s="547"/>
      <c r="X754" s="547"/>
      <c r="Y754" s="547"/>
      <c r="Z754" s="547"/>
      <c r="AA754" s="547"/>
      <c r="AB754" s="884"/>
      <c r="AC754" s="547"/>
    </row>
    <row r="755" spans="1:29" ht="15.75" customHeight="1">
      <c r="A755" s="549"/>
      <c r="B755" s="550"/>
      <c r="C755" s="551"/>
      <c r="D755" s="551"/>
      <c r="E755" s="547"/>
      <c r="F755" s="547"/>
      <c r="G755" s="547"/>
      <c r="H755" s="547"/>
      <c r="I755" s="547"/>
      <c r="J755" s="547"/>
      <c r="K755" s="547"/>
      <c r="M755" s="547"/>
      <c r="N755" s="547"/>
      <c r="O755" s="547"/>
      <c r="P755" s="547"/>
      <c r="Q755" s="547"/>
      <c r="R755" s="547"/>
      <c r="S755" s="547"/>
      <c r="T755" s="547"/>
      <c r="U755" s="547"/>
      <c r="V755" s="547"/>
      <c r="W755" s="547"/>
      <c r="X755" s="547"/>
      <c r="Y755" s="547"/>
      <c r="Z755" s="547"/>
      <c r="AA755" s="547"/>
      <c r="AB755" s="884"/>
      <c r="AC755" s="547"/>
    </row>
    <row r="756" spans="1:29" ht="15.75" customHeight="1">
      <c r="A756" s="549"/>
      <c r="B756" s="550"/>
      <c r="C756" s="551"/>
      <c r="D756" s="551"/>
      <c r="E756" s="547"/>
      <c r="F756" s="547"/>
      <c r="G756" s="547"/>
      <c r="H756" s="547"/>
      <c r="I756" s="547"/>
      <c r="J756" s="547"/>
      <c r="K756" s="547"/>
      <c r="M756" s="547"/>
      <c r="N756" s="547"/>
      <c r="O756" s="547"/>
      <c r="P756" s="547"/>
      <c r="Q756" s="547"/>
      <c r="R756" s="547"/>
      <c r="S756" s="547"/>
      <c r="T756" s="547"/>
      <c r="U756" s="547"/>
      <c r="V756" s="547"/>
      <c r="W756" s="547"/>
      <c r="X756" s="547"/>
      <c r="Y756" s="547"/>
      <c r="Z756" s="547"/>
      <c r="AA756" s="547"/>
      <c r="AB756" s="884"/>
      <c r="AC756" s="547"/>
    </row>
    <row r="757" spans="1:29" ht="15.75" customHeight="1">
      <c r="A757" s="549"/>
      <c r="B757" s="550"/>
      <c r="C757" s="551"/>
      <c r="D757" s="551"/>
      <c r="E757" s="547"/>
      <c r="F757" s="547"/>
      <c r="G757" s="547"/>
      <c r="H757" s="547"/>
      <c r="I757" s="547"/>
      <c r="J757" s="547"/>
      <c r="K757" s="547"/>
      <c r="M757" s="547"/>
      <c r="N757" s="547"/>
      <c r="O757" s="547"/>
      <c r="P757" s="547"/>
      <c r="Q757" s="547"/>
      <c r="R757" s="547"/>
      <c r="S757" s="547"/>
      <c r="T757" s="547"/>
      <c r="U757" s="547"/>
      <c r="V757" s="547"/>
      <c r="W757" s="547"/>
      <c r="X757" s="547"/>
      <c r="Y757" s="547"/>
      <c r="Z757" s="547"/>
      <c r="AA757" s="547"/>
      <c r="AB757" s="884"/>
      <c r="AC757" s="547"/>
    </row>
    <row r="758" spans="1:29" ht="15.75" customHeight="1">
      <c r="A758" s="549"/>
      <c r="B758" s="550"/>
      <c r="C758" s="551"/>
      <c r="D758" s="551"/>
      <c r="E758" s="547"/>
      <c r="F758" s="547"/>
      <c r="G758" s="547"/>
      <c r="H758" s="547"/>
      <c r="I758" s="547"/>
      <c r="J758" s="547"/>
      <c r="K758" s="547"/>
      <c r="M758" s="547"/>
      <c r="N758" s="547"/>
      <c r="O758" s="547"/>
      <c r="P758" s="547"/>
      <c r="Q758" s="547"/>
      <c r="R758" s="547"/>
      <c r="S758" s="547"/>
      <c r="T758" s="547"/>
      <c r="U758" s="547"/>
      <c r="V758" s="547"/>
      <c r="W758" s="547"/>
      <c r="X758" s="547"/>
      <c r="Y758" s="547"/>
      <c r="Z758" s="547"/>
      <c r="AA758" s="547"/>
      <c r="AB758" s="884"/>
      <c r="AC758" s="547"/>
    </row>
    <row r="759" spans="1:29" ht="15.75" customHeight="1">
      <c r="A759" s="549"/>
      <c r="B759" s="550"/>
      <c r="C759" s="551"/>
      <c r="D759" s="551"/>
      <c r="E759" s="547"/>
      <c r="F759" s="547"/>
      <c r="G759" s="547"/>
      <c r="H759" s="547"/>
      <c r="I759" s="547"/>
      <c r="J759" s="547"/>
      <c r="K759" s="547"/>
      <c r="M759" s="547"/>
      <c r="N759" s="547"/>
      <c r="O759" s="547"/>
      <c r="P759" s="547"/>
      <c r="Q759" s="547"/>
      <c r="R759" s="547"/>
      <c r="S759" s="547"/>
      <c r="T759" s="547"/>
      <c r="U759" s="547"/>
      <c r="V759" s="547"/>
      <c r="W759" s="547"/>
      <c r="X759" s="547"/>
      <c r="Y759" s="547"/>
      <c r="Z759" s="547"/>
      <c r="AA759" s="547"/>
      <c r="AB759" s="884"/>
      <c r="AC759" s="547"/>
    </row>
    <row r="760" spans="1:29" ht="15.75" customHeight="1">
      <c r="A760" s="549"/>
      <c r="B760" s="550"/>
      <c r="C760" s="551"/>
      <c r="D760" s="551"/>
      <c r="E760" s="547"/>
      <c r="F760" s="547"/>
      <c r="G760" s="547"/>
      <c r="H760" s="547"/>
      <c r="I760" s="547"/>
      <c r="J760" s="547"/>
      <c r="K760" s="547"/>
      <c r="M760" s="547"/>
      <c r="N760" s="547"/>
      <c r="O760" s="547"/>
      <c r="P760" s="547"/>
      <c r="Q760" s="547"/>
      <c r="R760" s="547"/>
      <c r="S760" s="547"/>
      <c r="T760" s="547"/>
      <c r="U760" s="547"/>
      <c r="V760" s="547"/>
      <c r="W760" s="547"/>
      <c r="X760" s="547"/>
      <c r="Y760" s="547"/>
      <c r="Z760" s="547"/>
      <c r="AA760" s="547"/>
      <c r="AB760" s="884"/>
      <c r="AC760" s="547"/>
    </row>
    <row r="761" spans="1:29" ht="15.75" customHeight="1">
      <c r="A761" s="549"/>
      <c r="B761" s="550"/>
      <c r="C761" s="551"/>
      <c r="D761" s="551"/>
      <c r="E761" s="547"/>
      <c r="F761" s="547"/>
      <c r="G761" s="547"/>
      <c r="H761" s="547"/>
      <c r="I761" s="547"/>
      <c r="J761" s="547"/>
      <c r="K761" s="547"/>
      <c r="M761" s="547"/>
      <c r="N761" s="547"/>
      <c r="O761" s="547"/>
      <c r="P761" s="547"/>
      <c r="Q761" s="547"/>
      <c r="R761" s="547"/>
      <c r="S761" s="547"/>
      <c r="T761" s="547"/>
      <c r="U761" s="547"/>
      <c r="V761" s="547"/>
      <c r="W761" s="547"/>
      <c r="X761" s="547"/>
      <c r="Y761" s="547"/>
      <c r="Z761" s="547"/>
      <c r="AA761" s="547"/>
      <c r="AB761" s="884"/>
      <c r="AC761" s="547"/>
    </row>
    <row r="762" spans="1:29" ht="15.75" customHeight="1">
      <c r="A762" s="549"/>
      <c r="B762" s="550"/>
      <c r="C762" s="551"/>
      <c r="D762" s="551"/>
      <c r="E762" s="547"/>
      <c r="F762" s="547"/>
      <c r="G762" s="547"/>
      <c r="H762" s="547"/>
      <c r="I762" s="547"/>
      <c r="J762" s="547"/>
      <c r="K762" s="547"/>
      <c r="M762" s="547"/>
      <c r="N762" s="547"/>
      <c r="O762" s="547"/>
      <c r="P762" s="547"/>
      <c r="Q762" s="547"/>
      <c r="R762" s="547"/>
      <c r="S762" s="547"/>
      <c r="T762" s="547"/>
      <c r="U762" s="547"/>
      <c r="V762" s="547"/>
      <c r="W762" s="547"/>
      <c r="X762" s="547"/>
      <c r="Y762" s="547"/>
      <c r="Z762" s="547"/>
      <c r="AA762" s="547"/>
      <c r="AB762" s="884"/>
      <c r="AC762" s="547"/>
    </row>
    <row r="763" spans="1:29" ht="15.75" customHeight="1">
      <c r="A763" s="549"/>
      <c r="B763" s="550"/>
      <c r="C763" s="551"/>
      <c r="D763" s="551"/>
      <c r="E763" s="547"/>
      <c r="F763" s="547"/>
      <c r="G763" s="547"/>
      <c r="H763" s="547"/>
      <c r="I763" s="547"/>
      <c r="J763" s="547"/>
      <c r="K763" s="547"/>
      <c r="M763" s="547"/>
      <c r="N763" s="547"/>
      <c r="O763" s="547"/>
      <c r="P763" s="547"/>
      <c r="Q763" s="547"/>
      <c r="R763" s="547"/>
      <c r="S763" s="547"/>
      <c r="T763" s="547"/>
      <c r="U763" s="547"/>
      <c r="V763" s="547"/>
      <c r="W763" s="547"/>
      <c r="X763" s="547"/>
      <c r="Y763" s="547"/>
      <c r="Z763" s="547"/>
      <c r="AA763" s="547"/>
      <c r="AB763" s="884"/>
      <c r="AC763" s="547"/>
    </row>
    <row r="764" spans="1:29" ht="15.75" customHeight="1">
      <c r="A764" s="549"/>
      <c r="B764" s="550"/>
      <c r="C764" s="551"/>
      <c r="D764" s="551"/>
      <c r="E764" s="547"/>
      <c r="F764" s="547"/>
      <c r="G764" s="547"/>
      <c r="H764" s="547"/>
      <c r="I764" s="547"/>
      <c r="J764" s="547"/>
      <c r="K764" s="547"/>
      <c r="M764" s="547"/>
      <c r="N764" s="547"/>
      <c r="O764" s="547"/>
      <c r="P764" s="547"/>
      <c r="Q764" s="547"/>
      <c r="R764" s="547"/>
      <c r="S764" s="547"/>
      <c r="T764" s="547"/>
      <c r="U764" s="547"/>
      <c r="V764" s="547"/>
      <c r="W764" s="547"/>
      <c r="X764" s="547"/>
      <c r="Y764" s="547"/>
      <c r="Z764" s="547"/>
      <c r="AA764" s="547"/>
      <c r="AB764" s="884"/>
      <c r="AC764" s="547"/>
    </row>
    <row r="765" spans="1:29" ht="15.75" customHeight="1">
      <c r="A765" s="549"/>
      <c r="B765" s="550"/>
      <c r="C765" s="551"/>
      <c r="D765" s="551"/>
      <c r="E765" s="547"/>
      <c r="F765" s="547"/>
      <c r="G765" s="547"/>
      <c r="H765" s="547"/>
      <c r="I765" s="547"/>
      <c r="J765" s="547"/>
      <c r="K765" s="547"/>
      <c r="M765" s="547"/>
      <c r="N765" s="547"/>
      <c r="O765" s="547"/>
      <c r="P765" s="547"/>
      <c r="Q765" s="547"/>
      <c r="R765" s="547"/>
      <c r="S765" s="547"/>
      <c r="T765" s="547"/>
      <c r="U765" s="547"/>
      <c r="V765" s="547"/>
      <c r="W765" s="547"/>
      <c r="X765" s="547"/>
      <c r="Y765" s="547"/>
      <c r="Z765" s="547"/>
      <c r="AA765" s="547"/>
      <c r="AB765" s="884"/>
      <c r="AC765" s="547"/>
    </row>
    <row r="766" spans="1:29" ht="15.75" customHeight="1">
      <c r="A766" s="549"/>
      <c r="B766" s="550"/>
      <c r="C766" s="551"/>
      <c r="D766" s="551"/>
      <c r="E766" s="547"/>
      <c r="F766" s="547"/>
      <c r="G766" s="547"/>
      <c r="H766" s="547"/>
      <c r="I766" s="547"/>
      <c r="J766" s="547"/>
      <c r="K766" s="547"/>
      <c r="M766" s="547"/>
      <c r="N766" s="547"/>
      <c r="O766" s="547"/>
      <c r="P766" s="547"/>
      <c r="Q766" s="547"/>
      <c r="R766" s="547"/>
      <c r="S766" s="547"/>
      <c r="T766" s="547"/>
      <c r="U766" s="547"/>
      <c r="V766" s="547"/>
      <c r="W766" s="547"/>
      <c r="X766" s="547"/>
      <c r="Y766" s="547"/>
      <c r="Z766" s="547"/>
      <c r="AA766" s="547"/>
      <c r="AB766" s="884"/>
      <c r="AC766" s="547"/>
    </row>
    <row r="767" spans="1:29" ht="15.75" customHeight="1">
      <c r="A767" s="549"/>
      <c r="B767" s="550"/>
      <c r="C767" s="551"/>
      <c r="D767" s="551"/>
      <c r="E767" s="547"/>
      <c r="F767" s="547"/>
      <c r="G767" s="547"/>
      <c r="H767" s="547"/>
      <c r="I767" s="547"/>
      <c r="J767" s="547"/>
      <c r="K767" s="547"/>
      <c r="M767" s="547"/>
      <c r="N767" s="547"/>
      <c r="O767" s="547"/>
      <c r="P767" s="547"/>
      <c r="Q767" s="547"/>
      <c r="R767" s="547"/>
      <c r="S767" s="547"/>
      <c r="T767" s="547"/>
      <c r="U767" s="547"/>
      <c r="V767" s="547"/>
      <c r="W767" s="547"/>
      <c r="X767" s="547"/>
      <c r="Y767" s="547"/>
      <c r="Z767" s="547"/>
      <c r="AA767" s="547"/>
      <c r="AB767" s="884"/>
      <c r="AC767" s="547"/>
    </row>
    <row r="768" spans="1:29" ht="15.75" customHeight="1">
      <c r="A768" s="549"/>
      <c r="B768" s="550"/>
      <c r="C768" s="551"/>
      <c r="D768" s="551"/>
      <c r="E768" s="547"/>
      <c r="F768" s="547"/>
      <c r="G768" s="547"/>
      <c r="H768" s="547"/>
      <c r="I768" s="547"/>
      <c r="J768" s="547"/>
      <c r="K768" s="547"/>
      <c r="M768" s="547"/>
      <c r="N768" s="547"/>
      <c r="O768" s="547"/>
      <c r="P768" s="547"/>
      <c r="Q768" s="547"/>
      <c r="R768" s="547"/>
      <c r="S768" s="547"/>
      <c r="T768" s="547"/>
      <c r="U768" s="547"/>
      <c r="V768" s="547"/>
      <c r="W768" s="547"/>
      <c r="X768" s="547"/>
      <c r="Y768" s="547"/>
      <c r="Z768" s="547"/>
      <c r="AA768" s="547"/>
      <c r="AB768" s="884"/>
      <c r="AC768" s="547"/>
    </row>
    <row r="769" spans="1:29" ht="15.75" customHeight="1">
      <c r="A769" s="549"/>
      <c r="B769" s="550"/>
      <c r="C769" s="551"/>
      <c r="D769" s="551"/>
      <c r="E769" s="547"/>
      <c r="F769" s="547"/>
      <c r="G769" s="547"/>
      <c r="H769" s="547"/>
      <c r="I769" s="547"/>
      <c r="J769" s="547"/>
      <c r="K769" s="547"/>
      <c r="M769" s="547"/>
      <c r="N769" s="547"/>
      <c r="O769" s="547"/>
      <c r="P769" s="547"/>
      <c r="Q769" s="547"/>
      <c r="R769" s="547"/>
      <c r="S769" s="547"/>
      <c r="T769" s="547"/>
      <c r="U769" s="547"/>
      <c r="V769" s="547"/>
      <c r="W769" s="547"/>
      <c r="X769" s="547"/>
      <c r="Y769" s="547"/>
      <c r="Z769" s="547"/>
      <c r="AA769" s="547"/>
      <c r="AB769" s="884"/>
      <c r="AC769" s="547"/>
    </row>
    <row r="770" spans="1:29" ht="15.75" customHeight="1">
      <c r="A770" s="549"/>
      <c r="B770" s="550"/>
      <c r="C770" s="551"/>
      <c r="D770" s="551"/>
      <c r="E770" s="547"/>
      <c r="F770" s="547"/>
      <c r="G770" s="547"/>
      <c r="H770" s="547"/>
      <c r="I770" s="547"/>
      <c r="J770" s="547"/>
      <c r="K770" s="547"/>
      <c r="M770" s="547"/>
      <c r="N770" s="547"/>
      <c r="O770" s="547"/>
      <c r="P770" s="547"/>
      <c r="Q770" s="547"/>
      <c r="R770" s="547"/>
      <c r="S770" s="547"/>
      <c r="T770" s="547"/>
      <c r="U770" s="547"/>
      <c r="V770" s="547"/>
      <c r="W770" s="547"/>
      <c r="X770" s="547"/>
      <c r="Y770" s="547"/>
      <c r="Z770" s="547"/>
      <c r="AA770" s="547"/>
      <c r="AB770" s="884"/>
      <c r="AC770" s="547"/>
    </row>
    <row r="771" spans="1:29" ht="15.75" customHeight="1">
      <c r="A771" s="549"/>
      <c r="B771" s="550"/>
      <c r="C771" s="551"/>
      <c r="D771" s="551"/>
      <c r="E771" s="547"/>
      <c r="F771" s="547"/>
      <c r="G771" s="547"/>
      <c r="H771" s="547"/>
      <c r="I771" s="547"/>
      <c r="J771" s="547"/>
      <c r="K771" s="547"/>
      <c r="M771" s="547"/>
      <c r="N771" s="547"/>
      <c r="O771" s="547"/>
      <c r="P771" s="547"/>
      <c r="Q771" s="547"/>
      <c r="R771" s="547"/>
      <c r="S771" s="547"/>
      <c r="T771" s="547"/>
      <c r="U771" s="547"/>
      <c r="V771" s="547"/>
      <c r="W771" s="547"/>
      <c r="X771" s="547"/>
      <c r="Y771" s="547"/>
      <c r="Z771" s="547"/>
      <c r="AA771" s="547"/>
      <c r="AB771" s="884"/>
      <c r="AC771" s="547"/>
    </row>
    <row r="772" spans="1:29" ht="15.75" customHeight="1">
      <c r="A772" s="549"/>
      <c r="B772" s="550"/>
      <c r="C772" s="551"/>
      <c r="D772" s="551"/>
      <c r="E772" s="547"/>
      <c r="F772" s="547"/>
      <c r="G772" s="547"/>
      <c r="H772" s="547"/>
      <c r="I772" s="547"/>
      <c r="J772" s="547"/>
      <c r="K772" s="547"/>
      <c r="M772" s="547"/>
      <c r="N772" s="547"/>
      <c r="O772" s="547"/>
      <c r="P772" s="547"/>
      <c r="Q772" s="547"/>
      <c r="R772" s="547"/>
      <c r="S772" s="547"/>
      <c r="T772" s="547"/>
      <c r="U772" s="547"/>
      <c r="V772" s="547"/>
      <c r="W772" s="547"/>
      <c r="X772" s="547"/>
      <c r="Y772" s="547"/>
      <c r="Z772" s="547"/>
      <c r="AA772" s="547"/>
      <c r="AB772" s="884"/>
      <c r="AC772" s="547"/>
    </row>
    <row r="773" spans="1:29" ht="15.75" customHeight="1">
      <c r="A773" s="549"/>
      <c r="B773" s="550"/>
      <c r="C773" s="551"/>
      <c r="D773" s="551"/>
      <c r="E773" s="547"/>
      <c r="F773" s="547"/>
      <c r="G773" s="547"/>
      <c r="H773" s="547"/>
      <c r="I773" s="547"/>
      <c r="J773" s="547"/>
      <c r="K773" s="547"/>
      <c r="M773" s="547"/>
      <c r="N773" s="547"/>
      <c r="O773" s="547"/>
      <c r="P773" s="547"/>
      <c r="Q773" s="547"/>
      <c r="R773" s="547"/>
      <c r="S773" s="547"/>
      <c r="T773" s="547"/>
      <c r="U773" s="547"/>
      <c r="V773" s="547"/>
      <c r="W773" s="547"/>
      <c r="X773" s="547"/>
      <c r="Y773" s="547"/>
      <c r="Z773" s="547"/>
      <c r="AA773" s="547"/>
      <c r="AB773" s="884"/>
      <c r="AC773" s="547"/>
    </row>
    <row r="774" spans="1:29" ht="15.75" customHeight="1">
      <c r="A774" s="549"/>
      <c r="B774" s="550"/>
      <c r="C774" s="551"/>
      <c r="D774" s="551"/>
      <c r="E774" s="547"/>
      <c r="F774" s="547"/>
      <c r="G774" s="547"/>
      <c r="H774" s="547"/>
      <c r="I774" s="547"/>
      <c r="J774" s="547"/>
      <c r="K774" s="547"/>
      <c r="M774" s="547"/>
      <c r="N774" s="547"/>
      <c r="O774" s="547"/>
      <c r="P774" s="547"/>
      <c r="Q774" s="547"/>
      <c r="R774" s="547"/>
      <c r="S774" s="547"/>
      <c r="T774" s="547"/>
      <c r="U774" s="547"/>
      <c r="V774" s="547"/>
      <c r="W774" s="547"/>
      <c r="X774" s="547"/>
      <c r="Y774" s="547"/>
      <c r="Z774" s="547"/>
      <c r="AA774" s="547"/>
      <c r="AB774" s="884"/>
      <c r="AC774" s="547"/>
    </row>
    <row r="775" spans="1:29" ht="15.75" customHeight="1">
      <c r="A775" s="549"/>
      <c r="B775" s="550"/>
      <c r="C775" s="551"/>
      <c r="D775" s="551"/>
      <c r="E775" s="547"/>
      <c r="F775" s="547"/>
      <c r="G775" s="547"/>
      <c r="H775" s="547"/>
      <c r="I775" s="547"/>
      <c r="J775" s="547"/>
      <c r="K775" s="547"/>
      <c r="M775" s="547"/>
      <c r="N775" s="547"/>
      <c r="O775" s="547"/>
      <c r="P775" s="547"/>
      <c r="Q775" s="547"/>
      <c r="R775" s="547"/>
      <c r="S775" s="547"/>
      <c r="T775" s="547"/>
      <c r="U775" s="547"/>
      <c r="V775" s="547"/>
      <c r="W775" s="547"/>
      <c r="X775" s="547"/>
      <c r="Y775" s="547"/>
      <c r="Z775" s="547"/>
      <c r="AA775" s="547"/>
      <c r="AB775" s="884"/>
      <c r="AC775" s="547"/>
    </row>
    <row r="776" spans="1:29" ht="15.75" customHeight="1">
      <c r="A776" s="549"/>
      <c r="B776" s="550"/>
      <c r="C776" s="551"/>
      <c r="D776" s="551"/>
      <c r="E776" s="547"/>
      <c r="F776" s="547"/>
      <c r="G776" s="547"/>
      <c r="H776" s="547"/>
      <c r="I776" s="547"/>
      <c r="J776" s="547"/>
      <c r="K776" s="547"/>
      <c r="M776" s="547"/>
      <c r="N776" s="547"/>
      <c r="O776" s="547"/>
      <c r="P776" s="547"/>
      <c r="Q776" s="547"/>
      <c r="R776" s="547"/>
      <c r="S776" s="547"/>
      <c r="T776" s="547"/>
      <c r="U776" s="547"/>
      <c r="V776" s="547"/>
      <c r="W776" s="547"/>
      <c r="X776" s="547"/>
      <c r="Y776" s="547"/>
      <c r="Z776" s="547"/>
      <c r="AA776" s="547"/>
      <c r="AB776" s="884"/>
      <c r="AC776" s="547"/>
    </row>
    <row r="777" spans="1:29" ht="15.75" customHeight="1">
      <c r="A777" s="549"/>
      <c r="B777" s="550"/>
      <c r="C777" s="551"/>
      <c r="D777" s="551"/>
      <c r="E777" s="547"/>
      <c r="F777" s="547"/>
      <c r="G777" s="547"/>
      <c r="H777" s="547"/>
      <c r="I777" s="547"/>
      <c r="J777" s="547"/>
      <c r="K777" s="547"/>
      <c r="M777" s="547"/>
      <c r="N777" s="547"/>
      <c r="O777" s="547"/>
      <c r="P777" s="547"/>
      <c r="Q777" s="547"/>
      <c r="R777" s="547"/>
      <c r="S777" s="547"/>
      <c r="T777" s="547"/>
      <c r="U777" s="547"/>
      <c r="V777" s="547"/>
      <c r="W777" s="547"/>
      <c r="X777" s="547"/>
      <c r="Y777" s="547"/>
      <c r="Z777" s="547"/>
      <c r="AA777" s="547"/>
      <c r="AB777" s="884"/>
      <c r="AC777" s="547"/>
    </row>
    <row r="778" spans="1:29" ht="15.75" customHeight="1">
      <c r="A778" s="549"/>
      <c r="B778" s="550"/>
      <c r="C778" s="551"/>
      <c r="D778" s="551"/>
      <c r="E778" s="547"/>
      <c r="F778" s="547"/>
      <c r="G778" s="547"/>
      <c r="H778" s="547"/>
      <c r="I778" s="547"/>
      <c r="J778" s="547"/>
      <c r="K778" s="547"/>
      <c r="M778" s="547"/>
      <c r="N778" s="547"/>
      <c r="O778" s="547"/>
      <c r="P778" s="547"/>
      <c r="Q778" s="547"/>
      <c r="R778" s="547"/>
      <c r="S778" s="547"/>
      <c r="T778" s="547"/>
      <c r="U778" s="547"/>
      <c r="V778" s="547"/>
      <c r="W778" s="547"/>
      <c r="X778" s="547"/>
      <c r="Y778" s="547"/>
      <c r="Z778" s="547"/>
      <c r="AA778" s="547"/>
      <c r="AB778" s="884"/>
      <c r="AC778" s="547"/>
    </row>
    <row r="779" spans="1:29" ht="15.75" customHeight="1">
      <c r="A779" s="549"/>
      <c r="B779" s="550"/>
      <c r="C779" s="551"/>
      <c r="D779" s="551"/>
      <c r="E779" s="547"/>
      <c r="F779" s="547"/>
      <c r="G779" s="547"/>
      <c r="H779" s="547"/>
      <c r="I779" s="547"/>
      <c r="J779" s="547"/>
      <c r="K779" s="547"/>
      <c r="M779" s="547"/>
      <c r="N779" s="547"/>
      <c r="O779" s="547"/>
      <c r="P779" s="547"/>
      <c r="Q779" s="547"/>
      <c r="R779" s="547"/>
      <c r="S779" s="547"/>
      <c r="T779" s="547"/>
      <c r="U779" s="547"/>
      <c r="V779" s="547"/>
      <c r="W779" s="547"/>
      <c r="X779" s="547"/>
      <c r="Y779" s="547"/>
      <c r="Z779" s="547"/>
      <c r="AA779" s="547"/>
      <c r="AB779" s="884"/>
      <c r="AC779" s="547"/>
    </row>
    <row r="780" spans="1:29" ht="15.75" customHeight="1">
      <c r="A780" s="549"/>
      <c r="B780" s="550"/>
      <c r="C780" s="551"/>
      <c r="D780" s="551"/>
      <c r="E780" s="547"/>
      <c r="F780" s="547"/>
      <c r="G780" s="547"/>
      <c r="H780" s="547"/>
      <c r="I780" s="547"/>
      <c r="J780" s="547"/>
      <c r="K780" s="547"/>
      <c r="M780" s="547"/>
      <c r="N780" s="547"/>
      <c r="O780" s="547"/>
      <c r="P780" s="547"/>
      <c r="Q780" s="547"/>
      <c r="R780" s="547"/>
      <c r="S780" s="547"/>
      <c r="T780" s="547"/>
      <c r="U780" s="547"/>
      <c r="V780" s="547"/>
      <c r="W780" s="547"/>
      <c r="X780" s="547"/>
      <c r="Y780" s="547"/>
      <c r="Z780" s="547"/>
      <c r="AA780" s="547"/>
      <c r="AB780" s="884"/>
      <c r="AC780" s="547"/>
    </row>
    <row r="781" spans="1:29" ht="15.75" customHeight="1">
      <c r="A781" s="549"/>
      <c r="B781" s="550"/>
      <c r="C781" s="551"/>
      <c r="D781" s="551"/>
      <c r="E781" s="547"/>
      <c r="F781" s="547"/>
      <c r="G781" s="547"/>
      <c r="H781" s="547"/>
      <c r="I781" s="547"/>
      <c r="J781" s="547"/>
      <c r="K781" s="547"/>
      <c r="M781" s="547"/>
      <c r="N781" s="547"/>
      <c r="O781" s="547"/>
      <c r="P781" s="547"/>
      <c r="Q781" s="547"/>
      <c r="R781" s="547"/>
      <c r="S781" s="547"/>
      <c r="T781" s="547"/>
      <c r="U781" s="547"/>
      <c r="V781" s="547"/>
      <c r="W781" s="547"/>
      <c r="X781" s="547"/>
      <c r="Y781" s="547"/>
      <c r="Z781" s="547"/>
      <c r="AA781" s="547"/>
      <c r="AB781" s="884"/>
      <c r="AC781" s="547"/>
    </row>
    <row r="782" spans="1:29" ht="15.75" customHeight="1">
      <c r="A782" s="549"/>
      <c r="B782" s="550"/>
      <c r="C782" s="551"/>
      <c r="D782" s="551"/>
      <c r="E782" s="547"/>
      <c r="F782" s="547"/>
      <c r="G782" s="547"/>
      <c r="H782" s="547"/>
      <c r="I782" s="547"/>
      <c r="J782" s="547"/>
      <c r="K782" s="547"/>
      <c r="M782" s="547"/>
      <c r="N782" s="547"/>
      <c r="O782" s="547"/>
      <c r="P782" s="547"/>
      <c r="Q782" s="547"/>
      <c r="R782" s="547"/>
      <c r="S782" s="547"/>
      <c r="T782" s="547"/>
      <c r="U782" s="547"/>
      <c r="V782" s="547"/>
      <c r="W782" s="547"/>
      <c r="X782" s="547"/>
      <c r="Y782" s="547"/>
      <c r="Z782" s="547"/>
      <c r="AA782" s="547"/>
      <c r="AB782" s="884"/>
      <c r="AC782" s="547"/>
    </row>
    <row r="783" spans="1:29" ht="15.75" customHeight="1">
      <c r="A783" s="549"/>
      <c r="B783" s="550"/>
      <c r="C783" s="551"/>
      <c r="D783" s="551"/>
      <c r="E783" s="547"/>
      <c r="F783" s="547"/>
      <c r="G783" s="547"/>
      <c r="H783" s="547"/>
      <c r="I783" s="547"/>
      <c r="J783" s="547"/>
      <c r="K783" s="547"/>
      <c r="M783" s="547"/>
      <c r="N783" s="547"/>
      <c r="O783" s="547"/>
      <c r="P783" s="547"/>
      <c r="Q783" s="547"/>
      <c r="R783" s="547"/>
      <c r="S783" s="547"/>
      <c r="T783" s="547"/>
      <c r="U783" s="547"/>
      <c r="V783" s="547"/>
      <c r="W783" s="547"/>
      <c r="X783" s="547"/>
      <c r="Y783" s="547"/>
      <c r="Z783" s="547"/>
      <c r="AA783" s="547"/>
      <c r="AB783" s="884"/>
      <c r="AC783" s="547"/>
    </row>
    <row r="784" spans="1:29" ht="15.75" customHeight="1">
      <c r="A784" s="549"/>
      <c r="B784" s="550"/>
      <c r="C784" s="551"/>
      <c r="D784" s="551"/>
      <c r="E784" s="547"/>
      <c r="F784" s="547"/>
      <c r="G784" s="547"/>
      <c r="H784" s="547"/>
      <c r="I784" s="547"/>
      <c r="J784" s="547"/>
      <c r="K784" s="547"/>
      <c r="M784" s="547"/>
      <c r="N784" s="547"/>
      <c r="O784" s="547"/>
      <c r="P784" s="547"/>
      <c r="Q784" s="547"/>
      <c r="R784" s="547"/>
      <c r="S784" s="547"/>
      <c r="T784" s="547"/>
      <c r="U784" s="547"/>
      <c r="V784" s="547"/>
      <c r="W784" s="547"/>
      <c r="X784" s="547"/>
      <c r="Y784" s="547"/>
      <c r="Z784" s="547"/>
      <c r="AA784" s="547"/>
      <c r="AB784" s="884"/>
      <c r="AC784" s="547"/>
    </row>
    <row r="785" spans="1:29" ht="15.75" customHeight="1">
      <c r="A785" s="549"/>
      <c r="B785" s="550"/>
      <c r="C785" s="551"/>
      <c r="D785" s="551"/>
      <c r="E785" s="547"/>
      <c r="F785" s="547"/>
      <c r="G785" s="547"/>
      <c r="H785" s="547"/>
      <c r="I785" s="547"/>
      <c r="J785" s="547"/>
      <c r="K785" s="547"/>
      <c r="M785" s="547"/>
      <c r="N785" s="547"/>
      <c r="O785" s="547"/>
      <c r="P785" s="547"/>
      <c r="Q785" s="547"/>
      <c r="R785" s="547"/>
      <c r="S785" s="547"/>
      <c r="T785" s="547"/>
      <c r="U785" s="547"/>
      <c r="V785" s="547"/>
      <c r="W785" s="547"/>
      <c r="X785" s="547"/>
      <c r="Y785" s="547"/>
      <c r="Z785" s="547"/>
      <c r="AA785" s="547"/>
      <c r="AB785" s="884"/>
      <c r="AC785" s="547"/>
    </row>
    <row r="786" spans="1:29" ht="15.75" customHeight="1">
      <c r="A786" s="549"/>
      <c r="B786" s="550"/>
      <c r="C786" s="551"/>
      <c r="D786" s="551"/>
      <c r="E786" s="547"/>
      <c r="F786" s="547"/>
      <c r="G786" s="547"/>
      <c r="H786" s="547"/>
      <c r="I786" s="547"/>
      <c r="J786" s="547"/>
      <c r="K786" s="547"/>
      <c r="M786" s="547"/>
      <c r="N786" s="547"/>
      <c r="O786" s="547"/>
      <c r="P786" s="547"/>
      <c r="Q786" s="547"/>
      <c r="R786" s="547"/>
      <c r="S786" s="547"/>
      <c r="T786" s="547"/>
      <c r="U786" s="547"/>
      <c r="V786" s="547"/>
      <c r="W786" s="547"/>
      <c r="X786" s="547"/>
      <c r="Y786" s="547"/>
      <c r="Z786" s="547"/>
      <c r="AA786" s="547"/>
      <c r="AB786" s="884"/>
      <c r="AC786" s="547"/>
    </row>
    <row r="787" spans="1:29" ht="15.75" customHeight="1">
      <c r="A787" s="549"/>
      <c r="B787" s="550"/>
      <c r="C787" s="551"/>
      <c r="D787" s="551"/>
      <c r="E787" s="547"/>
      <c r="F787" s="547"/>
      <c r="G787" s="547"/>
      <c r="H787" s="547"/>
      <c r="I787" s="547"/>
      <c r="J787" s="547"/>
      <c r="K787" s="547"/>
      <c r="M787" s="547"/>
      <c r="N787" s="547"/>
      <c r="O787" s="547"/>
      <c r="P787" s="547"/>
      <c r="Q787" s="547"/>
      <c r="R787" s="547"/>
      <c r="S787" s="547"/>
      <c r="T787" s="547"/>
      <c r="U787" s="547"/>
      <c r="V787" s="547"/>
      <c r="W787" s="547"/>
      <c r="X787" s="547"/>
      <c r="Y787" s="547"/>
      <c r="Z787" s="547"/>
      <c r="AA787" s="547"/>
      <c r="AB787" s="884"/>
      <c r="AC787" s="547"/>
    </row>
    <row r="788" spans="1:29" ht="15.75" customHeight="1">
      <c r="A788" s="549"/>
      <c r="B788" s="550"/>
      <c r="C788" s="551"/>
      <c r="D788" s="551"/>
      <c r="E788" s="547"/>
      <c r="F788" s="547"/>
      <c r="G788" s="547"/>
      <c r="H788" s="547"/>
      <c r="I788" s="547"/>
      <c r="J788" s="547"/>
      <c r="K788" s="547"/>
      <c r="M788" s="547"/>
      <c r="N788" s="547"/>
      <c r="O788" s="547"/>
      <c r="P788" s="547"/>
      <c r="Q788" s="547"/>
      <c r="R788" s="547"/>
      <c r="S788" s="547"/>
      <c r="T788" s="547"/>
      <c r="U788" s="547"/>
      <c r="V788" s="547"/>
      <c r="W788" s="547"/>
      <c r="X788" s="547"/>
      <c r="Y788" s="547"/>
      <c r="Z788" s="547"/>
      <c r="AA788" s="547"/>
      <c r="AB788" s="884"/>
      <c r="AC788" s="547"/>
    </row>
    <row r="789" spans="1:29" ht="15.75" customHeight="1">
      <c r="A789" s="549"/>
      <c r="B789" s="550"/>
      <c r="C789" s="551"/>
      <c r="D789" s="551"/>
      <c r="E789" s="547"/>
      <c r="F789" s="547"/>
      <c r="G789" s="547"/>
      <c r="H789" s="547"/>
      <c r="I789" s="547"/>
      <c r="J789" s="547"/>
      <c r="K789" s="547"/>
      <c r="M789" s="547"/>
      <c r="N789" s="547"/>
      <c r="O789" s="547"/>
      <c r="P789" s="547"/>
      <c r="Q789" s="547"/>
      <c r="R789" s="547"/>
      <c r="S789" s="547"/>
      <c r="T789" s="547"/>
      <c r="U789" s="547"/>
      <c r="V789" s="547"/>
      <c r="W789" s="547"/>
      <c r="X789" s="547"/>
      <c r="Y789" s="547"/>
      <c r="Z789" s="547"/>
      <c r="AA789" s="547"/>
      <c r="AB789" s="884"/>
      <c r="AC789" s="547"/>
    </row>
    <row r="790" spans="1:29" ht="15.75" customHeight="1">
      <c r="A790" s="549"/>
      <c r="B790" s="550"/>
      <c r="C790" s="551"/>
      <c r="D790" s="551"/>
      <c r="E790" s="547"/>
      <c r="F790" s="547"/>
      <c r="G790" s="547"/>
      <c r="H790" s="547"/>
      <c r="I790" s="547"/>
      <c r="J790" s="547"/>
      <c r="K790" s="547"/>
      <c r="M790" s="547"/>
      <c r="N790" s="547"/>
      <c r="O790" s="547"/>
      <c r="P790" s="547"/>
      <c r="Q790" s="547"/>
      <c r="R790" s="547"/>
      <c r="S790" s="547"/>
      <c r="T790" s="547"/>
      <c r="U790" s="547"/>
      <c r="V790" s="547"/>
      <c r="W790" s="547"/>
      <c r="X790" s="547"/>
      <c r="Y790" s="547"/>
      <c r="Z790" s="547"/>
      <c r="AA790" s="547"/>
      <c r="AB790" s="884"/>
      <c r="AC790" s="547"/>
    </row>
    <row r="791" spans="1:29" ht="15.75" customHeight="1">
      <c r="A791" s="549"/>
      <c r="B791" s="550"/>
      <c r="C791" s="551"/>
      <c r="D791" s="551"/>
      <c r="E791" s="547"/>
      <c r="F791" s="547"/>
      <c r="G791" s="547"/>
      <c r="H791" s="547"/>
      <c r="I791" s="547"/>
      <c r="J791" s="547"/>
      <c r="K791" s="547"/>
      <c r="M791" s="547"/>
      <c r="N791" s="547"/>
      <c r="O791" s="547"/>
      <c r="P791" s="547"/>
      <c r="Q791" s="547"/>
      <c r="R791" s="547"/>
      <c r="S791" s="547"/>
      <c r="T791" s="547"/>
      <c r="U791" s="547"/>
      <c r="V791" s="547"/>
      <c r="W791" s="547"/>
      <c r="X791" s="547"/>
      <c r="Y791" s="547"/>
      <c r="Z791" s="547"/>
      <c r="AA791" s="547"/>
      <c r="AB791" s="884"/>
      <c r="AC791" s="547"/>
    </row>
    <row r="792" spans="1:29" ht="15.75" customHeight="1">
      <c r="A792" s="549"/>
      <c r="B792" s="550"/>
      <c r="C792" s="551"/>
      <c r="D792" s="551"/>
      <c r="E792" s="547"/>
      <c r="F792" s="547"/>
      <c r="G792" s="547"/>
      <c r="H792" s="547"/>
      <c r="I792" s="547"/>
      <c r="J792" s="547"/>
      <c r="K792" s="547"/>
      <c r="M792" s="547"/>
      <c r="N792" s="547"/>
      <c r="O792" s="547"/>
      <c r="P792" s="547"/>
      <c r="Q792" s="547"/>
      <c r="R792" s="547"/>
      <c r="S792" s="547"/>
      <c r="T792" s="547"/>
      <c r="U792" s="547"/>
      <c r="V792" s="547"/>
      <c r="W792" s="547"/>
      <c r="X792" s="547"/>
      <c r="Y792" s="547"/>
      <c r="Z792" s="547"/>
      <c r="AA792" s="547"/>
      <c r="AB792" s="884"/>
      <c r="AC792" s="547"/>
    </row>
    <row r="793" spans="1:29" ht="15.75" customHeight="1">
      <c r="A793" s="549"/>
      <c r="B793" s="550"/>
      <c r="C793" s="551"/>
      <c r="D793" s="551"/>
      <c r="E793" s="547"/>
      <c r="F793" s="547"/>
      <c r="G793" s="547"/>
      <c r="H793" s="547"/>
      <c r="I793" s="547"/>
      <c r="J793" s="547"/>
      <c r="K793" s="547"/>
      <c r="M793" s="547"/>
      <c r="N793" s="547"/>
      <c r="O793" s="547"/>
      <c r="P793" s="547"/>
      <c r="Q793" s="547"/>
      <c r="R793" s="547"/>
      <c r="S793" s="547"/>
      <c r="T793" s="547"/>
      <c r="U793" s="547"/>
      <c r="V793" s="547"/>
      <c r="W793" s="547"/>
      <c r="X793" s="547"/>
      <c r="Y793" s="547"/>
      <c r="Z793" s="547"/>
      <c r="AA793" s="547"/>
      <c r="AB793" s="884"/>
      <c r="AC793" s="547"/>
    </row>
    <row r="794" spans="1:29" ht="15.75" customHeight="1">
      <c r="A794" s="549"/>
      <c r="B794" s="550"/>
      <c r="C794" s="551"/>
      <c r="D794" s="551"/>
      <c r="E794" s="547"/>
      <c r="F794" s="547"/>
      <c r="G794" s="547"/>
      <c r="H794" s="547"/>
      <c r="I794" s="547"/>
      <c r="J794" s="547"/>
      <c r="K794" s="547"/>
      <c r="M794" s="547"/>
      <c r="N794" s="547"/>
      <c r="O794" s="547"/>
      <c r="P794" s="547"/>
      <c r="Q794" s="547"/>
      <c r="R794" s="547"/>
      <c r="S794" s="547"/>
      <c r="T794" s="547"/>
      <c r="U794" s="547"/>
      <c r="V794" s="547"/>
      <c r="W794" s="547"/>
      <c r="X794" s="547"/>
      <c r="Y794" s="547"/>
      <c r="Z794" s="547"/>
      <c r="AA794" s="547"/>
      <c r="AB794" s="884"/>
      <c r="AC794" s="547"/>
    </row>
    <row r="795" spans="1:29" ht="15.75" customHeight="1">
      <c r="A795" s="549"/>
      <c r="B795" s="550"/>
      <c r="C795" s="551"/>
      <c r="D795" s="551"/>
      <c r="E795" s="547"/>
      <c r="F795" s="547"/>
      <c r="G795" s="547"/>
      <c r="H795" s="547"/>
      <c r="I795" s="547"/>
      <c r="J795" s="547"/>
      <c r="K795" s="547"/>
      <c r="M795" s="547"/>
      <c r="N795" s="547"/>
      <c r="O795" s="547"/>
      <c r="P795" s="547"/>
      <c r="Q795" s="547"/>
      <c r="R795" s="547"/>
      <c r="S795" s="547"/>
      <c r="T795" s="547"/>
      <c r="U795" s="547"/>
      <c r="V795" s="547"/>
      <c r="W795" s="547"/>
      <c r="X795" s="547"/>
      <c r="Y795" s="547"/>
      <c r="Z795" s="547"/>
      <c r="AA795" s="547"/>
      <c r="AB795" s="884"/>
      <c r="AC795" s="547"/>
    </row>
    <row r="796" spans="1:29" ht="15.75" customHeight="1">
      <c r="A796" s="549"/>
      <c r="B796" s="550"/>
      <c r="C796" s="551"/>
      <c r="D796" s="551"/>
      <c r="E796" s="547"/>
      <c r="F796" s="547"/>
      <c r="G796" s="547"/>
      <c r="H796" s="547"/>
      <c r="I796" s="547"/>
      <c r="J796" s="547"/>
      <c r="K796" s="547"/>
      <c r="M796" s="547"/>
      <c r="N796" s="547"/>
      <c r="O796" s="547"/>
      <c r="P796" s="547"/>
      <c r="Q796" s="547"/>
      <c r="R796" s="547"/>
      <c r="S796" s="547"/>
      <c r="T796" s="547"/>
      <c r="U796" s="547"/>
      <c r="V796" s="547"/>
      <c r="W796" s="547"/>
      <c r="X796" s="547"/>
      <c r="Y796" s="547"/>
      <c r="Z796" s="547"/>
      <c r="AA796" s="547"/>
      <c r="AB796" s="884"/>
      <c r="AC796" s="547"/>
    </row>
    <row r="797" spans="1:29" ht="15.75" customHeight="1">
      <c r="A797" s="549"/>
      <c r="B797" s="550"/>
      <c r="C797" s="551"/>
      <c r="D797" s="551"/>
      <c r="E797" s="547"/>
      <c r="F797" s="547"/>
      <c r="G797" s="547"/>
      <c r="H797" s="547"/>
      <c r="I797" s="547"/>
      <c r="J797" s="547"/>
      <c r="K797" s="547"/>
      <c r="M797" s="547"/>
      <c r="N797" s="547"/>
      <c r="O797" s="547"/>
      <c r="P797" s="547"/>
      <c r="Q797" s="547"/>
      <c r="R797" s="547"/>
      <c r="S797" s="547"/>
      <c r="T797" s="547"/>
      <c r="U797" s="547"/>
      <c r="V797" s="547"/>
      <c r="W797" s="547"/>
      <c r="X797" s="547"/>
      <c r="Y797" s="547"/>
      <c r="Z797" s="547"/>
      <c r="AA797" s="547"/>
      <c r="AB797" s="884"/>
      <c r="AC797" s="547"/>
    </row>
    <row r="798" spans="1:29" ht="15.75" customHeight="1">
      <c r="A798" s="549"/>
      <c r="B798" s="550"/>
      <c r="C798" s="551"/>
      <c r="D798" s="551"/>
      <c r="E798" s="547"/>
      <c r="F798" s="547"/>
      <c r="G798" s="547"/>
      <c r="H798" s="547"/>
      <c r="I798" s="547"/>
      <c r="J798" s="547"/>
      <c r="K798" s="547"/>
      <c r="M798" s="547"/>
      <c r="N798" s="547"/>
      <c r="O798" s="547"/>
      <c r="P798" s="547"/>
      <c r="Q798" s="547"/>
      <c r="R798" s="547"/>
      <c r="S798" s="547"/>
      <c r="T798" s="547"/>
      <c r="U798" s="547"/>
      <c r="V798" s="547"/>
      <c r="W798" s="547"/>
      <c r="X798" s="547"/>
      <c r="Y798" s="547"/>
      <c r="Z798" s="547"/>
      <c r="AA798" s="547"/>
      <c r="AB798" s="884"/>
      <c r="AC798" s="547"/>
    </row>
    <row r="799" spans="1:29" ht="15.75" customHeight="1">
      <c r="A799" s="549"/>
      <c r="B799" s="550"/>
      <c r="C799" s="551"/>
      <c r="D799" s="551"/>
      <c r="E799" s="547"/>
      <c r="F799" s="547"/>
      <c r="G799" s="547"/>
      <c r="H799" s="547"/>
      <c r="I799" s="547"/>
      <c r="J799" s="547"/>
      <c r="K799" s="547"/>
      <c r="M799" s="547"/>
      <c r="N799" s="547"/>
      <c r="O799" s="547"/>
      <c r="P799" s="547"/>
      <c r="Q799" s="547"/>
      <c r="R799" s="547"/>
      <c r="S799" s="547"/>
      <c r="T799" s="547"/>
      <c r="U799" s="547"/>
      <c r="V799" s="547"/>
      <c r="W799" s="547"/>
      <c r="X799" s="547"/>
      <c r="Y799" s="547"/>
      <c r="Z799" s="547"/>
      <c r="AA799" s="547"/>
      <c r="AB799" s="884"/>
      <c r="AC799" s="547"/>
    </row>
    <row r="800" spans="1:29" ht="15.75" customHeight="1">
      <c r="A800" s="549"/>
      <c r="B800" s="550"/>
      <c r="C800" s="551"/>
      <c r="D800" s="551"/>
      <c r="E800" s="547"/>
      <c r="F800" s="547"/>
      <c r="G800" s="547"/>
      <c r="H800" s="547"/>
      <c r="I800" s="547"/>
      <c r="J800" s="547"/>
      <c r="K800" s="547"/>
      <c r="M800" s="547"/>
      <c r="N800" s="547"/>
      <c r="O800" s="547"/>
      <c r="P800" s="547"/>
      <c r="Q800" s="547"/>
      <c r="R800" s="547"/>
      <c r="S800" s="547"/>
      <c r="T800" s="547"/>
      <c r="U800" s="547"/>
      <c r="V800" s="547"/>
      <c r="W800" s="547"/>
      <c r="X800" s="547"/>
      <c r="Y800" s="547"/>
      <c r="Z800" s="547"/>
      <c r="AA800" s="547"/>
      <c r="AB800" s="884"/>
      <c r="AC800" s="547"/>
    </row>
    <row r="801" spans="1:29" ht="15.75" customHeight="1">
      <c r="A801" s="549"/>
      <c r="B801" s="550"/>
      <c r="C801" s="551"/>
      <c r="D801" s="551"/>
      <c r="E801" s="547"/>
      <c r="F801" s="547"/>
      <c r="G801" s="547"/>
      <c r="H801" s="547"/>
      <c r="I801" s="547"/>
      <c r="J801" s="547"/>
      <c r="K801" s="547"/>
      <c r="M801" s="547"/>
      <c r="N801" s="547"/>
      <c r="O801" s="547"/>
      <c r="P801" s="547"/>
      <c r="Q801" s="547"/>
      <c r="R801" s="547"/>
      <c r="S801" s="547"/>
      <c r="T801" s="547"/>
      <c r="U801" s="547"/>
      <c r="V801" s="547"/>
      <c r="W801" s="547"/>
      <c r="X801" s="547"/>
      <c r="Y801" s="547"/>
      <c r="Z801" s="547"/>
      <c r="AA801" s="547"/>
      <c r="AB801" s="884"/>
      <c r="AC801" s="547"/>
    </row>
    <row r="802" spans="1:29" ht="15.75" customHeight="1">
      <c r="A802" s="549"/>
      <c r="B802" s="550"/>
      <c r="C802" s="551"/>
      <c r="D802" s="551"/>
      <c r="E802" s="547"/>
      <c r="F802" s="547"/>
      <c r="G802" s="547"/>
      <c r="H802" s="547"/>
      <c r="I802" s="547"/>
      <c r="J802" s="547"/>
      <c r="K802" s="547"/>
      <c r="M802" s="547"/>
      <c r="N802" s="547"/>
      <c r="O802" s="547"/>
      <c r="P802" s="547"/>
      <c r="Q802" s="547"/>
      <c r="R802" s="547"/>
      <c r="S802" s="547"/>
      <c r="T802" s="547"/>
      <c r="U802" s="547"/>
      <c r="V802" s="547"/>
      <c r="W802" s="547"/>
      <c r="X802" s="547"/>
      <c r="Y802" s="547"/>
      <c r="Z802" s="547"/>
      <c r="AA802" s="547"/>
      <c r="AB802" s="884"/>
      <c r="AC802" s="547"/>
    </row>
    <row r="803" spans="1:29" ht="15.75" customHeight="1">
      <c r="A803" s="549"/>
      <c r="B803" s="550"/>
      <c r="C803" s="551"/>
      <c r="D803" s="551"/>
      <c r="E803" s="547"/>
      <c r="F803" s="547"/>
      <c r="G803" s="547"/>
      <c r="H803" s="547"/>
      <c r="I803" s="547"/>
      <c r="J803" s="547"/>
      <c r="K803" s="547"/>
      <c r="M803" s="547"/>
      <c r="N803" s="547"/>
      <c r="O803" s="547"/>
      <c r="P803" s="547"/>
      <c r="Q803" s="547"/>
      <c r="R803" s="547"/>
      <c r="S803" s="547"/>
      <c r="T803" s="547"/>
      <c r="U803" s="547"/>
      <c r="V803" s="547"/>
      <c r="W803" s="547"/>
      <c r="X803" s="547"/>
      <c r="Y803" s="547"/>
      <c r="Z803" s="547"/>
      <c r="AA803" s="547"/>
      <c r="AB803" s="884"/>
      <c r="AC803" s="547"/>
    </row>
    <row r="804" spans="1:29" ht="15.75" customHeight="1">
      <c r="A804" s="549"/>
      <c r="B804" s="550"/>
      <c r="C804" s="551"/>
      <c r="D804" s="551"/>
      <c r="E804" s="547"/>
      <c r="F804" s="547"/>
      <c r="G804" s="547"/>
      <c r="H804" s="547"/>
      <c r="I804" s="547"/>
      <c r="J804" s="547"/>
      <c r="K804" s="547"/>
      <c r="M804" s="547"/>
      <c r="N804" s="547"/>
      <c r="O804" s="547"/>
      <c r="P804" s="547"/>
      <c r="Q804" s="547"/>
      <c r="R804" s="547"/>
      <c r="S804" s="547"/>
      <c r="T804" s="547"/>
      <c r="U804" s="547"/>
      <c r="V804" s="547"/>
      <c r="W804" s="547"/>
      <c r="X804" s="547"/>
      <c r="Y804" s="547"/>
      <c r="Z804" s="547"/>
      <c r="AA804" s="547"/>
      <c r="AB804" s="884"/>
      <c r="AC804" s="547"/>
    </row>
    <row r="805" spans="1:29" ht="15.75" customHeight="1">
      <c r="A805" s="549"/>
      <c r="B805" s="550"/>
      <c r="C805" s="551"/>
      <c r="D805" s="551"/>
      <c r="E805" s="547"/>
      <c r="F805" s="547"/>
      <c r="G805" s="547"/>
      <c r="H805" s="547"/>
      <c r="I805" s="547"/>
      <c r="J805" s="547"/>
      <c r="K805" s="547"/>
      <c r="M805" s="547"/>
      <c r="N805" s="547"/>
      <c r="O805" s="547"/>
      <c r="P805" s="547"/>
      <c r="Q805" s="547"/>
      <c r="R805" s="547"/>
      <c r="S805" s="547"/>
      <c r="T805" s="547"/>
      <c r="U805" s="547"/>
      <c r="V805" s="547"/>
      <c r="W805" s="547"/>
      <c r="X805" s="547"/>
      <c r="Y805" s="547"/>
      <c r="Z805" s="547"/>
      <c r="AA805" s="547"/>
      <c r="AB805" s="884"/>
      <c r="AC805" s="547"/>
    </row>
    <row r="806" spans="1:29" ht="15.75" customHeight="1">
      <c r="A806" s="549"/>
      <c r="B806" s="550"/>
      <c r="C806" s="551"/>
      <c r="D806" s="551"/>
      <c r="E806" s="547"/>
      <c r="F806" s="547"/>
      <c r="G806" s="547"/>
      <c r="H806" s="547"/>
      <c r="I806" s="547"/>
      <c r="J806" s="547"/>
      <c r="K806" s="547"/>
      <c r="M806" s="547"/>
      <c r="N806" s="547"/>
      <c r="O806" s="547"/>
      <c r="P806" s="547"/>
      <c r="Q806" s="547"/>
      <c r="R806" s="547"/>
      <c r="S806" s="547"/>
      <c r="T806" s="547"/>
      <c r="U806" s="547"/>
      <c r="V806" s="547"/>
      <c r="W806" s="547"/>
      <c r="X806" s="547"/>
      <c r="Y806" s="547"/>
      <c r="Z806" s="547"/>
      <c r="AA806" s="547"/>
      <c r="AB806" s="884"/>
      <c r="AC806" s="547"/>
    </row>
    <row r="807" spans="1:29" ht="15.75" customHeight="1">
      <c r="A807" s="549"/>
      <c r="B807" s="550"/>
      <c r="C807" s="551"/>
      <c r="D807" s="551"/>
      <c r="E807" s="547"/>
      <c r="F807" s="547"/>
      <c r="G807" s="547"/>
      <c r="H807" s="547"/>
      <c r="I807" s="547"/>
      <c r="J807" s="547"/>
      <c r="K807" s="547"/>
      <c r="M807" s="547"/>
      <c r="N807" s="547"/>
      <c r="O807" s="547"/>
      <c r="P807" s="547"/>
      <c r="Q807" s="547"/>
      <c r="R807" s="547"/>
      <c r="S807" s="547"/>
      <c r="T807" s="547"/>
      <c r="U807" s="547"/>
      <c r="V807" s="547"/>
      <c r="W807" s="547"/>
      <c r="X807" s="547"/>
      <c r="Y807" s="547"/>
      <c r="Z807" s="547"/>
      <c r="AA807" s="547"/>
      <c r="AB807" s="884"/>
      <c r="AC807" s="547"/>
    </row>
    <row r="808" spans="1:29" ht="15.75" customHeight="1">
      <c r="A808" s="549"/>
      <c r="B808" s="550"/>
      <c r="C808" s="551"/>
      <c r="D808" s="551"/>
      <c r="E808" s="547"/>
      <c r="F808" s="547"/>
      <c r="G808" s="547"/>
      <c r="H808" s="547"/>
      <c r="I808" s="547"/>
      <c r="J808" s="547"/>
      <c r="K808" s="547"/>
      <c r="M808" s="547"/>
      <c r="N808" s="547"/>
      <c r="O808" s="547"/>
      <c r="P808" s="547"/>
      <c r="Q808" s="547"/>
      <c r="R808" s="547"/>
      <c r="S808" s="547"/>
      <c r="T808" s="547"/>
      <c r="U808" s="547"/>
      <c r="V808" s="547"/>
      <c r="W808" s="547"/>
      <c r="X808" s="547"/>
      <c r="Y808" s="547"/>
      <c r="Z808" s="547"/>
      <c r="AA808" s="547"/>
      <c r="AB808" s="884"/>
      <c r="AC808" s="547"/>
    </row>
    <row r="809" spans="1:29" ht="15.75" customHeight="1">
      <c r="A809" s="549"/>
      <c r="B809" s="550"/>
      <c r="C809" s="551"/>
      <c r="D809" s="551"/>
      <c r="E809" s="547"/>
      <c r="F809" s="547"/>
      <c r="G809" s="547"/>
      <c r="H809" s="547"/>
      <c r="I809" s="547"/>
      <c r="J809" s="547"/>
      <c r="K809" s="547"/>
      <c r="M809" s="547"/>
      <c r="N809" s="547"/>
      <c r="O809" s="547"/>
      <c r="P809" s="547"/>
      <c r="Q809" s="547"/>
      <c r="R809" s="547"/>
      <c r="S809" s="547"/>
      <c r="T809" s="547"/>
      <c r="U809" s="547"/>
      <c r="V809" s="547"/>
      <c r="W809" s="547"/>
      <c r="X809" s="547"/>
      <c r="Y809" s="547"/>
      <c r="Z809" s="547"/>
      <c r="AA809" s="547"/>
      <c r="AB809" s="884"/>
      <c r="AC809" s="547"/>
    </row>
    <row r="810" spans="1:29" ht="15.75" customHeight="1">
      <c r="A810" s="549"/>
      <c r="B810" s="550"/>
      <c r="C810" s="551"/>
      <c r="D810" s="551"/>
      <c r="E810" s="547"/>
      <c r="F810" s="547"/>
      <c r="G810" s="547"/>
      <c r="H810" s="547"/>
      <c r="I810" s="547"/>
      <c r="J810" s="547"/>
      <c r="K810" s="547"/>
      <c r="M810" s="547"/>
      <c r="N810" s="547"/>
      <c r="O810" s="547"/>
      <c r="P810" s="547"/>
      <c r="Q810" s="547"/>
      <c r="R810" s="547"/>
      <c r="S810" s="547"/>
      <c r="T810" s="547"/>
      <c r="U810" s="547"/>
      <c r="V810" s="547"/>
      <c r="W810" s="547"/>
      <c r="X810" s="547"/>
      <c r="Y810" s="547"/>
      <c r="Z810" s="547"/>
      <c r="AA810" s="547"/>
      <c r="AB810" s="884"/>
      <c r="AC810" s="547"/>
    </row>
    <row r="811" spans="1:29" ht="15.75" customHeight="1">
      <c r="A811" s="549"/>
      <c r="B811" s="550"/>
      <c r="C811" s="551"/>
      <c r="D811" s="551"/>
      <c r="E811" s="547"/>
      <c r="F811" s="547"/>
      <c r="G811" s="547"/>
      <c r="H811" s="547"/>
      <c r="I811" s="547"/>
      <c r="J811" s="547"/>
      <c r="K811" s="547"/>
      <c r="M811" s="547"/>
      <c r="N811" s="547"/>
      <c r="O811" s="547"/>
      <c r="P811" s="547"/>
      <c r="Q811" s="547"/>
      <c r="R811" s="547"/>
      <c r="S811" s="547"/>
      <c r="T811" s="547"/>
      <c r="U811" s="547"/>
      <c r="V811" s="547"/>
      <c r="W811" s="547"/>
      <c r="X811" s="547"/>
      <c r="Y811" s="547"/>
      <c r="Z811" s="547"/>
      <c r="AA811" s="547"/>
      <c r="AB811" s="884"/>
      <c r="AC811" s="547"/>
    </row>
    <row r="812" spans="1:29" ht="15.75" customHeight="1">
      <c r="A812" s="549"/>
      <c r="B812" s="550"/>
      <c r="C812" s="551"/>
      <c r="D812" s="551"/>
      <c r="E812" s="547"/>
      <c r="F812" s="547"/>
      <c r="G812" s="547"/>
      <c r="H812" s="547"/>
      <c r="I812" s="547"/>
      <c r="J812" s="547"/>
      <c r="K812" s="547"/>
      <c r="M812" s="547"/>
      <c r="N812" s="547"/>
      <c r="O812" s="547"/>
      <c r="P812" s="547"/>
      <c r="Q812" s="547"/>
      <c r="R812" s="547"/>
      <c r="S812" s="547"/>
      <c r="T812" s="547"/>
      <c r="U812" s="547"/>
      <c r="V812" s="547"/>
      <c r="W812" s="547"/>
      <c r="X812" s="547"/>
      <c r="Y812" s="547"/>
      <c r="Z812" s="547"/>
      <c r="AA812" s="547"/>
      <c r="AB812" s="884"/>
      <c r="AC812" s="547"/>
    </row>
    <row r="813" spans="1:29" ht="15.75" customHeight="1">
      <c r="A813" s="549"/>
      <c r="B813" s="550"/>
      <c r="C813" s="551"/>
      <c r="D813" s="551"/>
      <c r="E813" s="547"/>
      <c r="F813" s="547"/>
      <c r="G813" s="547"/>
      <c r="H813" s="547"/>
      <c r="I813" s="547"/>
      <c r="J813" s="547"/>
      <c r="K813" s="547"/>
      <c r="M813" s="547"/>
      <c r="N813" s="547"/>
      <c r="O813" s="547"/>
      <c r="P813" s="547"/>
      <c r="Q813" s="547"/>
      <c r="R813" s="547"/>
      <c r="S813" s="547"/>
      <c r="T813" s="547"/>
      <c r="U813" s="547"/>
      <c r="V813" s="547"/>
      <c r="W813" s="547"/>
      <c r="X813" s="547"/>
      <c r="Y813" s="547"/>
      <c r="Z813" s="547"/>
      <c r="AA813" s="547"/>
      <c r="AB813" s="884"/>
      <c r="AC813" s="547"/>
    </row>
    <row r="814" spans="1:29" ht="15.75" customHeight="1">
      <c r="A814" s="549"/>
      <c r="B814" s="550"/>
      <c r="C814" s="551"/>
      <c r="D814" s="551"/>
      <c r="E814" s="547"/>
      <c r="F814" s="547"/>
      <c r="G814" s="547"/>
      <c r="H814" s="547"/>
      <c r="I814" s="547"/>
      <c r="J814" s="547"/>
      <c r="K814" s="547"/>
      <c r="M814" s="547"/>
      <c r="N814" s="547"/>
      <c r="O814" s="547"/>
      <c r="P814" s="547"/>
      <c r="Q814" s="547"/>
      <c r="R814" s="547"/>
      <c r="S814" s="547"/>
      <c r="T814" s="547"/>
      <c r="U814" s="547"/>
      <c r="V814" s="547"/>
      <c r="W814" s="547"/>
      <c r="X814" s="547"/>
      <c r="Y814" s="547"/>
      <c r="Z814" s="547"/>
      <c r="AA814" s="547"/>
      <c r="AB814" s="884"/>
      <c r="AC814" s="547"/>
    </row>
    <row r="815" spans="1:29" ht="15.75" customHeight="1">
      <c r="A815" s="549"/>
      <c r="B815" s="550"/>
      <c r="C815" s="551"/>
      <c r="D815" s="551"/>
      <c r="E815" s="547"/>
      <c r="F815" s="547"/>
      <c r="G815" s="547"/>
      <c r="H815" s="547"/>
      <c r="I815" s="547"/>
      <c r="J815" s="547"/>
      <c r="K815" s="547"/>
      <c r="M815" s="547"/>
      <c r="N815" s="547"/>
      <c r="O815" s="547"/>
      <c r="P815" s="547"/>
      <c r="Q815" s="547"/>
      <c r="R815" s="547"/>
      <c r="S815" s="547"/>
      <c r="T815" s="547"/>
      <c r="U815" s="547"/>
      <c r="V815" s="547"/>
      <c r="W815" s="547"/>
      <c r="X815" s="547"/>
      <c r="Y815" s="547"/>
      <c r="Z815" s="547"/>
      <c r="AA815" s="547"/>
      <c r="AB815" s="884"/>
      <c r="AC815" s="547"/>
    </row>
    <row r="816" spans="1:29" ht="15.75" customHeight="1">
      <c r="A816" s="549"/>
      <c r="B816" s="550"/>
      <c r="C816" s="551"/>
      <c r="D816" s="551"/>
      <c r="E816" s="547"/>
      <c r="F816" s="547"/>
      <c r="G816" s="547"/>
      <c r="H816" s="547"/>
      <c r="I816" s="547"/>
      <c r="J816" s="547"/>
      <c r="K816" s="547"/>
      <c r="M816" s="547"/>
      <c r="N816" s="547"/>
      <c r="O816" s="547"/>
      <c r="P816" s="547"/>
      <c r="Q816" s="547"/>
      <c r="R816" s="547"/>
      <c r="S816" s="547"/>
      <c r="T816" s="547"/>
      <c r="U816" s="547"/>
      <c r="V816" s="547"/>
      <c r="W816" s="547"/>
      <c r="X816" s="547"/>
      <c r="Y816" s="547"/>
      <c r="Z816" s="547"/>
      <c r="AA816" s="547"/>
      <c r="AB816" s="884"/>
      <c r="AC816" s="547"/>
    </row>
    <row r="817" spans="1:29" ht="15.75" customHeight="1">
      <c r="A817" s="549"/>
      <c r="B817" s="550"/>
      <c r="C817" s="551"/>
      <c r="D817" s="551"/>
      <c r="E817" s="547"/>
      <c r="F817" s="547"/>
      <c r="G817" s="547"/>
      <c r="H817" s="547"/>
      <c r="I817" s="547"/>
      <c r="J817" s="547"/>
      <c r="K817" s="547"/>
      <c r="M817" s="547"/>
      <c r="N817" s="547"/>
      <c r="O817" s="547"/>
      <c r="P817" s="547"/>
      <c r="Q817" s="547"/>
      <c r="R817" s="547"/>
      <c r="S817" s="547"/>
      <c r="T817" s="547"/>
      <c r="U817" s="547"/>
      <c r="V817" s="547"/>
      <c r="W817" s="547"/>
      <c r="X817" s="547"/>
      <c r="Y817" s="547"/>
      <c r="Z817" s="547"/>
      <c r="AA817" s="547"/>
      <c r="AB817" s="884"/>
      <c r="AC817" s="547"/>
    </row>
    <row r="818" spans="1:29" ht="15.75" customHeight="1">
      <c r="A818" s="549"/>
      <c r="B818" s="550"/>
      <c r="C818" s="551"/>
      <c r="D818" s="551"/>
      <c r="E818" s="547"/>
      <c r="F818" s="547"/>
      <c r="G818" s="547"/>
      <c r="H818" s="547"/>
      <c r="I818" s="547"/>
      <c r="J818" s="547"/>
      <c r="K818" s="547"/>
      <c r="M818" s="547"/>
      <c r="N818" s="547"/>
      <c r="O818" s="547"/>
      <c r="P818" s="547"/>
      <c r="Q818" s="547"/>
      <c r="R818" s="547"/>
      <c r="S818" s="547"/>
      <c r="T818" s="547"/>
      <c r="U818" s="547"/>
      <c r="V818" s="547"/>
      <c r="W818" s="547"/>
      <c r="X818" s="547"/>
      <c r="Y818" s="547"/>
      <c r="Z818" s="547"/>
      <c r="AA818" s="547"/>
      <c r="AB818" s="884"/>
      <c r="AC818" s="547"/>
    </row>
    <row r="819" spans="1:29" ht="15.75" customHeight="1">
      <c r="A819" s="549"/>
      <c r="B819" s="550"/>
      <c r="C819" s="551"/>
      <c r="D819" s="551"/>
      <c r="E819" s="547"/>
      <c r="F819" s="547"/>
      <c r="G819" s="547"/>
      <c r="H819" s="547"/>
      <c r="I819" s="547"/>
      <c r="J819" s="547"/>
      <c r="K819" s="547"/>
      <c r="M819" s="547"/>
      <c r="N819" s="547"/>
      <c r="O819" s="547"/>
      <c r="P819" s="547"/>
      <c r="Q819" s="547"/>
      <c r="R819" s="547"/>
      <c r="S819" s="547"/>
      <c r="T819" s="547"/>
      <c r="U819" s="547"/>
      <c r="V819" s="547"/>
      <c r="W819" s="547"/>
      <c r="X819" s="547"/>
      <c r="Y819" s="547"/>
      <c r="Z819" s="547"/>
      <c r="AA819" s="547"/>
      <c r="AB819" s="884"/>
      <c r="AC819" s="547"/>
    </row>
    <row r="820" spans="1:29" ht="15.75" customHeight="1">
      <c r="A820" s="549"/>
      <c r="B820" s="550"/>
      <c r="C820" s="551"/>
      <c r="D820" s="551"/>
      <c r="E820" s="547"/>
      <c r="F820" s="547"/>
      <c r="G820" s="547"/>
      <c r="H820" s="547"/>
      <c r="I820" s="547"/>
      <c r="J820" s="547"/>
      <c r="K820" s="547"/>
      <c r="M820" s="547"/>
      <c r="N820" s="547"/>
      <c r="O820" s="547"/>
      <c r="P820" s="547"/>
      <c r="Q820" s="547"/>
      <c r="R820" s="547"/>
      <c r="S820" s="547"/>
      <c r="T820" s="547"/>
      <c r="U820" s="547"/>
      <c r="V820" s="547"/>
      <c r="W820" s="547"/>
      <c r="X820" s="547"/>
      <c r="Y820" s="547"/>
      <c r="Z820" s="547"/>
      <c r="AA820" s="547"/>
      <c r="AB820" s="884"/>
      <c r="AC820" s="547"/>
    </row>
    <row r="821" spans="1:29" ht="15.75" customHeight="1">
      <c r="A821" s="549"/>
      <c r="B821" s="550"/>
      <c r="C821" s="551"/>
      <c r="D821" s="551"/>
      <c r="E821" s="547"/>
      <c r="F821" s="547"/>
      <c r="G821" s="547"/>
      <c r="H821" s="547"/>
      <c r="I821" s="547"/>
      <c r="J821" s="547"/>
      <c r="K821" s="547"/>
      <c r="M821" s="547"/>
      <c r="N821" s="547"/>
      <c r="O821" s="547"/>
      <c r="P821" s="547"/>
      <c r="Q821" s="547"/>
      <c r="R821" s="547"/>
      <c r="S821" s="547"/>
      <c r="T821" s="547"/>
      <c r="U821" s="547"/>
      <c r="V821" s="547"/>
      <c r="W821" s="547"/>
      <c r="X821" s="547"/>
      <c r="Y821" s="547"/>
      <c r="Z821" s="547"/>
      <c r="AA821" s="547"/>
      <c r="AB821" s="884"/>
      <c r="AC821" s="547"/>
    </row>
    <row r="822" spans="1:29" ht="15.75" customHeight="1">
      <c r="A822" s="549"/>
      <c r="B822" s="550"/>
      <c r="C822" s="551"/>
      <c r="D822" s="551"/>
      <c r="E822" s="547"/>
      <c r="F822" s="547"/>
      <c r="G822" s="547"/>
      <c r="H822" s="547"/>
      <c r="I822" s="547"/>
      <c r="J822" s="547"/>
      <c r="K822" s="547"/>
      <c r="M822" s="547"/>
      <c r="N822" s="547"/>
      <c r="O822" s="547"/>
      <c r="P822" s="547"/>
      <c r="Q822" s="547"/>
      <c r="R822" s="547"/>
      <c r="S822" s="547"/>
      <c r="T822" s="547"/>
      <c r="U822" s="547"/>
      <c r="V822" s="547"/>
      <c r="W822" s="547"/>
      <c r="X822" s="547"/>
      <c r="Y822" s="547"/>
      <c r="Z822" s="547"/>
      <c r="AA822" s="547"/>
      <c r="AB822" s="884"/>
      <c r="AC822" s="547"/>
    </row>
    <row r="823" spans="1:29" ht="15.75" customHeight="1">
      <c r="A823" s="549"/>
      <c r="B823" s="550"/>
      <c r="C823" s="551"/>
      <c r="D823" s="551"/>
      <c r="E823" s="547"/>
      <c r="F823" s="547"/>
      <c r="G823" s="547"/>
      <c r="H823" s="547"/>
      <c r="I823" s="547"/>
      <c r="J823" s="547"/>
      <c r="K823" s="547"/>
      <c r="M823" s="547"/>
      <c r="N823" s="547"/>
      <c r="O823" s="547"/>
      <c r="P823" s="547"/>
      <c r="Q823" s="547"/>
      <c r="R823" s="547"/>
      <c r="S823" s="547"/>
      <c r="T823" s="547"/>
      <c r="U823" s="547"/>
      <c r="V823" s="547"/>
      <c r="W823" s="547"/>
      <c r="X823" s="547"/>
      <c r="Y823" s="547"/>
      <c r="Z823" s="547"/>
      <c r="AA823" s="547"/>
      <c r="AB823" s="884"/>
      <c r="AC823" s="547"/>
    </row>
    <row r="824" spans="1:29" ht="15.75" customHeight="1">
      <c r="A824" s="549"/>
      <c r="B824" s="550"/>
      <c r="C824" s="551"/>
      <c r="D824" s="551"/>
      <c r="E824" s="547"/>
      <c r="F824" s="547"/>
      <c r="G824" s="547"/>
      <c r="H824" s="547"/>
      <c r="I824" s="547"/>
      <c r="J824" s="547"/>
      <c r="K824" s="547"/>
      <c r="M824" s="547"/>
      <c r="N824" s="547"/>
      <c r="O824" s="547"/>
      <c r="P824" s="547"/>
      <c r="Q824" s="547"/>
      <c r="R824" s="547"/>
      <c r="S824" s="547"/>
      <c r="T824" s="547"/>
      <c r="U824" s="547"/>
      <c r="V824" s="547"/>
      <c r="W824" s="547"/>
      <c r="X824" s="547"/>
      <c r="Y824" s="547"/>
      <c r="Z824" s="547"/>
      <c r="AA824" s="547"/>
      <c r="AB824" s="884"/>
      <c r="AC824" s="547"/>
    </row>
    <row r="825" spans="1:29" ht="15.75" customHeight="1">
      <c r="A825" s="549"/>
      <c r="B825" s="550"/>
      <c r="C825" s="551"/>
      <c r="D825" s="551"/>
      <c r="E825" s="547"/>
      <c r="F825" s="547"/>
      <c r="G825" s="547"/>
      <c r="H825" s="547"/>
      <c r="I825" s="547"/>
      <c r="J825" s="547"/>
      <c r="K825" s="547"/>
      <c r="M825" s="547"/>
      <c r="N825" s="547"/>
      <c r="O825" s="547"/>
      <c r="P825" s="547"/>
      <c r="Q825" s="547"/>
      <c r="R825" s="547"/>
      <c r="S825" s="547"/>
      <c r="T825" s="547"/>
      <c r="U825" s="547"/>
      <c r="V825" s="547"/>
      <c r="W825" s="547"/>
      <c r="X825" s="547"/>
      <c r="Y825" s="547"/>
      <c r="Z825" s="547"/>
      <c r="AA825" s="547"/>
      <c r="AB825" s="884"/>
      <c r="AC825" s="547"/>
    </row>
    <row r="826" spans="1:29" ht="15.75" customHeight="1">
      <c r="A826" s="549"/>
      <c r="B826" s="550"/>
      <c r="C826" s="551"/>
      <c r="D826" s="551"/>
      <c r="E826" s="547"/>
      <c r="F826" s="547"/>
      <c r="G826" s="547"/>
      <c r="H826" s="547"/>
      <c r="I826" s="547"/>
      <c r="J826" s="547"/>
      <c r="K826" s="547"/>
      <c r="M826" s="547"/>
      <c r="N826" s="547"/>
      <c r="O826" s="547"/>
      <c r="P826" s="547"/>
      <c r="Q826" s="547"/>
      <c r="R826" s="547"/>
      <c r="S826" s="547"/>
      <c r="T826" s="547"/>
      <c r="U826" s="547"/>
      <c r="V826" s="547"/>
      <c r="W826" s="547"/>
      <c r="X826" s="547"/>
      <c r="Y826" s="547"/>
      <c r="Z826" s="547"/>
      <c r="AA826" s="547"/>
      <c r="AB826" s="884"/>
      <c r="AC826" s="547"/>
    </row>
    <row r="827" spans="1:29" ht="15.75" customHeight="1">
      <c r="A827" s="549"/>
      <c r="B827" s="550"/>
      <c r="C827" s="551"/>
      <c r="D827" s="551"/>
      <c r="E827" s="547"/>
      <c r="F827" s="547"/>
      <c r="G827" s="547"/>
      <c r="H827" s="547"/>
      <c r="I827" s="547"/>
      <c r="J827" s="547"/>
      <c r="K827" s="547"/>
      <c r="M827" s="547"/>
      <c r="N827" s="547"/>
      <c r="O827" s="547"/>
      <c r="P827" s="547"/>
      <c r="Q827" s="547"/>
      <c r="R827" s="547"/>
      <c r="S827" s="547"/>
      <c r="T827" s="547"/>
      <c r="U827" s="547"/>
      <c r="V827" s="547"/>
      <c r="W827" s="547"/>
      <c r="X827" s="547"/>
      <c r="Y827" s="547"/>
      <c r="Z827" s="547"/>
      <c r="AA827" s="547"/>
      <c r="AB827" s="884"/>
      <c r="AC827" s="547"/>
    </row>
    <row r="828" spans="1:29" ht="15.75" customHeight="1">
      <c r="A828" s="549"/>
      <c r="B828" s="550"/>
      <c r="C828" s="551"/>
      <c r="D828" s="551"/>
      <c r="E828" s="547"/>
      <c r="F828" s="547"/>
      <c r="G828" s="547"/>
      <c r="H828" s="547"/>
      <c r="I828" s="547"/>
      <c r="J828" s="547"/>
      <c r="K828" s="547"/>
      <c r="M828" s="547"/>
      <c r="N828" s="547"/>
      <c r="O828" s="547"/>
      <c r="P828" s="547"/>
      <c r="Q828" s="547"/>
      <c r="R828" s="547"/>
      <c r="S828" s="547"/>
      <c r="T828" s="547"/>
      <c r="U828" s="547"/>
      <c r="V828" s="547"/>
      <c r="W828" s="547"/>
      <c r="X828" s="547"/>
      <c r="Y828" s="547"/>
      <c r="Z828" s="547"/>
      <c r="AA828" s="547"/>
      <c r="AB828" s="884"/>
      <c r="AC828" s="547"/>
    </row>
    <row r="829" spans="1:29" ht="15.75" customHeight="1">
      <c r="A829" s="549"/>
      <c r="B829" s="550"/>
      <c r="C829" s="551"/>
      <c r="D829" s="551"/>
      <c r="E829" s="547"/>
      <c r="F829" s="547"/>
      <c r="G829" s="547"/>
      <c r="H829" s="547"/>
      <c r="I829" s="547"/>
      <c r="J829" s="547"/>
      <c r="K829" s="547"/>
      <c r="M829" s="547"/>
      <c r="N829" s="547"/>
      <c r="O829" s="547"/>
      <c r="P829" s="547"/>
      <c r="Q829" s="547"/>
      <c r="R829" s="547"/>
      <c r="S829" s="547"/>
      <c r="T829" s="547"/>
      <c r="U829" s="547"/>
      <c r="V829" s="547"/>
      <c r="W829" s="547"/>
      <c r="X829" s="547"/>
      <c r="Y829" s="547"/>
      <c r="Z829" s="547"/>
      <c r="AA829" s="547"/>
      <c r="AB829" s="884"/>
      <c r="AC829" s="547"/>
    </row>
    <row r="830" spans="1:29" ht="15.75" customHeight="1">
      <c r="A830" s="549"/>
      <c r="B830" s="550"/>
      <c r="C830" s="551"/>
      <c r="D830" s="551"/>
      <c r="E830" s="547"/>
      <c r="F830" s="547"/>
      <c r="G830" s="547"/>
      <c r="H830" s="547"/>
      <c r="I830" s="547"/>
      <c r="J830" s="547"/>
      <c r="K830" s="547"/>
      <c r="M830" s="547"/>
      <c r="N830" s="547"/>
      <c r="O830" s="547"/>
      <c r="P830" s="547"/>
      <c r="Q830" s="547"/>
      <c r="R830" s="547"/>
      <c r="S830" s="547"/>
      <c r="T830" s="547"/>
      <c r="U830" s="547"/>
      <c r="V830" s="547"/>
      <c r="W830" s="547"/>
      <c r="X830" s="547"/>
      <c r="Y830" s="547"/>
      <c r="Z830" s="547"/>
      <c r="AA830" s="547"/>
      <c r="AB830" s="884"/>
      <c r="AC830" s="547"/>
    </row>
    <row r="831" spans="1:29" ht="15.75" customHeight="1">
      <c r="A831" s="549"/>
      <c r="B831" s="550"/>
      <c r="C831" s="551"/>
      <c r="D831" s="551"/>
      <c r="E831" s="547"/>
      <c r="F831" s="547"/>
      <c r="G831" s="547"/>
      <c r="H831" s="547"/>
      <c r="I831" s="547"/>
      <c r="J831" s="547"/>
      <c r="K831" s="547"/>
      <c r="M831" s="547"/>
      <c r="N831" s="547"/>
      <c r="O831" s="547"/>
      <c r="P831" s="547"/>
      <c r="Q831" s="547"/>
      <c r="R831" s="547"/>
      <c r="S831" s="547"/>
      <c r="T831" s="547"/>
      <c r="U831" s="547"/>
      <c r="V831" s="547"/>
      <c r="W831" s="547"/>
      <c r="X831" s="547"/>
      <c r="Y831" s="547"/>
      <c r="Z831" s="547"/>
      <c r="AA831" s="547"/>
      <c r="AB831" s="884"/>
      <c r="AC831" s="547"/>
    </row>
    <row r="832" spans="1:29" ht="15.75" customHeight="1">
      <c r="A832" s="549"/>
      <c r="B832" s="550"/>
      <c r="C832" s="551"/>
      <c r="D832" s="551"/>
      <c r="E832" s="547"/>
      <c r="F832" s="547"/>
      <c r="G832" s="547"/>
      <c r="H832" s="547"/>
      <c r="I832" s="547"/>
      <c r="J832" s="547"/>
      <c r="K832" s="547"/>
      <c r="M832" s="547"/>
      <c r="N832" s="547"/>
      <c r="O832" s="547"/>
      <c r="P832" s="547"/>
      <c r="Q832" s="547"/>
      <c r="R832" s="547"/>
      <c r="S832" s="547"/>
      <c r="T832" s="547"/>
      <c r="U832" s="547"/>
      <c r="V832" s="547"/>
      <c r="W832" s="547"/>
      <c r="X832" s="547"/>
      <c r="Y832" s="547"/>
      <c r="Z832" s="547"/>
      <c r="AA832" s="547"/>
      <c r="AB832" s="884"/>
      <c r="AC832" s="547"/>
    </row>
    <row r="833" spans="1:29" ht="15.75" customHeight="1">
      <c r="A833" s="549"/>
      <c r="B833" s="550"/>
      <c r="C833" s="551"/>
      <c r="D833" s="551"/>
      <c r="E833" s="547"/>
      <c r="F833" s="547"/>
      <c r="G833" s="547"/>
      <c r="H833" s="547"/>
      <c r="I833" s="547"/>
      <c r="J833" s="547"/>
      <c r="K833" s="547"/>
      <c r="M833" s="547"/>
      <c r="N833" s="547"/>
      <c r="O833" s="547"/>
      <c r="P833" s="547"/>
      <c r="Q833" s="547"/>
      <c r="R833" s="547"/>
      <c r="S833" s="547"/>
      <c r="T833" s="547"/>
      <c r="U833" s="547"/>
      <c r="V833" s="547"/>
      <c r="W833" s="547"/>
      <c r="X833" s="547"/>
      <c r="Y833" s="547"/>
      <c r="Z833" s="547"/>
      <c r="AA833" s="547"/>
      <c r="AB833" s="884"/>
      <c r="AC833" s="547"/>
    </row>
    <row r="834" spans="1:29" ht="15.75" customHeight="1">
      <c r="A834" s="549"/>
      <c r="B834" s="550"/>
      <c r="C834" s="551"/>
      <c r="D834" s="551"/>
      <c r="E834" s="547"/>
      <c r="F834" s="547"/>
      <c r="G834" s="547"/>
      <c r="H834" s="547"/>
      <c r="I834" s="547"/>
      <c r="J834" s="547"/>
      <c r="K834" s="547"/>
      <c r="M834" s="547"/>
      <c r="N834" s="547"/>
      <c r="O834" s="547"/>
      <c r="P834" s="547"/>
      <c r="Q834" s="547"/>
      <c r="R834" s="547"/>
      <c r="S834" s="547"/>
      <c r="T834" s="547"/>
      <c r="U834" s="547"/>
      <c r="V834" s="547"/>
      <c r="W834" s="547"/>
      <c r="X834" s="547"/>
      <c r="Y834" s="547"/>
      <c r="Z834" s="547"/>
      <c r="AA834" s="547"/>
      <c r="AB834" s="884"/>
      <c r="AC834" s="547"/>
    </row>
    <row r="835" spans="1:29" ht="15.75" customHeight="1">
      <c r="A835" s="549"/>
      <c r="B835" s="550"/>
      <c r="C835" s="551"/>
      <c r="D835" s="551"/>
      <c r="E835" s="547"/>
      <c r="F835" s="547"/>
      <c r="G835" s="547"/>
      <c r="H835" s="547"/>
      <c r="I835" s="547"/>
      <c r="J835" s="547"/>
      <c r="K835" s="547"/>
      <c r="M835" s="547"/>
      <c r="N835" s="547"/>
      <c r="O835" s="547"/>
      <c r="P835" s="547"/>
      <c r="Q835" s="547"/>
      <c r="R835" s="547"/>
      <c r="S835" s="547"/>
      <c r="T835" s="547"/>
      <c r="U835" s="547"/>
      <c r="V835" s="547"/>
      <c r="W835" s="547"/>
      <c r="X835" s="547"/>
      <c r="Y835" s="547"/>
      <c r="Z835" s="547"/>
      <c r="AA835" s="547"/>
      <c r="AB835" s="884"/>
      <c r="AC835" s="547"/>
    </row>
    <row r="836" spans="1:29" ht="15.75" customHeight="1">
      <c r="A836" s="549"/>
      <c r="B836" s="550"/>
      <c r="C836" s="551"/>
      <c r="D836" s="551"/>
      <c r="E836" s="547"/>
      <c r="F836" s="547"/>
      <c r="G836" s="547"/>
      <c r="H836" s="547"/>
      <c r="I836" s="547"/>
      <c r="J836" s="547"/>
      <c r="K836" s="547"/>
      <c r="M836" s="547"/>
      <c r="N836" s="547"/>
      <c r="O836" s="547"/>
      <c r="P836" s="547"/>
      <c r="Q836" s="547"/>
      <c r="R836" s="547"/>
      <c r="S836" s="547"/>
      <c r="T836" s="547"/>
      <c r="U836" s="547"/>
      <c r="V836" s="547"/>
      <c r="W836" s="547"/>
      <c r="X836" s="547"/>
      <c r="Y836" s="547"/>
      <c r="Z836" s="547"/>
      <c r="AA836" s="547"/>
      <c r="AB836" s="884"/>
      <c r="AC836" s="547"/>
    </row>
    <row r="837" spans="1:29" ht="15.75" customHeight="1">
      <c r="A837" s="549"/>
      <c r="B837" s="550"/>
      <c r="C837" s="551"/>
      <c r="D837" s="551"/>
      <c r="E837" s="547"/>
      <c r="F837" s="547"/>
      <c r="G837" s="547"/>
      <c r="H837" s="547"/>
      <c r="I837" s="547"/>
      <c r="J837" s="547"/>
      <c r="K837" s="547"/>
      <c r="M837" s="547"/>
      <c r="N837" s="547"/>
      <c r="O837" s="547"/>
      <c r="P837" s="547"/>
      <c r="Q837" s="547"/>
      <c r="R837" s="547"/>
      <c r="S837" s="547"/>
      <c r="T837" s="547"/>
      <c r="U837" s="547"/>
      <c r="V837" s="547"/>
      <c r="W837" s="547"/>
      <c r="X837" s="547"/>
      <c r="Y837" s="547"/>
      <c r="Z837" s="547"/>
      <c r="AA837" s="547"/>
      <c r="AB837" s="884"/>
      <c r="AC837" s="547"/>
    </row>
    <row r="838" spans="1:29" ht="15.75" customHeight="1">
      <c r="A838" s="549"/>
      <c r="B838" s="550"/>
      <c r="C838" s="551"/>
      <c r="D838" s="551"/>
      <c r="E838" s="547"/>
      <c r="F838" s="547"/>
      <c r="G838" s="547"/>
      <c r="H838" s="547"/>
      <c r="I838" s="547"/>
      <c r="J838" s="547"/>
      <c r="K838" s="547"/>
      <c r="M838" s="547"/>
      <c r="N838" s="547"/>
      <c r="O838" s="547"/>
      <c r="P838" s="547"/>
      <c r="Q838" s="547"/>
      <c r="R838" s="547"/>
      <c r="S838" s="547"/>
      <c r="T838" s="547"/>
      <c r="U838" s="547"/>
      <c r="V838" s="547"/>
      <c r="W838" s="547"/>
      <c r="X838" s="547"/>
      <c r="Y838" s="547"/>
      <c r="Z838" s="547"/>
      <c r="AA838" s="547"/>
      <c r="AB838" s="884"/>
      <c r="AC838" s="547"/>
    </row>
    <row r="839" spans="1:29" ht="15.75" customHeight="1">
      <c r="A839" s="549"/>
      <c r="B839" s="550"/>
      <c r="C839" s="551"/>
      <c r="D839" s="551"/>
      <c r="E839" s="547"/>
      <c r="F839" s="547"/>
      <c r="G839" s="547"/>
      <c r="H839" s="547"/>
      <c r="I839" s="547"/>
      <c r="J839" s="547"/>
      <c r="K839" s="547"/>
      <c r="M839" s="547"/>
      <c r="N839" s="547"/>
      <c r="O839" s="547"/>
      <c r="P839" s="547"/>
      <c r="Q839" s="547"/>
      <c r="R839" s="547"/>
      <c r="S839" s="547"/>
      <c r="T839" s="547"/>
      <c r="U839" s="547"/>
      <c r="V839" s="547"/>
      <c r="W839" s="547"/>
      <c r="X839" s="547"/>
      <c r="Y839" s="547"/>
      <c r="Z839" s="547"/>
      <c r="AA839" s="547"/>
      <c r="AB839" s="884"/>
      <c r="AC839" s="547"/>
    </row>
    <row r="840" spans="1:29" ht="15.75" customHeight="1">
      <c r="A840" s="549"/>
      <c r="B840" s="550"/>
      <c r="C840" s="551"/>
      <c r="D840" s="551"/>
      <c r="E840" s="547"/>
      <c r="F840" s="547"/>
      <c r="G840" s="547"/>
      <c r="H840" s="547"/>
      <c r="I840" s="547"/>
      <c r="J840" s="547"/>
      <c r="K840" s="547"/>
      <c r="M840" s="547"/>
      <c r="N840" s="547"/>
      <c r="O840" s="547"/>
      <c r="P840" s="547"/>
      <c r="Q840" s="547"/>
      <c r="R840" s="547"/>
      <c r="S840" s="547"/>
      <c r="T840" s="547"/>
      <c r="U840" s="547"/>
      <c r="V840" s="547"/>
      <c r="W840" s="547"/>
      <c r="X840" s="547"/>
      <c r="Y840" s="547"/>
      <c r="Z840" s="547"/>
      <c r="AA840" s="547"/>
      <c r="AB840" s="884"/>
      <c r="AC840" s="547"/>
    </row>
    <row r="841" spans="1:29" ht="15.75" customHeight="1">
      <c r="A841" s="549"/>
      <c r="B841" s="550"/>
      <c r="C841" s="551"/>
      <c r="D841" s="551"/>
      <c r="E841" s="547"/>
      <c r="F841" s="547"/>
      <c r="G841" s="547"/>
      <c r="H841" s="547"/>
      <c r="I841" s="547"/>
      <c r="J841" s="547"/>
      <c r="K841" s="547"/>
      <c r="M841" s="547"/>
      <c r="N841" s="547"/>
      <c r="O841" s="547"/>
      <c r="P841" s="547"/>
      <c r="Q841" s="547"/>
      <c r="R841" s="547"/>
      <c r="S841" s="547"/>
      <c r="T841" s="547"/>
      <c r="U841" s="547"/>
      <c r="V841" s="547"/>
      <c r="W841" s="547"/>
      <c r="X841" s="547"/>
      <c r="Y841" s="547"/>
      <c r="Z841" s="547"/>
      <c r="AA841" s="547"/>
      <c r="AB841" s="884"/>
      <c r="AC841" s="547"/>
    </row>
    <row r="842" spans="1:29" ht="15.75" customHeight="1">
      <c r="A842" s="549"/>
      <c r="B842" s="550"/>
      <c r="C842" s="551"/>
      <c r="D842" s="551"/>
      <c r="E842" s="547"/>
      <c r="F842" s="547"/>
      <c r="G842" s="547"/>
      <c r="H842" s="547"/>
      <c r="I842" s="547"/>
      <c r="J842" s="547"/>
      <c r="K842" s="547"/>
      <c r="M842" s="547"/>
      <c r="N842" s="547"/>
      <c r="O842" s="547"/>
      <c r="P842" s="547"/>
      <c r="Q842" s="547"/>
      <c r="R842" s="547"/>
      <c r="S842" s="547"/>
      <c r="T842" s="547"/>
      <c r="U842" s="547"/>
      <c r="V842" s="547"/>
      <c r="W842" s="547"/>
      <c r="X842" s="547"/>
      <c r="Y842" s="547"/>
      <c r="Z842" s="547"/>
      <c r="AA842" s="547"/>
      <c r="AB842" s="884"/>
      <c r="AC842" s="547"/>
    </row>
    <row r="843" spans="1:29" ht="15.75" customHeight="1">
      <c r="A843" s="549"/>
      <c r="B843" s="550"/>
      <c r="C843" s="551"/>
      <c r="D843" s="551"/>
      <c r="E843" s="547"/>
      <c r="F843" s="547"/>
      <c r="G843" s="547"/>
      <c r="H843" s="547"/>
      <c r="I843" s="547"/>
      <c r="J843" s="547"/>
      <c r="K843" s="547"/>
      <c r="M843" s="547"/>
      <c r="N843" s="547"/>
      <c r="O843" s="547"/>
      <c r="P843" s="547"/>
      <c r="Q843" s="547"/>
      <c r="R843" s="547"/>
      <c r="S843" s="547"/>
      <c r="T843" s="547"/>
      <c r="U843" s="547"/>
      <c r="V843" s="547"/>
      <c r="W843" s="547"/>
      <c r="X843" s="547"/>
      <c r="Y843" s="547"/>
      <c r="Z843" s="547"/>
      <c r="AA843" s="547"/>
      <c r="AB843" s="884"/>
      <c r="AC843" s="547"/>
    </row>
    <row r="844" spans="1:29" ht="15.75" customHeight="1">
      <c r="A844" s="549"/>
      <c r="B844" s="550"/>
      <c r="C844" s="551"/>
      <c r="D844" s="551"/>
      <c r="E844" s="547"/>
      <c r="F844" s="547"/>
      <c r="G844" s="547"/>
      <c r="H844" s="547"/>
      <c r="I844" s="547"/>
      <c r="J844" s="547"/>
      <c r="K844" s="547"/>
      <c r="M844" s="547"/>
      <c r="N844" s="547"/>
      <c r="O844" s="547"/>
      <c r="P844" s="547"/>
      <c r="Q844" s="547"/>
      <c r="R844" s="547"/>
      <c r="S844" s="547"/>
      <c r="T844" s="547"/>
      <c r="U844" s="547"/>
      <c r="V844" s="547"/>
      <c r="W844" s="547"/>
      <c r="X844" s="547"/>
      <c r="Y844" s="547"/>
      <c r="Z844" s="547"/>
      <c r="AA844" s="547"/>
      <c r="AB844" s="884"/>
      <c r="AC844" s="547"/>
    </row>
    <row r="845" spans="1:29" ht="15.75" customHeight="1">
      <c r="A845" s="549"/>
      <c r="B845" s="550"/>
      <c r="C845" s="551"/>
      <c r="D845" s="551"/>
      <c r="E845" s="547"/>
      <c r="F845" s="547"/>
      <c r="G845" s="547"/>
      <c r="H845" s="547"/>
      <c r="I845" s="547"/>
      <c r="J845" s="547"/>
      <c r="K845" s="547"/>
      <c r="M845" s="547"/>
      <c r="N845" s="547"/>
      <c r="O845" s="547"/>
      <c r="P845" s="547"/>
      <c r="Q845" s="547"/>
      <c r="R845" s="547"/>
      <c r="S845" s="547"/>
      <c r="T845" s="547"/>
      <c r="U845" s="547"/>
      <c r="V845" s="547"/>
      <c r="W845" s="547"/>
      <c r="X845" s="547"/>
      <c r="Y845" s="547"/>
      <c r="Z845" s="547"/>
      <c r="AA845" s="547"/>
      <c r="AB845" s="884"/>
      <c r="AC845" s="547"/>
    </row>
    <row r="846" spans="1:29" ht="15.75" customHeight="1">
      <c r="A846" s="549"/>
      <c r="B846" s="550"/>
      <c r="C846" s="551"/>
      <c r="D846" s="551"/>
      <c r="E846" s="547"/>
      <c r="F846" s="547"/>
      <c r="G846" s="547"/>
      <c r="H846" s="547"/>
      <c r="I846" s="547"/>
      <c r="J846" s="547"/>
      <c r="K846" s="547"/>
      <c r="M846" s="547"/>
      <c r="N846" s="547"/>
      <c r="O846" s="547"/>
      <c r="P846" s="547"/>
      <c r="Q846" s="547"/>
      <c r="R846" s="547"/>
      <c r="S846" s="547"/>
      <c r="T846" s="547"/>
      <c r="U846" s="547"/>
      <c r="V846" s="547"/>
      <c r="W846" s="547"/>
      <c r="X846" s="547"/>
      <c r="Y846" s="547"/>
      <c r="Z846" s="547"/>
      <c r="AA846" s="547"/>
      <c r="AB846" s="884"/>
      <c r="AC846" s="547"/>
    </row>
    <row r="847" spans="1:29" ht="15.75" customHeight="1">
      <c r="A847" s="549"/>
      <c r="B847" s="550"/>
      <c r="C847" s="551"/>
      <c r="D847" s="551"/>
      <c r="E847" s="547"/>
      <c r="F847" s="547"/>
      <c r="G847" s="547"/>
      <c r="H847" s="547"/>
      <c r="I847" s="547"/>
      <c r="J847" s="547"/>
      <c r="K847" s="547"/>
      <c r="M847" s="547"/>
      <c r="N847" s="547"/>
      <c r="O847" s="547"/>
      <c r="P847" s="547"/>
      <c r="Q847" s="547"/>
      <c r="R847" s="547"/>
      <c r="S847" s="547"/>
      <c r="T847" s="547"/>
      <c r="U847" s="547"/>
      <c r="V847" s="547"/>
      <c r="W847" s="547"/>
      <c r="X847" s="547"/>
      <c r="Y847" s="547"/>
      <c r="Z847" s="547"/>
      <c r="AA847" s="547"/>
      <c r="AB847" s="884"/>
      <c r="AC847" s="547"/>
    </row>
    <row r="848" spans="1:29" ht="15.75" customHeight="1">
      <c r="A848" s="549"/>
      <c r="B848" s="550"/>
      <c r="C848" s="551"/>
      <c r="D848" s="551"/>
      <c r="E848" s="547"/>
      <c r="F848" s="547"/>
      <c r="G848" s="547"/>
      <c r="H848" s="547"/>
      <c r="I848" s="547"/>
      <c r="J848" s="547"/>
      <c r="K848" s="547"/>
      <c r="M848" s="547"/>
      <c r="N848" s="547"/>
      <c r="O848" s="547"/>
      <c r="P848" s="547"/>
      <c r="Q848" s="547"/>
      <c r="R848" s="547"/>
      <c r="S848" s="547"/>
      <c r="T848" s="547"/>
      <c r="U848" s="547"/>
      <c r="V848" s="547"/>
      <c r="W848" s="547"/>
      <c r="X848" s="547"/>
      <c r="Y848" s="547"/>
      <c r="Z848" s="547"/>
      <c r="AA848" s="547"/>
      <c r="AB848" s="884"/>
      <c r="AC848" s="547"/>
    </row>
    <row r="849" spans="1:29" ht="15.75" customHeight="1">
      <c r="A849" s="549"/>
      <c r="B849" s="550"/>
      <c r="C849" s="551"/>
      <c r="D849" s="551"/>
      <c r="E849" s="547"/>
      <c r="F849" s="547"/>
      <c r="G849" s="547"/>
      <c r="H849" s="547"/>
      <c r="I849" s="547"/>
      <c r="J849" s="547"/>
      <c r="K849" s="547"/>
      <c r="M849" s="547"/>
      <c r="N849" s="547"/>
      <c r="O849" s="547"/>
      <c r="P849" s="547"/>
      <c r="Q849" s="547"/>
      <c r="R849" s="547"/>
      <c r="S849" s="547"/>
      <c r="T849" s="547"/>
      <c r="U849" s="547"/>
      <c r="V849" s="547"/>
      <c r="W849" s="547"/>
      <c r="X849" s="547"/>
      <c r="Y849" s="547"/>
      <c r="Z849" s="547"/>
      <c r="AA849" s="547"/>
      <c r="AB849" s="884"/>
      <c r="AC849" s="547"/>
    </row>
    <row r="850" spans="1:29" ht="15.75" customHeight="1">
      <c r="A850" s="549"/>
      <c r="B850" s="550"/>
      <c r="C850" s="551"/>
      <c r="D850" s="551"/>
      <c r="E850" s="547"/>
      <c r="F850" s="547"/>
      <c r="G850" s="547"/>
      <c r="H850" s="547"/>
      <c r="I850" s="547"/>
      <c r="J850" s="547"/>
      <c r="K850" s="547"/>
      <c r="M850" s="547"/>
      <c r="N850" s="547"/>
      <c r="O850" s="547"/>
      <c r="P850" s="547"/>
      <c r="Q850" s="547"/>
      <c r="R850" s="547"/>
      <c r="S850" s="547"/>
      <c r="T850" s="547"/>
      <c r="U850" s="547"/>
      <c r="V850" s="547"/>
      <c r="W850" s="547"/>
      <c r="X850" s="547"/>
      <c r="Y850" s="547"/>
      <c r="Z850" s="547"/>
      <c r="AA850" s="547"/>
      <c r="AB850" s="884"/>
      <c r="AC850" s="547"/>
    </row>
    <row r="851" spans="1:29" ht="15.75" customHeight="1">
      <c r="A851" s="549"/>
      <c r="B851" s="550"/>
      <c r="C851" s="551"/>
      <c r="D851" s="551"/>
      <c r="E851" s="547"/>
      <c r="F851" s="547"/>
      <c r="G851" s="547"/>
      <c r="H851" s="547"/>
      <c r="I851" s="547"/>
      <c r="J851" s="547"/>
      <c r="K851" s="547"/>
      <c r="M851" s="547"/>
      <c r="N851" s="547"/>
      <c r="O851" s="547"/>
      <c r="P851" s="547"/>
      <c r="Q851" s="547"/>
      <c r="R851" s="547"/>
      <c r="S851" s="547"/>
      <c r="T851" s="547"/>
      <c r="U851" s="547"/>
      <c r="V851" s="547"/>
      <c r="W851" s="547"/>
      <c r="X851" s="547"/>
      <c r="Y851" s="547"/>
      <c r="Z851" s="547"/>
      <c r="AA851" s="547"/>
      <c r="AB851" s="884"/>
      <c r="AC851" s="547"/>
    </row>
    <row r="852" spans="1:29" ht="15.75" customHeight="1">
      <c r="A852" s="549"/>
      <c r="B852" s="550"/>
      <c r="C852" s="551"/>
      <c r="D852" s="551"/>
      <c r="E852" s="547"/>
      <c r="F852" s="547"/>
      <c r="G852" s="547"/>
      <c r="H852" s="547"/>
      <c r="I852" s="547"/>
      <c r="J852" s="547"/>
      <c r="K852" s="547"/>
      <c r="M852" s="547"/>
      <c r="N852" s="547"/>
      <c r="O852" s="547"/>
      <c r="P852" s="547"/>
      <c r="Q852" s="547"/>
      <c r="R852" s="547"/>
      <c r="S852" s="547"/>
      <c r="T852" s="547"/>
      <c r="U852" s="547"/>
      <c r="V852" s="547"/>
      <c r="W852" s="547"/>
      <c r="X852" s="547"/>
      <c r="Y852" s="547"/>
      <c r="Z852" s="547"/>
      <c r="AA852" s="547"/>
      <c r="AB852" s="884"/>
      <c r="AC852" s="547"/>
    </row>
    <row r="853" spans="1:29" ht="15.75" customHeight="1">
      <c r="A853" s="549"/>
      <c r="B853" s="550"/>
      <c r="C853" s="551"/>
      <c r="D853" s="551"/>
      <c r="E853" s="547"/>
      <c r="F853" s="547"/>
      <c r="G853" s="547"/>
      <c r="H853" s="547"/>
      <c r="I853" s="547"/>
      <c r="J853" s="547"/>
      <c r="K853" s="547"/>
      <c r="M853" s="547"/>
      <c r="N853" s="547"/>
      <c r="O853" s="547"/>
      <c r="P853" s="547"/>
      <c r="Q853" s="547"/>
      <c r="R853" s="547"/>
      <c r="S853" s="547"/>
      <c r="T853" s="547"/>
      <c r="U853" s="547"/>
      <c r="V853" s="547"/>
      <c r="W853" s="547"/>
      <c r="X853" s="547"/>
      <c r="Y853" s="547"/>
      <c r="Z853" s="547"/>
      <c r="AA853" s="547"/>
      <c r="AB853" s="884"/>
      <c r="AC853" s="547"/>
    </row>
    <row r="854" spans="1:29" ht="15.75" customHeight="1">
      <c r="A854" s="549"/>
      <c r="B854" s="550"/>
      <c r="C854" s="551"/>
      <c r="D854" s="551"/>
      <c r="E854" s="547"/>
      <c r="F854" s="547"/>
      <c r="G854" s="547"/>
      <c r="H854" s="547"/>
      <c r="I854" s="547"/>
      <c r="J854" s="547"/>
      <c r="K854" s="547"/>
      <c r="M854" s="547"/>
      <c r="N854" s="547"/>
      <c r="O854" s="547"/>
      <c r="P854" s="547"/>
      <c r="Q854" s="547"/>
      <c r="R854" s="547"/>
      <c r="S854" s="547"/>
      <c r="T854" s="547"/>
      <c r="U854" s="547"/>
      <c r="V854" s="547"/>
      <c r="W854" s="547"/>
      <c r="X854" s="547"/>
      <c r="Y854" s="547"/>
      <c r="Z854" s="547"/>
      <c r="AA854" s="547"/>
      <c r="AB854" s="884"/>
      <c r="AC854" s="547"/>
    </row>
    <row r="855" spans="1:29" ht="15.75" customHeight="1">
      <c r="A855" s="549"/>
      <c r="B855" s="550"/>
      <c r="C855" s="551"/>
      <c r="D855" s="551"/>
      <c r="E855" s="547"/>
      <c r="F855" s="547"/>
      <c r="G855" s="547"/>
      <c r="H855" s="547"/>
      <c r="I855" s="547"/>
      <c r="J855" s="547"/>
      <c r="K855" s="547"/>
      <c r="M855" s="547"/>
      <c r="N855" s="547"/>
      <c r="O855" s="547"/>
      <c r="P855" s="547"/>
      <c r="Q855" s="547"/>
      <c r="R855" s="547"/>
      <c r="S855" s="547"/>
      <c r="T855" s="547"/>
      <c r="U855" s="547"/>
      <c r="V855" s="547"/>
      <c r="W855" s="547"/>
      <c r="X855" s="547"/>
      <c r="Y855" s="547"/>
      <c r="Z855" s="547"/>
      <c r="AA855" s="547"/>
      <c r="AB855" s="884"/>
      <c r="AC855" s="547"/>
    </row>
    <row r="856" spans="1:29" ht="15.75" customHeight="1">
      <c r="A856" s="549"/>
      <c r="B856" s="550"/>
      <c r="C856" s="551"/>
      <c r="D856" s="551"/>
      <c r="E856" s="547"/>
      <c r="F856" s="547"/>
      <c r="G856" s="547"/>
      <c r="H856" s="547"/>
      <c r="I856" s="547"/>
      <c r="J856" s="547"/>
      <c r="K856" s="547"/>
      <c r="M856" s="547"/>
      <c r="N856" s="547"/>
      <c r="O856" s="547"/>
      <c r="P856" s="547"/>
      <c r="Q856" s="547"/>
      <c r="R856" s="547"/>
      <c r="S856" s="547"/>
      <c r="T856" s="547"/>
      <c r="U856" s="547"/>
      <c r="V856" s="547"/>
      <c r="W856" s="547"/>
      <c r="X856" s="547"/>
      <c r="Y856" s="547"/>
      <c r="Z856" s="547"/>
      <c r="AA856" s="547"/>
      <c r="AB856" s="884"/>
      <c r="AC856" s="547"/>
    </row>
    <row r="857" spans="1:29" ht="15.75" customHeight="1">
      <c r="A857" s="549"/>
      <c r="B857" s="550"/>
      <c r="C857" s="551"/>
      <c r="D857" s="551"/>
      <c r="E857" s="547"/>
      <c r="F857" s="547"/>
      <c r="G857" s="547"/>
      <c r="H857" s="547"/>
      <c r="I857" s="547"/>
      <c r="J857" s="547"/>
      <c r="K857" s="547"/>
      <c r="M857" s="547"/>
      <c r="N857" s="547"/>
      <c r="O857" s="547"/>
      <c r="P857" s="547"/>
      <c r="Q857" s="547"/>
      <c r="R857" s="547"/>
      <c r="S857" s="547"/>
      <c r="T857" s="547"/>
      <c r="U857" s="547"/>
      <c r="V857" s="547"/>
      <c r="W857" s="547"/>
      <c r="X857" s="547"/>
      <c r="Y857" s="547"/>
      <c r="Z857" s="547"/>
      <c r="AA857" s="547"/>
      <c r="AB857" s="884"/>
      <c r="AC857" s="547"/>
    </row>
    <row r="858" spans="1:29" ht="15.75" customHeight="1">
      <c r="A858" s="549"/>
      <c r="B858" s="550"/>
      <c r="C858" s="551"/>
      <c r="D858" s="551"/>
      <c r="E858" s="547"/>
      <c r="F858" s="547"/>
      <c r="G858" s="547"/>
      <c r="H858" s="547"/>
      <c r="I858" s="547"/>
      <c r="J858" s="547"/>
      <c r="K858" s="547"/>
      <c r="M858" s="547"/>
      <c r="N858" s="547"/>
      <c r="O858" s="547"/>
      <c r="P858" s="547"/>
      <c r="Q858" s="547"/>
      <c r="R858" s="547"/>
      <c r="S858" s="547"/>
      <c r="T858" s="547"/>
      <c r="U858" s="547"/>
      <c r="V858" s="547"/>
      <c r="W858" s="547"/>
      <c r="X858" s="547"/>
      <c r="Y858" s="547"/>
      <c r="Z858" s="547"/>
      <c r="AA858" s="547"/>
      <c r="AB858" s="884"/>
      <c r="AC858" s="547"/>
    </row>
    <row r="859" spans="1:29" ht="15.75" customHeight="1">
      <c r="A859" s="549"/>
      <c r="B859" s="550"/>
      <c r="C859" s="551"/>
      <c r="D859" s="551"/>
      <c r="E859" s="547"/>
      <c r="F859" s="547"/>
      <c r="G859" s="547"/>
      <c r="H859" s="547"/>
      <c r="I859" s="547"/>
      <c r="J859" s="547"/>
      <c r="K859" s="547"/>
      <c r="M859" s="547"/>
      <c r="N859" s="547"/>
      <c r="O859" s="547"/>
      <c r="P859" s="547"/>
      <c r="Q859" s="547"/>
      <c r="R859" s="547"/>
      <c r="S859" s="547"/>
      <c r="T859" s="547"/>
      <c r="U859" s="547"/>
      <c r="V859" s="547"/>
      <c r="W859" s="547"/>
      <c r="X859" s="547"/>
      <c r="Y859" s="547"/>
      <c r="Z859" s="547"/>
      <c r="AA859" s="547"/>
      <c r="AB859" s="884"/>
      <c r="AC859" s="547"/>
    </row>
    <row r="860" spans="1:29" ht="15.75" customHeight="1">
      <c r="A860" s="549"/>
      <c r="B860" s="550"/>
      <c r="C860" s="551"/>
      <c r="D860" s="551"/>
      <c r="E860" s="547"/>
      <c r="F860" s="547"/>
      <c r="G860" s="547"/>
      <c r="H860" s="547"/>
      <c r="I860" s="547"/>
      <c r="J860" s="547"/>
      <c r="K860" s="547"/>
      <c r="M860" s="547"/>
      <c r="N860" s="547"/>
      <c r="O860" s="547"/>
      <c r="P860" s="547"/>
      <c r="Q860" s="547"/>
      <c r="R860" s="547"/>
      <c r="S860" s="547"/>
      <c r="T860" s="547"/>
      <c r="U860" s="547"/>
      <c r="V860" s="547"/>
      <c r="W860" s="547"/>
      <c r="X860" s="547"/>
      <c r="Y860" s="547"/>
      <c r="Z860" s="547"/>
      <c r="AA860" s="547"/>
      <c r="AB860" s="884"/>
      <c r="AC860" s="547"/>
    </row>
    <row r="861" spans="1:29" ht="15.75" customHeight="1">
      <c r="A861" s="549"/>
      <c r="B861" s="550"/>
      <c r="C861" s="551"/>
      <c r="D861" s="551"/>
      <c r="E861" s="547"/>
      <c r="F861" s="547"/>
      <c r="G861" s="547"/>
      <c r="H861" s="547"/>
      <c r="I861" s="547"/>
      <c r="J861" s="547"/>
      <c r="K861" s="547"/>
      <c r="M861" s="547"/>
      <c r="N861" s="547"/>
      <c r="O861" s="547"/>
      <c r="P861" s="547"/>
      <c r="Q861" s="547"/>
      <c r="R861" s="547"/>
      <c r="S861" s="547"/>
      <c r="T861" s="547"/>
      <c r="U861" s="547"/>
      <c r="V861" s="547"/>
      <c r="W861" s="547"/>
      <c r="X861" s="547"/>
      <c r="Y861" s="547"/>
      <c r="Z861" s="547"/>
      <c r="AA861" s="547"/>
      <c r="AB861" s="884"/>
      <c r="AC861" s="547"/>
    </row>
    <row r="862" spans="1:29" ht="15.75" customHeight="1">
      <c r="A862" s="549"/>
      <c r="B862" s="550"/>
      <c r="C862" s="551"/>
      <c r="D862" s="551"/>
      <c r="E862" s="547"/>
      <c r="F862" s="547"/>
      <c r="G862" s="547"/>
      <c r="H862" s="547"/>
      <c r="I862" s="547"/>
      <c r="J862" s="547"/>
      <c r="K862" s="547"/>
      <c r="M862" s="547"/>
      <c r="N862" s="547"/>
      <c r="O862" s="547"/>
      <c r="P862" s="547"/>
      <c r="Q862" s="547"/>
      <c r="R862" s="547"/>
      <c r="S862" s="547"/>
      <c r="T862" s="547"/>
      <c r="U862" s="547"/>
      <c r="V862" s="547"/>
      <c r="W862" s="547"/>
      <c r="X862" s="547"/>
      <c r="Y862" s="547"/>
      <c r="Z862" s="547"/>
      <c r="AA862" s="547"/>
      <c r="AB862" s="884"/>
      <c r="AC862" s="547"/>
    </row>
    <row r="863" spans="1:29" ht="15.75" customHeight="1">
      <c r="A863" s="549"/>
      <c r="B863" s="550"/>
      <c r="C863" s="551"/>
      <c r="D863" s="551"/>
      <c r="E863" s="547"/>
      <c r="F863" s="547"/>
      <c r="G863" s="547"/>
      <c r="H863" s="547"/>
      <c r="I863" s="547"/>
      <c r="J863" s="547"/>
      <c r="K863" s="547"/>
      <c r="M863" s="547"/>
      <c r="N863" s="547"/>
      <c r="O863" s="547"/>
      <c r="P863" s="547"/>
      <c r="Q863" s="547"/>
      <c r="R863" s="547"/>
      <c r="S863" s="547"/>
      <c r="T863" s="547"/>
      <c r="U863" s="547"/>
      <c r="V863" s="547"/>
      <c r="W863" s="547"/>
      <c r="X863" s="547"/>
      <c r="Y863" s="547"/>
      <c r="Z863" s="547"/>
      <c r="AA863" s="547"/>
      <c r="AB863" s="884"/>
      <c r="AC863" s="547"/>
    </row>
    <row r="864" spans="1:29" ht="15.75" customHeight="1">
      <c r="A864" s="549"/>
      <c r="B864" s="550"/>
      <c r="C864" s="551"/>
      <c r="D864" s="551"/>
      <c r="E864" s="547"/>
      <c r="F864" s="547"/>
      <c r="G864" s="547"/>
      <c r="H864" s="547"/>
      <c r="I864" s="547"/>
      <c r="J864" s="547"/>
      <c r="K864" s="547"/>
      <c r="M864" s="547"/>
      <c r="N864" s="547"/>
      <c r="O864" s="547"/>
      <c r="P864" s="547"/>
      <c r="Q864" s="547"/>
      <c r="R864" s="547"/>
      <c r="S864" s="547"/>
      <c r="T864" s="547"/>
      <c r="U864" s="547"/>
      <c r="V864" s="547"/>
      <c r="W864" s="547"/>
      <c r="X864" s="547"/>
      <c r="Y864" s="547"/>
      <c r="Z864" s="547"/>
      <c r="AA864" s="547"/>
      <c r="AB864" s="884"/>
      <c r="AC864" s="547"/>
    </row>
    <row r="865" spans="1:29" ht="15.75" customHeight="1">
      <c r="A865" s="549"/>
      <c r="B865" s="550"/>
      <c r="C865" s="551"/>
      <c r="D865" s="551"/>
      <c r="E865" s="547"/>
      <c r="F865" s="547"/>
      <c r="G865" s="547"/>
      <c r="H865" s="547"/>
      <c r="I865" s="547"/>
      <c r="J865" s="547"/>
      <c r="K865" s="547"/>
      <c r="M865" s="547"/>
      <c r="N865" s="547"/>
      <c r="O865" s="547"/>
      <c r="P865" s="547"/>
      <c r="Q865" s="547"/>
      <c r="R865" s="547"/>
      <c r="S865" s="547"/>
      <c r="T865" s="547"/>
      <c r="U865" s="547"/>
      <c r="V865" s="547"/>
      <c r="W865" s="547"/>
      <c r="X865" s="547"/>
      <c r="Y865" s="547"/>
      <c r="Z865" s="547"/>
      <c r="AA865" s="547"/>
      <c r="AB865" s="884"/>
      <c r="AC865" s="547"/>
    </row>
    <row r="866" spans="1:29" ht="15.75" customHeight="1">
      <c r="A866" s="549"/>
      <c r="B866" s="550"/>
      <c r="C866" s="551"/>
      <c r="D866" s="551"/>
      <c r="E866" s="547"/>
      <c r="F866" s="547"/>
      <c r="G866" s="547"/>
      <c r="H866" s="547"/>
      <c r="I866" s="547"/>
      <c r="J866" s="547"/>
      <c r="K866" s="547"/>
      <c r="M866" s="547"/>
      <c r="N866" s="547"/>
      <c r="O866" s="547"/>
      <c r="P866" s="547"/>
      <c r="Q866" s="547"/>
      <c r="R866" s="547"/>
      <c r="S866" s="547"/>
      <c r="T866" s="547"/>
      <c r="U866" s="547"/>
      <c r="V866" s="547"/>
      <c r="W866" s="547"/>
      <c r="X866" s="547"/>
      <c r="Y866" s="547"/>
      <c r="Z866" s="547"/>
      <c r="AA866" s="547"/>
      <c r="AB866" s="884"/>
      <c r="AC866" s="547"/>
    </row>
    <row r="867" spans="1:29" ht="15.75" customHeight="1">
      <c r="A867" s="549"/>
      <c r="B867" s="550"/>
      <c r="C867" s="551"/>
      <c r="D867" s="551"/>
      <c r="E867" s="547"/>
      <c r="F867" s="547"/>
      <c r="G867" s="547"/>
      <c r="H867" s="547"/>
      <c r="I867" s="547"/>
      <c r="J867" s="547"/>
      <c r="K867" s="547"/>
      <c r="M867" s="547"/>
      <c r="N867" s="547"/>
      <c r="O867" s="547"/>
      <c r="P867" s="547"/>
      <c r="Q867" s="547"/>
      <c r="R867" s="547"/>
      <c r="S867" s="547"/>
      <c r="T867" s="547"/>
      <c r="U867" s="547"/>
      <c r="V867" s="547"/>
      <c r="W867" s="547"/>
      <c r="X867" s="547"/>
      <c r="Y867" s="547"/>
      <c r="Z867" s="547"/>
      <c r="AA867" s="547"/>
      <c r="AB867" s="884"/>
      <c r="AC867" s="547"/>
    </row>
    <row r="868" spans="1:29" ht="15.75" customHeight="1">
      <c r="A868" s="549"/>
      <c r="B868" s="550"/>
      <c r="C868" s="551"/>
      <c r="D868" s="551"/>
      <c r="E868" s="547"/>
      <c r="F868" s="547"/>
      <c r="G868" s="547"/>
      <c r="H868" s="547"/>
      <c r="I868" s="547"/>
      <c r="J868" s="547"/>
      <c r="K868" s="547"/>
      <c r="M868" s="547"/>
      <c r="N868" s="547"/>
      <c r="O868" s="547"/>
      <c r="P868" s="547"/>
      <c r="Q868" s="547"/>
      <c r="R868" s="547"/>
      <c r="S868" s="547"/>
      <c r="T868" s="547"/>
      <c r="U868" s="547"/>
      <c r="V868" s="547"/>
      <c r="W868" s="547"/>
      <c r="X868" s="547"/>
      <c r="Y868" s="547"/>
      <c r="Z868" s="547"/>
      <c r="AA868" s="547"/>
      <c r="AB868" s="884"/>
      <c r="AC868" s="547"/>
    </row>
    <row r="869" spans="1:29" ht="15.75" customHeight="1">
      <c r="A869" s="549"/>
      <c r="B869" s="550"/>
      <c r="C869" s="551"/>
      <c r="D869" s="551"/>
      <c r="E869" s="547"/>
      <c r="F869" s="547"/>
      <c r="G869" s="547"/>
      <c r="H869" s="547"/>
      <c r="I869" s="547"/>
      <c r="J869" s="547"/>
      <c r="K869" s="547"/>
      <c r="M869" s="547"/>
      <c r="N869" s="547"/>
      <c r="O869" s="547"/>
      <c r="P869" s="547"/>
      <c r="Q869" s="547"/>
      <c r="R869" s="547"/>
      <c r="S869" s="547"/>
      <c r="T869" s="547"/>
      <c r="U869" s="547"/>
      <c r="V869" s="547"/>
      <c r="W869" s="547"/>
      <c r="X869" s="547"/>
      <c r="Y869" s="547"/>
      <c r="Z869" s="547"/>
      <c r="AA869" s="547"/>
      <c r="AB869" s="884"/>
      <c r="AC869" s="547"/>
    </row>
    <row r="870" spans="1:29" ht="15.75" customHeight="1">
      <c r="A870" s="549"/>
      <c r="B870" s="550"/>
      <c r="C870" s="551"/>
      <c r="D870" s="551"/>
      <c r="E870" s="547"/>
      <c r="F870" s="547"/>
      <c r="G870" s="547"/>
      <c r="H870" s="547"/>
      <c r="I870" s="547"/>
      <c r="J870" s="547"/>
      <c r="K870" s="547"/>
      <c r="M870" s="547"/>
      <c r="N870" s="547"/>
      <c r="O870" s="547"/>
      <c r="P870" s="547"/>
      <c r="Q870" s="547"/>
      <c r="R870" s="547"/>
      <c r="S870" s="547"/>
      <c r="T870" s="547"/>
      <c r="U870" s="547"/>
      <c r="V870" s="547"/>
      <c r="W870" s="547"/>
      <c r="X870" s="547"/>
      <c r="Y870" s="547"/>
      <c r="Z870" s="547"/>
      <c r="AA870" s="547"/>
      <c r="AB870" s="884"/>
      <c r="AC870" s="547"/>
    </row>
    <row r="871" spans="1:29" ht="15.75" customHeight="1">
      <c r="A871" s="549"/>
      <c r="B871" s="550"/>
      <c r="C871" s="551"/>
      <c r="D871" s="551"/>
      <c r="E871" s="547"/>
      <c r="F871" s="547"/>
      <c r="G871" s="547"/>
      <c r="H871" s="547"/>
      <c r="I871" s="547"/>
      <c r="J871" s="547"/>
      <c r="K871" s="547"/>
      <c r="M871" s="547"/>
      <c r="N871" s="547"/>
      <c r="O871" s="547"/>
      <c r="P871" s="547"/>
      <c r="Q871" s="547"/>
      <c r="R871" s="547"/>
      <c r="S871" s="547"/>
      <c r="T871" s="547"/>
      <c r="U871" s="547"/>
      <c r="V871" s="547"/>
      <c r="W871" s="547"/>
      <c r="X871" s="547"/>
      <c r="Y871" s="547"/>
      <c r="Z871" s="547"/>
      <c r="AA871" s="547"/>
      <c r="AB871" s="884"/>
      <c r="AC871" s="547"/>
    </row>
    <row r="872" spans="1:29" ht="15.75" customHeight="1">
      <c r="A872" s="549"/>
      <c r="B872" s="550"/>
      <c r="C872" s="551"/>
      <c r="D872" s="551"/>
      <c r="E872" s="547"/>
      <c r="F872" s="547"/>
      <c r="G872" s="547"/>
      <c r="H872" s="547"/>
      <c r="I872" s="547"/>
      <c r="J872" s="547"/>
      <c r="K872" s="547"/>
      <c r="M872" s="547"/>
      <c r="N872" s="547"/>
      <c r="O872" s="547"/>
      <c r="P872" s="547"/>
      <c r="Q872" s="547"/>
      <c r="R872" s="547"/>
      <c r="S872" s="547"/>
      <c r="T872" s="547"/>
      <c r="U872" s="547"/>
      <c r="V872" s="547"/>
      <c r="W872" s="547"/>
      <c r="X872" s="547"/>
      <c r="Y872" s="547"/>
      <c r="Z872" s="547"/>
      <c r="AA872" s="547"/>
      <c r="AB872" s="884"/>
      <c r="AC872" s="547"/>
    </row>
    <row r="873" spans="1:29" ht="15.75" customHeight="1">
      <c r="A873" s="549"/>
      <c r="B873" s="550"/>
      <c r="C873" s="551"/>
      <c r="D873" s="551"/>
      <c r="E873" s="547"/>
      <c r="F873" s="547"/>
      <c r="G873" s="547"/>
      <c r="H873" s="547"/>
      <c r="I873" s="547"/>
      <c r="J873" s="547"/>
      <c r="K873" s="547"/>
      <c r="M873" s="547"/>
      <c r="N873" s="547"/>
      <c r="O873" s="547"/>
      <c r="P873" s="547"/>
      <c r="Q873" s="547"/>
      <c r="R873" s="547"/>
      <c r="S873" s="547"/>
      <c r="T873" s="547"/>
      <c r="U873" s="547"/>
      <c r="V873" s="547"/>
      <c r="W873" s="547"/>
      <c r="X873" s="547"/>
      <c r="Y873" s="547"/>
      <c r="Z873" s="547"/>
      <c r="AA873" s="547"/>
      <c r="AB873" s="884"/>
      <c r="AC873" s="547"/>
    </row>
    <row r="874" spans="1:29" ht="15.75" customHeight="1">
      <c r="A874" s="549"/>
      <c r="B874" s="550"/>
      <c r="C874" s="551"/>
      <c r="D874" s="551"/>
      <c r="E874" s="547"/>
      <c r="F874" s="547"/>
      <c r="G874" s="547"/>
      <c r="H874" s="547"/>
      <c r="I874" s="547"/>
      <c r="J874" s="547"/>
      <c r="K874" s="547"/>
      <c r="M874" s="547"/>
      <c r="N874" s="547"/>
      <c r="O874" s="547"/>
      <c r="P874" s="547"/>
      <c r="Q874" s="547"/>
      <c r="R874" s="547"/>
      <c r="S874" s="547"/>
      <c r="T874" s="547"/>
      <c r="U874" s="547"/>
      <c r="V874" s="547"/>
      <c r="W874" s="547"/>
      <c r="X874" s="547"/>
      <c r="Y874" s="547"/>
      <c r="Z874" s="547"/>
      <c r="AA874" s="547"/>
      <c r="AB874" s="884"/>
      <c r="AC874" s="547"/>
    </row>
    <row r="875" spans="1:29" ht="15.75" customHeight="1">
      <c r="A875" s="549"/>
      <c r="B875" s="550"/>
      <c r="C875" s="551"/>
      <c r="D875" s="551"/>
      <c r="E875" s="547"/>
      <c r="F875" s="547"/>
      <c r="G875" s="547"/>
      <c r="H875" s="547"/>
      <c r="I875" s="547"/>
      <c r="J875" s="547"/>
      <c r="K875" s="547"/>
      <c r="M875" s="547"/>
      <c r="N875" s="547"/>
      <c r="O875" s="547"/>
      <c r="P875" s="547"/>
      <c r="Q875" s="547"/>
      <c r="R875" s="547"/>
      <c r="S875" s="547"/>
      <c r="T875" s="547"/>
      <c r="U875" s="547"/>
      <c r="V875" s="547"/>
      <c r="W875" s="547"/>
      <c r="X875" s="547"/>
      <c r="Y875" s="547"/>
      <c r="Z875" s="547"/>
      <c r="AA875" s="547"/>
      <c r="AB875" s="884"/>
      <c r="AC875" s="547"/>
    </row>
    <row r="876" spans="1:29" ht="15.75" customHeight="1">
      <c r="A876" s="549"/>
      <c r="B876" s="550"/>
      <c r="C876" s="551"/>
      <c r="D876" s="551"/>
      <c r="E876" s="547"/>
      <c r="F876" s="547"/>
      <c r="G876" s="547"/>
      <c r="H876" s="547"/>
      <c r="I876" s="547"/>
      <c r="J876" s="547"/>
      <c r="K876" s="547"/>
      <c r="M876" s="547"/>
      <c r="N876" s="547"/>
      <c r="O876" s="547"/>
      <c r="P876" s="547"/>
      <c r="Q876" s="547"/>
      <c r="R876" s="547"/>
      <c r="S876" s="547"/>
      <c r="T876" s="547"/>
      <c r="U876" s="547"/>
      <c r="V876" s="547"/>
      <c r="W876" s="547"/>
      <c r="X876" s="547"/>
      <c r="Y876" s="547"/>
      <c r="Z876" s="547"/>
      <c r="AA876" s="547"/>
      <c r="AB876" s="884"/>
      <c r="AC876" s="547"/>
    </row>
    <row r="877" spans="1:29" ht="15.75" customHeight="1">
      <c r="A877" s="549"/>
      <c r="B877" s="550"/>
      <c r="C877" s="551"/>
      <c r="D877" s="551"/>
      <c r="E877" s="547"/>
      <c r="F877" s="547"/>
      <c r="G877" s="547"/>
      <c r="H877" s="547"/>
      <c r="I877" s="547"/>
      <c r="J877" s="547"/>
      <c r="K877" s="547"/>
      <c r="M877" s="547"/>
      <c r="N877" s="547"/>
      <c r="O877" s="547"/>
      <c r="P877" s="547"/>
      <c r="Q877" s="547"/>
      <c r="R877" s="547"/>
      <c r="S877" s="547"/>
      <c r="T877" s="547"/>
      <c r="U877" s="547"/>
      <c r="V877" s="547"/>
      <c r="W877" s="547"/>
      <c r="X877" s="547"/>
      <c r="Y877" s="547"/>
      <c r="Z877" s="547"/>
      <c r="AA877" s="547"/>
      <c r="AB877" s="884"/>
      <c r="AC877" s="547"/>
    </row>
    <row r="878" spans="1:29" ht="15.75" customHeight="1">
      <c r="A878" s="549"/>
      <c r="B878" s="550"/>
      <c r="C878" s="551"/>
      <c r="D878" s="551"/>
      <c r="E878" s="547"/>
      <c r="F878" s="547"/>
      <c r="G878" s="547"/>
      <c r="H878" s="547"/>
      <c r="I878" s="547"/>
      <c r="J878" s="547"/>
      <c r="K878" s="547"/>
      <c r="M878" s="547"/>
      <c r="N878" s="547"/>
      <c r="O878" s="547"/>
      <c r="P878" s="547"/>
      <c r="Q878" s="547"/>
      <c r="R878" s="547"/>
      <c r="S878" s="547"/>
      <c r="T878" s="547"/>
      <c r="U878" s="547"/>
      <c r="V878" s="547"/>
      <c r="W878" s="547"/>
      <c r="X878" s="547"/>
      <c r="Y878" s="547"/>
      <c r="Z878" s="547"/>
      <c r="AA878" s="547"/>
      <c r="AB878" s="884"/>
      <c r="AC878" s="547"/>
    </row>
    <row r="879" spans="1:29" ht="15.75" customHeight="1">
      <c r="A879" s="549"/>
      <c r="B879" s="550"/>
      <c r="C879" s="551"/>
      <c r="D879" s="551"/>
      <c r="E879" s="547"/>
      <c r="F879" s="547"/>
      <c r="G879" s="547"/>
      <c r="H879" s="547"/>
      <c r="I879" s="547"/>
      <c r="J879" s="547"/>
      <c r="K879" s="547"/>
      <c r="M879" s="547"/>
      <c r="N879" s="547"/>
      <c r="O879" s="547"/>
      <c r="P879" s="547"/>
      <c r="Q879" s="547"/>
      <c r="R879" s="547"/>
      <c r="S879" s="547"/>
      <c r="T879" s="547"/>
      <c r="U879" s="547"/>
      <c r="V879" s="547"/>
      <c r="W879" s="547"/>
      <c r="X879" s="547"/>
      <c r="Y879" s="547"/>
      <c r="Z879" s="547"/>
      <c r="AA879" s="547"/>
      <c r="AB879" s="884"/>
      <c r="AC879" s="547"/>
    </row>
    <row r="880" spans="1:29" ht="15.75" customHeight="1">
      <c r="A880" s="549"/>
      <c r="B880" s="550"/>
      <c r="C880" s="551"/>
      <c r="D880" s="551"/>
      <c r="E880" s="547"/>
      <c r="F880" s="547"/>
      <c r="G880" s="547"/>
      <c r="H880" s="547"/>
      <c r="I880" s="547"/>
      <c r="J880" s="547"/>
      <c r="K880" s="547"/>
      <c r="M880" s="547"/>
      <c r="N880" s="547"/>
      <c r="O880" s="547"/>
      <c r="P880" s="547"/>
      <c r="Q880" s="547"/>
      <c r="R880" s="547"/>
      <c r="S880" s="547"/>
      <c r="T880" s="547"/>
      <c r="U880" s="547"/>
      <c r="V880" s="547"/>
      <c r="W880" s="547"/>
      <c r="X880" s="547"/>
      <c r="Y880" s="547"/>
      <c r="Z880" s="547"/>
      <c r="AA880" s="547"/>
      <c r="AB880" s="884"/>
      <c r="AC880" s="547"/>
    </row>
    <row r="881" spans="1:29" ht="15.75" customHeight="1">
      <c r="A881" s="549"/>
      <c r="B881" s="550"/>
      <c r="C881" s="551"/>
      <c r="D881" s="551"/>
      <c r="E881" s="547"/>
      <c r="F881" s="547"/>
      <c r="G881" s="547"/>
      <c r="H881" s="547"/>
      <c r="I881" s="547"/>
      <c r="J881" s="547"/>
      <c r="K881" s="547"/>
      <c r="M881" s="547"/>
      <c r="N881" s="547"/>
      <c r="O881" s="547"/>
      <c r="P881" s="547"/>
      <c r="Q881" s="547"/>
      <c r="R881" s="547"/>
      <c r="S881" s="547"/>
      <c r="T881" s="547"/>
      <c r="U881" s="547"/>
      <c r="V881" s="547"/>
      <c r="W881" s="547"/>
      <c r="X881" s="547"/>
      <c r="Y881" s="547"/>
      <c r="Z881" s="547"/>
      <c r="AA881" s="547"/>
      <c r="AB881" s="884"/>
      <c r="AC881" s="547"/>
    </row>
    <row r="882" spans="1:29" ht="15.75" customHeight="1">
      <c r="A882" s="549"/>
      <c r="B882" s="550"/>
      <c r="C882" s="551"/>
      <c r="D882" s="551"/>
      <c r="E882" s="547"/>
      <c r="F882" s="547"/>
      <c r="G882" s="547"/>
      <c r="H882" s="547"/>
      <c r="I882" s="547"/>
      <c r="J882" s="547"/>
      <c r="K882" s="547"/>
      <c r="M882" s="547"/>
      <c r="N882" s="547"/>
      <c r="O882" s="547"/>
      <c r="P882" s="547"/>
      <c r="Q882" s="547"/>
      <c r="R882" s="547"/>
      <c r="S882" s="547"/>
      <c r="T882" s="547"/>
      <c r="U882" s="547"/>
      <c r="V882" s="547"/>
      <c r="W882" s="547"/>
      <c r="X882" s="547"/>
      <c r="Y882" s="547"/>
      <c r="Z882" s="547"/>
      <c r="AA882" s="547"/>
      <c r="AB882" s="884"/>
      <c r="AC882" s="547"/>
    </row>
    <row r="883" spans="1:29" ht="15.75" customHeight="1">
      <c r="A883" s="549"/>
      <c r="B883" s="550"/>
      <c r="C883" s="551"/>
      <c r="D883" s="551"/>
      <c r="E883" s="547"/>
      <c r="F883" s="547"/>
      <c r="G883" s="547"/>
      <c r="H883" s="547"/>
      <c r="I883" s="547"/>
      <c r="J883" s="547"/>
      <c r="K883" s="547"/>
      <c r="M883" s="547"/>
      <c r="N883" s="547"/>
      <c r="O883" s="547"/>
      <c r="P883" s="547"/>
      <c r="Q883" s="547"/>
      <c r="R883" s="547"/>
      <c r="S883" s="547"/>
      <c r="T883" s="547"/>
      <c r="U883" s="547"/>
      <c r="V883" s="547"/>
      <c r="W883" s="547"/>
      <c r="X883" s="547"/>
      <c r="Y883" s="547"/>
      <c r="Z883" s="547"/>
      <c r="AA883" s="547"/>
      <c r="AB883" s="884"/>
      <c r="AC883" s="547"/>
    </row>
    <row r="884" spans="1:29" ht="15.75" customHeight="1">
      <c r="A884" s="549"/>
      <c r="B884" s="550"/>
      <c r="C884" s="551"/>
      <c r="D884" s="551"/>
      <c r="E884" s="547"/>
      <c r="F884" s="547"/>
      <c r="G884" s="547"/>
      <c r="H884" s="547"/>
      <c r="I884" s="547"/>
      <c r="J884" s="547"/>
      <c r="K884" s="547"/>
      <c r="M884" s="547"/>
      <c r="N884" s="547"/>
      <c r="O884" s="547"/>
      <c r="P884" s="547"/>
      <c r="Q884" s="547"/>
      <c r="R884" s="547"/>
      <c r="S884" s="547"/>
      <c r="T884" s="547"/>
      <c r="U884" s="547"/>
      <c r="V884" s="547"/>
      <c r="W884" s="547"/>
      <c r="X884" s="547"/>
      <c r="Y884" s="547"/>
      <c r="Z884" s="547"/>
      <c r="AA884" s="547"/>
      <c r="AB884" s="884"/>
      <c r="AC884" s="547"/>
    </row>
    <row r="885" spans="1:29" ht="15.75" customHeight="1">
      <c r="A885" s="549"/>
      <c r="B885" s="550"/>
      <c r="C885" s="551"/>
      <c r="D885" s="551"/>
      <c r="E885" s="547"/>
      <c r="F885" s="547"/>
      <c r="G885" s="547"/>
      <c r="H885" s="547"/>
      <c r="I885" s="547"/>
      <c r="J885" s="547"/>
      <c r="K885" s="547"/>
      <c r="M885" s="547"/>
      <c r="N885" s="547"/>
      <c r="O885" s="547"/>
      <c r="P885" s="547"/>
      <c r="Q885" s="547"/>
      <c r="R885" s="547"/>
      <c r="S885" s="547"/>
      <c r="T885" s="547"/>
      <c r="U885" s="547"/>
      <c r="V885" s="547"/>
      <c r="W885" s="547"/>
      <c r="X885" s="547"/>
      <c r="Y885" s="547"/>
      <c r="Z885" s="547"/>
      <c r="AA885" s="547"/>
      <c r="AB885" s="884"/>
      <c r="AC885" s="547"/>
    </row>
    <row r="886" spans="1:29" ht="15.75" customHeight="1">
      <c r="A886" s="549"/>
      <c r="B886" s="550"/>
      <c r="C886" s="551"/>
      <c r="D886" s="551"/>
      <c r="E886" s="547"/>
      <c r="F886" s="547"/>
      <c r="G886" s="547"/>
      <c r="H886" s="547"/>
      <c r="I886" s="547"/>
      <c r="J886" s="547"/>
      <c r="K886" s="547"/>
      <c r="M886" s="547"/>
      <c r="N886" s="547"/>
      <c r="O886" s="547"/>
      <c r="P886" s="547"/>
      <c r="Q886" s="547"/>
      <c r="R886" s="547"/>
      <c r="S886" s="547"/>
      <c r="T886" s="547"/>
      <c r="U886" s="547"/>
      <c r="V886" s="547"/>
      <c r="W886" s="547"/>
      <c r="X886" s="547"/>
      <c r="Y886" s="547"/>
      <c r="Z886" s="547"/>
      <c r="AA886" s="547"/>
      <c r="AB886" s="884"/>
      <c r="AC886" s="547"/>
    </row>
    <row r="887" spans="1:29" ht="15.75" customHeight="1">
      <c r="A887" s="549"/>
      <c r="B887" s="550"/>
      <c r="C887" s="551"/>
      <c r="D887" s="551"/>
      <c r="E887" s="547"/>
      <c r="F887" s="547"/>
      <c r="G887" s="547"/>
      <c r="H887" s="547"/>
      <c r="I887" s="547"/>
      <c r="J887" s="547"/>
      <c r="K887" s="547"/>
      <c r="M887" s="547"/>
      <c r="N887" s="547"/>
      <c r="O887" s="547"/>
      <c r="P887" s="547"/>
      <c r="Q887" s="547"/>
      <c r="R887" s="547"/>
      <c r="S887" s="547"/>
      <c r="T887" s="547"/>
      <c r="U887" s="547"/>
      <c r="V887" s="547"/>
      <c r="W887" s="547"/>
      <c r="X887" s="547"/>
      <c r="Y887" s="547"/>
      <c r="Z887" s="547"/>
      <c r="AA887" s="547"/>
      <c r="AB887" s="884"/>
      <c r="AC887" s="547"/>
    </row>
    <row r="888" spans="1:29" ht="15.75" customHeight="1">
      <c r="A888" s="549"/>
      <c r="B888" s="550"/>
      <c r="C888" s="551"/>
      <c r="D888" s="551"/>
      <c r="E888" s="547"/>
      <c r="F888" s="547"/>
      <c r="G888" s="547"/>
      <c r="H888" s="547"/>
      <c r="I888" s="547"/>
      <c r="J888" s="547"/>
      <c r="K888" s="547"/>
      <c r="M888" s="547"/>
      <c r="N888" s="547"/>
      <c r="O888" s="547"/>
      <c r="P888" s="547"/>
      <c r="Q888" s="547"/>
      <c r="R888" s="547"/>
      <c r="S888" s="547"/>
      <c r="T888" s="547"/>
      <c r="U888" s="547"/>
      <c r="V888" s="547"/>
      <c r="W888" s="547"/>
      <c r="X888" s="547"/>
      <c r="Y888" s="547"/>
      <c r="Z888" s="547"/>
      <c r="AA888" s="547"/>
      <c r="AB888" s="884"/>
      <c r="AC888" s="547"/>
    </row>
    <row r="889" spans="1:29" ht="15.75" customHeight="1">
      <c r="A889" s="549"/>
      <c r="B889" s="550"/>
      <c r="C889" s="551"/>
      <c r="D889" s="551"/>
      <c r="E889" s="547"/>
      <c r="F889" s="547"/>
      <c r="G889" s="547"/>
      <c r="H889" s="547"/>
      <c r="I889" s="547"/>
      <c r="J889" s="547"/>
      <c r="K889" s="547"/>
      <c r="M889" s="547"/>
      <c r="N889" s="547"/>
      <c r="O889" s="547"/>
      <c r="P889" s="547"/>
      <c r="Q889" s="547"/>
      <c r="R889" s="547"/>
      <c r="S889" s="547"/>
      <c r="T889" s="547"/>
      <c r="U889" s="547"/>
      <c r="V889" s="547"/>
      <c r="W889" s="547"/>
      <c r="X889" s="547"/>
      <c r="Y889" s="547"/>
      <c r="Z889" s="547"/>
      <c r="AA889" s="547"/>
      <c r="AB889" s="884"/>
      <c r="AC889" s="547"/>
    </row>
    <row r="890" spans="1:29" ht="15.75" customHeight="1">
      <c r="A890" s="549"/>
      <c r="B890" s="550"/>
      <c r="C890" s="551"/>
      <c r="D890" s="551"/>
      <c r="E890" s="547"/>
      <c r="F890" s="547"/>
      <c r="G890" s="547"/>
      <c r="H890" s="547"/>
      <c r="I890" s="547"/>
      <c r="J890" s="547"/>
      <c r="K890" s="547"/>
      <c r="M890" s="547"/>
      <c r="N890" s="547"/>
      <c r="O890" s="547"/>
      <c r="P890" s="547"/>
      <c r="Q890" s="547"/>
      <c r="R890" s="547"/>
      <c r="S890" s="547"/>
      <c r="T890" s="547"/>
      <c r="U890" s="547"/>
      <c r="V890" s="547"/>
      <c r="W890" s="547"/>
      <c r="X890" s="547"/>
      <c r="Y890" s="547"/>
      <c r="Z890" s="547"/>
      <c r="AA890" s="547"/>
      <c r="AB890" s="884"/>
      <c r="AC890" s="547"/>
    </row>
    <row r="891" spans="1:29" ht="15.75" customHeight="1">
      <c r="A891" s="549"/>
      <c r="B891" s="550"/>
      <c r="C891" s="551"/>
      <c r="D891" s="551"/>
      <c r="E891" s="547"/>
      <c r="F891" s="547"/>
      <c r="G891" s="547"/>
      <c r="H891" s="547"/>
      <c r="I891" s="547"/>
      <c r="J891" s="547"/>
      <c r="K891" s="547"/>
      <c r="M891" s="547"/>
      <c r="N891" s="547"/>
      <c r="O891" s="547"/>
      <c r="P891" s="547"/>
      <c r="Q891" s="547"/>
      <c r="R891" s="547"/>
      <c r="S891" s="547"/>
      <c r="T891" s="547"/>
      <c r="U891" s="547"/>
      <c r="V891" s="547"/>
      <c r="W891" s="547"/>
      <c r="X891" s="547"/>
      <c r="Y891" s="547"/>
      <c r="Z891" s="547"/>
      <c r="AA891" s="547"/>
      <c r="AB891" s="884"/>
      <c r="AC891" s="547"/>
    </row>
    <row r="892" spans="1:29" ht="15.75" customHeight="1">
      <c r="A892" s="549"/>
      <c r="B892" s="550"/>
      <c r="C892" s="551"/>
      <c r="D892" s="551"/>
      <c r="E892" s="547"/>
      <c r="F892" s="547"/>
      <c r="G892" s="547"/>
      <c r="H892" s="547"/>
      <c r="I892" s="547"/>
      <c r="J892" s="547"/>
      <c r="K892" s="547"/>
      <c r="M892" s="547"/>
      <c r="N892" s="547"/>
      <c r="O892" s="547"/>
      <c r="P892" s="547"/>
      <c r="Q892" s="547"/>
      <c r="R892" s="547"/>
      <c r="S892" s="547"/>
      <c r="T892" s="547"/>
      <c r="U892" s="547"/>
      <c r="V892" s="547"/>
      <c r="W892" s="547"/>
      <c r="X892" s="547"/>
      <c r="Y892" s="547"/>
      <c r="Z892" s="547"/>
      <c r="AA892" s="547"/>
      <c r="AB892" s="884"/>
      <c r="AC892" s="547"/>
    </row>
    <row r="893" spans="1:29" ht="15.75" customHeight="1">
      <c r="A893" s="549"/>
      <c r="B893" s="550"/>
      <c r="C893" s="551"/>
      <c r="D893" s="551"/>
      <c r="E893" s="547"/>
      <c r="F893" s="547"/>
      <c r="G893" s="547"/>
      <c r="H893" s="547"/>
      <c r="I893" s="547"/>
      <c r="J893" s="547"/>
      <c r="K893" s="547"/>
      <c r="M893" s="547"/>
      <c r="N893" s="547"/>
      <c r="O893" s="547"/>
      <c r="P893" s="547"/>
      <c r="Q893" s="547"/>
      <c r="R893" s="547"/>
      <c r="S893" s="547"/>
      <c r="T893" s="547"/>
      <c r="U893" s="547"/>
      <c r="V893" s="547"/>
      <c r="W893" s="547"/>
      <c r="X893" s="547"/>
      <c r="Y893" s="547"/>
      <c r="Z893" s="547"/>
      <c r="AA893" s="547"/>
      <c r="AB893" s="884"/>
      <c r="AC893" s="547"/>
    </row>
    <row r="894" spans="1:29" ht="15.75" customHeight="1">
      <c r="A894" s="549"/>
      <c r="B894" s="550"/>
      <c r="C894" s="551"/>
      <c r="D894" s="551"/>
      <c r="E894" s="547"/>
      <c r="F894" s="547"/>
      <c r="G894" s="547"/>
      <c r="H894" s="547"/>
      <c r="I894" s="547"/>
      <c r="J894" s="547"/>
      <c r="K894" s="547"/>
      <c r="M894" s="547"/>
      <c r="N894" s="547"/>
      <c r="O894" s="547"/>
      <c r="P894" s="547"/>
      <c r="Q894" s="547"/>
      <c r="R894" s="547"/>
      <c r="S894" s="547"/>
      <c r="T894" s="547"/>
      <c r="U894" s="547"/>
      <c r="V894" s="547"/>
      <c r="W894" s="547"/>
      <c r="X894" s="547"/>
      <c r="Y894" s="547"/>
      <c r="Z894" s="547"/>
      <c r="AA894" s="547"/>
      <c r="AB894" s="884"/>
      <c r="AC894" s="547"/>
    </row>
    <row r="895" spans="1:29" ht="15.75" customHeight="1">
      <c r="A895" s="549"/>
      <c r="B895" s="550"/>
      <c r="C895" s="551"/>
      <c r="D895" s="551"/>
      <c r="E895" s="547"/>
      <c r="F895" s="547"/>
      <c r="G895" s="547"/>
      <c r="H895" s="547"/>
      <c r="I895" s="547"/>
      <c r="J895" s="547"/>
      <c r="K895" s="547"/>
      <c r="M895" s="547"/>
      <c r="N895" s="547"/>
      <c r="O895" s="547"/>
      <c r="P895" s="547"/>
      <c r="Q895" s="547"/>
      <c r="R895" s="547"/>
      <c r="S895" s="547"/>
      <c r="T895" s="547"/>
      <c r="U895" s="547"/>
      <c r="V895" s="547"/>
      <c r="W895" s="547"/>
      <c r="X895" s="547"/>
      <c r="Y895" s="547"/>
      <c r="Z895" s="547"/>
      <c r="AA895" s="547"/>
      <c r="AB895" s="884"/>
      <c r="AC895" s="547"/>
    </row>
    <row r="896" spans="1:29" ht="15.75" customHeight="1">
      <c r="A896" s="549"/>
      <c r="B896" s="550"/>
      <c r="C896" s="551"/>
      <c r="D896" s="551"/>
      <c r="E896" s="547"/>
      <c r="F896" s="547"/>
      <c r="G896" s="547"/>
      <c r="H896" s="547"/>
      <c r="I896" s="547"/>
      <c r="J896" s="547"/>
      <c r="K896" s="547"/>
      <c r="M896" s="547"/>
      <c r="N896" s="547"/>
      <c r="O896" s="547"/>
      <c r="P896" s="547"/>
      <c r="Q896" s="547"/>
      <c r="R896" s="547"/>
      <c r="S896" s="547"/>
      <c r="T896" s="547"/>
      <c r="U896" s="547"/>
      <c r="V896" s="547"/>
      <c r="W896" s="547"/>
      <c r="X896" s="547"/>
      <c r="Y896" s="547"/>
      <c r="Z896" s="547"/>
      <c r="AA896" s="547"/>
      <c r="AB896" s="884"/>
      <c r="AC896" s="547"/>
    </row>
    <row r="897" spans="1:29" ht="15.75" customHeight="1">
      <c r="A897" s="549"/>
      <c r="B897" s="550"/>
      <c r="C897" s="551"/>
      <c r="D897" s="551"/>
      <c r="E897" s="547"/>
      <c r="F897" s="547"/>
      <c r="G897" s="547"/>
      <c r="H897" s="547"/>
      <c r="I897" s="547"/>
      <c r="J897" s="547"/>
      <c r="K897" s="547"/>
      <c r="M897" s="547"/>
      <c r="N897" s="547"/>
      <c r="O897" s="547"/>
      <c r="P897" s="547"/>
      <c r="Q897" s="547"/>
      <c r="R897" s="547"/>
      <c r="S897" s="547"/>
      <c r="T897" s="547"/>
      <c r="U897" s="547"/>
      <c r="V897" s="547"/>
      <c r="W897" s="547"/>
      <c r="X897" s="547"/>
      <c r="Y897" s="547"/>
      <c r="Z897" s="547"/>
      <c r="AA897" s="547"/>
      <c r="AB897" s="884"/>
      <c r="AC897" s="547"/>
    </row>
    <row r="898" spans="1:29" ht="15.75" customHeight="1">
      <c r="A898" s="549"/>
      <c r="B898" s="550"/>
      <c r="C898" s="551"/>
      <c r="D898" s="551"/>
      <c r="E898" s="547"/>
      <c r="F898" s="547"/>
      <c r="G898" s="547"/>
      <c r="H898" s="547"/>
      <c r="I898" s="547"/>
      <c r="J898" s="547"/>
      <c r="K898" s="547"/>
      <c r="M898" s="547"/>
      <c r="N898" s="547"/>
      <c r="O898" s="547"/>
      <c r="P898" s="547"/>
      <c r="Q898" s="547"/>
      <c r="R898" s="547"/>
      <c r="S898" s="547"/>
      <c r="T898" s="547"/>
      <c r="U898" s="547"/>
      <c r="V898" s="547"/>
      <c r="W898" s="547"/>
      <c r="X898" s="547"/>
      <c r="Y898" s="547"/>
      <c r="Z898" s="547"/>
      <c r="AA898" s="547"/>
      <c r="AB898" s="884"/>
      <c r="AC898" s="547"/>
    </row>
    <row r="899" spans="1:29" ht="15.75" customHeight="1">
      <c r="A899" s="549"/>
      <c r="B899" s="550"/>
      <c r="C899" s="551"/>
      <c r="D899" s="551"/>
      <c r="E899" s="547"/>
      <c r="F899" s="547"/>
      <c r="G899" s="547"/>
      <c r="H899" s="547"/>
      <c r="I899" s="547"/>
      <c r="J899" s="547"/>
      <c r="K899" s="547"/>
      <c r="M899" s="547"/>
      <c r="N899" s="547"/>
      <c r="O899" s="547"/>
      <c r="P899" s="547"/>
      <c r="Q899" s="547"/>
      <c r="R899" s="547"/>
      <c r="S899" s="547"/>
      <c r="T899" s="547"/>
      <c r="U899" s="547"/>
      <c r="V899" s="547"/>
      <c r="W899" s="547"/>
      <c r="X899" s="547"/>
      <c r="Y899" s="547"/>
      <c r="Z899" s="547"/>
      <c r="AA899" s="547"/>
      <c r="AB899" s="884"/>
      <c r="AC899" s="547"/>
    </row>
    <row r="900" spans="1:29" ht="15.75" customHeight="1">
      <c r="A900" s="549"/>
      <c r="B900" s="550"/>
      <c r="C900" s="551"/>
      <c r="D900" s="551"/>
      <c r="E900" s="547"/>
      <c r="F900" s="547"/>
      <c r="G900" s="547"/>
      <c r="H900" s="547"/>
      <c r="I900" s="547"/>
      <c r="J900" s="547"/>
      <c r="K900" s="547"/>
      <c r="M900" s="547"/>
      <c r="N900" s="547"/>
      <c r="O900" s="547"/>
      <c r="P900" s="547"/>
      <c r="Q900" s="547"/>
      <c r="R900" s="547"/>
      <c r="S900" s="547"/>
      <c r="T900" s="547"/>
      <c r="U900" s="547"/>
      <c r="V900" s="547"/>
      <c r="W900" s="547"/>
      <c r="X900" s="547"/>
      <c r="Y900" s="547"/>
      <c r="Z900" s="547"/>
      <c r="AA900" s="547"/>
      <c r="AB900" s="884"/>
      <c r="AC900" s="547"/>
    </row>
    <row r="901" spans="1:29" ht="15.75" customHeight="1">
      <c r="A901" s="549"/>
      <c r="B901" s="550"/>
      <c r="C901" s="551"/>
      <c r="D901" s="551"/>
      <c r="E901" s="547"/>
      <c r="F901" s="547"/>
      <c r="G901" s="547"/>
      <c r="H901" s="547"/>
      <c r="I901" s="547"/>
      <c r="J901" s="547"/>
      <c r="K901" s="547"/>
      <c r="M901" s="547"/>
      <c r="N901" s="547"/>
      <c r="O901" s="547"/>
      <c r="P901" s="547"/>
      <c r="Q901" s="547"/>
      <c r="R901" s="547"/>
      <c r="S901" s="547"/>
      <c r="T901" s="547"/>
      <c r="U901" s="547"/>
      <c r="V901" s="547"/>
      <c r="W901" s="547"/>
      <c r="X901" s="547"/>
      <c r="Y901" s="547"/>
      <c r="Z901" s="547"/>
      <c r="AA901" s="547"/>
      <c r="AB901" s="884"/>
      <c r="AC901" s="547"/>
    </row>
    <row r="902" spans="1:29" ht="15.75" customHeight="1">
      <c r="A902" s="549"/>
      <c r="B902" s="550"/>
      <c r="C902" s="551"/>
      <c r="D902" s="551"/>
      <c r="E902" s="547"/>
      <c r="F902" s="547"/>
      <c r="G902" s="547"/>
      <c r="H902" s="547"/>
      <c r="I902" s="547"/>
      <c r="J902" s="547"/>
      <c r="K902" s="547"/>
      <c r="M902" s="547"/>
      <c r="N902" s="547"/>
      <c r="O902" s="547"/>
      <c r="P902" s="547"/>
      <c r="Q902" s="547"/>
      <c r="R902" s="547"/>
      <c r="S902" s="547"/>
      <c r="T902" s="547"/>
      <c r="U902" s="547"/>
      <c r="V902" s="547"/>
      <c r="W902" s="547"/>
      <c r="X902" s="547"/>
      <c r="Y902" s="547"/>
      <c r="Z902" s="547"/>
      <c r="AA902" s="547"/>
      <c r="AB902" s="884"/>
      <c r="AC902" s="547"/>
    </row>
    <row r="903" spans="1:29" ht="15.75" customHeight="1">
      <c r="A903" s="549"/>
      <c r="B903" s="550"/>
      <c r="C903" s="551"/>
      <c r="D903" s="551"/>
      <c r="E903" s="547"/>
      <c r="F903" s="547"/>
      <c r="G903" s="547"/>
      <c r="H903" s="547"/>
      <c r="I903" s="547"/>
      <c r="J903" s="547"/>
      <c r="K903" s="547"/>
      <c r="M903" s="547"/>
      <c r="N903" s="547"/>
      <c r="O903" s="547"/>
      <c r="P903" s="547"/>
      <c r="Q903" s="547"/>
      <c r="R903" s="547"/>
      <c r="S903" s="547"/>
      <c r="T903" s="547"/>
      <c r="U903" s="547"/>
      <c r="V903" s="547"/>
      <c r="W903" s="547"/>
      <c r="X903" s="547"/>
      <c r="Y903" s="547"/>
      <c r="Z903" s="547"/>
      <c r="AA903" s="547"/>
      <c r="AB903" s="884"/>
      <c r="AC903" s="547"/>
    </row>
    <row r="904" spans="1:29" ht="15.75" customHeight="1">
      <c r="A904" s="549"/>
      <c r="B904" s="550"/>
      <c r="C904" s="551"/>
      <c r="D904" s="551"/>
      <c r="E904" s="547"/>
      <c r="F904" s="547"/>
      <c r="G904" s="547"/>
      <c r="H904" s="547"/>
      <c r="I904" s="547"/>
      <c r="J904" s="547"/>
      <c r="K904" s="547"/>
      <c r="M904" s="547"/>
      <c r="N904" s="547"/>
      <c r="O904" s="547"/>
      <c r="P904" s="547"/>
      <c r="Q904" s="547"/>
      <c r="R904" s="547"/>
      <c r="S904" s="547"/>
      <c r="T904" s="547"/>
      <c r="U904" s="547"/>
      <c r="V904" s="547"/>
      <c r="W904" s="547"/>
      <c r="X904" s="547"/>
      <c r="Y904" s="547"/>
      <c r="Z904" s="547"/>
      <c r="AA904" s="547"/>
      <c r="AB904" s="884"/>
      <c r="AC904" s="547"/>
    </row>
    <row r="905" spans="1:29" ht="15.75" customHeight="1">
      <c r="A905" s="549"/>
      <c r="B905" s="550"/>
      <c r="C905" s="551"/>
      <c r="D905" s="551"/>
      <c r="E905" s="547"/>
      <c r="F905" s="547"/>
      <c r="G905" s="547"/>
      <c r="H905" s="547"/>
      <c r="I905" s="547"/>
      <c r="J905" s="547"/>
      <c r="K905" s="547"/>
      <c r="M905" s="547"/>
      <c r="N905" s="547"/>
      <c r="O905" s="547"/>
      <c r="P905" s="547"/>
      <c r="Q905" s="547"/>
      <c r="R905" s="547"/>
      <c r="S905" s="547"/>
      <c r="T905" s="547"/>
      <c r="U905" s="547"/>
      <c r="V905" s="547"/>
      <c r="W905" s="547"/>
      <c r="X905" s="547"/>
      <c r="Y905" s="547"/>
      <c r="Z905" s="547"/>
      <c r="AA905" s="547"/>
      <c r="AB905" s="884"/>
      <c r="AC905" s="547"/>
    </row>
    <row r="906" spans="1:29" ht="15.75" customHeight="1">
      <c r="A906" s="549"/>
      <c r="B906" s="550"/>
      <c r="C906" s="551"/>
      <c r="D906" s="551"/>
      <c r="E906" s="547"/>
      <c r="F906" s="547"/>
      <c r="G906" s="547"/>
      <c r="H906" s="547"/>
      <c r="I906" s="547"/>
      <c r="J906" s="547"/>
      <c r="K906" s="547"/>
      <c r="M906" s="547"/>
      <c r="N906" s="547"/>
      <c r="O906" s="547"/>
      <c r="P906" s="547"/>
      <c r="Q906" s="547"/>
      <c r="R906" s="547"/>
      <c r="S906" s="547"/>
      <c r="T906" s="547"/>
      <c r="U906" s="547"/>
      <c r="V906" s="547"/>
      <c r="W906" s="547"/>
      <c r="X906" s="547"/>
      <c r="Y906" s="547"/>
      <c r="Z906" s="547"/>
      <c r="AA906" s="547"/>
      <c r="AB906" s="884"/>
      <c r="AC906" s="547"/>
    </row>
    <row r="907" spans="1:29" ht="15.75" customHeight="1">
      <c r="A907" s="549"/>
      <c r="B907" s="550"/>
      <c r="C907" s="551"/>
      <c r="D907" s="551"/>
      <c r="E907" s="547"/>
      <c r="F907" s="547"/>
      <c r="G907" s="547"/>
      <c r="H907" s="547"/>
      <c r="I907" s="547"/>
      <c r="J907" s="547"/>
      <c r="K907" s="547"/>
      <c r="M907" s="547"/>
      <c r="N907" s="547"/>
      <c r="O907" s="547"/>
      <c r="P907" s="547"/>
      <c r="Q907" s="547"/>
      <c r="R907" s="547"/>
      <c r="S907" s="547"/>
      <c r="T907" s="547"/>
      <c r="U907" s="547"/>
      <c r="V907" s="547"/>
      <c r="W907" s="547"/>
      <c r="X907" s="547"/>
      <c r="Y907" s="547"/>
      <c r="Z907" s="547"/>
      <c r="AA907" s="547"/>
      <c r="AB907" s="884"/>
      <c r="AC907" s="547"/>
    </row>
    <row r="908" spans="1:29" ht="15.75" customHeight="1">
      <c r="A908" s="549"/>
      <c r="B908" s="550"/>
      <c r="C908" s="551"/>
      <c r="D908" s="551"/>
      <c r="E908" s="547"/>
      <c r="F908" s="547"/>
      <c r="G908" s="547"/>
      <c r="H908" s="547"/>
      <c r="I908" s="547"/>
      <c r="J908" s="547"/>
      <c r="K908" s="547"/>
      <c r="M908" s="547"/>
      <c r="N908" s="547"/>
      <c r="O908" s="547"/>
      <c r="P908" s="547"/>
      <c r="Q908" s="547"/>
      <c r="R908" s="547"/>
      <c r="S908" s="547"/>
      <c r="T908" s="547"/>
      <c r="U908" s="547"/>
      <c r="V908" s="547"/>
      <c r="W908" s="547"/>
      <c r="X908" s="547"/>
      <c r="Y908" s="547"/>
      <c r="Z908" s="547"/>
      <c r="AA908" s="547"/>
      <c r="AB908" s="884"/>
      <c r="AC908" s="547"/>
    </row>
    <row r="909" spans="1:29" ht="15.75" customHeight="1">
      <c r="A909" s="549"/>
      <c r="B909" s="550"/>
      <c r="C909" s="551"/>
      <c r="D909" s="551"/>
      <c r="E909" s="547"/>
      <c r="F909" s="547"/>
      <c r="G909" s="547"/>
      <c r="H909" s="547"/>
      <c r="I909" s="547"/>
      <c r="J909" s="547"/>
      <c r="K909" s="547"/>
      <c r="M909" s="547"/>
      <c r="N909" s="547"/>
      <c r="O909" s="547"/>
      <c r="P909" s="547"/>
      <c r="Q909" s="547"/>
      <c r="R909" s="547"/>
      <c r="S909" s="547"/>
      <c r="T909" s="547"/>
      <c r="U909" s="547"/>
      <c r="V909" s="547"/>
      <c r="W909" s="547"/>
      <c r="X909" s="547"/>
      <c r="Y909" s="547"/>
      <c r="Z909" s="547"/>
      <c r="AA909" s="547"/>
      <c r="AB909" s="884"/>
      <c r="AC909" s="547"/>
    </row>
    <row r="910" spans="1:29" ht="15.75" customHeight="1">
      <c r="A910" s="549"/>
      <c r="B910" s="550"/>
      <c r="C910" s="551"/>
      <c r="D910" s="551"/>
      <c r="E910" s="547"/>
      <c r="F910" s="547"/>
      <c r="G910" s="547"/>
      <c r="H910" s="547"/>
      <c r="I910" s="547"/>
      <c r="J910" s="547"/>
      <c r="K910" s="547"/>
      <c r="M910" s="547"/>
      <c r="N910" s="547"/>
      <c r="O910" s="547"/>
      <c r="P910" s="547"/>
      <c r="Q910" s="547"/>
      <c r="R910" s="547"/>
      <c r="S910" s="547"/>
      <c r="T910" s="547"/>
      <c r="U910" s="547"/>
      <c r="V910" s="547"/>
      <c r="W910" s="547"/>
      <c r="X910" s="547"/>
      <c r="Y910" s="547"/>
      <c r="Z910" s="547"/>
      <c r="AA910" s="547"/>
      <c r="AB910" s="884"/>
      <c r="AC910" s="547"/>
    </row>
    <row r="911" spans="1:29" ht="15.75" customHeight="1">
      <c r="A911" s="549"/>
      <c r="B911" s="550"/>
      <c r="C911" s="551"/>
      <c r="D911" s="551"/>
      <c r="E911" s="547"/>
      <c r="F911" s="547"/>
      <c r="G911" s="547"/>
      <c r="H911" s="547"/>
      <c r="I911" s="547"/>
      <c r="J911" s="547"/>
      <c r="K911" s="547"/>
      <c r="M911" s="547"/>
      <c r="N911" s="547"/>
      <c r="O911" s="547"/>
      <c r="P911" s="547"/>
      <c r="Q911" s="547"/>
      <c r="R911" s="547"/>
      <c r="S911" s="547"/>
      <c r="T911" s="547"/>
      <c r="U911" s="547"/>
      <c r="V911" s="547"/>
      <c r="W911" s="547"/>
      <c r="X911" s="547"/>
      <c r="Y911" s="547"/>
      <c r="Z911" s="547"/>
      <c r="AA911" s="547"/>
      <c r="AB911" s="884"/>
      <c r="AC911" s="547"/>
    </row>
    <row r="912" spans="1:29" ht="15.75" customHeight="1">
      <c r="A912" s="549"/>
      <c r="B912" s="550"/>
      <c r="C912" s="551"/>
      <c r="D912" s="551"/>
      <c r="E912" s="547"/>
      <c r="F912" s="547"/>
      <c r="G912" s="547"/>
      <c r="H912" s="547"/>
      <c r="I912" s="547"/>
      <c r="J912" s="547"/>
      <c r="K912" s="547"/>
      <c r="M912" s="547"/>
      <c r="N912" s="547"/>
      <c r="O912" s="547"/>
      <c r="P912" s="547"/>
      <c r="Q912" s="547"/>
      <c r="R912" s="547"/>
      <c r="S912" s="547"/>
      <c r="T912" s="547"/>
      <c r="U912" s="547"/>
      <c r="V912" s="547"/>
      <c r="W912" s="547"/>
      <c r="X912" s="547"/>
      <c r="Y912" s="547"/>
      <c r="Z912" s="547"/>
      <c r="AA912" s="547"/>
      <c r="AB912" s="884"/>
      <c r="AC912" s="547"/>
    </row>
    <row r="913" spans="1:29" ht="15.75" customHeight="1">
      <c r="A913" s="549"/>
      <c r="B913" s="550"/>
      <c r="C913" s="551"/>
      <c r="D913" s="551"/>
      <c r="E913" s="547"/>
      <c r="F913" s="547"/>
      <c r="G913" s="547"/>
      <c r="H913" s="547"/>
      <c r="I913" s="547"/>
      <c r="J913" s="547"/>
      <c r="K913" s="547"/>
      <c r="M913" s="547"/>
      <c r="N913" s="547"/>
      <c r="O913" s="547"/>
      <c r="P913" s="547"/>
      <c r="Q913" s="547"/>
      <c r="R913" s="547"/>
      <c r="S913" s="547"/>
      <c r="T913" s="547"/>
      <c r="U913" s="547"/>
      <c r="V913" s="547"/>
      <c r="W913" s="547"/>
      <c r="X913" s="547"/>
      <c r="Y913" s="547"/>
      <c r="Z913" s="547"/>
      <c r="AA913" s="547"/>
      <c r="AB913" s="884"/>
      <c r="AC913" s="547"/>
    </row>
    <row r="914" spans="1:29" ht="15.75" customHeight="1">
      <c r="A914" s="549"/>
      <c r="B914" s="550"/>
      <c r="C914" s="551"/>
      <c r="D914" s="551"/>
      <c r="E914" s="547"/>
      <c r="F914" s="547"/>
      <c r="G914" s="547"/>
      <c r="H914" s="547"/>
      <c r="I914" s="547"/>
      <c r="J914" s="547"/>
      <c r="K914" s="547"/>
      <c r="M914" s="547"/>
      <c r="N914" s="547"/>
      <c r="O914" s="547"/>
      <c r="P914" s="547"/>
      <c r="Q914" s="547"/>
      <c r="R914" s="547"/>
      <c r="S914" s="547"/>
      <c r="T914" s="547"/>
      <c r="U914" s="547"/>
      <c r="V914" s="547"/>
      <c r="W914" s="547"/>
      <c r="X914" s="547"/>
      <c r="Y914" s="547"/>
      <c r="Z914" s="547"/>
      <c r="AA914" s="547"/>
      <c r="AB914" s="884"/>
      <c r="AC914" s="547"/>
    </row>
    <row r="915" spans="1:29" ht="15.75" customHeight="1">
      <c r="A915" s="549"/>
      <c r="B915" s="550"/>
      <c r="C915" s="551"/>
      <c r="D915" s="551"/>
      <c r="E915" s="547"/>
      <c r="F915" s="547"/>
      <c r="G915" s="547"/>
      <c r="H915" s="547"/>
      <c r="I915" s="547"/>
      <c r="J915" s="547"/>
      <c r="K915" s="547"/>
      <c r="M915" s="547"/>
      <c r="N915" s="547"/>
      <c r="O915" s="547"/>
      <c r="P915" s="547"/>
      <c r="Q915" s="547"/>
      <c r="R915" s="547"/>
      <c r="S915" s="547"/>
      <c r="T915" s="547"/>
      <c r="U915" s="547"/>
      <c r="V915" s="547"/>
      <c r="W915" s="547"/>
      <c r="X915" s="547"/>
      <c r="Y915" s="547"/>
      <c r="Z915" s="547"/>
      <c r="AA915" s="547"/>
      <c r="AB915" s="884"/>
      <c r="AC915" s="547"/>
    </row>
    <row r="916" spans="1:29" ht="15.75" customHeight="1">
      <c r="A916" s="549"/>
      <c r="B916" s="550"/>
      <c r="C916" s="551"/>
      <c r="D916" s="551"/>
      <c r="E916" s="547"/>
      <c r="F916" s="547"/>
      <c r="G916" s="547"/>
      <c r="H916" s="547"/>
      <c r="I916" s="547"/>
      <c r="J916" s="547"/>
      <c r="K916" s="547"/>
      <c r="M916" s="547"/>
      <c r="N916" s="547"/>
      <c r="O916" s="547"/>
      <c r="P916" s="547"/>
      <c r="Q916" s="547"/>
      <c r="R916" s="547"/>
      <c r="S916" s="547"/>
      <c r="T916" s="547"/>
      <c r="U916" s="547"/>
      <c r="V916" s="547"/>
      <c r="W916" s="547"/>
      <c r="X916" s="547"/>
      <c r="Y916" s="547"/>
      <c r="Z916" s="547"/>
      <c r="AA916" s="547"/>
      <c r="AB916" s="884"/>
      <c r="AC916" s="547"/>
    </row>
    <row r="917" spans="1:29" ht="15.75" customHeight="1">
      <c r="A917" s="549"/>
      <c r="B917" s="550"/>
      <c r="C917" s="551"/>
      <c r="D917" s="551"/>
      <c r="E917" s="547"/>
      <c r="F917" s="547"/>
      <c r="G917" s="547"/>
      <c r="H917" s="547"/>
      <c r="I917" s="547"/>
      <c r="J917" s="547"/>
      <c r="K917" s="547"/>
      <c r="M917" s="547"/>
      <c r="N917" s="547"/>
      <c r="O917" s="547"/>
      <c r="P917" s="547"/>
      <c r="Q917" s="547"/>
      <c r="R917" s="547"/>
      <c r="S917" s="547"/>
      <c r="T917" s="547"/>
      <c r="U917" s="547"/>
      <c r="V917" s="547"/>
      <c r="W917" s="547"/>
      <c r="X917" s="547"/>
      <c r="Y917" s="547"/>
      <c r="Z917" s="547"/>
      <c r="AA917" s="547"/>
      <c r="AB917" s="884"/>
      <c r="AC917" s="547"/>
    </row>
    <row r="918" spans="1:29" ht="15.75" customHeight="1">
      <c r="A918" s="549"/>
      <c r="B918" s="550"/>
      <c r="C918" s="551"/>
      <c r="D918" s="551"/>
      <c r="E918" s="547"/>
      <c r="F918" s="547"/>
      <c r="G918" s="547"/>
      <c r="H918" s="547"/>
      <c r="I918" s="547"/>
      <c r="J918" s="547"/>
      <c r="K918" s="547"/>
      <c r="M918" s="547"/>
      <c r="N918" s="547"/>
      <c r="O918" s="547"/>
      <c r="P918" s="547"/>
      <c r="Q918" s="547"/>
      <c r="R918" s="547"/>
      <c r="S918" s="547"/>
      <c r="T918" s="547"/>
      <c r="U918" s="547"/>
      <c r="V918" s="547"/>
      <c r="W918" s="547"/>
      <c r="X918" s="547"/>
      <c r="Y918" s="547"/>
      <c r="Z918" s="547"/>
      <c r="AA918" s="547"/>
      <c r="AB918" s="884"/>
      <c r="AC918" s="547"/>
    </row>
    <row r="919" spans="1:29" ht="15.75" customHeight="1">
      <c r="A919" s="549"/>
      <c r="B919" s="550"/>
      <c r="C919" s="551"/>
      <c r="D919" s="551"/>
      <c r="E919" s="547"/>
      <c r="F919" s="547"/>
      <c r="G919" s="547"/>
      <c r="H919" s="547"/>
      <c r="I919" s="547"/>
      <c r="J919" s="547"/>
      <c r="K919" s="547"/>
      <c r="M919" s="547"/>
      <c r="N919" s="547"/>
      <c r="O919" s="547"/>
      <c r="P919" s="547"/>
      <c r="Q919" s="547"/>
      <c r="R919" s="547"/>
      <c r="S919" s="547"/>
      <c r="T919" s="547"/>
      <c r="U919" s="547"/>
      <c r="V919" s="547"/>
      <c r="W919" s="547"/>
      <c r="X919" s="547"/>
      <c r="Y919" s="547"/>
      <c r="Z919" s="547"/>
      <c r="AA919" s="547"/>
      <c r="AB919" s="884"/>
      <c r="AC919" s="547"/>
    </row>
    <row r="920" spans="1:29" ht="15.75" customHeight="1">
      <c r="A920" s="549"/>
      <c r="B920" s="550"/>
      <c r="C920" s="551"/>
      <c r="D920" s="551"/>
      <c r="E920" s="547"/>
      <c r="F920" s="547"/>
      <c r="G920" s="547"/>
      <c r="H920" s="547"/>
      <c r="I920" s="547"/>
      <c r="J920" s="547"/>
      <c r="K920" s="547"/>
      <c r="M920" s="547"/>
      <c r="N920" s="547"/>
      <c r="O920" s="547"/>
      <c r="P920" s="547"/>
      <c r="Q920" s="547"/>
      <c r="R920" s="547"/>
      <c r="S920" s="547"/>
      <c r="T920" s="547"/>
      <c r="U920" s="547"/>
      <c r="V920" s="547"/>
      <c r="W920" s="547"/>
      <c r="X920" s="547"/>
      <c r="Y920" s="547"/>
      <c r="Z920" s="547"/>
      <c r="AA920" s="547"/>
      <c r="AB920" s="884"/>
      <c r="AC920" s="547"/>
    </row>
    <row r="921" spans="1:29" ht="15.75" customHeight="1">
      <c r="A921" s="549"/>
      <c r="B921" s="550"/>
      <c r="C921" s="551"/>
      <c r="D921" s="551"/>
      <c r="E921" s="547"/>
      <c r="F921" s="547"/>
      <c r="G921" s="547"/>
      <c r="H921" s="547"/>
      <c r="I921" s="547"/>
      <c r="J921" s="547"/>
      <c r="K921" s="547"/>
      <c r="M921" s="547"/>
      <c r="N921" s="547"/>
      <c r="O921" s="547"/>
      <c r="P921" s="547"/>
      <c r="Q921" s="547"/>
      <c r="R921" s="547"/>
      <c r="S921" s="547"/>
      <c r="T921" s="547"/>
      <c r="U921" s="547"/>
      <c r="V921" s="547"/>
      <c r="W921" s="547"/>
      <c r="X921" s="547"/>
      <c r="Y921" s="547"/>
      <c r="Z921" s="547"/>
      <c r="AA921" s="547"/>
      <c r="AB921" s="884"/>
      <c r="AC921" s="547"/>
    </row>
    <row r="922" spans="1:29" ht="15.75" customHeight="1">
      <c r="A922" s="549"/>
      <c r="B922" s="550"/>
      <c r="C922" s="551"/>
      <c r="D922" s="551"/>
      <c r="E922" s="547"/>
      <c r="F922" s="547"/>
      <c r="G922" s="547"/>
      <c r="H922" s="547"/>
      <c r="I922" s="547"/>
      <c r="J922" s="547"/>
      <c r="K922" s="547"/>
      <c r="M922" s="547"/>
      <c r="N922" s="547"/>
      <c r="O922" s="547"/>
      <c r="P922" s="547"/>
      <c r="Q922" s="547"/>
      <c r="R922" s="547"/>
      <c r="S922" s="547"/>
      <c r="T922" s="547"/>
      <c r="U922" s="547"/>
      <c r="V922" s="547"/>
      <c r="W922" s="547"/>
      <c r="X922" s="547"/>
      <c r="Y922" s="547"/>
      <c r="Z922" s="547"/>
      <c r="AA922" s="547"/>
      <c r="AB922" s="884"/>
      <c r="AC922" s="547"/>
    </row>
    <row r="923" spans="1:29" ht="15.75" customHeight="1">
      <c r="A923" s="549"/>
      <c r="B923" s="550"/>
      <c r="C923" s="551"/>
      <c r="D923" s="551"/>
      <c r="E923" s="547"/>
      <c r="F923" s="547"/>
      <c r="G923" s="547"/>
      <c r="H923" s="547"/>
      <c r="I923" s="547"/>
      <c r="J923" s="547"/>
      <c r="K923" s="547"/>
      <c r="M923" s="547"/>
      <c r="N923" s="547"/>
      <c r="O923" s="547"/>
      <c r="P923" s="547"/>
      <c r="Q923" s="547"/>
      <c r="R923" s="547"/>
      <c r="S923" s="547"/>
      <c r="T923" s="547"/>
      <c r="U923" s="547"/>
      <c r="V923" s="547"/>
      <c r="W923" s="547"/>
      <c r="X923" s="547"/>
      <c r="Y923" s="547"/>
      <c r="Z923" s="547"/>
      <c r="AA923" s="547"/>
      <c r="AB923" s="884"/>
      <c r="AC923" s="547"/>
    </row>
    <row r="924" spans="1:29" ht="15.75" customHeight="1">
      <c r="A924" s="549"/>
      <c r="B924" s="550"/>
      <c r="C924" s="551"/>
      <c r="D924" s="551"/>
      <c r="E924" s="547"/>
      <c r="F924" s="547"/>
      <c r="G924" s="547"/>
      <c r="H924" s="547"/>
      <c r="I924" s="547"/>
      <c r="J924" s="547"/>
      <c r="K924" s="547"/>
      <c r="M924" s="547"/>
      <c r="N924" s="547"/>
      <c r="O924" s="547"/>
      <c r="P924" s="547"/>
      <c r="Q924" s="547"/>
      <c r="R924" s="547"/>
      <c r="S924" s="547"/>
      <c r="T924" s="547"/>
      <c r="U924" s="547"/>
      <c r="V924" s="547"/>
      <c r="W924" s="547"/>
      <c r="X924" s="547"/>
      <c r="Y924" s="547"/>
      <c r="Z924" s="547"/>
      <c r="AA924" s="547"/>
      <c r="AB924" s="884"/>
      <c r="AC924" s="547"/>
    </row>
    <row r="925" spans="1:29" ht="15.75" customHeight="1">
      <c r="A925" s="549"/>
      <c r="B925" s="550"/>
      <c r="C925" s="551"/>
      <c r="D925" s="551"/>
      <c r="E925" s="547"/>
      <c r="F925" s="547"/>
      <c r="G925" s="547"/>
      <c r="H925" s="547"/>
      <c r="I925" s="547"/>
      <c r="J925" s="547"/>
      <c r="K925" s="547"/>
      <c r="M925" s="547"/>
      <c r="N925" s="547"/>
      <c r="O925" s="547"/>
      <c r="P925" s="547"/>
      <c r="Q925" s="547"/>
      <c r="R925" s="547"/>
      <c r="S925" s="547"/>
      <c r="T925" s="547"/>
      <c r="U925" s="547"/>
      <c r="V925" s="547"/>
      <c r="W925" s="547"/>
      <c r="X925" s="547"/>
      <c r="Y925" s="547"/>
      <c r="Z925" s="547"/>
      <c r="AA925" s="547"/>
      <c r="AB925" s="884"/>
      <c r="AC925" s="547"/>
    </row>
    <row r="926" spans="1:29" ht="15.75" customHeight="1">
      <c r="A926" s="549"/>
      <c r="B926" s="550"/>
      <c r="C926" s="551"/>
      <c r="D926" s="551"/>
      <c r="E926" s="547"/>
      <c r="F926" s="547"/>
      <c r="G926" s="547"/>
      <c r="H926" s="547"/>
      <c r="I926" s="547"/>
      <c r="J926" s="547"/>
      <c r="K926" s="547"/>
      <c r="M926" s="547"/>
      <c r="N926" s="547"/>
      <c r="O926" s="547"/>
      <c r="P926" s="547"/>
      <c r="Q926" s="547"/>
      <c r="R926" s="547"/>
      <c r="S926" s="547"/>
      <c r="T926" s="547"/>
      <c r="U926" s="547"/>
      <c r="V926" s="547"/>
      <c r="W926" s="547"/>
      <c r="X926" s="547"/>
      <c r="Y926" s="547"/>
      <c r="Z926" s="547"/>
      <c r="AA926" s="547"/>
      <c r="AB926" s="884"/>
      <c r="AC926" s="547"/>
    </row>
    <row r="927" spans="1:29" ht="15.75" customHeight="1">
      <c r="A927" s="549"/>
      <c r="B927" s="550"/>
      <c r="C927" s="551"/>
      <c r="D927" s="551"/>
      <c r="E927" s="547"/>
      <c r="F927" s="547"/>
      <c r="G927" s="547"/>
      <c r="H927" s="547"/>
      <c r="I927" s="547"/>
      <c r="J927" s="547"/>
      <c r="K927" s="547"/>
      <c r="M927" s="547"/>
      <c r="N927" s="547"/>
      <c r="O927" s="547"/>
      <c r="P927" s="547"/>
      <c r="Q927" s="547"/>
      <c r="R927" s="547"/>
      <c r="S927" s="547"/>
      <c r="T927" s="547"/>
      <c r="U927" s="547"/>
      <c r="V927" s="547"/>
      <c r="W927" s="547"/>
      <c r="X927" s="547"/>
      <c r="Y927" s="547"/>
      <c r="Z927" s="547"/>
      <c r="AA927" s="547"/>
      <c r="AB927" s="884"/>
      <c r="AC927" s="547"/>
    </row>
    <row r="928" spans="1:29" ht="15.75" customHeight="1">
      <c r="A928" s="549"/>
      <c r="B928" s="550"/>
      <c r="C928" s="551"/>
      <c r="D928" s="551"/>
      <c r="E928" s="547"/>
      <c r="F928" s="547"/>
      <c r="G928" s="547"/>
      <c r="H928" s="547"/>
      <c r="I928" s="547"/>
      <c r="J928" s="547"/>
      <c r="K928" s="547"/>
      <c r="M928" s="547"/>
      <c r="N928" s="547"/>
      <c r="O928" s="547"/>
      <c r="P928" s="547"/>
      <c r="Q928" s="547"/>
      <c r="R928" s="547"/>
      <c r="S928" s="547"/>
      <c r="T928" s="547"/>
      <c r="U928" s="547"/>
      <c r="V928" s="547"/>
      <c r="W928" s="547"/>
      <c r="X928" s="547"/>
      <c r="Y928" s="547"/>
      <c r="Z928" s="547"/>
      <c r="AA928" s="547"/>
      <c r="AB928" s="884"/>
      <c r="AC928" s="547"/>
    </row>
    <row r="929" spans="1:29" ht="15.75" customHeight="1">
      <c r="A929" s="549"/>
      <c r="B929" s="550"/>
      <c r="C929" s="551"/>
      <c r="D929" s="551"/>
      <c r="E929" s="547"/>
      <c r="F929" s="547"/>
      <c r="G929" s="547"/>
      <c r="H929" s="547"/>
      <c r="I929" s="547"/>
      <c r="J929" s="547"/>
      <c r="K929" s="547"/>
      <c r="M929" s="547"/>
      <c r="N929" s="547"/>
      <c r="O929" s="547"/>
      <c r="P929" s="547"/>
      <c r="Q929" s="547"/>
      <c r="R929" s="547"/>
      <c r="S929" s="547"/>
      <c r="T929" s="547"/>
      <c r="U929" s="547"/>
      <c r="V929" s="547"/>
      <c r="W929" s="547"/>
      <c r="X929" s="547"/>
      <c r="Y929" s="547"/>
      <c r="Z929" s="547"/>
      <c r="AA929" s="547"/>
      <c r="AB929" s="884"/>
      <c r="AC929" s="547"/>
    </row>
    <row r="930" spans="1:29" ht="15.75" customHeight="1">
      <c r="A930" s="549"/>
      <c r="B930" s="550"/>
      <c r="C930" s="551"/>
      <c r="D930" s="551"/>
      <c r="E930" s="547"/>
      <c r="F930" s="547"/>
      <c r="G930" s="547"/>
      <c r="H930" s="547"/>
      <c r="I930" s="547"/>
      <c r="J930" s="547"/>
      <c r="K930" s="547"/>
      <c r="M930" s="547"/>
      <c r="N930" s="547"/>
      <c r="O930" s="547"/>
      <c r="P930" s="547"/>
      <c r="Q930" s="547"/>
      <c r="R930" s="547"/>
      <c r="S930" s="547"/>
      <c r="T930" s="547"/>
      <c r="U930" s="547"/>
      <c r="V930" s="547"/>
      <c r="W930" s="547"/>
      <c r="X930" s="547"/>
      <c r="Y930" s="547"/>
      <c r="Z930" s="547"/>
      <c r="AA930" s="547"/>
      <c r="AB930" s="884"/>
      <c r="AC930" s="547"/>
    </row>
    <row r="931" spans="1:29" ht="15.75" customHeight="1">
      <c r="A931" s="549"/>
      <c r="B931" s="550"/>
      <c r="C931" s="551"/>
      <c r="D931" s="551"/>
      <c r="E931" s="547"/>
      <c r="F931" s="547"/>
      <c r="G931" s="547"/>
      <c r="H931" s="547"/>
      <c r="I931" s="547"/>
      <c r="J931" s="547"/>
      <c r="K931" s="547"/>
      <c r="M931" s="547"/>
      <c r="N931" s="547"/>
      <c r="O931" s="547"/>
      <c r="P931" s="547"/>
      <c r="Q931" s="547"/>
      <c r="R931" s="547"/>
      <c r="S931" s="547"/>
      <c r="T931" s="547"/>
      <c r="U931" s="547"/>
      <c r="V931" s="547"/>
      <c r="W931" s="547"/>
      <c r="X931" s="547"/>
      <c r="Y931" s="547"/>
      <c r="Z931" s="547"/>
      <c r="AA931" s="547"/>
      <c r="AB931" s="884"/>
      <c r="AC931" s="547"/>
    </row>
    <row r="932" spans="1:29" ht="15.75" customHeight="1">
      <c r="A932" s="549"/>
      <c r="B932" s="550"/>
      <c r="C932" s="551"/>
      <c r="D932" s="551"/>
      <c r="E932" s="547"/>
      <c r="F932" s="547"/>
      <c r="G932" s="547"/>
      <c r="H932" s="547"/>
      <c r="I932" s="547"/>
      <c r="J932" s="547"/>
      <c r="K932" s="547"/>
      <c r="M932" s="547"/>
      <c r="N932" s="547"/>
      <c r="O932" s="547"/>
      <c r="P932" s="547"/>
      <c r="Q932" s="547"/>
      <c r="R932" s="547"/>
      <c r="S932" s="547"/>
      <c r="T932" s="547"/>
      <c r="U932" s="547"/>
      <c r="V932" s="547"/>
      <c r="W932" s="547"/>
      <c r="X932" s="547"/>
      <c r="Y932" s="547"/>
      <c r="Z932" s="547"/>
      <c r="AA932" s="547"/>
      <c r="AB932" s="884"/>
      <c r="AC932" s="547"/>
    </row>
    <row r="933" spans="1:29" ht="15.75" customHeight="1">
      <c r="A933" s="549"/>
      <c r="B933" s="550"/>
      <c r="C933" s="551"/>
      <c r="D933" s="551"/>
      <c r="E933" s="547"/>
      <c r="F933" s="547"/>
      <c r="G933" s="547"/>
      <c r="H933" s="547"/>
      <c r="I933" s="547"/>
      <c r="J933" s="547"/>
      <c r="K933" s="547"/>
      <c r="M933" s="547"/>
      <c r="N933" s="547"/>
      <c r="O933" s="547"/>
      <c r="P933" s="547"/>
      <c r="Q933" s="547"/>
      <c r="R933" s="547"/>
      <c r="S933" s="547"/>
      <c r="T933" s="547"/>
      <c r="U933" s="547"/>
      <c r="V933" s="547"/>
      <c r="W933" s="547"/>
      <c r="X933" s="547"/>
      <c r="Y933" s="547"/>
      <c r="Z933" s="547"/>
      <c r="AA933" s="547"/>
      <c r="AB933" s="884"/>
      <c r="AC933" s="547"/>
    </row>
    <row r="934" spans="1:29" ht="15.75" customHeight="1">
      <c r="A934" s="549"/>
      <c r="B934" s="550"/>
      <c r="C934" s="551"/>
      <c r="D934" s="551"/>
      <c r="E934" s="547"/>
      <c r="F934" s="547"/>
      <c r="G934" s="547"/>
      <c r="H934" s="547"/>
      <c r="I934" s="547"/>
      <c r="J934" s="547"/>
      <c r="K934" s="547"/>
      <c r="M934" s="547"/>
      <c r="N934" s="547"/>
      <c r="O934" s="547"/>
      <c r="P934" s="547"/>
      <c r="Q934" s="547"/>
      <c r="R934" s="547"/>
      <c r="S934" s="547"/>
      <c r="T934" s="547"/>
      <c r="U934" s="547"/>
      <c r="V934" s="547"/>
      <c r="W934" s="547"/>
      <c r="X934" s="547"/>
      <c r="Y934" s="547"/>
      <c r="Z934" s="547"/>
      <c r="AA934" s="547"/>
      <c r="AB934" s="884"/>
      <c r="AC934" s="547"/>
    </row>
    <row r="935" spans="1:29" ht="15.75" customHeight="1">
      <c r="A935" s="549"/>
      <c r="B935" s="550"/>
      <c r="C935" s="551"/>
      <c r="D935" s="551"/>
      <c r="E935" s="547"/>
      <c r="F935" s="547"/>
      <c r="G935" s="547"/>
      <c r="H935" s="547"/>
      <c r="I935" s="547"/>
      <c r="J935" s="547"/>
      <c r="K935" s="547"/>
      <c r="M935" s="547"/>
      <c r="N935" s="547"/>
      <c r="O935" s="547"/>
      <c r="P935" s="547"/>
      <c r="Q935" s="547"/>
      <c r="R935" s="547"/>
      <c r="S935" s="547"/>
      <c r="T935" s="547"/>
      <c r="U935" s="547"/>
      <c r="V935" s="547"/>
      <c r="W935" s="547"/>
      <c r="X935" s="547"/>
      <c r="Y935" s="547"/>
      <c r="Z935" s="547"/>
      <c r="AA935" s="547"/>
      <c r="AB935" s="884"/>
      <c r="AC935" s="547"/>
    </row>
    <row r="936" spans="1:29" ht="15.75" customHeight="1">
      <c r="A936" s="549"/>
      <c r="B936" s="550"/>
      <c r="C936" s="551"/>
      <c r="D936" s="551"/>
      <c r="E936" s="547"/>
      <c r="F936" s="547"/>
      <c r="G936" s="547"/>
      <c r="H936" s="547"/>
      <c r="I936" s="547"/>
      <c r="J936" s="547"/>
      <c r="K936" s="547"/>
      <c r="M936" s="547"/>
      <c r="N936" s="547"/>
      <c r="O936" s="547"/>
      <c r="P936" s="547"/>
      <c r="Q936" s="547"/>
      <c r="R936" s="547"/>
      <c r="S936" s="547"/>
      <c r="T936" s="547"/>
      <c r="U936" s="547"/>
      <c r="V936" s="547"/>
      <c r="W936" s="547"/>
      <c r="X936" s="547"/>
      <c r="Y936" s="547"/>
      <c r="Z936" s="547"/>
      <c r="AA936" s="547"/>
      <c r="AB936" s="884"/>
      <c r="AC936" s="547"/>
    </row>
    <row r="937" spans="1:29" ht="15.75" customHeight="1">
      <c r="A937" s="549"/>
      <c r="B937" s="550"/>
      <c r="C937" s="551"/>
      <c r="D937" s="551"/>
      <c r="E937" s="547"/>
      <c r="F937" s="547"/>
      <c r="G937" s="547"/>
      <c r="H937" s="547"/>
      <c r="I937" s="547"/>
      <c r="J937" s="547"/>
      <c r="K937" s="547"/>
      <c r="M937" s="547"/>
      <c r="N937" s="547"/>
      <c r="O937" s="547"/>
      <c r="P937" s="547"/>
      <c r="Q937" s="547"/>
      <c r="R937" s="547"/>
      <c r="S937" s="547"/>
      <c r="T937" s="547"/>
      <c r="U937" s="547"/>
      <c r="V937" s="547"/>
      <c r="W937" s="547"/>
      <c r="X937" s="547"/>
      <c r="Y937" s="547"/>
      <c r="Z937" s="547"/>
      <c r="AA937" s="547"/>
      <c r="AB937" s="884"/>
      <c r="AC937" s="547"/>
    </row>
    <row r="938" spans="1:29" ht="15.75" customHeight="1">
      <c r="A938" s="549"/>
      <c r="B938" s="550"/>
      <c r="C938" s="551"/>
      <c r="D938" s="551"/>
      <c r="E938" s="547"/>
      <c r="F938" s="547"/>
      <c r="G938" s="547"/>
      <c r="H938" s="547"/>
      <c r="I938" s="547"/>
      <c r="J938" s="547"/>
      <c r="K938" s="547"/>
      <c r="M938" s="547"/>
      <c r="N938" s="547"/>
      <c r="O938" s="547"/>
      <c r="P938" s="547"/>
      <c r="Q938" s="547"/>
      <c r="R938" s="547"/>
      <c r="S938" s="547"/>
      <c r="T938" s="547"/>
      <c r="U938" s="547"/>
      <c r="V938" s="547"/>
      <c r="W938" s="547"/>
      <c r="X938" s="547"/>
      <c r="Y938" s="547"/>
      <c r="Z938" s="547"/>
      <c r="AA938" s="547"/>
      <c r="AB938" s="884"/>
      <c r="AC938" s="547"/>
    </row>
    <row r="939" spans="1:29" ht="15.75" customHeight="1">
      <c r="A939" s="549"/>
      <c r="B939" s="550"/>
      <c r="C939" s="551"/>
      <c r="D939" s="551"/>
      <c r="E939" s="547"/>
      <c r="F939" s="547"/>
      <c r="G939" s="547"/>
      <c r="H939" s="547"/>
      <c r="I939" s="547"/>
      <c r="J939" s="547"/>
      <c r="K939" s="547"/>
      <c r="M939" s="547"/>
      <c r="N939" s="547"/>
      <c r="O939" s="547"/>
      <c r="P939" s="547"/>
      <c r="Q939" s="547"/>
      <c r="R939" s="547"/>
      <c r="S939" s="547"/>
      <c r="T939" s="547"/>
      <c r="U939" s="547"/>
      <c r="V939" s="547"/>
      <c r="W939" s="547"/>
      <c r="X939" s="547"/>
      <c r="Y939" s="547"/>
      <c r="Z939" s="547"/>
      <c r="AA939" s="547"/>
      <c r="AB939" s="884"/>
      <c r="AC939" s="547"/>
    </row>
    <row r="940" spans="1:29" ht="15.75" customHeight="1">
      <c r="A940" s="549"/>
      <c r="B940" s="550"/>
      <c r="C940" s="551"/>
      <c r="D940" s="551"/>
      <c r="E940" s="547"/>
      <c r="F940" s="547"/>
      <c r="G940" s="547"/>
      <c r="H940" s="547"/>
      <c r="I940" s="547"/>
      <c r="J940" s="547"/>
      <c r="K940" s="547"/>
      <c r="M940" s="547"/>
      <c r="N940" s="547"/>
      <c r="O940" s="547"/>
      <c r="P940" s="547"/>
      <c r="Q940" s="547"/>
      <c r="R940" s="547"/>
      <c r="S940" s="547"/>
      <c r="T940" s="547"/>
      <c r="U940" s="547"/>
      <c r="V940" s="547"/>
      <c r="W940" s="547"/>
      <c r="X940" s="547"/>
      <c r="Y940" s="547"/>
      <c r="Z940" s="547"/>
      <c r="AA940" s="547"/>
      <c r="AB940" s="884"/>
      <c r="AC940" s="547"/>
    </row>
    <row r="941" spans="1:29" ht="15.75" customHeight="1">
      <c r="A941" s="549"/>
      <c r="B941" s="550"/>
      <c r="C941" s="551"/>
      <c r="D941" s="551"/>
      <c r="E941" s="547"/>
      <c r="F941" s="547"/>
      <c r="G941" s="547"/>
      <c r="H941" s="547"/>
      <c r="I941" s="547"/>
      <c r="J941" s="547"/>
      <c r="K941" s="547"/>
      <c r="M941" s="547"/>
      <c r="N941" s="547"/>
      <c r="O941" s="547"/>
      <c r="P941" s="547"/>
      <c r="Q941" s="547"/>
      <c r="R941" s="547"/>
      <c r="S941" s="547"/>
      <c r="T941" s="547"/>
      <c r="U941" s="547"/>
      <c r="V941" s="547"/>
      <c r="W941" s="547"/>
      <c r="X941" s="547"/>
      <c r="Y941" s="547"/>
      <c r="Z941" s="547"/>
      <c r="AA941" s="547"/>
      <c r="AB941" s="884"/>
      <c r="AC941" s="547"/>
    </row>
    <row r="942" spans="1:29" ht="15.75" customHeight="1">
      <c r="A942" s="549"/>
      <c r="B942" s="550"/>
      <c r="C942" s="551"/>
      <c r="D942" s="551"/>
      <c r="E942" s="547"/>
      <c r="F942" s="547"/>
      <c r="G942" s="547"/>
      <c r="H942" s="547"/>
      <c r="I942" s="547"/>
      <c r="J942" s="547"/>
      <c r="K942" s="547"/>
      <c r="M942" s="547"/>
      <c r="N942" s="547"/>
      <c r="O942" s="547"/>
      <c r="P942" s="547"/>
      <c r="Q942" s="547"/>
      <c r="R942" s="547"/>
      <c r="S942" s="547"/>
      <c r="T942" s="547"/>
      <c r="U942" s="547"/>
      <c r="V942" s="547"/>
      <c r="W942" s="547"/>
      <c r="X942" s="547"/>
      <c r="Y942" s="547"/>
      <c r="Z942" s="547"/>
      <c r="AA942" s="547"/>
      <c r="AB942" s="884"/>
      <c r="AC942" s="547"/>
    </row>
    <row r="943" spans="1:29" ht="15.75" customHeight="1">
      <c r="A943" s="549"/>
      <c r="B943" s="550"/>
      <c r="C943" s="551"/>
      <c r="D943" s="551"/>
      <c r="E943" s="547"/>
      <c r="F943" s="547"/>
      <c r="G943" s="547"/>
      <c r="H943" s="547"/>
      <c r="I943" s="547"/>
      <c r="J943" s="547"/>
      <c r="K943" s="547"/>
      <c r="M943" s="547"/>
      <c r="N943" s="547"/>
      <c r="O943" s="547"/>
      <c r="P943" s="547"/>
      <c r="Q943" s="547"/>
      <c r="R943" s="547"/>
      <c r="S943" s="547"/>
      <c r="T943" s="547"/>
      <c r="U943" s="547"/>
      <c r="V943" s="547"/>
      <c r="W943" s="547"/>
      <c r="X943" s="547"/>
      <c r="Y943" s="547"/>
      <c r="Z943" s="547"/>
      <c r="AA943" s="547"/>
      <c r="AB943" s="884"/>
      <c r="AC943" s="547"/>
    </row>
    <row r="944" spans="1:29" ht="15.75" customHeight="1">
      <c r="A944" s="549"/>
      <c r="B944" s="550"/>
      <c r="C944" s="551"/>
      <c r="D944" s="551"/>
      <c r="E944" s="547"/>
      <c r="F944" s="547"/>
      <c r="G944" s="547"/>
      <c r="H944" s="547"/>
      <c r="I944" s="547"/>
      <c r="J944" s="547"/>
      <c r="K944" s="547"/>
      <c r="M944" s="547"/>
      <c r="N944" s="547"/>
      <c r="O944" s="547"/>
      <c r="P944" s="547"/>
      <c r="Q944" s="547"/>
      <c r="R944" s="547"/>
      <c r="S944" s="547"/>
      <c r="T944" s="547"/>
      <c r="U944" s="547"/>
      <c r="V944" s="547"/>
      <c r="W944" s="547"/>
      <c r="X944" s="547"/>
      <c r="Y944" s="547"/>
      <c r="Z944" s="547"/>
      <c r="AA944" s="547"/>
      <c r="AB944" s="884"/>
      <c r="AC944" s="547"/>
    </row>
    <row r="945" spans="1:29" ht="15.75" customHeight="1">
      <c r="A945" s="549"/>
      <c r="B945" s="550"/>
      <c r="C945" s="551"/>
      <c r="D945" s="551"/>
      <c r="E945" s="547"/>
      <c r="F945" s="547"/>
      <c r="G945" s="547"/>
      <c r="H945" s="547"/>
      <c r="I945" s="547"/>
      <c r="J945" s="547"/>
      <c r="K945" s="547"/>
      <c r="M945" s="547"/>
      <c r="N945" s="547"/>
      <c r="O945" s="547"/>
      <c r="P945" s="547"/>
      <c r="Q945" s="547"/>
      <c r="R945" s="547"/>
      <c r="S945" s="547"/>
      <c r="T945" s="547"/>
      <c r="U945" s="547"/>
      <c r="V945" s="547"/>
      <c r="W945" s="547"/>
      <c r="X945" s="547"/>
      <c r="Y945" s="547"/>
      <c r="Z945" s="547"/>
      <c r="AA945" s="547"/>
      <c r="AB945" s="884"/>
      <c r="AC945" s="547"/>
    </row>
    <row r="946" spans="1:29" ht="15.75" customHeight="1">
      <c r="A946" s="549"/>
      <c r="B946" s="550"/>
      <c r="C946" s="551"/>
      <c r="D946" s="551"/>
      <c r="E946" s="547"/>
      <c r="F946" s="547"/>
      <c r="G946" s="547"/>
      <c r="H946" s="547"/>
      <c r="I946" s="547"/>
      <c r="J946" s="547"/>
      <c r="K946" s="547"/>
      <c r="M946" s="547"/>
      <c r="N946" s="547"/>
      <c r="O946" s="547"/>
      <c r="P946" s="547"/>
      <c r="Q946" s="547"/>
      <c r="R946" s="547"/>
      <c r="S946" s="547"/>
      <c r="T946" s="547"/>
      <c r="U946" s="547"/>
      <c r="V946" s="547"/>
      <c r="W946" s="547"/>
      <c r="X946" s="547"/>
      <c r="Y946" s="547"/>
      <c r="Z946" s="547"/>
      <c r="AA946" s="547"/>
      <c r="AB946" s="884"/>
      <c r="AC946" s="547"/>
    </row>
    <row r="947" spans="1:29" ht="15.75" customHeight="1">
      <c r="A947" s="549"/>
      <c r="B947" s="550"/>
      <c r="C947" s="551"/>
      <c r="D947" s="551"/>
      <c r="E947" s="547"/>
      <c r="F947" s="547"/>
      <c r="G947" s="547"/>
      <c r="H947" s="547"/>
      <c r="I947" s="547"/>
      <c r="J947" s="547"/>
      <c r="K947" s="547"/>
      <c r="M947" s="547"/>
      <c r="N947" s="547"/>
      <c r="O947" s="547"/>
      <c r="P947" s="547"/>
      <c r="Q947" s="547"/>
      <c r="R947" s="547"/>
      <c r="S947" s="547"/>
      <c r="T947" s="547"/>
      <c r="U947" s="547"/>
      <c r="V947" s="547"/>
      <c r="W947" s="547"/>
      <c r="X947" s="547"/>
      <c r="Y947" s="547"/>
      <c r="Z947" s="547"/>
      <c r="AA947" s="547"/>
      <c r="AB947" s="884"/>
      <c r="AC947" s="547"/>
    </row>
    <row r="948" spans="1:29" ht="15.75" customHeight="1">
      <c r="A948" s="549"/>
      <c r="B948" s="550"/>
      <c r="C948" s="551"/>
      <c r="D948" s="551"/>
      <c r="E948" s="547"/>
      <c r="F948" s="547"/>
      <c r="G948" s="547"/>
      <c r="H948" s="547"/>
      <c r="I948" s="547"/>
      <c r="J948" s="547"/>
      <c r="K948" s="547"/>
      <c r="M948" s="547"/>
      <c r="N948" s="547"/>
      <c r="O948" s="547"/>
      <c r="P948" s="547"/>
      <c r="Q948" s="547"/>
      <c r="R948" s="547"/>
      <c r="S948" s="547"/>
      <c r="T948" s="547"/>
      <c r="U948" s="547"/>
      <c r="V948" s="547"/>
      <c r="W948" s="547"/>
      <c r="X948" s="547"/>
      <c r="Y948" s="547"/>
      <c r="Z948" s="547"/>
      <c r="AA948" s="547"/>
      <c r="AB948" s="884"/>
      <c r="AC948" s="547"/>
    </row>
    <row r="949" spans="1:29" ht="15.75" customHeight="1">
      <c r="A949" s="549"/>
      <c r="B949" s="550"/>
      <c r="C949" s="551"/>
      <c r="D949" s="551"/>
      <c r="E949" s="547"/>
      <c r="F949" s="547"/>
      <c r="G949" s="547"/>
      <c r="H949" s="547"/>
      <c r="I949" s="547"/>
      <c r="J949" s="547"/>
      <c r="K949" s="547"/>
      <c r="M949" s="547"/>
      <c r="N949" s="547"/>
      <c r="O949" s="547"/>
      <c r="P949" s="547"/>
      <c r="Q949" s="547"/>
      <c r="R949" s="547"/>
      <c r="S949" s="547"/>
      <c r="T949" s="547"/>
      <c r="U949" s="547"/>
      <c r="V949" s="547"/>
      <c r="W949" s="547"/>
      <c r="X949" s="547"/>
      <c r="Y949" s="547"/>
      <c r="Z949" s="547"/>
      <c r="AA949" s="547"/>
      <c r="AB949" s="884"/>
      <c r="AC949" s="547"/>
    </row>
    <row r="950" spans="1:29" ht="15.75" customHeight="1">
      <c r="A950" s="549"/>
      <c r="B950" s="550"/>
      <c r="C950" s="551"/>
      <c r="D950" s="551"/>
      <c r="E950" s="547"/>
      <c r="F950" s="547"/>
      <c r="G950" s="547"/>
      <c r="H950" s="547"/>
      <c r="I950" s="547"/>
      <c r="J950" s="547"/>
      <c r="K950" s="547"/>
      <c r="M950" s="547"/>
      <c r="N950" s="547"/>
      <c r="O950" s="547"/>
      <c r="P950" s="547"/>
      <c r="Q950" s="547"/>
      <c r="R950" s="547"/>
      <c r="S950" s="547"/>
      <c r="T950" s="547"/>
      <c r="U950" s="547"/>
      <c r="V950" s="547"/>
      <c r="W950" s="547"/>
      <c r="X950" s="547"/>
      <c r="Y950" s="547"/>
      <c r="Z950" s="547"/>
      <c r="AA950" s="547"/>
      <c r="AB950" s="884"/>
      <c r="AC950" s="547"/>
    </row>
    <row r="951" spans="1:29" ht="15.75" customHeight="1">
      <c r="A951" s="549"/>
      <c r="B951" s="550"/>
      <c r="C951" s="551"/>
      <c r="D951" s="551"/>
      <c r="E951" s="547"/>
      <c r="F951" s="547"/>
      <c r="G951" s="547"/>
      <c r="H951" s="547"/>
      <c r="I951" s="547"/>
      <c r="J951" s="547"/>
      <c r="K951" s="547"/>
      <c r="M951" s="547"/>
      <c r="N951" s="547"/>
      <c r="O951" s="547"/>
      <c r="P951" s="547"/>
      <c r="Q951" s="547"/>
      <c r="R951" s="547"/>
      <c r="S951" s="547"/>
      <c r="T951" s="547"/>
      <c r="U951" s="547"/>
      <c r="V951" s="547"/>
      <c r="W951" s="547"/>
      <c r="X951" s="547"/>
      <c r="Y951" s="547"/>
      <c r="Z951" s="547"/>
      <c r="AA951" s="547"/>
      <c r="AB951" s="884"/>
      <c r="AC951" s="547"/>
    </row>
    <row r="952" spans="1:29" ht="15.75" customHeight="1">
      <c r="A952" s="549"/>
      <c r="B952" s="550"/>
      <c r="C952" s="551"/>
      <c r="D952" s="551"/>
      <c r="E952" s="547"/>
      <c r="F952" s="547"/>
      <c r="G952" s="547"/>
      <c r="H952" s="547"/>
      <c r="I952" s="547"/>
      <c r="J952" s="547"/>
      <c r="K952" s="547"/>
      <c r="M952" s="547"/>
      <c r="N952" s="547"/>
      <c r="O952" s="547"/>
      <c r="P952" s="547"/>
      <c r="Q952" s="547"/>
      <c r="R952" s="547"/>
      <c r="S952" s="547"/>
      <c r="T952" s="547"/>
      <c r="U952" s="547"/>
      <c r="V952" s="547"/>
      <c r="W952" s="547"/>
      <c r="X952" s="547"/>
      <c r="Y952" s="547"/>
      <c r="Z952" s="547"/>
      <c r="AA952" s="547"/>
      <c r="AB952" s="884"/>
      <c r="AC952" s="547"/>
    </row>
    <row r="953" spans="1:29" ht="15.75" customHeight="1">
      <c r="A953" s="549"/>
      <c r="B953" s="550"/>
      <c r="C953" s="551"/>
      <c r="D953" s="551"/>
      <c r="E953" s="547"/>
      <c r="F953" s="547"/>
      <c r="G953" s="547"/>
      <c r="H953" s="547"/>
      <c r="I953" s="547"/>
      <c r="J953" s="547"/>
      <c r="K953" s="547"/>
      <c r="M953" s="547"/>
      <c r="N953" s="547"/>
      <c r="O953" s="547"/>
      <c r="P953" s="547"/>
      <c r="Q953" s="547"/>
      <c r="R953" s="547"/>
      <c r="S953" s="547"/>
      <c r="T953" s="547"/>
      <c r="U953" s="547"/>
      <c r="V953" s="547"/>
      <c r="W953" s="547"/>
      <c r="X953" s="547"/>
      <c r="Y953" s="547"/>
      <c r="Z953" s="547"/>
      <c r="AA953" s="547"/>
      <c r="AB953" s="884"/>
      <c r="AC953" s="547"/>
    </row>
    <row r="954" spans="1:29" ht="15.75" customHeight="1">
      <c r="A954" s="549"/>
      <c r="B954" s="550"/>
      <c r="C954" s="551"/>
      <c r="D954" s="551"/>
      <c r="E954" s="547"/>
      <c r="F954" s="547"/>
      <c r="G954" s="547"/>
      <c r="H954" s="547"/>
      <c r="I954" s="547"/>
      <c r="J954" s="547"/>
      <c r="K954" s="547"/>
      <c r="M954" s="547"/>
      <c r="N954" s="547"/>
      <c r="O954" s="547"/>
      <c r="P954" s="547"/>
      <c r="Q954" s="547"/>
      <c r="R954" s="547"/>
      <c r="S954" s="547"/>
      <c r="T954" s="547"/>
      <c r="U954" s="547"/>
      <c r="V954" s="547"/>
      <c r="W954" s="547"/>
      <c r="X954" s="547"/>
      <c r="Y954" s="547"/>
      <c r="Z954" s="547"/>
      <c r="AA954" s="547"/>
      <c r="AB954" s="884"/>
      <c r="AC954" s="547"/>
    </row>
    <row r="955" spans="1:29" ht="15.75" customHeight="1">
      <c r="A955" s="549"/>
      <c r="B955" s="550"/>
      <c r="C955" s="551"/>
      <c r="D955" s="551"/>
      <c r="E955" s="547"/>
      <c r="F955" s="547"/>
      <c r="G955" s="547"/>
      <c r="H955" s="547"/>
      <c r="I955" s="547"/>
      <c r="J955" s="547"/>
      <c r="K955" s="547"/>
      <c r="M955" s="547"/>
      <c r="N955" s="547"/>
      <c r="O955" s="547"/>
      <c r="P955" s="547"/>
      <c r="Q955" s="547"/>
      <c r="R955" s="547"/>
      <c r="S955" s="547"/>
      <c r="T955" s="547"/>
      <c r="U955" s="547"/>
      <c r="V955" s="547"/>
      <c r="W955" s="547"/>
      <c r="X955" s="547"/>
      <c r="Y955" s="547"/>
      <c r="Z955" s="547"/>
      <c r="AA955" s="547"/>
      <c r="AB955" s="884"/>
      <c r="AC955" s="547"/>
    </row>
    <row r="956" spans="1:29" ht="15.75" customHeight="1">
      <c r="A956" s="549"/>
      <c r="B956" s="550"/>
      <c r="C956" s="551"/>
      <c r="D956" s="551"/>
      <c r="E956" s="547"/>
      <c r="F956" s="547"/>
      <c r="G956" s="547"/>
      <c r="H956" s="547"/>
      <c r="I956" s="547"/>
      <c r="J956" s="547"/>
      <c r="K956" s="547"/>
      <c r="M956" s="547"/>
      <c r="N956" s="547"/>
      <c r="O956" s="547"/>
      <c r="P956" s="547"/>
      <c r="Q956" s="547"/>
      <c r="R956" s="547"/>
      <c r="S956" s="547"/>
      <c r="T956" s="547"/>
      <c r="U956" s="547"/>
      <c r="V956" s="547"/>
      <c r="W956" s="547"/>
      <c r="X956" s="547"/>
      <c r="Y956" s="547"/>
      <c r="Z956" s="547"/>
      <c r="AA956" s="547"/>
      <c r="AB956" s="884"/>
      <c r="AC956" s="547"/>
    </row>
    <row r="957" spans="1:29" ht="15.75" customHeight="1">
      <c r="A957" s="549"/>
      <c r="B957" s="550"/>
      <c r="C957" s="551"/>
      <c r="D957" s="551"/>
      <c r="E957" s="547"/>
      <c r="F957" s="547"/>
      <c r="G957" s="547"/>
      <c r="H957" s="547"/>
      <c r="I957" s="547"/>
      <c r="J957" s="547"/>
      <c r="K957" s="547"/>
      <c r="M957" s="547"/>
      <c r="N957" s="547"/>
      <c r="O957" s="547"/>
      <c r="P957" s="547"/>
      <c r="Q957" s="547"/>
      <c r="R957" s="547"/>
      <c r="S957" s="547"/>
      <c r="T957" s="547"/>
      <c r="U957" s="547"/>
      <c r="V957" s="547"/>
      <c r="W957" s="547"/>
      <c r="X957" s="547"/>
      <c r="Y957" s="547"/>
      <c r="Z957" s="547"/>
      <c r="AA957" s="547"/>
      <c r="AB957" s="884"/>
      <c r="AC957" s="547"/>
    </row>
    <row r="958" spans="1:29" ht="15.75" customHeight="1">
      <c r="A958" s="549"/>
      <c r="B958" s="550"/>
      <c r="C958" s="551"/>
      <c r="D958" s="551"/>
      <c r="E958" s="547"/>
      <c r="F958" s="547"/>
      <c r="G958" s="547"/>
      <c r="H958" s="547"/>
      <c r="I958" s="547"/>
      <c r="J958" s="547"/>
      <c r="K958" s="547"/>
      <c r="M958" s="547"/>
      <c r="N958" s="547"/>
      <c r="O958" s="547"/>
      <c r="P958" s="547"/>
      <c r="Q958" s="547"/>
      <c r="R958" s="547"/>
      <c r="S958" s="547"/>
      <c r="T958" s="547"/>
      <c r="U958" s="547"/>
      <c r="V958" s="547"/>
      <c r="W958" s="547"/>
      <c r="X958" s="547"/>
      <c r="Y958" s="547"/>
      <c r="Z958" s="547"/>
      <c r="AA958" s="547"/>
      <c r="AB958" s="884"/>
      <c r="AC958" s="547"/>
    </row>
    <row r="959" spans="1:29" ht="15.75" customHeight="1">
      <c r="A959" s="549"/>
      <c r="B959" s="550"/>
      <c r="C959" s="551"/>
      <c r="D959" s="551"/>
      <c r="E959" s="547"/>
      <c r="F959" s="547"/>
      <c r="G959" s="547"/>
      <c r="H959" s="547"/>
      <c r="I959" s="547"/>
      <c r="J959" s="547"/>
      <c r="K959" s="547"/>
      <c r="M959" s="547"/>
      <c r="N959" s="547"/>
      <c r="O959" s="547"/>
      <c r="P959" s="547"/>
      <c r="Q959" s="547"/>
      <c r="R959" s="547"/>
      <c r="S959" s="547"/>
      <c r="T959" s="547"/>
      <c r="U959" s="547"/>
      <c r="V959" s="547"/>
      <c r="W959" s="547"/>
      <c r="X959" s="547"/>
      <c r="Y959" s="547"/>
      <c r="Z959" s="547"/>
      <c r="AA959" s="547"/>
      <c r="AB959" s="884"/>
      <c r="AC959" s="547"/>
    </row>
    <row r="960" spans="1:29" ht="15" customHeight="1">
      <c r="A960" s="549"/>
      <c r="B960" s="550"/>
      <c r="C960" s="551"/>
      <c r="D960" s="551"/>
      <c r="E960" s="547"/>
      <c r="F960" s="547"/>
      <c r="G960" s="547"/>
      <c r="H960" s="547"/>
      <c r="I960" s="547"/>
      <c r="J960" s="547"/>
      <c r="K960" s="547"/>
      <c r="M960" s="547"/>
      <c r="N960" s="547"/>
      <c r="O960" s="547"/>
      <c r="P960" s="547"/>
      <c r="Q960" s="547"/>
      <c r="R960" s="547"/>
      <c r="S960" s="547"/>
      <c r="T960" s="547"/>
      <c r="U960" s="547"/>
      <c r="V960" s="547"/>
      <c r="W960" s="547"/>
      <c r="X960" s="547"/>
      <c r="Y960" s="547"/>
      <c r="Z960" s="547"/>
      <c r="AA960" s="547"/>
      <c r="AB960" s="884"/>
      <c r="AC960" s="547"/>
    </row>
  </sheetData>
  <autoFilter ref="A2:Z264" xr:uid="{00000000-0009-0000-0000-000000000000}"/>
  <mergeCells count="1">
    <mergeCell ref="E1:J1"/>
  </mergeCells>
  <conditionalFormatting sqref="K477:L959">
    <cfRule type="colorScale" priority="2">
      <colorScale>
        <cfvo type="min"/>
        <cfvo type="max"/>
        <color rgb="FFFFFFFF"/>
        <color rgb="FF57BB8A"/>
      </colorScale>
    </cfRule>
  </conditionalFormatting>
  <conditionalFormatting sqref="C1:C35 C38:C1048576">
    <cfRule type="duplicateValues" dxfId="2" priority="1"/>
  </conditionalFormatting>
  <dataValidations count="2">
    <dataValidation type="list" allowBlank="1" sqref="S3:S5" xr:uid="{00000000-0002-0000-0000-000000000000}">
      <formula1>Target_Beneficiary</formula1>
    </dataValidation>
    <dataValidation allowBlank="1" sqref="S6:S68 S82:S160 S162 S165:S174 S178:S180 S182:S205 S207:S209 S214:S225 S230:S232 S70:S80 S228 S234:S240" xr:uid="{00000000-0002-0000-0000-000001000000}"/>
  </dataValidations>
  <pageMargins left="0.7" right="0.7" top="0.75" bottom="0.75" header="0" footer="0"/>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7F3E6D8-E7A0-4808-8774-23984A529AE3}">
          <x14:formula1>
            <xm:f>'Do Not Edit'!$N$2:$N$307</xm:f>
          </x14:formula1>
          <xm:sqref>L74:L264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50"/>
    <outlinePr summaryBelow="0" summaryRight="0"/>
  </sheetPr>
  <dimension ref="A1:H1017"/>
  <sheetViews>
    <sheetView zoomScaleNormal="100" workbookViewId="0">
      <selection activeCell="D2" sqref="D2:G39"/>
    </sheetView>
  </sheetViews>
  <sheetFormatPr defaultColWidth="12.7265625" defaultRowHeight="15" customHeight="1"/>
  <cols>
    <col min="1" max="1" width="5.1796875" style="29" customWidth="1"/>
    <col min="2" max="2" width="65.7265625" style="29" customWidth="1"/>
    <col min="3" max="3" width="2.81640625" style="29" customWidth="1"/>
    <col min="4" max="4" width="8.7265625" style="29" customWidth="1"/>
    <col min="5" max="5" width="68.7265625" style="29" customWidth="1"/>
    <col min="6" max="6" width="9.26953125" style="29" bestFit="1" customWidth="1"/>
    <col min="7" max="7" width="11.54296875" style="29" bestFit="1" customWidth="1"/>
    <col min="8" max="8" width="31.26953125" style="29" customWidth="1"/>
    <col min="9" max="10" width="12.7265625" style="29" customWidth="1"/>
    <col min="11" max="16384" width="12.7265625" style="29"/>
  </cols>
  <sheetData>
    <row r="1" spans="1:8" ht="36" customHeight="1">
      <c r="A1" s="24"/>
      <c r="B1" s="25" t="s">
        <v>2023</v>
      </c>
      <c r="C1" s="26"/>
      <c r="D1" s="27" t="s">
        <v>2024</v>
      </c>
      <c r="E1" s="26" t="s">
        <v>2025</v>
      </c>
      <c r="F1" s="28" t="s">
        <v>2026</v>
      </c>
      <c r="G1" s="28" t="s">
        <v>2027</v>
      </c>
      <c r="H1" s="28" t="s">
        <v>2028</v>
      </c>
    </row>
    <row r="2" spans="1:8" ht="50.15" customHeight="1">
      <c r="A2" s="30" t="s">
        <v>2029</v>
      </c>
      <c r="B2" s="31" t="s">
        <v>2030</v>
      </c>
      <c r="C2" s="32"/>
      <c r="D2" s="33"/>
      <c r="E2" s="34"/>
      <c r="F2" s="35"/>
      <c r="G2" s="36"/>
      <c r="H2" s="36"/>
    </row>
    <row r="3" spans="1:8" ht="25" customHeight="1">
      <c r="A3" s="30" t="s">
        <v>2029</v>
      </c>
      <c r="B3" s="31" t="s">
        <v>2031</v>
      </c>
      <c r="C3" s="32"/>
      <c r="D3" s="33"/>
      <c r="E3" s="34"/>
      <c r="F3" s="35"/>
      <c r="G3" s="36"/>
      <c r="H3" s="36"/>
    </row>
    <row r="4" spans="1:8" ht="12.65" customHeight="1">
      <c r="A4" s="718" t="s">
        <v>2032</v>
      </c>
      <c r="B4" s="721" t="s">
        <v>2033</v>
      </c>
      <c r="C4" s="39"/>
      <c r="D4" s="40"/>
      <c r="E4" s="41"/>
      <c r="F4" s="42"/>
      <c r="G4" s="43"/>
      <c r="H4" s="43"/>
    </row>
    <row r="5" spans="1:8" ht="12.65" customHeight="1">
      <c r="A5" s="719"/>
      <c r="B5" s="722"/>
      <c r="C5" s="44"/>
      <c r="D5" s="45"/>
      <c r="E5" s="46"/>
      <c r="F5" s="47"/>
      <c r="G5" s="48"/>
      <c r="H5" s="48"/>
    </row>
    <row r="6" spans="1:8" ht="12.65" customHeight="1">
      <c r="A6" s="719"/>
      <c r="B6" s="722"/>
      <c r="C6" s="44"/>
      <c r="D6" s="45"/>
      <c r="E6" s="46"/>
      <c r="F6" s="47"/>
      <c r="G6" s="48"/>
      <c r="H6" s="48"/>
    </row>
    <row r="7" spans="1:8" ht="12.65" customHeight="1">
      <c r="A7" s="719"/>
      <c r="B7" s="722"/>
      <c r="C7" s="44"/>
      <c r="D7" s="45"/>
      <c r="E7" s="46"/>
      <c r="G7" s="48"/>
      <c r="H7" s="48"/>
    </row>
    <row r="8" spans="1:8" ht="12.65" customHeight="1">
      <c r="A8" s="719"/>
      <c r="B8" s="722"/>
      <c r="C8" s="44"/>
      <c r="D8" s="45"/>
      <c r="E8" s="46"/>
      <c r="G8" s="48"/>
      <c r="H8" s="48"/>
    </row>
    <row r="9" spans="1:8" ht="12.65" customHeight="1">
      <c r="A9" s="719"/>
      <c r="B9" s="722"/>
      <c r="C9" s="44"/>
      <c r="D9" s="45"/>
      <c r="E9" s="46"/>
      <c r="G9" s="48"/>
      <c r="H9" s="48"/>
    </row>
    <row r="10" spans="1:8" ht="12.65" customHeight="1">
      <c r="A10" s="719"/>
      <c r="B10" s="722"/>
      <c r="C10" s="44"/>
      <c r="D10" s="45"/>
      <c r="E10" s="46"/>
      <c r="G10" s="48"/>
      <c r="H10" s="48"/>
    </row>
    <row r="11" spans="1:8" ht="12.65" customHeight="1">
      <c r="A11" s="719"/>
      <c r="B11" s="722"/>
      <c r="C11" s="44"/>
      <c r="D11" s="45"/>
      <c r="E11" s="46"/>
      <c r="G11" s="48"/>
      <c r="H11" s="48"/>
    </row>
    <row r="12" spans="1:8" ht="12.65" customHeight="1">
      <c r="A12" s="719"/>
      <c r="B12" s="722"/>
      <c r="C12" s="44"/>
      <c r="D12" s="45"/>
      <c r="E12" s="46"/>
      <c r="F12" s="46"/>
      <c r="G12" s="48"/>
      <c r="H12" s="48"/>
    </row>
    <row r="13" spans="1:8" ht="12.65" customHeight="1">
      <c r="A13" s="720"/>
      <c r="B13" s="723"/>
      <c r="C13" s="50"/>
      <c r="D13" s="51"/>
      <c r="E13" s="52"/>
      <c r="F13" s="52"/>
      <c r="G13" s="53"/>
      <c r="H13" s="53"/>
    </row>
    <row r="14" spans="1:8" ht="12.65" customHeight="1">
      <c r="A14" s="30" t="s">
        <v>2032</v>
      </c>
      <c r="B14" s="54" t="s">
        <v>2034</v>
      </c>
      <c r="C14" s="55"/>
      <c r="D14" s="56"/>
      <c r="E14" s="57"/>
      <c r="F14" s="35"/>
      <c r="G14" s="58"/>
      <c r="H14" s="58"/>
    </row>
    <row r="15" spans="1:8" ht="12.65" customHeight="1">
      <c r="A15" s="718" t="s">
        <v>2032</v>
      </c>
      <c r="B15" s="721" t="s">
        <v>2035</v>
      </c>
      <c r="C15" s="39"/>
      <c r="D15" s="40"/>
      <c r="E15" s="41"/>
      <c r="F15" s="59"/>
      <c r="G15" s="43"/>
      <c r="H15" s="43"/>
    </row>
    <row r="16" spans="1:8" ht="12.65" customHeight="1">
      <c r="A16" s="719"/>
      <c r="B16" s="722"/>
      <c r="C16" s="60"/>
      <c r="D16" s="45"/>
      <c r="E16" s="46"/>
      <c r="G16" s="48"/>
      <c r="H16" s="48"/>
    </row>
    <row r="17" spans="1:8" ht="12.65" customHeight="1">
      <c r="A17" s="719"/>
      <c r="B17" s="722"/>
      <c r="C17" s="60"/>
      <c r="D17" s="45"/>
      <c r="E17" s="46"/>
      <c r="G17" s="48"/>
      <c r="H17" s="48"/>
    </row>
    <row r="18" spans="1:8" ht="12.65" customHeight="1">
      <c r="A18" s="719"/>
      <c r="B18" s="722"/>
      <c r="C18" s="60"/>
      <c r="D18" s="45"/>
      <c r="E18" s="46"/>
      <c r="G18" s="48"/>
      <c r="H18" s="48"/>
    </row>
    <row r="19" spans="1:8" ht="12.65" customHeight="1">
      <c r="A19" s="720"/>
      <c r="B19" s="723"/>
      <c r="C19" s="61"/>
      <c r="D19" s="51"/>
      <c r="E19" s="52"/>
      <c r="F19" s="49"/>
      <c r="G19" s="53"/>
      <c r="H19" s="53"/>
    </row>
    <row r="20" spans="1:8" ht="12.65" customHeight="1">
      <c r="A20" s="724" t="s">
        <v>2036</v>
      </c>
      <c r="B20" s="721" t="s">
        <v>2037</v>
      </c>
      <c r="C20" s="39"/>
      <c r="D20" s="40"/>
      <c r="E20" s="41"/>
      <c r="F20" s="59"/>
      <c r="G20" s="43"/>
      <c r="H20" s="43"/>
    </row>
    <row r="21" spans="1:8" ht="12.65" customHeight="1">
      <c r="A21" s="720"/>
      <c r="B21" s="723"/>
      <c r="C21" s="62"/>
      <c r="D21" s="51"/>
      <c r="E21" s="52"/>
      <c r="F21" s="49"/>
      <c r="G21" s="53"/>
      <c r="H21" s="53"/>
    </row>
    <row r="22" spans="1:8" ht="25" customHeight="1">
      <c r="A22" s="37" t="s">
        <v>2036</v>
      </c>
      <c r="B22" s="38" t="s">
        <v>2038</v>
      </c>
      <c r="C22" s="63"/>
      <c r="D22" s="40"/>
      <c r="E22" s="59"/>
      <c r="F22" s="59"/>
      <c r="G22" s="64"/>
      <c r="H22" s="64"/>
    </row>
    <row r="23" spans="1:8" ht="37.5" customHeight="1">
      <c r="A23" s="30" t="s">
        <v>2036</v>
      </c>
      <c r="B23" s="54" t="s">
        <v>2039</v>
      </c>
      <c r="C23" s="65"/>
      <c r="D23" s="56"/>
      <c r="E23" s="35"/>
      <c r="F23" s="35"/>
      <c r="G23" s="36"/>
      <c r="H23" s="36"/>
    </row>
    <row r="24" spans="1:8" ht="37.5" customHeight="1">
      <c r="A24" s="30" t="s">
        <v>2036</v>
      </c>
      <c r="B24" s="66" t="s">
        <v>2040</v>
      </c>
      <c r="C24" s="67"/>
      <c r="D24" s="56"/>
      <c r="E24" s="34"/>
      <c r="F24" s="35"/>
      <c r="G24" s="36"/>
      <c r="H24" s="36"/>
    </row>
    <row r="25" spans="1:8" ht="25" customHeight="1">
      <c r="A25" s="68" t="s">
        <v>2041</v>
      </c>
      <c r="B25" s="54" t="s">
        <v>2042</v>
      </c>
      <c r="C25" s="65"/>
      <c r="D25" s="56"/>
      <c r="E25" s="69"/>
      <c r="F25" s="35"/>
      <c r="G25" s="58"/>
      <c r="H25" s="58"/>
    </row>
    <row r="26" spans="1:8" ht="25" customHeight="1">
      <c r="A26" s="68" t="s">
        <v>2043</v>
      </c>
      <c r="B26" s="54" t="s">
        <v>2044</v>
      </c>
      <c r="C26" s="65"/>
      <c r="D26" s="56"/>
      <c r="E26" s="35"/>
      <c r="F26" s="35"/>
      <c r="G26" s="36"/>
      <c r="H26" s="36"/>
    </row>
    <row r="27" spans="1:8" ht="25" customHeight="1">
      <c r="A27" s="68" t="s">
        <v>2045</v>
      </c>
      <c r="B27" s="70" t="s">
        <v>2046</v>
      </c>
      <c r="C27" s="67"/>
      <c r="D27" s="56"/>
      <c r="E27" s="35"/>
      <c r="F27" s="35"/>
      <c r="G27" s="36"/>
      <c r="H27" s="36"/>
    </row>
    <row r="28" spans="1:8" ht="25" customHeight="1">
      <c r="A28" s="68" t="s">
        <v>2047</v>
      </c>
      <c r="B28" s="54" t="s">
        <v>2048</v>
      </c>
      <c r="C28" s="65"/>
      <c r="D28" s="56"/>
      <c r="E28" s="69"/>
      <c r="F28" s="35"/>
      <c r="G28" s="58"/>
      <c r="H28" s="58"/>
    </row>
    <row r="29" spans="1:8" ht="37.5" customHeight="1">
      <c r="A29" s="68" t="s">
        <v>2043</v>
      </c>
      <c r="B29" s="31" t="s">
        <v>2049</v>
      </c>
      <c r="C29" s="32"/>
      <c r="D29" s="56"/>
      <c r="E29" s="35"/>
      <c r="F29" s="35"/>
      <c r="G29" s="36"/>
      <c r="H29" s="36"/>
    </row>
    <row r="30" spans="1:8" ht="25" customHeight="1">
      <c r="A30" s="71" t="s">
        <v>2043</v>
      </c>
      <c r="B30" s="72" t="s">
        <v>2050</v>
      </c>
      <c r="C30" s="39"/>
      <c r="D30" s="40"/>
      <c r="E30" s="41"/>
      <c r="F30" s="59"/>
      <c r="G30" s="43"/>
      <c r="H30" s="43"/>
    </row>
    <row r="31" spans="1:8" ht="24" customHeight="1">
      <c r="A31" s="724" t="s">
        <v>2045</v>
      </c>
      <c r="B31" s="721" t="s">
        <v>2051</v>
      </c>
      <c r="C31" s="39"/>
      <c r="D31" s="40"/>
      <c r="E31" s="73"/>
      <c r="F31" s="59"/>
      <c r="G31" s="64"/>
      <c r="H31" s="64"/>
    </row>
    <row r="32" spans="1:8" ht="12.65" customHeight="1">
      <c r="A32" s="720"/>
      <c r="B32" s="723"/>
      <c r="C32" s="61"/>
      <c r="D32" s="51"/>
      <c r="E32" s="52"/>
      <c r="F32" s="49"/>
      <c r="G32" s="53"/>
      <c r="H32" s="53"/>
    </row>
    <row r="33" spans="1:8" ht="25" customHeight="1">
      <c r="A33" s="68" t="s">
        <v>2045</v>
      </c>
      <c r="B33" s="54" t="s">
        <v>2052</v>
      </c>
      <c r="C33" s="65"/>
      <c r="D33" s="56"/>
      <c r="E33" s="35"/>
      <c r="F33" s="35"/>
      <c r="G33" s="36"/>
      <c r="H33" s="36"/>
    </row>
    <row r="34" spans="1:8" ht="12.65" customHeight="1">
      <c r="A34" s="724" t="s">
        <v>2045</v>
      </c>
      <c r="B34" s="721" t="s">
        <v>2053</v>
      </c>
      <c r="C34" s="63"/>
      <c r="D34" s="40"/>
      <c r="E34" s="41"/>
      <c r="F34" s="59"/>
      <c r="G34" s="43"/>
      <c r="H34" s="43"/>
    </row>
    <row r="35" spans="1:8" ht="12.65" customHeight="1">
      <c r="A35" s="719"/>
      <c r="B35" s="722"/>
      <c r="C35" s="74"/>
      <c r="D35" s="45"/>
      <c r="E35" s="46"/>
      <c r="G35" s="48"/>
      <c r="H35" s="48"/>
    </row>
    <row r="36" spans="1:8" ht="12.65" customHeight="1">
      <c r="A36" s="719"/>
      <c r="B36" s="722"/>
      <c r="C36" s="74"/>
      <c r="D36" s="45"/>
      <c r="E36" s="46"/>
      <c r="G36" s="48"/>
      <c r="H36" s="48"/>
    </row>
    <row r="37" spans="1:8" ht="12.65" customHeight="1">
      <c r="A37" s="720"/>
      <c r="B37" s="723"/>
      <c r="C37" s="75"/>
      <c r="D37" s="51"/>
      <c r="E37" s="52"/>
      <c r="F37" s="49"/>
      <c r="G37" s="53"/>
      <c r="H37" s="53"/>
    </row>
    <row r="38" spans="1:8" ht="37.5" customHeight="1">
      <c r="A38" s="68" t="s">
        <v>2045</v>
      </c>
      <c r="B38" s="31" t="s">
        <v>2054</v>
      </c>
      <c r="C38" s="32"/>
      <c r="D38" s="56"/>
      <c r="E38" s="35"/>
      <c r="F38" s="35"/>
      <c r="G38" s="36"/>
      <c r="H38" s="36"/>
    </row>
    <row r="39" spans="1:8" ht="12.65" customHeight="1">
      <c r="A39" s="76"/>
      <c r="B39" s="77"/>
      <c r="D39" s="45"/>
    </row>
    <row r="40" spans="1:8" ht="12.65" customHeight="1">
      <c r="A40" s="76"/>
      <c r="B40" s="77"/>
      <c r="D40" s="45"/>
    </row>
    <row r="41" spans="1:8" ht="12.65" customHeight="1">
      <c r="A41" s="76"/>
      <c r="B41" s="77"/>
      <c r="D41" s="45"/>
    </row>
    <row r="42" spans="1:8" ht="12.65" customHeight="1">
      <c r="A42" s="76"/>
      <c r="B42" s="77"/>
      <c r="D42" s="45"/>
    </row>
    <row r="43" spans="1:8" ht="12.65" customHeight="1">
      <c r="A43" s="76"/>
      <c r="B43" s="77"/>
      <c r="D43" s="45"/>
    </row>
    <row r="44" spans="1:8" ht="12.65" customHeight="1">
      <c r="A44" s="76"/>
      <c r="B44" s="77"/>
      <c r="D44" s="45"/>
    </row>
    <row r="45" spans="1:8" ht="12.65" customHeight="1">
      <c r="A45" s="76"/>
      <c r="B45" s="77"/>
      <c r="D45" s="45"/>
    </row>
    <row r="46" spans="1:8" ht="12.65" customHeight="1">
      <c r="A46" s="76"/>
      <c r="B46" s="77"/>
      <c r="D46" s="45"/>
    </row>
    <row r="47" spans="1:8" ht="12.65" customHeight="1">
      <c r="A47" s="76"/>
      <c r="B47" s="77"/>
      <c r="D47" s="45"/>
    </row>
    <row r="48" spans="1:8" ht="12.65" customHeight="1">
      <c r="A48" s="76"/>
      <c r="B48" s="77"/>
      <c r="D48" s="45"/>
    </row>
    <row r="49" spans="1:4" ht="12.65" customHeight="1">
      <c r="A49" s="76"/>
      <c r="B49" s="77"/>
      <c r="D49" s="45"/>
    </row>
    <row r="50" spans="1:4" ht="12.65" customHeight="1">
      <c r="A50" s="76"/>
      <c r="B50" s="77"/>
      <c r="D50" s="45"/>
    </row>
    <row r="51" spans="1:4" ht="12.65" customHeight="1">
      <c r="A51" s="76"/>
      <c r="B51" s="77"/>
      <c r="D51" s="45"/>
    </row>
    <row r="52" spans="1:4" ht="12.65" customHeight="1">
      <c r="A52" s="76"/>
      <c r="B52" s="77"/>
      <c r="D52" s="45"/>
    </row>
    <row r="53" spans="1:4" ht="12.65" customHeight="1">
      <c r="A53" s="76"/>
      <c r="B53" s="77"/>
      <c r="D53" s="45"/>
    </row>
    <row r="54" spans="1:4" ht="12.65" customHeight="1">
      <c r="A54" s="76"/>
      <c r="B54" s="77"/>
      <c r="D54" s="45"/>
    </row>
    <row r="55" spans="1:4" ht="12.65" customHeight="1">
      <c r="A55" s="76"/>
      <c r="B55" s="77"/>
      <c r="D55" s="45"/>
    </row>
    <row r="56" spans="1:4" ht="12.65" customHeight="1">
      <c r="A56" s="76"/>
      <c r="B56" s="77"/>
      <c r="D56" s="45"/>
    </row>
    <row r="57" spans="1:4" ht="12.65" customHeight="1">
      <c r="A57" s="76"/>
      <c r="B57" s="77"/>
      <c r="D57" s="45"/>
    </row>
    <row r="58" spans="1:4" ht="12.65" customHeight="1">
      <c r="A58" s="76"/>
      <c r="B58" s="77"/>
      <c r="D58" s="45"/>
    </row>
    <row r="59" spans="1:4" ht="12.65" customHeight="1">
      <c r="A59" s="76"/>
      <c r="B59" s="77"/>
      <c r="D59" s="45"/>
    </row>
    <row r="60" spans="1:4" ht="12.65" customHeight="1">
      <c r="A60" s="76"/>
      <c r="B60" s="77"/>
      <c r="D60" s="45"/>
    </row>
    <row r="61" spans="1:4" ht="12.65" customHeight="1">
      <c r="A61" s="76"/>
      <c r="B61" s="77"/>
      <c r="D61" s="45"/>
    </row>
    <row r="62" spans="1:4" ht="12.65" customHeight="1">
      <c r="A62" s="76"/>
      <c r="B62" s="77"/>
      <c r="D62" s="45"/>
    </row>
    <row r="63" spans="1:4" ht="12.65" customHeight="1">
      <c r="A63" s="76"/>
      <c r="B63" s="77"/>
      <c r="D63" s="45"/>
    </row>
    <row r="64" spans="1:4" ht="12.65" customHeight="1">
      <c r="A64" s="76"/>
      <c r="B64" s="77"/>
      <c r="D64" s="45"/>
    </row>
    <row r="65" spans="1:4" ht="12.65" customHeight="1">
      <c r="A65" s="76"/>
      <c r="B65" s="77"/>
      <c r="D65" s="45"/>
    </row>
    <row r="66" spans="1:4" ht="12.65" customHeight="1">
      <c r="A66" s="76"/>
      <c r="B66" s="77"/>
      <c r="D66" s="45"/>
    </row>
    <row r="67" spans="1:4" ht="12.65" customHeight="1">
      <c r="A67" s="76"/>
      <c r="B67" s="77"/>
      <c r="D67" s="45"/>
    </row>
    <row r="68" spans="1:4" ht="12.65" customHeight="1">
      <c r="A68" s="76"/>
      <c r="B68" s="77"/>
      <c r="D68" s="45"/>
    </row>
    <row r="69" spans="1:4" ht="12.65" customHeight="1">
      <c r="A69" s="76"/>
      <c r="B69" s="77"/>
      <c r="D69" s="45"/>
    </row>
    <row r="70" spans="1:4" ht="12.65" customHeight="1">
      <c r="A70" s="76"/>
      <c r="B70" s="77"/>
      <c r="D70" s="45"/>
    </row>
    <row r="71" spans="1:4" ht="12.65" customHeight="1">
      <c r="A71" s="76"/>
      <c r="B71" s="77"/>
      <c r="D71" s="45"/>
    </row>
    <row r="72" spans="1:4" ht="12.65" customHeight="1">
      <c r="A72" s="76"/>
      <c r="B72" s="77"/>
      <c r="D72" s="45"/>
    </row>
    <row r="73" spans="1:4" ht="12.65" customHeight="1">
      <c r="A73" s="76"/>
      <c r="B73" s="77"/>
      <c r="D73" s="45"/>
    </row>
    <row r="74" spans="1:4" ht="12.65" customHeight="1">
      <c r="A74" s="76"/>
      <c r="B74" s="77"/>
      <c r="D74" s="45"/>
    </row>
    <row r="75" spans="1:4" ht="12.65" customHeight="1">
      <c r="A75" s="76"/>
      <c r="B75" s="77"/>
      <c r="D75" s="45"/>
    </row>
    <row r="76" spans="1:4" ht="12.65" customHeight="1">
      <c r="A76" s="76"/>
      <c r="B76" s="77"/>
      <c r="D76" s="45"/>
    </row>
    <row r="77" spans="1:4" ht="12.65" customHeight="1">
      <c r="A77" s="76"/>
      <c r="B77" s="77"/>
      <c r="D77" s="45"/>
    </row>
    <row r="78" spans="1:4" ht="12.65" customHeight="1">
      <c r="A78" s="76"/>
      <c r="B78" s="77"/>
      <c r="D78" s="45"/>
    </row>
    <row r="79" spans="1:4" ht="12.65" customHeight="1">
      <c r="A79" s="76"/>
      <c r="B79" s="77"/>
      <c r="D79" s="45"/>
    </row>
    <row r="80" spans="1:4" ht="12.65" customHeight="1">
      <c r="A80" s="76"/>
      <c r="B80" s="77"/>
      <c r="D80" s="45"/>
    </row>
    <row r="81" spans="1:4" ht="12.65" customHeight="1">
      <c r="A81" s="76"/>
      <c r="B81" s="77"/>
      <c r="D81" s="45"/>
    </row>
    <row r="82" spans="1:4" ht="12.65" customHeight="1">
      <c r="A82" s="76"/>
      <c r="B82" s="77"/>
      <c r="D82" s="45"/>
    </row>
    <row r="83" spans="1:4" ht="12.65" customHeight="1">
      <c r="A83" s="76"/>
      <c r="B83" s="77"/>
      <c r="D83" s="45"/>
    </row>
    <row r="84" spans="1:4" ht="12.65" customHeight="1">
      <c r="A84" s="76"/>
      <c r="B84" s="77"/>
      <c r="D84" s="45"/>
    </row>
    <row r="85" spans="1:4" ht="12.65" customHeight="1">
      <c r="A85" s="76"/>
      <c r="B85" s="77"/>
      <c r="D85" s="45"/>
    </row>
    <row r="86" spans="1:4" ht="12.65" customHeight="1">
      <c r="A86" s="76"/>
      <c r="B86" s="77"/>
      <c r="D86" s="45"/>
    </row>
    <row r="87" spans="1:4" ht="12.65" customHeight="1">
      <c r="A87" s="76"/>
      <c r="B87" s="77"/>
      <c r="D87" s="45"/>
    </row>
    <row r="88" spans="1:4" ht="12.65" customHeight="1">
      <c r="A88" s="76"/>
      <c r="B88" s="77"/>
      <c r="D88" s="45"/>
    </row>
    <row r="89" spans="1:4" ht="12.65" customHeight="1">
      <c r="A89" s="76"/>
      <c r="B89" s="77"/>
      <c r="D89" s="45"/>
    </row>
    <row r="90" spans="1:4" ht="12.65" customHeight="1">
      <c r="A90" s="76"/>
      <c r="B90" s="77"/>
      <c r="D90" s="45"/>
    </row>
    <row r="91" spans="1:4" ht="12.65" customHeight="1">
      <c r="A91" s="76"/>
      <c r="B91" s="77"/>
      <c r="D91" s="45"/>
    </row>
    <row r="92" spans="1:4" ht="12.65" customHeight="1">
      <c r="A92" s="76"/>
      <c r="B92" s="77"/>
      <c r="D92" s="45"/>
    </row>
    <row r="93" spans="1:4" ht="12.65" customHeight="1">
      <c r="A93" s="76"/>
      <c r="B93" s="77"/>
      <c r="D93" s="45"/>
    </row>
    <row r="94" spans="1:4" ht="12.65" customHeight="1">
      <c r="A94" s="76"/>
      <c r="B94" s="77"/>
      <c r="D94" s="45"/>
    </row>
    <row r="95" spans="1:4" ht="12.65" customHeight="1">
      <c r="A95" s="76"/>
      <c r="B95" s="77"/>
      <c r="D95" s="45"/>
    </row>
    <row r="96" spans="1:4" ht="12.65" customHeight="1">
      <c r="A96" s="76"/>
      <c r="B96" s="77"/>
      <c r="D96" s="45"/>
    </row>
    <row r="97" spans="1:4" ht="12.65" customHeight="1">
      <c r="A97" s="76"/>
      <c r="B97" s="77"/>
      <c r="D97" s="45"/>
    </row>
    <row r="98" spans="1:4" ht="12.65" customHeight="1">
      <c r="A98" s="76"/>
      <c r="B98" s="77"/>
      <c r="D98" s="45"/>
    </row>
    <row r="99" spans="1:4" ht="12.65" customHeight="1">
      <c r="A99" s="76"/>
      <c r="B99" s="77"/>
      <c r="D99" s="45"/>
    </row>
    <row r="100" spans="1:4" ht="12.65" customHeight="1">
      <c r="A100" s="76"/>
      <c r="B100" s="77"/>
      <c r="D100" s="45"/>
    </row>
    <row r="101" spans="1:4" ht="12.65" customHeight="1">
      <c r="A101" s="76"/>
      <c r="B101" s="77"/>
      <c r="D101" s="45"/>
    </row>
    <row r="102" spans="1:4" ht="12.65" customHeight="1">
      <c r="A102" s="76"/>
      <c r="B102" s="77"/>
      <c r="D102" s="45"/>
    </row>
    <row r="103" spans="1:4" ht="12.65" customHeight="1">
      <c r="A103" s="76"/>
      <c r="B103" s="77"/>
      <c r="D103" s="45"/>
    </row>
    <row r="104" spans="1:4" ht="12.65" customHeight="1">
      <c r="A104" s="76"/>
      <c r="B104" s="77"/>
      <c r="D104" s="45"/>
    </row>
    <row r="105" spans="1:4" ht="12.65" customHeight="1">
      <c r="A105" s="76"/>
      <c r="B105" s="77"/>
      <c r="D105" s="45"/>
    </row>
    <row r="106" spans="1:4" ht="12.65" customHeight="1">
      <c r="A106" s="76"/>
      <c r="B106" s="77"/>
      <c r="D106" s="45"/>
    </row>
    <row r="107" spans="1:4" ht="12.65" customHeight="1">
      <c r="A107" s="76"/>
      <c r="B107" s="77"/>
      <c r="D107" s="45"/>
    </row>
    <row r="108" spans="1:4" ht="12.65" customHeight="1">
      <c r="A108" s="76"/>
      <c r="B108" s="77"/>
      <c r="D108" s="45"/>
    </row>
    <row r="109" spans="1:4" ht="12.65" customHeight="1">
      <c r="A109" s="76"/>
      <c r="B109" s="77"/>
      <c r="D109" s="45"/>
    </row>
    <row r="110" spans="1:4" ht="12.65" customHeight="1">
      <c r="A110" s="76"/>
      <c r="B110" s="77"/>
      <c r="D110" s="45"/>
    </row>
    <row r="111" spans="1:4" ht="12.65" customHeight="1">
      <c r="A111" s="76"/>
      <c r="B111" s="77"/>
      <c r="D111" s="45"/>
    </row>
    <row r="112" spans="1:4" ht="12.65" customHeight="1">
      <c r="A112" s="76"/>
      <c r="B112" s="77"/>
      <c r="D112" s="45"/>
    </row>
    <row r="113" spans="1:4" ht="12.65" customHeight="1">
      <c r="A113" s="76"/>
      <c r="B113" s="77"/>
      <c r="D113" s="45"/>
    </row>
    <row r="114" spans="1:4" ht="12.65" customHeight="1">
      <c r="A114" s="76"/>
      <c r="B114" s="77"/>
      <c r="D114" s="45"/>
    </row>
    <row r="115" spans="1:4" ht="12.65" customHeight="1">
      <c r="A115" s="76"/>
      <c r="B115" s="77"/>
      <c r="D115" s="45"/>
    </row>
    <row r="116" spans="1:4" ht="12.65" customHeight="1">
      <c r="A116" s="76"/>
      <c r="B116" s="77"/>
      <c r="D116" s="45"/>
    </row>
    <row r="117" spans="1:4" ht="12.65" customHeight="1">
      <c r="A117" s="76"/>
      <c r="B117" s="77"/>
      <c r="D117" s="45"/>
    </row>
    <row r="118" spans="1:4" ht="12.65" customHeight="1">
      <c r="A118" s="76"/>
      <c r="B118" s="77"/>
      <c r="D118" s="45"/>
    </row>
    <row r="119" spans="1:4" ht="12.65" customHeight="1">
      <c r="A119" s="76"/>
      <c r="B119" s="77"/>
      <c r="D119" s="45"/>
    </row>
    <row r="120" spans="1:4" ht="12.65" customHeight="1">
      <c r="A120" s="76"/>
      <c r="B120" s="77"/>
      <c r="D120" s="45"/>
    </row>
    <row r="121" spans="1:4" ht="12.65" customHeight="1">
      <c r="A121" s="76"/>
      <c r="B121" s="77"/>
      <c r="D121" s="45"/>
    </row>
    <row r="122" spans="1:4" ht="12.65" customHeight="1">
      <c r="A122" s="76"/>
      <c r="B122" s="77"/>
      <c r="D122" s="45"/>
    </row>
    <row r="123" spans="1:4" ht="12.65" customHeight="1">
      <c r="A123" s="76"/>
      <c r="B123" s="77"/>
      <c r="D123" s="45"/>
    </row>
    <row r="124" spans="1:4" ht="12.65" customHeight="1">
      <c r="A124" s="76"/>
      <c r="B124" s="77"/>
      <c r="D124" s="45"/>
    </row>
    <row r="125" spans="1:4" ht="12.65" customHeight="1">
      <c r="A125" s="76"/>
      <c r="B125" s="77"/>
      <c r="D125" s="45"/>
    </row>
    <row r="126" spans="1:4" ht="12.65" customHeight="1">
      <c r="A126" s="76"/>
      <c r="B126" s="77"/>
      <c r="D126" s="45"/>
    </row>
    <row r="127" spans="1:4" ht="12.65" customHeight="1">
      <c r="A127" s="76"/>
      <c r="B127" s="77"/>
      <c r="D127" s="45"/>
    </row>
    <row r="128" spans="1:4" ht="12.65" customHeight="1">
      <c r="A128" s="76"/>
      <c r="B128" s="77"/>
      <c r="D128" s="45"/>
    </row>
    <row r="129" spans="1:4" ht="12.65" customHeight="1">
      <c r="A129" s="76"/>
      <c r="B129" s="77"/>
      <c r="D129" s="45"/>
    </row>
    <row r="130" spans="1:4" ht="12.65" customHeight="1">
      <c r="A130" s="76"/>
      <c r="B130" s="77"/>
      <c r="D130" s="45"/>
    </row>
    <row r="131" spans="1:4" ht="12.65" customHeight="1">
      <c r="A131" s="76"/>
      <c r="B131" s="77"/>
      <c r="D131" s="45"/>
    </row>
    <row r="132" spans="1:4" ht="12.65" customHeight="1">
      <c r="A132" s="76"/>
      <c r="B132" s="77"/>
      <c r="D132" s="45"/>
    </row>
    <row r="133" spans="1:4" ht="12.65" customHeight="1">
      <c r="A133" s="76"/>
      <c r="B133" s="77"/>
      <c r="D133" s="45"/>
    </row>
    <row r="134" spans="1:4" ht="12.65" customHeight="1">
      <c r="A134" s="76"/>
      <c r="B134" s="77"/>
      <c r="D134" s="45"/>
    </row>
    <row r="135" spans="1:4" ht="12.65" customHeight="1">
      <c r="A135" s="76"/>
      <c r="B135" s="77"/>
      <c r="D135" s="45"/>
    </row>
    <row r="136" spans="1:4" ht="12.65" customHeight="1">
      <c r="A136" s="76"/>
      <c r="B136" s="77"/>
      <c r="D136" s="45"/>
    </row>
    <row r="137" spans="1:4" ht="12.65" customHeight="1">
      <c r="A137" s="76"/>
      <c r="B137" s="77"/>
      <c r="D137" s="45"/>
    </row>
    <row r="138" spans="1:4" ht="12.65" customHeight="1">
      <c r="A138" s="76"/>
      <c r="B138" s="77"/>
      <c r="D138" s="45"/>
    </row>
    <row r="139" spans="1:4" ht="12.65" customHeight="1">
      <c r="A139" s="76"/>
      <c r="B139" s="77"/>
      <c r="D139" s="45"/>
    </row>
    <row r="140" spans="1:4" ht="12.65" customHeight="1">
      <c r="A140" s="76"/>
      <c r="B140" s="77"/>
      <c r="D140" s="45"/>
    </row>
    <row r="141" spans="1:4" ht="12.65" customHeight="1">
      <c r="A141" s="76"/>
      <c r="B141" s="77"/>
      <c r="D141" s="45"/>
    </row>
    <row r="142" spans="1:4" ht="12.65" customHeight="1">
      <c r="A142" s="76"/>
      <c r="B142" s="77"/>
      <c r="D142" s="45"/>
    </row>
    <row r="143" spans="1:4" ht="12.65" customHeight="1">
      <c r="A143" s="76"/>
      <c r="B143" s="77"/>
      <c r="D143" s="45"/>
    </row>
    <row r="144" spans="1:4" ht="12.65" customHeight="1">
      <c r="A144" s="76"/>
      <c r="B144" s="77"/>
      <c r="D144" s="45"/>
    </row>
    <row r="145" spans="1:4" ht="12.65" customHeight="1">
      <c r="A145" s="76"/>
      <c r="B145" s="77"/>
      <c r="D145" s="45"/>
    </row>
    <row r="146" spans="1:4" ht="12.65" customHeight="1">
      <c r="A146" s="76"/>
      <c r="B146" s="77"/>
      <c r="D146" s="45"/>
    </row>
    <row r="147" spans="1:4" ht="12.65" customHeight="1">
      <c r="A147" s="76"/>
      <c r="B147" s="77"/>
      <c r="D147" s="45"/>
    </row>
    <row r="148" spans="1:4" ht="12.65" customHeight="1">
      <c r="A148" s="76"/>
      <c r="B148" s="77"/>
      <c r="D148" s="45"/>
    </row>
    <row r="149" spans="1:4" ht="12.65" customHeight="1">
      <c r="A149" s="76"/>
      <c r="B149" s="77"/>
      <c r="D149" s="45"/>
    </row>
    <row r="150" spans="1:4" ht="12.65" customHeight="1">
      <c r="A150" s="76"/>
      <c r="B150" s="77"/>
      <c r="D150" s="45"/>
    </row>
    <row r="151" spans="1:4" ht="12.65" customHeight="1">
      <c r="A151" s="76"/>
      <c r="B151" s="77"/>
      <c r="D151" s="45"/>
    </row>
    <row r="152" spans="1:4" ht="12.65" customHeight="1">
      <c r="A152" s="76"/>
      <c r="B152" s="77"/>
      <c r="D152" s="45"/>
    </row>
    <row r="153" spans="1:4" ht="12.65" customHeight="1">
      <c r="A153" s="76"/>
      <c r="B153" s="77"/>
      <c r="D153" s="45"/>
    </row>
    <row r="154" spans="1:4" ht="12.65" customHeight="1">
      <c r="A154" s="76"/>
      <c r="B154" s="77"/>
      <c r="D154" s="45"/>
    </row>
    <row r="155" spans="1:4" ht="12.65" customHeight="1">
      <c r="A155" s="76"/>
      <c r="B155" s="77"/>
      <c r="D155" s="45"/>
    </row>
    <row r="156" spans="1:4" ht="12.65" customHeight="1">
      <c r="A156" s="76"/>
      <c r="B156" s="77"/>
      <c r="D156" s="45"/>
    </row>
    <row r="157" spans="1:4" ht="12.65" customHeight="1">
      <c r="A157" s="76"/>
      <c r="B157" s="77"/>
      <c r="D157" s="45"/>
    </row>
    <row r="158" spans="1:4" ht="12.65" customHeight="1">
      <c r="A158" s="76"/>
      <c r="B158" s="77"/>
      <c r="D158" s="45"/>
    </row>
    <row r="159" spans="1:4" ht="12.65" customHeight="1">
      <c r="A159" s="76"/>
      <c r="B159" s="77"/>
      <c r="D159" s="45"/>
    </row>
    <row r="160" spans="1:4" ht="12.65" customHeight="1">
      <c r="A160" s="76"/>
      <c r="B160" s="77"/>
      <c r="D160" s="45"/>
    </row>
    <row r="161" spans="1:4" ht="12.65" customHeight="1">
      <c r="A161" s="76"/>
      <c r="B161" s="77"/>
      <c r="D161" s="45"/>
    </row>
    <row r="162" spans="1:4" ht="12.65" customHeight="1">
      <c r="A162" s="76"/>
      <c r="B162" s="77"/>
      <c r="D162" s="45"/>
    </row>
    <row r="163" spans="1:4" ht="12.65" customHeight="1">
      <c r="A163" s="76"/>
      <c r="B163" s="77"/>
      <c r="D163" s="45"/>
    </row>
    <row r="164" spans="1:4" ht="12.65" customHeight="1">
      <c r="A164" s="76"/>
      <c r="B164" s="77"/>
      <c r="D164" s="45"/>
    </row>
    <row r="165" spans="1:4" ht="12.65" customHeight="1">
      <c r="A165" s="76"/>
      <c r="B165" s="77"/>
      <c r="D165" s="45"/>
    </row>
    <row r="166" spans="1:4" ht="12.65" customHeight="1">
      <c r="A166" s="76"/>
      <c r="B166" s="77"/>
      <c r="D166" s="45"/>
    </row>
    <row r="167" spans="1:4" ht="12.65" customHeight="1">
      <c r="A167" s="76"/>
      <c r="B167" s="77"/>
      <c r="D167" s="45"/>
    </row>
    <row r="168" spans="1:4" ht="12.65" customHeight="1">
      <c r="A168" s="76"/>
      <c r="B168" s="77"/>
      <c r="D168" s="45"/>
    </row>
    <row r="169" spans="1:4" ht="12.65" customHeight="1">
      <c r="A169" s="76"/>
      <c r="B169" s="77"/>
      <c r="D169" s="45"/>
    </row>
    <row r="170" spans="1:4" ht="12.65" customHeight="1">
      <c r="A170" s="76"/>
      <c r="B170" s="77"/>
      <c r="D170" s="45"/>
    </row>
    <row r="171" spans="1:4" ht="12.65" customHeight="1">
      <c r="A171" s="76"/>
      <c r="B171" s="77"/>
      <c r="D171" s="45"/>
    </row>
    <row r="172" spans="1:4" ht="12.65" customHeight="1">
      <c r="A172" s="76"/>
      <c r="B172" s="77"/>
      <c r="D172" s="45"/>
    </row>
    <row r="173" spans="1:4" ht="12.65" customHeight="1">
      <c r="A173" s="76"/>
      <c r="B173" s="77"/>
      <c r="D173" s="45"/>
    </row>
    <row r="174" spans="1:4" ht="12.65" customHeight="1">
      <c r="A174" s="76"/>
      <c r="B174" s="77"/>
      <c r="D174" s="45"/>
    </row>
    <row r="175" spans="1:4" ht="12.65" customHeight="1">
      <c r="A175" s="76"/>
      <c r="B175" s="77"/>
      <c r="D175" s="45"/>
    </row>
    <row r="176" spans="1:4" ht="12.65" customHeight="1">
      <c r="A176" s="76"/>
      <c r="B176" s="77"/>
      <c r="D176" s="45"/>
    </row>
    <row r="177" spans="1:4" ht="12.65" customHeight="1">
      <c r="A177" s="76"/>
      <c r="B177" s="77"/>
      <c r="D177" s="45"/>
    </row>
    <row r="178" spans="1:4" ht="12.65" customHeight="1">
      <c r="A178" s="76"/>
      <c r="B178" s="77"/>
      <c r="D178" s="45"/>
    </row>
    <row r="179" spans="1:4" ht="12.65" customHeight="1">
      <c r="A179" s="76"/>
      <c r="B179" s="77"/>
      <c r="D179" s="45"/>
    </row>
    <row r="180" spans="1:4" ht="12.65" customHeight="1">
      <c r="A180" s="76"/>
      <c r="B180" s="77"/>
      <c r="D180" s="45"/>
    </row>
    <row r="181" spans="1:4" ht="12.65" customHeight="1">
      <c r="A181" s="76"/>
      <c r="B181" s="77"/>
      <c r="D181" s="45"/>
    </row>
    <row r="182" spans="1:4" ht="12.65" customHeight="1">
      <c r="A182" s="76"/>
      <c r="B182" s="77"/>
      <c r="D182" s="45"/>
    </row>
    <row r="183" spans="1:4" ht="12.65" customHeight="1">
      <c r="A183" s="76"/>
      <c r="B183" s="77"/>
      <c r="D183" s="45"/>
    </row>
    <row r="184" spans="1:4" ht="12.65" customHeight="1">
      <c r="A184" s="76"/>
      <c r="B184" s="77"/>
      <c r="D184" s="45"/>
    </row>
    <row r="185" spans="1:4" ht="12.65" customHeight="1">
      <c r="A185" s="76"/>
      <c r="B185" s="77"/>
      <c r="D185" s="45"/>
    </row>
    <row r="186" spans="1:4" ht="12.65" customHeight="1">
      <c r="A186" s="76"/>
      <c r="B186" s="77"/>
      <c r="D186" s="45"/>
    </row>
    <row r="187" spans="1:4" ht="12.65" customHeight="1">
      <c r="A187" s="76"/>
      <c r="B187" s="77"/>
      <c r="D187" s="45"/>
    </row>
    <row r="188" spans="1:4" ht="12.65" customHeight="1">
      <c r="A188" s="76"/>
      <c r="B188" s="77"/>
      <c r="D188" s="45"/>
    </row>
    <row r="189" spans="1:4" ht="12.65" customHeight="1">
      <c r="A189" s="76"/>
      <c r="B189" s="77"/>
      <c r="D189" s="45"/>
    </row>
    <row r="190" spans="1:4" ht="12.65" customHeight="1">
      <c r="A190" s="76"/>
      <c r="B190" s="77"/>
      <c r="D190" s="45"/>
    </row>
    <row r="191" spans="1:4" ht="12.65" customHeight="1">
      <c r="A191" s="76"/>
      <c r="B191" s="77"/>
      <c r="D191" s="45"/>
    </row>
    <row r="192" spans="1:4" ht="12.65" customHeight="1">
      <c r="A192" s="76"/>
      <c r="B192" s="77"/>
      <c r="D192" s="45"/>
    </row>
    <row r="193" spans="1:4" ht="12.65" customHeight="1">
      <c r="A193" s="76"/>
      <c r="B193" s="77"/>
      <c r="D193" s="45"/>
    </row>
    <row r="194" spans="1:4" ht="12.65" customHeight="1">
      <c r="A194" s="76"/>
      <c r="B194" s="77"/>
      <c r="D194" s="45"/>
    </row>
    <row r="195" spans="1:4" ht="12.65" customHeight="1">
      <c r="A195" s="76"/>
      <c r="B195" s="77"/>
      <c r="D195" s="45"/>
    </row>
    <row r="196" spans="1:4" ht="12.65" customHeight="1">
      <c r="A196" s="76"/>
      <c r="B196" s="77"/>
      <c r="D196" s="45"/>
    </row>
    <row r="197" spans="1:4" ht="12.65" customHeight="1">
      <c r="A197" s="76"/>
      <c r="B197" s="77"/>
      <c r="D197" s="45"/>
    </row>
    <row r="198" spans="1:4" ht="12.65" customHeight="1">
      <c r="A198" s="76"/>
      <c r="B198" s="77"/>
      <c r="D198" s="45"/>
    </row>
    <row r="199" spans="1:4" ht="12.65" customHeight="1">
      <c r="A199" s="76"/>
      <c r="B199" s="77"/>
      <c r="D199" s="45"/>
    </row>
    <row r="200" spans="1:4" ht="12.65" customHeight="1">
      <c r="A200" s="76"/>
      <c r="B200" s="77"/>
      <c r="D200" s="45"/>
    </row>
    <row r="201" spans="1:4" ht="12.65" customHeight="1">
      <c r="A201" s="76"/>
      <c r="B201" s="77"/>
      <c r="D201" s="45"/>
    </row>
    <row r="202" spans="1:4" ht="12.65" customHeight="1">
      <c r="A202" s="76"/>
      <c r="B202" s="77"/>
      <c r="D202" s="45"/>
    </row>
    <row r="203" spans="1:4" ht="12.65" customHeight="1">
      <c r="A203" s="76"/>
      <c r="B203" s="77"/>
      <c r="D203" s="45"/>
    </row>
    <row r="204" spans="1:4" ht="12.65" customHeight="1">
      <c r="A204" s="76"/>
      <c r="B204" s="77"/>
      <c r="D204" s="45"/>
    </row>
    <row r="205" spans="1:4" ht="12.65" customHeight="1">
      <c r="A205" s="76"/>
      <c r="B205" s="77"/>
      <c r="D205" s="45"/>
    </row>
    <row r="206" spans="1:4" ht="12.65" customHeight="1">
      <c r="A206" s="76"/>
      <c r="B206" s="77"/>
      <c r="D206" s="45"/>
    </row>
    <row r="207" spans="1:4" ht="12.65" customHeight="1">
      <c r="A207" s="76"/>
      <c r="B207" s="77"/>
      <c r="D207" s="45"/>
    </row>
    <row r="208" spans="1:4" ht="12.65" customHeight="1">
      <c r="A208" s="76"/>
      <c r="B208" s="77"/>
      <c r="D208" s="45"/>
    </row>
    <row r="209" spans="1:4" ht="12.65" customHeight="1">
      <c r="A209" s="76"/>
      <c r="B209" s="77"/>
      <c r="D209" s="45"/>
    </row>
    <row r="210" spans="1:4" ht="12.65" customHeight="1">
      <c r="A210" s="76"/>
      <c r="B210" s="77"/>
      <c r="D210" s="45"/>
    </row>
    <row r="211" spans="1:4" ht="12.65" customHeight="1">
      <c r="A211" s="76"/>
      <c r="B211" s="77"/>
      <c r="D211" s="45"/>
    </row>
    <row r="212" spans="1:4" ht="12.65" customHeight="1">
      <c r="A212" s="76"/>
      <c r="B212" s="77"/>
      <c r="D212" s="45"/>
    </row>
    <row r="213" spans="1:4" ht="12.65" customHeight="1">
      <c r="A213" s="76"/>
      <c r="B213" s="77"/>
      <c r="D213" s="45"/>
    </row>
    <row r="214" spans="1:4" ht="12.65" customHeight="1">
      <c r="A214" s="76"/>
      <c r="B214" s="77"/>
      <c r="D214" s="45"/>
    </row>
    <row r="215" spans="1:4" ht="12.65" customHeight="1">
      <c r="A215" s="76"/>
      <c r="B215" s="77"/>
      <c r="D215" s="45"/>
    </row>
    <row r="216" spans="1:4" ht="12.65" customHeight="1">
      <c r="A216" s="76"/>
      <c r="B216" s="77"/>
      <c r="D216" s="45"/>
    </row>
    <row r="217" spans="1:4" ht="12.65" customHeight="1">
      <c r="A217" s="76"/>
      <c r="B217" s="77"/>
      <c r="D217" s="45"/>
    </row>
    <row r="218" spans="1:4" ht="12.65" customHeight="1">
      <c r="A218" s="76"/>
      <c r="B218" s="77"/>
      <c r="D218" s="45"/>
    </row>
    <row r="219" spans="1:4" ht="12.65" customHeight="1">
      <c r="A219" s="76"/>
      <c r="B219" s="77"/>
      <c r="D219" s="45"/>
    </row>
    <row r="220" spans="1:4" ht="12.65" customHeight="1">
      <c r="A220" s="76"/>
      <c r="B220" s="77"/>
      <c r="D220" s="45"/>
    </row>
    <row r="221" spans="1:4" ht="12.65" customHeight="1">
      <c r="A221" s="76"/>
      <c r="B221" s="77"/>
      <c r="D221" s="45"/>
    </row>
    <row r="222" spans="1:4" ht="12.65" customHeight="1">
      <c r="A222" s="76"/>
      <c r="B222" s="77"/>
      <c r="D222" s="45"/>
    </row>
    <row r="223" spans="1:4" ht="12.65" customHeight="1">
      <c r="A223" s="76"/>
      <c r="B223" s="77"/>
      <c r="D223" s="45"/>
    </row>
    <row r="224" spans="1:4" ht="12.65" customHeight="1">
      <c r="A224" s="76"/>
      <c r="B224" s="77"/>
      <c r="D224" s="45"/>
    </row>
    <row r="225" spans="1:4" ht="12.65" customHeight="1">
      <c r="A225" s="76"/>
      <c r="B225" s="77"/>
      <c r="D225" s="45"/>
    </row>
    <row r="226" spans="1:4" ht="12.65" customHeight="1">
      <c r="A226" s="76"/>
      <c r="B226" s="77"/>
      <c r="D226" s="45"/>
    </row>
    <row r="227" spans="1:4" ht="12.65" customHeight="1">
      <c r="A227" s="76"/>
      <c r="B227" s="77"/>
      <c r="D227" s="45"/>
    </row>
    <row r="228" spans="1:4" ht="12.65" customHeight="1">
      <c r="A228" s="76"/>
      <c r="B228" s="77"/>
      <c r="D228" s="45"/>
    </row>
    <row r="229" spans="1:4" ht="12.65" customHeight="1">
      <c r="A229" s="76"/>
      <c r="B229" s="77"/>
      <c r="D229" s="45"/>
    </row>
    <row r="230" spans="1:4" ht="12.65" customHeight="1">
      <c r="A230" s="76"/>
      <c r="B230" s="77"/>
      <c r="D230" s="45"/>
    </row>
    <row r="231" spans="1:4" ht="12.65" customHeight="1">
      <c r="A231" s="76"/>
      <c r="B231" s="77"/>
      <c r="D231" s="45"/>
    </row>
    <row r="232" spans="1:4" ht="12.65" customHeight="1">
      <c r="A232" s="76"/>
      <c r="B232" s="77"/>
      <c r="D232" s="45"/>
    </row>
    <row r="233" spans="1:4" ht="12.65" customHeight="1">
      <c r="A233" s="76"/>
      <c r="B233" s="77"/>
      <c r="D233" s="45"/>
    </row>
    <row r="234" spans="1:4" ht="12.65" customHeight="1">
      <c r="A234" s="76"/>
      <c r="B234" s="77"/>
      <c r="D234" s="45"/>
    </row>
    <row r="235" spans="1:4" ht="12.65" customHeight="1">
      <c r="A235" s="76"/>
      <c r="B235" s="77"/>
      <c r="D235" s="45"/>
    </row>
    <row r="236" spans="1:4" ht="12.65" customHeight="1">
      <c r="A236" s="76"/>
      <c r="B236" s="77"/>
      <c r="D236" s="45"/>
    </row>
    <row r="237" spans="1:4" ht="12.65" customHeight="1">
      <c r="A237" s="76"/>
      <c r="B237" s="77"/>
      <c r="D237" s="45"/>
    </row>
    <row r="238" spans="1:4" ht="12.65" customHeight="1">
      <c r="A238" s="76"/>
      <c r="B238" s="77"/>
      <c r="D238" s="45"/>
    </row>
    <row r="239" spans="1:4" ht="12.65" customHeight="1">
      <c r="A239" s="76"/>
      <c r="B239" s="77"/>
      <c r="D239" s="45"/>
    </row>
    <row r="240" spans="1:4" ht="12.65" customHeight="1">
      <c r="A240" s="76"/>
      <c r="B240" s="77"/>
      <c r="D240" s="45"/>
    </row>
    <row r="241" spans="1:4" ht="12.65" customHeight="1">
      <c r="A241" s="76"/>
      <c r="B241" s="77"/>
      <c r="D241" s="45"/>
    </row>
    <row r="242" spans="1:4" ht="12.65" customHeight="1">
      <c r="A242" s="76"/>
      <c r="B242" s="77"/>
      <c r="D242" s="45"/>
    </row>
    <row r="243" spans="1:4" ht="12.65" customHeight="1">
      <c r="A243" s="76"/>
      <c r="B243" s="77"/>
      <c r="D243" s="45"/>
    </row>
    <row r="244" spans="1:4" ht="12.65" customHeight="1">
      <c r="A244" s="76"/>
      <c r="B244" s="77"/>
      <c r="D244" s="45"/>
    </row>
    <row r="245" spans="1:4" ht="12.65" customHeight="1">
      <c r="A245" s="76"/>
      <c r="B245" s="77"/>
      <c r="D245" s="45"/>
    </row>
    <row r="246" spans="1:4" ht="12.65" customHeight="1">
      <c r="A246" s="76"/>
      <c r="B246" s="77"/>
      <c r="D246" s="45"/>
    </row>
    <row r="247" spans="1:4" ht="12.65" customHeight="1">
      <c r="A247" s="76"/>
      <c r="B247" s="77"/>
      <c r="D247" s="45"/>
    </row>
    <row r="248" spans="1:4" ht="12.65" customHeight="1">
      <c r="A248" s="76"/>
      <c r="B248" s="77"/>
      <c r="D248" s="45"/>
    </row>
    <row r="249" spans="1:4" ht="12.65" customHeight="1">
      <c r="A249" s="76"/>
      <c r="B249" s="77"/>
      <c r="D249" s="45"/>
    </row>
    <row r="250" spans="1:4" ht="12.65" customHeight="1">
      <c r="A250" s="76"/>
      <c r="B250" s="77"/>
      <c r="D250" s="45"/>
    </row>
    <row r="251" spans="1:4" ht="12.65" customHeight="1">
      <c r="A251" s="76"/>
      <c r="B251" s="77"/>
      <c r="D251" s="45"/>
    </row>
    <row r="252" spans="1:4" ht="12.65" customHeight="1">
      <c r="A252" s="76"/>
      <c r="B252" s="77"/>
      <c r="D252" s="45"/>
    </row>
    <row r="253" spans="1:4" ht="12.65" customHeight="1">
      <c r="A253" s="76"/>
      <c r="B253" s="77"/>
      <c r="D253" s="45"/>
    </row>
    <row r="254" spans="1:4" ht="12.65" customHeight="1">
      <c r="A254" s="76"/>
      <c r="B254" s="77"/>
      <c r="D254" s="45"/>
    </row>
    <row r="255" spans="1:4" ht="12.65" customHeight="1">
      <c r="A255" s="76"/>
      <c r="B255" s="77"/>
      <c r="D255" s="45"/>
    </row>
    <row r="256" spans="1:4" ht="12.65" customHeight="1">
      <c r="A256" s="76"/>
      <c r="B256" s="77"/>
      <c r="D256" s="45"/>
    </row>
    <row r="257" spans="1:4" ht="12.65" customHeight="1">
      <c r="A257" s="76"/>
      <c r="B257" s="77"/>
      <c r="D257" s="45"/>
    </row>
    <row r="258" spans="1:4" ht="12.65" customHeight="1">
      <c r="A258" s="76"/>
      <c r="B258" s="77"/>
      <c r="D258" s="45"/>
    </row>
    <row r="259" spans="1:4" ht="12.65" customHeight="1">
      <c r="A259" s="76"/>
      <c r="B259" s="77"/>
      <c r="D259" s="45"/>
    </row>
    <row r="260" spans="1:4" ht="12.65" customHeight="1">
      <c r="A260" s="76"/>
      <c r="B260" s="77"/>
      <c r="D260" s="45"/>
    </row>
    <row r="261" spans="1:4" ht="12.65" customHeight="1">
      <c r="A261" s="76"/>
      <c r="B261" s="77"/>
      <c r="D261" s="45"/>
    </row>
    <row r="262" spans="1:4" ht="12.65" customHeight="1">
      <c r="A262" s="76"/>
      <c r="B262" s="77"/>
      <c r="D262" s="45"/>
    </row>
    <row r="263" spans="1:4" ht="12.65" customHeight="1">
      <c r="A263" s="76"/>
      <c r="B263" s="77"/>
      <c r="D263" s="45"/>
    </row>
    <row r="264" spans="1:4" ht="12.65" customHeight="1">
      <c r="A264" s="76"/>
      <c r="B264" s="77"/>
      <c r="D264" s="45"/>
    </row>
    <row r="265" spans="1:4" ht="12.65" customHeight="1">
      <c r="A265" s="76"/>
      <c r="B265" s="77"/>
      <c r="D265" s="45"/>
    </row>
    <row r="266" spans="1:4" ht="12.65" customHeight="1">
      <c r="A266" s="76"/>
      <c r="B266" s="77"/>
      <c r="D266" s="45"/>
    </row>
    <row r="267" spans="1:4" ht="12.65" customHeight="1">
      <c r="A267" s="76"/>
      <c r="B267" s="77"/>
      <c r="D267" s="45"/>
    </row>
    <row r="268" spans="1:4" ht="12.65" customHeight="1">
      <c r="A268" s="76"/>
      <c r="B268" s="77"/>
      <c r="D268" s="45"/>
    </row>
    <row r="269" spans="1:4" ht="12.65" customHeight="1">
      <c r="A269" s="76"/>
      <c r="B269" s="77"/>
      <c r="D269" s="45"/>
    </row>
    <row r="270" spans="1:4" ht="12.65" customHeight="1">
      <c r="A270" s="76"/>
      <c r="B270" s="77"/>
      <c r="D270" s="45"/>
    </row>
    <row r="271" spans="1:4" ht="12.65" customHeight="1">
      <c r="A271" s="76"/>
      <c r="B271" s="77"/>
      <c r="D271" s="45"/>
    </row>
    <row r="272" spans="1:4" ht="12.65" customHeight="1">
      <c r="A272" s="76"/>
      <c r="B272" s="77"/>
      <c r="D272" s="45"/>
    </row>
    <row r="273" spans="1:4" ht="12.65" customHeight="1">
      <c r="A273" s="76"/>
      <c r="B273" s="77"/>
      <c r="D273" s="45"/>
    </row>
    <row r="274" spans="1:4" ht="12.65" customHeight="1">
      <c r="A274" s="76"/>
      <c r="B274" s="77"/>
      <c r="D274" s="45"/>
    </row>
    <row r="275" spans="1:4" ht="12.65" customHeight="1">
      <c r="A275" s="76"/>
      <c r="B275" s="77"/>
      <c r="D275" s="45"/>
    </row>
    <row r="276" spans="1:4" ht="12.65" customHeight="1">
      <c r="A276" s="76"/>
      <c r="B276" s="77"/>
      <c r="D276" s="45"/>
    </row>
    <row r="277" spans="1:4" ht="12.65" customHeight="1">
      <c r="A277" s="76"/>
      <c r="B277" s="77"/>
      <c r="D277" s="45"/>
    </row>
    <row r="278" spans="1:4" ht="12.65" customHeight="1">
      <c r="A278" s="76"/>
      <c r="B278" s="77"/>
      <c r="D278" s="45"/>
    </row>
    <row r="279" spans="1:4" ht="12.65" customHeight="1">
      <c r="A279" s="76"/>
      <c r="B279" s="77"/>
      <c r="D279" s="45"/>
    </row>
    <row r="280" spans="1:4" ht="12.65" customHeight="1">
      <c r="A280" s="76"/>
      <c r="B280" s="77"/>
      <c r="D280" s="45"/>
    </row>
    <row r="281" spans="1:4" ht="12.65" customHeight="1">
      <c r="A281" s="76"/>
      <c r="B281" s="77"/>
      <c r="D281" s="45"/>
    </row>
    <row r="282" spans="1:4" ht="12.65" customHeight="1">
      <c r="A282" s="76"/>
      <c r="B282" s="77"/>
      <c r="D282" s="45"/>
    </row>
    <row r="283" spans="1:4" ht="12.65" customHeight="1">
      <c r="A283" s="76"/>
      <c r="B283" s="77"/>
      <c r="D283" s="45"/>
    </row>
    <row r="284" spans="1:4" ht="12.65" customHeight="1">
      <c r="A284" s="76"/>
      <c r="B284" s="77"/>
      <c r="D284" s="45"/>
    </row>
    <row r="285" spans="1:4" ht="12.65" customHeight="1">
      <c r="A285" s="76"/>
      <c r="B285" s="77"/>
      <c r="D285" s="45"/>
    </row>
    <row r="286" spans="1:4" ht="12.65" customHeight="1">
      <c r="A286" s="76"/>
      <c r="B286" s="77"/>
      <c r="D286" s="45"/>
    </row>
    <row r="287" spans="1:4" ht="12.65" customHeight="1">
      <c r="A287" s="76"/>
      <c r="B287" s="77"/>
      <c r="D287" s="45"/>
    </row>
    <row r="288" spans="1:4" ht="12.65" customHeight="1">
      <c r="A288" s="76"/>
      <c r="B288" s="77"/>
      <c r="D288" s="45"/>
    </row>
    <row r="289" spans="1:4" ht="12.65" customHeight="1">
      <c r="A289" s="76"/>
      <c r="B289" s="77"/>
      <c r="D289" s="45"/>
    </row>
    <row r="290" spans="1:4" ht="12.65" customHeight="1">
      <c r="A290" s="76"/>
      <c r="B290" s="77"/>
      <c r="D290" s="45"/>
    </row>
    <row r="291" spans="1:4" ht="12.65" customHeight="1">
      <c r="A291" s="76"/>
      <c r="B291" s="77"/>
      <c r="D291" s="45"/>
    </row>
    <row r="292" spans="1:4" ht="12.65" customHeight="1">
      <c r="A292" s="76"/>
      <c r="B292" s="77"/>
      <c r="D292" s="45"/>
    </row>
    <row r="293" spans="1:4" ht="12.65" customHeight="1">
      <c r="A293" s="76"/>
      <c r="B293" s="77"/>
      <c r="D293" s="45"/>
    </row>
    <row r="294" spans="1:4" ht="12.65" customHeight="1">
      <c r="A294" s="76"/>
      <c r="B294" s="77"/>
      <c r="D294" s="45"/>
    </row>
    <row r="295" spans="1:4" ht="12.65" customHeight="1">
      <c r="A295" s="76"/>
      <c r="B295" s="77"/>
      <c r="D295" s="45"/>
    </row>
    <row r="296" spans="1:4" ht="12.65" customHeight="1">
      <c r="A296" s="76"/>
      <c r="B296" s="77"/>
      <c r="D296" s="45"/>
    </row>
    <row r="297" spans="1:4" ht="12.65" customHeight="1">
      <c r="A297" s="76"/>
      <c r="B297" s="77"/>
      <c r="D297" s="45"/>
    </row>
    <row r="298" spans="1:4" ht="12.65" customHeight="1">
      <c r="A298" s="76"/>
      <c r="B298" s="77"/>
      <c r="D298" s="45"/>
    </row>
    <row r="299" spans="1:4" ht="12.65" customHeight="1">
      <c r="A299" s="76"/>
      <c r="B299" s="77"/>
      <c r="D299" s="45"/>
    </row>
    <row r="300" spans="1:4" ht="12.65" customHeight="1">
      <c r="A300" s="76"/>
      <c r="B300" s="77"/>
      <c r="D300" s="45"/>
    </row>
    <row r="301" spans="1:4" ht="12.65" customHeight="1">
      <c r="A301" s="76"/>
      <c r="B301" s="77"/>
      <c r="D301" s="45"/>
    </row>
    <row r="302" spans="1:4" ht="12.65" customHeight="1">
      <c r="A302" s="76"/>
      <c r="B302" s="77"/>
      <c r="D302" s="45"/>
    </row>
    <row r="303" spans="1:4" ht="12.65" customHeight="1">
      <c r="A303" s="76"/>
      <c r="B303" s="77"/>
      <c r="D303" s="45"/>
    </row>
    <row r="304" spans="1:4" ht="12.65" customHeight="1">
      <c r="A304" s="76"/>
      <c r="B304" s="77"/>
      <c r="D304" s="45"/>
    </row>
    <row r="305" spans="1:4" ht="12.65" customHeight="1">
      <c r="A305" s="76"/>
      <c r="B305" s="77"/>
      <c r="D305" s="45"/>
    </row>
    <row r="306" spans="1:4" ht="12.65" customHeight="1">
      <c r="A306" s="76"/>
      <c r="B306" s="77"/>
      <c r="D306" s="45"/>
    </row>
    <row r="307" spans="1:4" ht="12.65" customHeight="1">
      <c r="A307" s="76"/>
      <c r="B307" s="77"/>
      <c r="D307" s="45"/>
    </row>
    <row r="308" spans="1:4" ht="12.65" customHeight="1">
      <c r="A308" s="76"/>
      <c r="B308" s="77"/>
      <c r="D308" s="45"/>
    </row>
    <row r="309" spans="1:4" ht="12.65" customHeight="1">
      <c r="A309" s="76"/>
      <c r="B309" s="77"/>
      <c r="D309" s="45"/>
    </row>
    <row r="310" spans="1:4" ht="12.65" customHeight="1">
      <c r="A310" s="76"/>
      <c r="B310" s="77"/>
      <c r="D310" s="45"/>
    </row>
    <row r="311" spans="1:4" ht="12.65" customHeight="1">
      <c r="A311" s="76"/>
      <c r="B311" s="77"/>
      <c r="D311" s="45"/>
    </row>
    <row r="312" spans="1:4" ht="12.65" customHeight="1">
      <c r="A312" s="76"/>
      <c r="B312" s="77"/>
      <c r="D312" s="45"/>
    </row>
    <row r="313" spans="1:4" ht="12.65" customHeight="1">
      <c r="A313" s="76"/>
      <c r="B313" s="77"/>
      <c r="D313" s="45"/>
    </row>
    <row r="314" spans="1:4" ht="12.65" customHeight="1">
      <c r="A314" s="76"/>
      <c r="B314" s="77"/>
      <c r="D314" s="45"/>
    </row>
    <row r="315" spans="1:4" ht="12.65" customHeight="1">
      <c r="A315" s="76"/>
      <c r="B315" s="77"/>
      <c r="D315" s="45"/>
    </row>
    <row r="316" spans="1:4" ht="12.65" customHeight="1">
      <c r="A316" s="76"/>
      <c r="B316" s="77"/>
      <c r="D316" s="45"/>
    </row>
    <row r="317" spans="1:4" ht="12.65" customHeight="1">
      <c r="A317" s="76"/>
      <c r="B317" s="77"/>
      <c r="D317" s="45"/>
    </row>
    <row r="318" spans="1:4" ht="12.65" customHeight="1">
      <c r="A318" s="76"/>
      <c r="B318" s="77"/>
      <c r="D318" s="45"/>
    </row>
    <row r="319" spans="1:4" ht="12.65" customHeight="1">
      <c r="A319" s="76"/>
      <c r="B319" s="77"/>
      <c r="D319" s="45"/>
    </row>
    <row r="320" spans="1:4" ht="12.65" customHeight="1">
      <c r="A320" s="76"/>
      <c r="B320" s="77"/>
      <c r="D320" s="45"/>
    </row>
    <row r="321" spans="1:4" ht="12.65" customHeight="1">
      <c r="A321" s="76"/>
      <c r="B321" s="77"/>
      <c r="D321" s="45"/>
    </row>
    <row r="322" spans="1:4" ht="12.65" customHeight="1">
      <c r="A322" s="76"/>
      <c r="B322" s="77"/>
      <c r="D322" s="45"/>
    </row>
    <row r="323" spans="1:4" ht="12.65" customHeight="1">
      <c r="A323" s="76"/>
      <c r="B323" s="77"/>
      <c r="D323" s="45"/>
    </row>
    <row r="324" spans="1:4" ht="12.65" customHeight="1">
      <c r="A324" s="76"/>
      <c r="B324" s="77"/>
      <c r="D324" s="45"/>
    </row>
    <row r="325" spans="1:4" ht="12.65" customHeight="1">
      <c r="A325" s="76"/>
      <c r="B325" s="77"/>
      <c r="D325" s="45"/>
    </row>
    <row r="326" spans="1:4" ht="12.65" customHeight="1">
      <c r="A326" s="76"/>
      <c r="B326" s="77"/>
      <c r="D326" s="45"/>
    </row>
    <row r="327" spans="1:4" ht="12.65" customHeight="1">
      <c r="A327" s="76"/>
      <c r="B327" s="77"/>
      <c r="D327" s="45"/>
    </row>
    <row r="328" spans="1:4" ht="12.65" customHeight="1">
      <c r="A328" s="76"/>
      <c r="B328" s="77"/>
      <c r="D328" s="45"/>
    </row>
    <row r="329" spans="1:4" ht="12.65" customHeight="1">
      <c r="A329" s="76"/>
      <c r="B329" s="77"/>
      <c r="D329" s="45"/>
    </row>
    <row r="330" spans="1:4" ht="12.65" customHeight="1">
      <c r="A330" s="76"/>
      <c r="B330" s="77"/>
      <c r="D330" s="45"/>
    </row>
    <row r="331" spans="1:4" ht="12.65" customHeight="1">
      <c r="A331" s="76"/>
      <c r="B331" s="77"/>
      <c r="D331" s="45"/>
    </row>
    <row r="332" spans="1:4" ht="12.65" customHeight="1">
      <c r="A332" s="76"/>
      <c r="B332" s="77"/>
      <c r="D332" s="45"/>
    </row>
    <row r="333" spans="1:4" ht="12.65" customHeight="1">
      <c r="A333" s="76"/>
      <c r="B333" s="77"/>
      <c r="D333" s="45"/>
    </row>
    <row r="334" spans="1:4" ht="12.65" customHeight="1">
      <c r="A334" s="76"/>
      <c r="B334" s="77"/>
      <c r="D334" s="45"/>
    </row>
    <row r="335" spans="1:4" ht="12.65" customHeight="1">
      <c r="A335" s="76"/>
      <c r="B335" s="77"/>
      <c r="D335" s="45"/>
    </row>
    <row r="336" spans="1:4" ht="12.65" customHeight="1">
      <c r="A336" s="76"/>
      <c r="B336" s="77"/>
      <c r="D336" s="45"/>
    </row>
    <row r="337" spans="1:4" ht="12.65" customHeight="1">
      <c r="A337" s="76"/>
      <c r="B337" s="77"/>
      <c r="D337" s="45"/>
    </row>
    <row r="338" spans="1:4" ht="12.65" customHeight="1">
      <c r="A338" s="76"/>
      <c r="B338" s="77"/>
      <c r="D338" s="45"/>
    </row>
    <row r="339" spans="1:4" ht="12.65" customHeight="1">
      <c r="A339" s="76"/>
      <c r="B339" s="77"/>
      <c r="D339" s="45"/>
    </row>
    <row r="340" spans="1:4" ht="12.65" customHeight="1">
      <c r="A340" s="76"/>
      <c r="B340" s="77"/>
      <c r="D340" s="45"/>
    </row>
    <row r="341" spans="1:4" ht="12.65" customHeight="1">
      <c r="A341" s="76"/>
      <c r="B341" s="77"/>
      <c r="D341" s="45"/>
    </row>
    <row r="342" spans="1:4" ht="12.65" customHeight="1">
      <c r="A342" s="76"/>
      <c r="B342" s="77"/>
      <c r="D342" s="45"/>
    </row>
    <row r="343" spans="1:4" ht="12.65" customHeight="1">
      <c r="A343" s="76"/>
      <c r="B343" s="77"/>
      <c r="D343" s="45"/>
    </row>
    <row r="344" spans="1:4" ht="12.65" customHeight="1">
      <c r="A344" s="76"/>
      <c r="B344" s="77"/>
      <c r="D344" s="45"/>
    </row>
    <row r="345" spans="1:4" ht="12.65" customHeight="1">
      <c r="A345" s="76"/>
      <c r="B345" s="77"/>
      <c r="D345" s="45"/>
    </row>
    <row r="346" spans="1:4" ht="12.65" customHeight="1">
      <c r="A346" s="76"/>
      <c r="B346" s="77"/>
      <c r="D346" s="45"/>
    </row>
    <row r="347" spans="1:4" ht="12.65" customHeight="1">
      <c r="A347" s="76"/>
      <c r="B347" s="77"/>
      <c r="D347" s="45"/>
    </row>
    <row r="348" spans="1:4" ht="12.65" customHeight="1">
      <c r="A348" s="76"/>
      <c r="B348" s="77"/>
      <c r="D348" s="45"/>
    </row>
    <row r="349" spans="1:4" ht="12.65" customHeight="1">
      <c r="A349" s="76"/>
      <c r="B349" s="77"/>
      <c r="D349" s="45"/>
    </row>
    <row r="350" spans="1:4" ht="12.65" customHeight="1">
      <c r="A350" s="76"/>
      <c r="B350" s="77"/>
      <c r="D350" s="45"/>
    </row>
    <row r="351" spans="1:4" ht="12.65" customHeight="1">
      <c r="A351" s="76"/>
      <c r="B351" s="77"/>
      <c r="D351" s="45"/>
    </row>
    <row r="352" spans="1:4" ht="12.65" customHeight="1">
      <c r="A352" s="76"/>
      <c r="B352" s="77"/>
      <c r="D352" s="45"/>
    </row>
    <row r="353" spans="1:4" ht="12.65" customHeight="1">
      <c r="A353" s="76"/>
      <c r="B353" s="77"/>
      <c r="D353" s="45"/>
    </row>
    <row r="354" spans="1:4" ht="12.65" customHeight="1">
      <c r="A354" s="76"/>
      <c r="B354" s="77"/>
      <c r="D354" s="45"/>
    </row>
    <row r="355" spans="1:4" ht="12.65" customHeight="1">
      <c r="A355" s="76"/>
      <c r="B355" s="77"/>
      <c r="D355" s="45"/>
    </row>
    <row r="356" spans="1:4" ht="12.65" customHeight="1">
      <c r="A356" s="76"/>
      <c r="B356" s="77"/>
      <c r="D356" s="45"/>
    </row>
    <row r="357" spans="1:4" ht="12.65" customHeight="1">
      <c r="A357" s="76"/>
      <c r="B357" s="77"/>
      <c r="D357" s="45"/>
    </row>
    <row r="358" spans="1:4" ht="12.65" customHeight="1">
      <c r="A358" s="76"/>
      <c r="B358" s="77"/>
      <c r="D358" s="45"/>
    </row>
    <row r="359" spans="1:4" ht="12.65" customHeight="1">
      <c r="A359" s="76"/>
      <c r="B359" s="77"/>
      <c r="D359" s="45"/>
    </row>
    <row r="360" spans="1:4" ht="12.65" customHeight="1">
      <c r="A360" s="76"/>
      <c r="B360" s="77"/>
      <c r="D360" s="45"/>
    </row>
    <row r="361" spans="1:4" ht="12.65" customHeight="1">
      <c r="A361" s="76"/>
      <c r="B361" s="77"/>
      <c r="D361" s="45"/>
    </row>
    <row r="362" spans="1:4" ht="12.65" customHeight="1">
      <c r="A362" s="76"/>
      <c r="B362" s="77"/>
      <c r="D362" s="45"/>
    </row>
    <row r="363" spans="1:4" ht="12.65" customHeight="1">
      <c r="A363" s="76"/>
      <c r="B363" s="77"/>
      <c r="D363" s="45"/>
    </row>
    <row r="364" spans="1:4" ht="12.65" customHeight="1">
      <c r="A364" s="76"/>
      <c r="B364" s="77"/>
      <c r="D364" s="45"/>
    </row>
    <row r="365" spans="1:4" ht="12.65" customHeight="1">
      <c r="A365" s="76"/>
      <c r="B365" s="77"/>
      <c r="D365" s="45"/>
    </row>
    <row r="366" spans="1:4" ht="12.65" customHeight="1">
      <c r="A366" s="76"/>
      <c r="B366" s="77"/>
      <c r="D366" s="45"/>
    </row>
    <row r="367" spans="1:4" ht="12.65" customHeight="1">
      <c r="A367" s="76"/>
      <c r="B367" s="77"/>
      <c r="D367" s="45"/>
    </row>
    <row r="368" spans="1:4" ht="12.65" customHeight="1">
      <c r="A368" s="76"/>
      <c r="B368" s="77"/>
      <c r="D368" s="45"/>
    </row>
    <row r="369" spans="1:4" ht="12.65" customHeight="1">
      <c r="A369" s="76"/>
      <c r="B369" s="77"/>
      <c r="D369" s="45"/>
    </row>
    <row r="370" spans="1:4" ht="12.65" customHeight="1">
      <c r="A370" s="76"/>
      <c r="B370" s="77"/>
      <c r="D370" s="45"/>
    </row>
    <row r="371" spans="1:4" ht="12.65" customHeight="1">
      <c r="A371" s="76"/>
      <c r="B371" s="77"/>
      <c r="D371" s="45"/>
    </row>
    <row r="372" spans="1:4" ht="12.65" customHeight="1">
      <c r="A372" s="76"/>
      <c r="B372" s="77"/>
      <c r="D372" s="45"/>
    </row>
    <row r="373" spans="1:4" ht="12.65" customHeight="1">
      <c r="A373" s="76"/>
      <c r="B373" s="77"/>
      <c r="D373" s="45"/>
    </row>
    <row r="374" spans="1:4" ht="12.65" customHeight="1">
      <c r="A374" s="76"/>
      <c r="B374" s="77"/>
      <c r="D374" s="45"/>
    </row>
    <row r="375" spans="1:4" ht="12.65" customHeight="1">
      <c r="A375" s="76"/>
      <c r="B375" s="77"/>
      <c r="D375" s="45"/>
    </row>
    <row r="376" spans="1:4" ht="12.65" customHeight="1">
      <c r="A376" s="76"/>
      <c r="B376" s="77"/>
      <c r="D376" s="45"/>
    </row>
    <row r="377" spans="1:4" ht="12.65" customHeight="1">
      <c r="A377" s="76"/>
      <c r="B377" s="77"/>
      <c r="D377" s="45"/>
    </row>
    <row r="378" spans="1:4" ht="12.65" customHeight="1">
      <c r="A378" s="76"/>
      <c r="B378" s="77"/>
      <c r="D378" s="45"/>
    </row>
    <row r="379" spans="1:4" ht="12.65" customHeight="1">
      <c r="A379" s="76"/>
      <c r="B379" s="77"/>
      <c r="D379" s="45"/>
    </row>
    <row r="380" spans="1:4" ht="12.65" customHeight="1">
      <c r="A380" s="76"/>
      <c r="B380" s="77"/>
      <c r="D380" s="45"/>
    </row>
    <row r="381" spans="1:4" ht="12.65" customHeight="1">
      <c r="A381" s="76"/>
      <c r="B381" s="77"/>
      <c r="D381" s="45"/>
    </row>
    <row r="382" spans="1:4" ht="12.65" customHeight="1">
      <c r="A382" s="76"/>
      <c r="B382" s="77"/>
      <c r="D382" s="45"/>
    </row>
    <row r="383" spans="1:4" ht="12.65" customHeight="1">
      <c r="A383" s="76"/>
      <c r="B383" s="77"/>
      <c r="D383" s="45"/>
    </row>
    <row r="384" spans="1:4" ht="12.65" customHeight="1">
      <c r="A384" s="76"/>
      <c r="B384" s="77"/>
      <c r="D384" s="45"/>
    </row>
    <row r="385" spans="1:4" ht="12.65" customHeight="1">
      <c r="A385" s="76"/>
      <c r="B385" s="77"/>
      <c r="D385" s="45"/>
    </row>
    <row r="386" spans="1:4" ht="12.65" customHeight="1">
      <c r="A386" s="76"/>
      <c r="B386" s="77"/>
      <c r="D386" s="45"/>
    </row>
    <row r="387" spans="1:4" ht="12.65" customHeight="1">
      <c r="A387" s="76"/>
      <c r="B387" s="77"/>
      <c r="D387" s="45"/>
    </row>
    <row r="388" spans="1:4" ht="12.65" customHeight="1">
      <c r="A388" s="76"/>
      <c r="B388" s="77"/>
      <c r="D388" s="45"/>
    </row>
    <row r="389" spans="1:4" ht="12.65" customHeight="1">
      <c r="A389" s="76"/>
      <c r="B389" s="77"/>
      <c r="D389" s="45"/>
    </row>
    <row r="390" spans="1:4" ht="12.65" customHeight="1">
      <c r="A390" s="76"/>
      <c r="B390" s="77"/>
      <c r="D390" s="45"/>
    </row>
    <row r="391" spans="1:4" ht="12.65" customHeight="1">
      <c r="A391" s="76"/>
      <c r="B391" s="77"/>
      <c r="D391" s="45"/>
    </row>
    <row r="392" spans="1:4" ht="12.65" customHeight="1">
      <c r="A392" s="76"/>
      <c r="B392" s="77"/>
      <c r="D392" s="45"/>
    </row>
    <row r="393" spans="1:4" ht="12.65" customHeight="1">
      <c r="A393" s="76"/>
      <c r="B393" s="77"/>
      <c r="D393" s="45"/>
    </row>
    <row r="394" spans="1:4" ht="12.65" customHeight="1">
      <c r="A394" s="76"/>
      <c r="B394" s="77"/>
      <c r="D394" s="45"/>
    </row>
    <row r="395" spans="1:4" ht="12.65" customHeight="1">
      <c r="A395" s="76"/>
      <c r="B395" s="77"/>
      <c r="D395" s="45"/>
    </row>
    <row r="396" spans="1:4" ht="12.65" customHeight="1">
      <c r="A396" s="76"/>
      <c r="B396" s="77"/>
      <c r="D396" s="45"/>
    </row>
    <row r="397" spans="1:4" ht="12.65" customHeight="1">
      <c r="A397" s="76"/>
      <c r="B397" s="77"/>
      <c r="D397" s="45"/>
    </row>
    <row r="398" spans="1:4" ht="12.65" customHeight="1">
      <c r="A398" s="76"/>
      <c r="B398" s="77"/>
      <c r="D398" s="45"/>
    </row>
    <row r="399" spans="1:4" ht="12.65" customHeight="1">
      <c r="A399" s="76"/>
      <c r="B399" s="77"/>
      <c r="D399" s="45"/>
    </row>
    <row r="400" spans="1:4" ht="12.65" customHeight="1">
      <c r="A400" s="76"/>
      <c r="B400" s="77"/>
      <c r="D400" s="45"/>
    </row>
    <row r="401" spans="1:4" ht="12.65" customHeight="1">
      <c r="A401" s="76"/>
      <c r="B401" s="77"/>
      <c r="D401" s="45"/>
    </row>
    <row r="402" spans="1:4" ht="12.65" customHeight="1">
      <c r="A402" s="76"/>
      <c r="B402" s="77"/>
      <c r="D402" s="45"/>
    </row>
    <row r="403" spans="1:4" ht="12.65" customHeight="1">
      <c r="A403" s="76"/>
      <c r="B403" s="77"/>
      <c r="D403" s="45"/>
    </row>
    <row r="404" spans="1:4" ht="12.65" customHeight="1">
      <c r="A404" s="76"/>
      <c r="B404" s="77"/>
      <c r="D404" s="45"/>
    </row>
    <row r="405" spans="1:4" ht="12.65" customHeight="1">
      <c r="A405" s="76"/>
      <c r="B405" s="77"/>
      <c r="D405" s="45"/>
    </row>
    <row r="406" spans="1:4" ht="12.65" customHeight="1">
      <c r="A406" s="76"/>
      <c r="B406" s="77"/>
      <c r="D406" s="45"/>
    </row>
    <row r="407" spans="1:4" ht="12.65" customHeight="1">
      <c r="A407" s="76"/>
      <c r="B407" s="77"/>
      <c r="D407" s="45"/>
    </row>
    <row r="408" spans="1:4" ht="12.65" customHeight="1">
      <c r="A408" s="76"/>
      <c r="B408" s="77"/>
      <c r="D408" s="45"/>
    </row>
    <row r="409" spans="1:4" ht="12.65" customHeight="1">
      <c r="A409" s="76"/>
      <c r="B409" s="77"/>
      <c r="D409" s="45"/>
    </row>
    <row r="410" spans="1:4" ht="12.65" customHeight="1">
      <c r="A410" s="76"/>
      <c r="B410" s="77"/>
      <c r="D410" s="45"/>
    </row>
    <row r="411" spans="1:4" ht="12.65" customHeight="1">
      <c r="A411" s="76"/>
      <c r="B411" s="77"/>
      <c r="D411" s="45"/>
    </row>
    <row r="412" spans="1:4" ht="12.65" customHeight="1">
      <c r="A412" s="76"/>
      <c r="B412" s="77"/>
      <c r="D412" s="45"/>
    </row>
    <row r="413" spans="1:4" ht="12.65" customHeight="1">
      <c r="A413" s="76"/>
      <c r="B413" s="77"/>
      <c r="D413" s="45"/>
    </row>
    <row r="414" spans="1:4" ht="12.65" customHeight="1">
      <c r="A414" s="76"/>
      <c r="B414" s="77"/>
      <c r="D414" s="45"/>
    </row>
    <row r="415" spans="1:4" ht="12.65" customHeight="1">
      <c r="A415" s="76"/>
      <c r="B415" s="77"/>
      <c r="D415" s="45"/>
    </row>
    <row r="416" spans="1:4" ht="12.65" customHeight="1">
      <c r="A416" s="76"/>
      <c r="B416" s="77"/>
      <c r="D416" s="45"/>
    </row>
    <row r="417" spans="1:4" ht="12.65" customHeight="1">
      <c r="A417" s="76"/>
      <c r="B417" s="77"/>
      <c r="D417" s="45"/>
    </row>
    <row r="418" spans="1:4" ht="12.65" customHeight="1">
      <c r="A418" s="76"/>
      <c r="B418" s="77"/>
      <c r="D418" s="45"/>
    </row>
    <row r="419" spans="1:4" ht="12.65" customHeight="1">
      <c r="A419" s="76"/>
      <c r="B419" s="77"/>
      <c r="D419" s="45"/>
    </row>
    <row r="420" spans="1:4" ht="12.65" customHeight="1">
      <c r="A420" s="76"/>
      <c r="B420" s="77"/>
      <c r="D420" s="45"/>
    </row>
    <row r="421" spans="1:4" ht="12.65" customHeight="1">
      <c r="A421" s="76"/>
      <c r="B421" s="77"/>
      <c r="D421" s="45"/>
    </row>
    <row r="422" spans="1:4" ht="12.65" customHeight="1">
      <c r="A422" s="76"/>
      <c r="B422" s="77"/>
      <c r="D422" s="45"/>
    </row>
    <row r="423" spans="1:4" ht="12.65" customHeight="1">
      <c r="A423" s="76"/>
      <c r="B423" s="77"/>
      <c r="D423" s="45"/>
    </row>
    <row r="424" spans="1:4" ht="12.65" customHeight="1">
      <c r="A424" s="76"/>
      <c r="B424" s="77"/>
      <c r="D424" s="45"/>
    </row>
    <row r="425" spans="1:4" ht="12.65" customHeight="1">
      <c r="A425" s="76"/>
      <c r="B425" s="77"/>
      <c r="D425" s="45"/>
    </row>
    <row r="426" spans="1:4" ht="12.65" customHeight="1">
      <c r="A426" s="76"/>
      <c r="B426" s="77"/>
      <c r="D426" s="45"/>
    </row>
    <row r="427" spans="1:4" ht="12.65" customHeight="1">
      <c r="A427" s="76"/>
      <c r="B427" s="77"/>
      <c r="D427" s="45"/>
    </row>
    <row r="428" spans="1:4" ht="12.65" customHeight="1">
      <c r="A428" s="76"/>
      <c r="B428" s="77"/>
      <c r="D428" s="45"/>
    </row>
    <row r="429" spans="1:4" ht="12.65" customHeight="1">
      <c r="A429" s="76"/>
      <c r="B429" s="77"/>
      <c r="D429" s="45"/>
    </row>
    <row r="430" spans="1:4" ht="12.65" customHeight="1">
      <c r="A430" s="76"/>
      <c r="B430" s="77"/>
      <c r="D430" s="45"/>
    </row>
    <row r="431" spans="1:4" ht="12.65" customHeight="1">
      <c r="A431" s="76"/>
      <c r="B431" s="77"/>
      <c r="D431" s="45"/>
    </row>
    <row r="432" spans="1:4" ht="12.65" customHeight="1">
      <c r="A432" s="76"/>
      <c r="B432" s="77"/>
      <c r="D432" s="45"/>
    </row>
    <row r="433" spans="1:4" ht="12.65" customHeight="1">
      <c r="A433" s="76"/>
      <c r="B433" s="77"/>
      <c r="D433" s="45"/>
    </row>
    <row r="434" spans="1:4" ht="12.65" customHeight="1">
      <c r="A434" s="76"/>
      <c r="B434" s="77"/>
      <c r="D434" s="45"/>
    </row>
    <row r="435" spans="1:4" ht="12.65" customHeight="1">
      <c r="A435" s="76"/>
      <c r="B435" s="77"/>
      <c r="D435" s="45"/>
    </row>
    <row r="436" spans="1:4" ht="12.65" customHeight="1">
      <c r="A436" s="76"/>
      <c r="B436" s="77"/>
      <c r="D436" s="45"/>
    </row>
    <row r="437" spans="1:4" ht="12.65" customHeight="1">
      <c r="A437" s="76"/>
      <c r="B437" s="77"/>
      <c r="D437" s="45"/>
    </row>
    <row r="438" spans="1:4" ht="12.65" customHeight="1">
      <c r="A438" s="76"/>
      <c r="B438" s="77"/>
      <c r="D438" s="45"/>
    </row>
    <row r="439" spans="1:4" ht="12.65" customHeight="1">
      <c r="A439" s="76"/>
      <c r="B439" s="77"/>
      <c r="D439" s="45"/>
    </row>
    <row r="440" spans="1:4" ht="12.65" customHeight="1">
      <c r="A440" s="76"/>
      <c r="B440" s="77"/>
      <c r="D440" s="45"/>
    </row>
    <row r="441" spans="1:4" ht="12.65" customHeight="1">
      <c r="A441" s="76"/>
      <c r="B441" s="77"/>
      <c r="D441" s="45"/>
    </row>
    <row r="442" spans="1:4" ht="12.65" customHeight="1">
      <c r="A442" s="76"/>
      <c r="B442" s="77"/>
      <c r="D442" s="45"/>
    </row>
    <row r="443" spans="1:4" ht="12.65" customHeight="1">
      <c r="A443" s="76"/>
      <c r="B443" s="77"/>
      <c r="D443" s="45"/>
    </row>
    <row r="444" spans="1:4" ht="12.65" customHeight="1">
      <c r="A444" s="76"/>
      <c r="B444" s="77"/>
      <c r="D444" s="45"/>
    </row>
    <row r="445" spans="1:4" ht="12.65" customHeight="1">
      <c r="A445" s="76"/>
      <c r="B445" s="77"/>
      <c r="D445" s="45"/>
    </row>
    <row r="446" spans="1:4" ht="12.65" customHeight="1">
      <c r="A446" s="76"/>
      <c r="B446" s="77"/>
      <c r="D446" s="45"/>
    </row>
    <row r="447" spans="1:4" ht="12.65" customHeight="1">
      <c r="A447" s="76"/>
      <c r="B447" s="77"/>
      <c r="D447" s="45"/>
    </row>
    <row r="448" spans="1:4" ht="12.65" customHeight="1">
      <c r="A448" s="76"/>
      <c r="B448" s="77"/>
      <c r="D448" s="45"/>
    </row>
    <row r="449" spans="1:4" ht="12.65" customHeight="1">
      <c r="A449" s="76"/>
      <c r="B449" s="77"/>
      <c r="D449" s="45"/>
    </row>
    <row r="450" spans="1:4" ht="12.65" customHeight="1">
      <c r="A450" s="76"/>
      <c r="B450" s="77"/>
      <c r="D450" s="45"/>
    </row>
    <row r="451" spans="1:4" ht="12.65" customHeight="1">
      <c r="A451" s="76"/>
      <c r="B451" s="77"/>
      <c r="D451" s="45"/>
    </row>
    <row r="452" spans="1:4" ht="12.65" customHeight="1">
      <c r="A452" s="76"/>
      <c r="B452" s="77"/>
      <c r="D452" s="45"/>
    </row>
    <row r="453" spans="1:4" ht="12.65" customHeight="1">
      <c r="A453" s="76"/>
      <c r="B453" s="77"/>
      <c r="D453" s="45"/>
    </row>
    <row r="454" spans="1:4" ht="12.65" customHeight="1">
      <c r="A454" s="76"/>
      <c r="B454" s="77"/>
      <c r="D454" s="45"/>
    </row>
    <row r="455" spans="1:4" ht="12.65" customHeight="1">
      <c r="A455" s="76"/>
      <c r="B455" s="77"/>
      <c r="D455" s="45"/>
    </row>
    <row r="456" spans="1:4" ht="12.65" customHeight="1">
      <c r="A456" s="76"/>
      <c r="B456" s="77"/>
      <c r="D456" s="45"/>
    </row>
    <row r="457" spans="1:4" ht="12.65" customHeight="1">
      <c r="A457" s="76"/>
      <c r="B457" s="77"/>
      <c r="D457" s="45"/>
    </row>
    <row r="458" spans="1:4" ht="12.65" customHeight="1">
      <c r="A458" s="76"/>
      <c r="B458" s="77"/>
      <c r="D458" s="45"/>
    </row>
    <row r="459" spans="1:4" ht="12.65" customHeight="1">
      <c r="A459" s="76"/>
      <c r="B459" s="77"/>
      <c r="D459" s="45"/>
    </row>
    <row r="460" spans="1:4" ht="12.65" customHeight="1">
      <c r="A460" s="76"/>
      <c r="B460" s="77"/>
      <c r="D460" s="45"/>
    </row>
    <row r="461" spans="1:4" ht="12.65" customHeight="1">
      <c r="A461" s="76"/>
      <c r="B461" s="77"/>
      <c r="D461" s="45"/>
    </row>
    <row r="462" spans="1:4" ht="12.65" customHeight="1">
      <c r="A462" s="76"/>
      <c r="B462" s="77"/>
      <c r="D462" s="45"/>
    </row>
    <row r="463" spans="1:4" ht="12.65" customHeight="1">
      <c r="A463" s="76"/>
      <c r="B463" s="77"/>
      <c r="D463" s="45"/>
    </row>
    <row r="464" spans="1:4" ht="12.65" customHeight="1">
      <c r="A464" s="76"/>
      <c r="B464" s="77"/>
      <c r="D464" s="45"/>
    </row>
    <row r="465" spans="1:4" ht="12.65" customHeight="1">
      <c r="A465" s="76"/>
      <c r="B465" s="77"/>
      <c r="D465" s="45"/>
    </row>
    <row r="466" spans="1:4" ht="12.65" customHeight="1">
      <c r="A466" s="76"/>
      <c r="B466" s="77"/>
      <c r="D466" s="45"/>
    </row>
    <row r="467" spans="1:4" ht="12.65" customHeight="1">
      <c r="A467" s="76"/>
      <c r="B467" s="77"/>
      <c r="D467" s="45"/>
    </row>
    <row r="468" spans="1:4" ht="12.65" customHeight="1">
      <c r="A468" s="76"/>
      <c r="B468" s="77"/>
      <c r="D468" s="45"/>
    </row>
    <row r="469" spans="1:4" ht="12.65" customHeight="1">
      <c r="A469" s="76"/>
      <c r="B469" s="77"/>
      <c r="D469" s="45"/>
    </row>
    <row r="470" spans="1:4" ht="12.65" customHeight="1">
      <c r="A470" s="76"/>
      <c r="B470" s="77"/>
      <c r="D470" s="45"/>
    </row>
    <row r="471" spans="1:4" ht="12.65" customHeight="1">
      <c r="A471" s="76"/>
      <c r="B471" s="77"/>
      <c r="D471" s="45"/>
    </row>
    <row r="472" spans="1:4" ht="12.65" customHeight="1">
      <c r="A472" s="76"/>
      <c r="B472" s="77"/>
      <c r="D472" s="45"/>
    </row>
    <row r="473" spans="1:4" ht="12.65" customHeight="1">
      <c r="A473" s="76"/>
      <c r="B473" s="77"/>
      <c r="D473" s="45"/>
    </row>
    <row r="474" spans="1:4" ht="12.65" customHeight="1">
      <c r="A474" s="76"/>
      <c r="B474" s="77"/>
      <c r="D474" s="45"/>
    </row>
    <row r="475" spans="1:4" ht="12.65" customHeight="1">
      <c r="A475" s="76"/>
      <c r="B475" s="77"/>
      <c r="D475" s="45"/>
    </row>
    <row r="476" spans="1:4" ht="12.65" customHeight="1">
      <c r="A476" s="76"/>
      <c r="B476" s="77"/>
      <c r="D476" s="45"/>
    </row>
    <row r="477" spans="1:4" ht="12.65" customHeight="1">
      <c r="A477" s="76"/>
      <c r="B477" s="77"/>
      <c r="D477" s="45"/>
    </row>
    <row r="478" spans="1:4" ht="12.65" customHeight="1">
      <c r="A478" s="76"/>
      <c r="B478" s="77"/>
      <c r="D478" s="45"/>
    </row>
    <row r="479" spans="1:4" ht="12.65" customHeight="1">
      <c r="A479" s="76"/>
      <c r="B479" s="77"/>
      <c r="D479" s="45"/>
    </row>
    <row r="480" spans="1:4" ht="12.65" customHeight="1">
      <c r="A480" s="76"/>
      <c r="B480" s="77"/>
      <c r="D480" s="45"/>
    </row>
    <row r="481" spans="1:4" ht="12.65" customHeight="1">
      <c r="A481" s="76"/>
      <c r="B481" s="77"/>
      <c r="D481" s="45"/>
    </row>
    <row r="482" spans="1:4" ht="12.65" customHeight="1">
      <c r="A482" s="76"/>
      <c r="B482" s="77"/>
      <c r="D482" s="45"/>
    </row>
    <row r="483" spans="1:4" ht="12.65" customHeight="1">
      <c r="A483" s="76"/>
      <c r="B483" s="77"/>
      <c r="D483" s="45"/>
    </row>
    <row r="484" spans="1:4" ht="12.65" customHeight="1">
      <c r="A484" s="76"/>
      <c r="B484" s="77"/>
      <c r="D484" s="45"/>
    </row>
    <row r="485" spans="1:4" ht="12.65" customHeight="1">
      <c r="A485" s="76"/>
      <c r="B485" s="77"/>
      <c r="D485" s="45"/>
    </row>
    <row r="486" spans="1:4" ht="12.65" customHeight="1">
      <c r="A486" s="76"/>
      <c r="B486" s="77"/>
      <c r="D486" s="45"/>
    </row>
    <row r="487" spans="1:4" ht="12.65" customHeight="1">
      <c r="A487" s="76"/>
      <c r="B487" s="77"/>
      <c r="D487" s="45"/>
    </row>
    <row r="488" spans="1:4" ht="12.65" customHeight="1">
      <c r="A488" s="76"/>
      <c r="B488" s="77"/>
      <c r="D488" s="45"/>
    </row>
    <row r="489" spans="1:4" ht="12.65" customHeight="1">
      <c r="A489" s="76"/>
      <c r="B489" s="77"/>
      <c r="D489" s="45"/>
    </row>
    <row r="490" spans="1:4" ht="12.65" customHeight="1">
      <c r="A490" s="76"/>
      <c r="B490" s="77"/>
      <c r="D490" s="45"/>
    </row>
    <row r="491" spans="1:4" ht="12.65" customHeight="1">
      <c r="A491" s="76"/>
      <c r="B491" s="77"/>
      <c r="D491" s="45"/>
    </row>
    <row r="492" spans="1:4" ht="12.65" customHeight="1">
      <c r="A492" s="76"/>
      <c r="B492" s="77"/>
      <c r="D492" s="45"/>
    </row>
    <row r="493" spans="1:4" ht="12.65" customHeight="1">
      <c r="A493" s="76"/>
      <c r="B493" s="77"/>
      <c r="D493" s="45"/>
    </row>
    <row r="494" spans="1:4" ht="12.65" customHeight="1">
      <c r="A494" s="76"/>
      <c r="B494" s="77"/>
      <c r="D494" s="45"/>
    </row>
    <row r="495" spans="1:4" ht="12.65" customHeight="1">
      <c r="A495" s="76"/>
      <c r="B495" s="77"/>
      <c r="D495" s="45"/>
    </row>
    <row r="496" spans="1:4" ht="12.65" customHeight="1">
      <c r="A496" s="76"/>
      <c r="B496" s="77"/>
      <c r="D496" s="45"/>
    </row>
    <row r="497" spans="1:4" ht="12.65" customHeight="1">
      <c r="A497" s="76"/>
      <c r="B497" s="77"/>
      <c r="D497" s="45"/>
    </row>
    <row r="498" spans="1:4" ht="12.65" customHeight="1">
      <c r="A498" s="76"/>
      <c r="B498" s="77"/>
      <c r="D498" s="45"/>
    </row>
    <row r="499" spans="1:4" ht="12.65" customHeight="1">
      <c r="A499" s="76"/>
      <c r="B499" s="77"/>
      <c r="D499" s="45"/>
    </row>
    <row r="500" spans="1:4" ht="12.65" customHeight="1">
      <c r="A500" s="76"/>
      <c r="B500" s="77"/>
      <c r="D500" s="45"/>
    </row>
    <row r="501" spans="1:4" ht="12.65" customHeight="1">
      <c r="A501" s="76"/>
      <c r="B501" s="77"/>
      <c r="D501" s="45"/>
    </row>
    <row r="502" spans="1:4" ht="12.65" customHeight="1">
      <c r="A502" s="76"/>
      <c r="B502" s="77"/>
      <c r="D502" s="45"/>
    </row>
    <row r="503" spans="1:4" ht="12.65" customHeight="1">
      <c r="A503" s="76"/>
      <c r="B503" s="77"/>
      <c r="D503" s="45"/>
    </row>
    <row r="504" spans="1:4" ht="12.65" customHeight="1">
      <c r="A504" s="76"/>
      <c r="B504" s="77"/>
      <c r="D504" s="45"/>
    </row>
    <row r="505" spans="1:4" ht="12.65" customHeight="1">
      <c r="A505" s="76"/>
      <c r="B505" s="77"/>
      <c r="D505" s="45"/>
    </row>
    <row r="506" spans="1:4" ht="12.65" customHeight="1">
      <c r="A506" s="76"/>
      <c r="B506" s="77"/>
      <c r="D506" s="45"/>
    </row>
    <row r="507" spans="1:4" ht="12.65" customHeight="1">
      <c r="A507" s="76"/>
      <c r="B507" s="77"/>
      <c r="D507" s="45"/>
    </row>
    <row r="508" spans="1:4" ht="12.65" customHeight="1">
      <c r="A508" s="76"/>
      <c r="B508" s="77"/>
      <c r="D508" s="45"/>
    </row>
    <row r="509" spans="1:4" ht="12.65" customHeight="1">
      <c r="A509" s="76"/>
      <c r="B509" s="77"/>
      <c r="D509" s="45"/>
    </row>
    <row r="510" spans="1:4" ht="12.65" customHeight="1">
      <c r="A510" s="76"/>
      <c r="B510" s="77"/>
      <c r="D510" s="45"/>
    </row>
    <row r="511" spans="1:4" ht="12.65" customHeight="1">
      <c r="A511" s="76"/>
      <c r="B511" s="77"/>
      <c r="D511" s="45"/>
    </row>
    <row r="512" spans="1:4" ht="12.65" customHeight="1">
      <c r="A512" s="76"/>
      <c r="B512" s="77"/>
      <c r="D512" s="45"/>
    </row>
    <row r="513" spans="1:4" ht="12.65" customHeight="1">
      <c r="A513" s="76"/>
      <c r="B513" s="77"/>
      <c r="D513" s="45"/>
    </row>
    <row r="514" spans="1:4" ht="12.65" customHeight="1">
      <c r="A514" s="76"/>
      <c r="B514" s="77"/>
      <c r="D514" s="45"/>
    </row>
    <row r="515" spans="1:4" ht="12.65" customHeight="1">
      <c r="A515" s="76"/>
      <c r="B515" s="77"/>
      <c r="D515" s="45"/>
    </row>
    <row r="516" spans="1:4" ht="12.65" customHeight="1">
      <c r="A516" s="76"/>
      <c r="B516" s="77"/>
      <c r="D516" s="45"/>
    </row>
    <row r="517" spans="1:4" ht="12.65" customHeight="1">
      <c r="A517" s="76"/>
      <c r="B517" s="77"/>
      <c r="D517" s="45"/>
    </row>
    <row r="518" spans="1:4" ht="12.65" customHeight="1">
      <c r="A518" s="76"/>
      <c r="B518" s="77"/>
      <c r="D518" s="45"/>
    </row>
    <row r="519" spans="1:4" ht="12.65" customHeight="1">
      <c r="A519" s="76"/>
      <c r="B519" s="77"/>
      <c r="D519" s="45"/>
    </row>
    <row r="520" spans="1:4" ht="12.65" customHeight="1">
      <c r="A520" s="76"/>
      <c r="B520" s="77"/>
      <c r="D520" s="45"/>
    </row>
    <row r="521" spans="1:4" ht="12.65" customHeight="1">
      <c r="A521" s="76"/>
      <c r="B521" s="77"/>
      <c r="D521" s="45"/>
    </row>
    <row r="522" spans="1:4" ht="12.65" customHeight="1">
      <c r="A522" s="76"/>
      <c r="B522" s="77"/>
      <c r="D522" s="45"/>
    </row>
    <row r="523" spans="1:4" ht="12.65" customHeight="1">
      <c r="A523" s="76"/>
      <c r="B523" s="77"/>
      <c r="D523" s="45"/>
    </row>
    <row r="524" spans="1:4" ht="12.65" customHeight="1">
      <c r="A524" s="76"/>
      <c r="B524" s="77"/>
      <c r="D524" s="45"/>
    </row>
    <row r="525" spans="1:4" ht="12.65" customHeight="1">
      <c r="A525" s="76"/>
      <c r="B525" s="77"/>
      <c r="D525" s="45"/>
    </row>
    <row r="526" spans="1:4" ht="12.65" customHeight="1">
      <c r="A526" s="76"/>
      <c r="B526" s="77"/>
      <c r="D526" s="45"/>
    </row>
    <row r="527" spans="1:4" ht="12.65" customHeight="1">
      <c r="A527" s="76"/>
      <c r="B527" s="77"/>
      <c r="D527" s="45"/>
    </row>
    <row r="528" spans="1:4" ht="12.65" customHeight="1">
      <c r="A528" s="76"/>
      <c r="B528" s="77"/>
      <c r="D528" s="45"/>
    </row>
    <row r="529" spans="1:4" ht="12.65" customHeight="1">
      <c r="A529" s="76"/>
      <c r="B529" s="77"/>
      <c r="D529" s="45"/>
    </row>
    <row r="530" spans="1:4" ht="12.65" customHeight="1">
      <c r="A530" s="76"/>
      <c r="B530" s="77"/>
      <c r="D530" s="45"/>
    </row>
    <row r="531" spans="1:4" ht="12.65" customHeight="1">
      <c r="A531" s="76"/>
      <c r="B531" s="77"/>
      <c r="D531" s="45"/>
    </row>
    <row r="532" spans="1:4" ht="12.65" customHeight="1">
      <c r="A532" s="76"/>
      <c r="B532" s="77"/>
      <c r="D532" s="45"/>
    </row>
    <row r="533" spans="1:4" ht="12.65" customHeight="1">
      <c r="A533" s="76"/>
      <c r="B533" s="77"/>
      <c r="D533" s="45"/>
    </row>
    <row r="534" spans="1:4" ht="12.65" customHeight="1">
      <c r="A534" s="76"/>
      <c r="B534" s="77"/>
      <c r="D534" s="45"/>
    </row>
    <row r="535" spans="1:4" ht="12.65" customHeight="1">
      <c r="A535" s="76"/>
      <c r="B535" s="77"/>
      <c r="D535" s="45"/>
    </row>
    <row r="536" spans="1:4" ht="12.65" customHeight="1">
      <c r="A536" s="76"/>
      <c r="B536" s="77"/>
      <c r="D536" s="45"/>
    </row>
    <row r="537" spans="1:4" ht="12.65" customHeight="1">
      <c r="A537" s="76"/>
      <c r="B537" s="77"/>
      <c r="D537" s="45"/>
    </row>
    <row r="538" spans="1:4" ht="12.65" customHeight="1">
      <c r="A538" s="76"/>
      <c r="B538" s="77"/>
      <c r="D538" s="45"/>
    </row>
    <row r="539" spans="1:4" ht="12.65" customHeight="1">
      <c r="A539" s="76"/>
      <c r="B539" s="77"/>
      <c r="D539" s="45"/>
    </row>
    <row r="540" spans="1:4" ht="12.65" customHeight="1">
      <c r="A540" s="76"/>
      <c r="B540" s="77"/>
      <c r="D540" s="45"/>
    </row>
    <row r="541" spans="1:4" ht="12.65" customHeight="1">
      <c r="A541" s="76"/>
      <c r="B541" s="77"/>
      <c r="D541" s="45"/>
    </row>
    <row r="542" spans="1:4" ht="12.65" customHeight="1">
      <c r="A542" s="76"/>
      <c r="B542" s="77"/>
      <c r="D542" s="45"/>
    </row>
    <row r="543" spans="1:4" ht="12.65" customHeight="1">
      <c r="A543" s="76"/>
      <c r="B543" s="77"/>
      <c r="D543" s="45"/>
    </row>
    <row r="544" spans="1:4" ht="12.65" customHeight="1">
      <c r="A544" s="76"/>
      <c r="B544" s="77"/>
      <c r="D544" s="45"/>
    </row>
    <row r="545" spans="1:4" ht="12.65" customHeight="1">
      <c r="A545" s="76"/>
      <c r="B545" s="77"/>
      <c r="D545" s="45"/>
    </row>
    <row r="546" spans="1:4" ht="12.65" customHeight="1">
      <c r="A546" s="76"/>
      <c r="B546" s="77"/>
      <c r="D546" s="45"/>
    </row>
    <row r="547" spans="1:4" ht="12.65" customHeight="1">
      <c r="A547" s="76"/>
      <c r="B547" s="77"/>
      <c r="D547" s="45"/>
    </row>
    <row r="548" spans="1:4" ht="12.65" customHeight="1">
      <c r="A548" s="76"/>
      <c r="B548" s="77"/>
      <c r="D548" s="45"/>
    </row>
    <row r="549" spans="1:4" ht="12.65" customHeight="1">
      <c r="A549" s="76"/>
      <c r="B549" s="77"/>
      <c r="D549" s="45"/>
    </row>
    <row r="550" spans="1:4" ht="12.65" customHeight="1">
      <c r="A550" s="76"/>
      <c r="B550" s="77"/>
      <c r="D550" s="45"/>
    </row>
    <row r="551" spans="1:4" ht="12.65" customHeight="1">
      <c r="A551" s="76"/>
      <c r="B551" s="77"/>
      <c r="D551" s="45"/>
    </row>
    <row r="552" spans="1:4" ht="12.65" customHeight="1">
      <c r="A552" s="76"/>
      <c r="B552" s="77"/>
      <c r="D552" s="45"/>
    </row>
    <row r="553" spans="1:4" ht="12.65" customHeight="1">
      <c r="A553" s="76"/>
      <c r="B553" s="77"/>
      <c r="D553" s="45"/>
    </row>
    <row r="554" spans="1:4" ht="12.65" customHeight="1">
      <c r="A554" s="76"/>
      <c r="B554" s="77"/>
      <c r="D554" s="45"/>
    </row>
    <row r="555" spans="1:4" ht="12.65" customHeight="1">
      <c r="A555" s="76"/>
      <c r="B555" s="77"/>
      <c r="D555" s="45"/>
    </row>
    <row r="556" spans="1:4" ht="12.65" customHeight="1">
      <c r="A556" s="76"/>
      <c r="B556" s="77"/>
      <c r="D556" s="45"/>
    </row>
    <row r="557" spans="1:4" ht="12.65" customHeight="1">
      <c r="A557" s="76"/>
      <c r="B557" s="77"/>
      <c r="D557" s="45"/>
    </row>
    <row r="558" spans="1:4" ht="12.65" customHeight="1">
      <c r="A558" s="76"/>
      <c r="B558" s="77"/>
      <c r="D558" s="45"/>
    </row>
    <row r="559" spans="1:4" ht="12.65" customHeight="1">
      <c r="A559" s="76"/>
      <c r="B559" s="77"/>
      <c r="D559" s="45"/>
    </row>
    <row r="560" spans="1:4" ht="12.65" customHeight="1">
      <c r="A560" s="76"/>
      <c r="B560" s="77"/>
      <c r="D560" s="45"/>
    </row>
    <row r="561" spans="1:4" ht="12.65" customHeight="1">
      <c r="A561" s="76"/>
      <c r="B561" s="77"/>
      <c r="D561" s="45"/>
    </row>
    <row r="562" spans="1:4" ht="12.65" customHeight="1">
      <c r="A562" s="76"/>
      <c r="B562" s="77"/>
      <c r="D562" s="45"/>
    </row>
    <row r="563" spans="1:4" ht="12.65" customHeight="1">
      <c r="A563" s="76"/>
      <c r="B563" s="77"/>
      <c r="D563" s="45"/>
    </row>
    <row r="564" spans="1:4" ht="12.65" customHeight="1">
      <c r="A564" s="76"/>
      <c r="B564" s="77"/>
      <c r="D564" s="45"/>
    </row>
    <row r="565" spans="1:4" ht="12.65" customHeight="1">
      <c r="A565" s="76"/>
      <c r="B565" s="77"/>
      <c r="D565" s="45"/>
    </row>
    <row r="566" spans="1:4" ht="12.65" customHeight="1">
      <c r="A566" s="76"/>
      <c r="B566" s="77"/>
      <c r="D566" s="45"/>
    </row>
    <row r="567" spans="1:4" ht="12.65" customHeight="1">
      <c r="A567" s="76"/>
      <c r="B567" s="77"/>
      <c r="D567" s="45"/>
    </row>
    <row r="568" spans="1:4" ht="12.65" customHeight="1">
      <c r="A568" s="76"/>
      <c r="B568" s="77"/>
      <c r="D568" s="45"/>
    </row>
    <row r="569" spans="1:4" ht="12.65" customHeight="1">
      <c r="A569" s="76"/>
      <c r="B569" s="77"/>
      <c r="D569" s="45"/>
    </row>
    <row r="570" spans="1:4" ht="12.65" customHeight="1">
      <c r="A570" s="76"/>
      <c r="B570" s="77"/>
      <c r="D570" s="45"/>
    </row>
    <row r="571" spans="1:4" ht="12.65" customHeight="1">
      <c r="A571" s="76"/>
      <c r="B571" s="77"/>
      <c r="D571" s="45"/>
    </row>
    <row r="572" spans="1:4" ht="12.65" customHeight="1">
      <c r="A572" s="76"/>
      <c r="B572" s="77"/>
      <c r="D572" s="45"/>
    </row>
    <row r="573" spans="1:4" ht="12.65" customHeight="1">
      <c r="A573" s="76"/>
      <c r="B573" s="77"/>
      <c r="D573" s="45"/>
    </row>
    <row r="574" spans="1:4" ht="12.65" customHeight="1">
      <c r="A574" s="76"/>
      <c r="B574" s="77"/>
      <c r="D574" s="45"/>
    </row>
    <row r="575" spans="1:4" ht="12.65" customHeight="1">
      <c r="A575" s="76"/>
      <c r="B575" s="77"/>
      <c r="D575" s="45"/>
    </row>
    <row r="576" spans="1:4" ht="12.65" customHeight="1">
      <c r="A576" s="76"/>
      <c r="B576" s="77"/>
      <c r="D576" s="45"/>
    </row>
    <row r="577" spans="1:4" ht="12.65" customHeight="1">
      <c r="A577" s="76"/>
      <c r="B577" s="77"/>
      <c r="D577" s="45"/>
    </row>
    <row r="578" spans="1:4" ht="12.65" customHeight="1">
      <c r="A578" s="76"/>
      <c r="B578" s="77"/>
      <c r="D578" s="45"/>
    </row>
    <row r="579" spans="1:4" ht="12.65" customHeight="1">
      <c r="A579" s="76"/>
      <c r="B579" s="77"/>
      <c r="D579" s="45"/>
    </row>
    <row r="580" spans="1:4" ht="12.65" customHeight="1">
      <c r="A580" s="76"/>
      <c r="B580" s="77"/>
      <c r="D580" s="45"/>
    </row>
    <row r="581" spans="1:4" ht="12.65" customHeight="1">
      <c r="A581" s="76"/>
      <c r="B581" s="77"/>
      <c r="D581" s="45"/>
    </row>
    <row r="582" spans="1:4" ht="12.65" customHeight="1">
      <c r="A582" s="76"/>
      <c r="B582" s="77"/>
      <c r="D582" s="45"/>
    </row>
    <row r="583" spans="1:4" ht="12.65" customHeight="1">
      <c r="A583" s="76"/>
      <c r="B583" s="77"/>
      <c r="D583" s="45"/>
    </row>
    <row r="584" spans="1:4" ht="12.65" customHeight="1">
      <c r="A584" s="76"/>
      <c r="B584" s="77"/>
      <c r="D584" s="45"/>
    </row>
    <row r="585" spans="1:4" ht="12.65" customHeight="1">
      <c r="A585" s="76"/>
      <c r="B585" s="77"/>
      <c r="D585" s="45"/>
    </row>
    <row r="586" spans="1:4" ht="12.65" customHeight="1">
      <c r="A586" s="76"/>
      <c r="B586" s="77"/>
      <c r="D586" s="45"/>
    </row>
    <row r="587" spans="1:4" ht="12.65" customHeight="1">
      <c r="A587" s="76"/>
      <c r="B587" s="77"/>
      <c r="D587" s="45"/>
    </row>
    <row r="588" spans="1:4" ht="12.65" customHeight="1">
      <c r="A588" s="76"/>
      <c r="B588" s="77"/>
      <c r="D588" s="45"/>
    </row>
    <row r="589" spans="1:4" ht="12.65" customHeight="1">
      <c r="A589" s="76"/>
      <c r="B589" s="77"/>
      <c r="D589" s="45"/>
    </row>
    <row r="590" spans="1:4" ht="12.65" customHeight="1">
      <c r="A590" s="76"/>
      <c r="B590" s="77"/>
      <c r="D590" s="45"/>
    </row>
    <row r="591" spans="1:4" ht="12.65" customHeight="1">
      <c r="A591" s="76"/>
      <c r="B591" s="77"/>
      <c r="D591" s="45"/>
    </row>
    <row r="592" spans="1:4" ht="12.65" customHeight="1">
      <c r="A592" s="76"/>
      <c r="B592" s="77"/>
      <c r="D592" s="45"/>
    </row>
    <row r="593" spans="1:4" ht="12.65" customHeight="1">
      <c r="A593" s="76"/>
      <c r="B593" s="77"/>
      <c r="D593" s="45"/>
    </row>
    <row r="594" spans="1:4" ht="12.65" customHeight="1">
      <c r="A594" s="76"/>
      <c r="B594" s="77"/>
      <c r="D594" s="45"/>
    </row>
    <row r="595" spans="1:4" ht="12.65" customHeight="1">
      <c r="A595" s="76"/>
      <c r="B595" s="77"/>
      <c r="D595" s="45"/>
    </row>
    <row r="596" spans="1:4" ht="12.65" customHeight="1">
      <c r="A596" s="76"/>
      <c r="B596" s="77"/>
      <c r="D596" s="45"/>
    </row>
    <row r="597" spans="1:4" ht="12.65" customHeight="1">
      <c r="A597" s="76"/>
      <c r="B597" s="77"/>
      <c r="D597" s="45"/>
    </row>
    <row r="598" spans="1:4" ht="12.65" customHeight="1">
      <c r="A598" s="76"/>
      <c r="B598" s="77"/>
      <c r="D598" s="45"/>
    </row>
    <row r="599" spans="1:4" ht="12.65" customHeight="1">
      <c r="A599" s="76"/>
      <c r="B599" s="77"/>
      <c r="D599" s="45"/>
    </row>
    <row r="600" spans="1:4" ht="12.65" customHeight="1">
      <c r="A600" s="76"/>
      <c r="B600" s="77"/>
      <c r="D600" s="45"/>
    </row>
    <row r="601" spans="1:4" ht="12.65" customHeight="1">
      <c r="A601" s="76"/>
      <c r="B601" s="77"/>
      <c r="D601" s="45"/>
    </row>
    <row r="602" spans="1:4" ht="12.65" customHeight="1">
      <c r="A602" s="76"/>
      <c r="B602" s="77"/>
      <c r="D602" s="45"/>
    </row>
    <row r="603" spans="1:4" ht="12.65" customHeight="1">
      <c r="A603" s="76"/>
      <c r="B603" s="77"/>
      <c r="D603" s="45"/>
    </row>
    <row r="604" spans="1:4" ht="12.65" customHeight="1">
      <c r="A604" s="76"/>
      <c r="B604" s="77"/>
      <c r="D604" s="45"/>
    </row>
    <row r="605" spans="1:4" ht="12.65" customHeight="1">
      <c r="A605" s="76"/>
      <c r="B605" s="77"/>
      <c r="D605" s="45"/>
    </row>
    <row r="606" spans="1:4" ht="12.65" customHeight="1">
      <c r="A606" s="76"/>
      <c r="B606" s="77"/>
      <c r="D606" s="45"/>
    </row>
    <row r="607" spans="1:4" ht="12.65" customHeight="1">
      <c r="A607" s="76"/>
      <c r="B607" s="77"/>
      <c r="D607" s="45"/>
    </row>
    <row r="608" spans="1:4" ht="12.65" customHeight="1">
      <c r="A608" s="76"/>
      <c r="B608" s="77"/>
      <c r="D608" s="45"/>
    </row>
    <row r="609" spans="1:4" ht="12.65" customHeight="1">
      <c r="A609" s="76"/>
      <c r="B609" s="77"/>
      <c r="D609" s="45"/>
    </row>
    <row r="610" spans="1:4" ht="12.65" customHeight="1">
      <c r="A610" s="76"/>
      <c r="B610" s="77"/>
      <c r="D610" s="45"/>
    </row>
    <row r="611" spans="1:4" ht="12.65" customHeight="1">
      <c r="A611" s="76"/>
      <c r="B611" s="77"/>
      <c r="D611" s="45"/>
    </row>
    <row r="612" spans="1:4" ht="12.65" customHeight="1">
      <c r="A612" s="76"/>
      <c r="B612" s="77"/>
      <c r="D612" s="45"/>
    </row>
    <row r="613" spans="1:4" ht="12.65" customHeight="1">
      <c r="A613" s="76"/>
      <c r="B613" s="77"/>
      <c r="D613" s="45"/>
    </row>
    <row r="614" spans="1:4" ht="12.65" customHeight="1">
      <c r="A614" s="76"/>
      <c r="B614" s="77"/>
      <c r="D614" s="45"/>
    </row>
    <row r="615" spans="1:4" ht="12.65" customHeight="1">
      <c r="A615" s="76"/>
      <c r="B615" s="77"/>
      <c r="D615" s="45"/>
    </row>
    <row r="616" spans="1:4" ht="12.65" customHeight="1">
      <c r="A616" s="76"/>
      <c r="B616" s="77"/>
      <c r="D616" s="45"/>
    </row>
    <row r="617" spans="1:4" ht="12.65" customHeight="1">
      <c r="A617" s="76"/>
      <c r="B617" s="77"/>
      <c r="D617" s="45"/>
    </row>
    <row r="618" spans="1:4" ht="12.65" customHeight="1">
      <c r="A618" s="76"/>
      <c r="B618" s="77"/>
      <c r="D618" s="45"/>
    </row>
    <row r="619" spans="1:4" ht="12.65" customHeight="1">
      <c r="A619" s="76"/>
      <c r="B619" s="77"/>
      <c r="D619" s="45"/>
    </row>
    <row r="620" spans="1:4" ht="12.65" customHeight="1">
      <c r="A620" s="76"/>
      <c r="B620" s="77"/>
      <c r="D620" s="45"/>
    </row>
    <row r="621" spans="1:4" ht="12.65" customHeight="1">
      <c r="A621" s="76"/>
      <c r="B621" s="77"/>
      <c r="D621" s="45"/>
    </row>
    <row r="622" spans="1:4" ht="12.65" customHeight="1">
      <c r="A622" s="76"/>
      <c r="B622" s="77"/>
      <c r="D622" s="45"/>
    </row>
    <row r="623" spans="1:4" ht="12.65" customHeight="1">
      <c r="A623" s="76"/>
      <c r="B623" s="77"/>
      <c r="D623" s="45"/>
    </row>
    <row r="624" spans="1:4" ht="12.65" customHeight="1">
      <c r="A624" s="76"/>
      <c r="B624" s="77"/>
      <c r="D624" s="45"/>
    </row>
    <row r="625" spans="1:4" ht="12.65" customHeight="1">
      <c r="A625" s="76"/>
      <c r="B625" s="77"/>
      <c r="D625" s="45"/>
    </row>
    <row r="626" spans="1:4" ht="12.65" customHeight="1">
      <c r="A626" s="76"/>
      <c r="B626" s="77"/>
      <c r="D626" s="45"/>
    </row>
    <row r="627" spans="1:4" ht="12.65" customHeight="1">
      <c r="A627" s="76"/>
      <c r="B627" s="77"/>
      <c r="D627" s="45"/>
    </row>
    <row r="628" spans="1:4" ht="12.65" customHeight="1">
      <c r="A628" s="76"/>
      <c r="B628" s="77"/>
      <c r="D628" s="45"/>
    </row>
    <row r="629" spans="1:4" ht="12.65" customHeight="1">
      <c r="A629" s="76"/>
      <c r="B629" s="77"/>
      <c r="D629" s="45"/>
    </row>
    <row r="630" spans="1:4" ht="12.65" customHeight="1">
      <c r="A630" s="76"/>
      <c r="B630" s="77"/>
      <c r="D630" s="45"/>
    </row>
    <row r="631" spans="1:4" ht="12.65" customHeight="1">
      <c r="A631" s="76"/>
      <c r="B631" s="77"/>
      <c r="D631" s="45"/>
    </row>
    <row r="632" spans="1:4" ht="12.65" customHeight="1">
      <c r="A632" s="76"/>
      <c r="B632" s="77"/>
      <c r="D632" s="45"/>
    </row>
    <row r="633" spans="1:4" ht="12.65" customHeight="1">
      <c r="A633" s="76"/>
      <c r="B633" s="77"/>
      <c r="D633" s="45"/>
    </row>
    <row r="634" spans="1:4" ht="12.65" customHeight="1">
      <c r="A634" s="76"/>
      <c r="B634" s="77"/>
      <c r="D634" s="45"/>
    </row>
    <row r="635" spans="1:4" ht="12.65" customHeight="1">
      <c r="A635" s="76"/>
      <c r="B635" s="77"/>
      <c r="D635" s="45"/>
    </row>
    <row r="636" spans="1:4" ht="12.65" customHeight="1">
      <c r="A636" s="76"/>
      <c r="B636" s="77"/>
      <c r="D636" s="45"/>
    </row>
    <row r="637" spans="1:4" ht="12.65" customHeight="1">
      <c r="A637" s="76"/>
      <c r="B637" s="77"/>
      <c r="D637" s="45"/>
    </row>
    <row r="638" spans="1:4" ht="12.65" customHeight="1">
      <c r="A638" s="76"/>
      <c r="B638" s="77"/>
      <c r="D638" s="45"/>
    </row>
    <row r="639" spans="1:4" ht="12.65" customHeight="1">
      <c r="A639" s="76"/>
      <c r="B639" s="77"/>
      <c r="D639" s="45"/>
    </row>
    <row r="640" spans="1:4" ht="12.65" customHeight="1">
      <c r="A640" s="76"/>
      <c r="B640" s="77"/>
      <c r="D640" s="45"/>
    </row>
    <row r="641" spans="1:4" ht="12.65" customHeight="1">
      <c r="A641" s="76"/>
      <c r="B641" s="77"/>
      <c r="D641" s="45"/>
    </row>
    <row r="642" spans="1:4" ht="12.65" customHeight="1">
      <c r="A642" s="76"/>
      <c r="B642" s="77"/>
      <c r="D642" s="45"/>
    </row>
    <row r="643" spans="1:4" ht="12.65" customHeight="1">
      <c r="A643" s="76"/>
      <c r="B643" s="77"/>
      <c r="D643" s="45"/>
    </row>
    <row r="644" spans="1:4" ht="12.65" customHeight="1">
      <c r="A644" s="76"/>
      <c r="B644" s="77"/>
      <c r="D644" s="45"/>
    </row>
    <row r="645" spans="1:4" ht="12.65" customHeight="1">
      <c r="A645" s="76"/>
      <c r="B645" s="77"/>
      <c r="D645" s="45"/>
    </row>
    <row r="646" spans="1:4" ht="12.65" customHeight="1">
      <c r="A646" s="76"/>
      <c r="B646" s="77"/>
      <c r="D646" s="45"/>
    </row>
    <row r="647" spans="1:4" ht="12.65" customHeight="1">
      <c r="A647" s="76"/>
      <c r="B647" s="77"/>
      <c r="D647" s="45"/>
    </row>
    <row r="648" spans="1:4" ht="12.65" customHeight="1">
      <c r="A648" s="76"/>
      <c r="B648" s="77"/>
      <c r="D648" s="45"/>
    </row>
    <row r="649" spans="1:4" ht="12.65" customHeight="1">
      <c r="A649" s="76"/>
      <c r="B649" s="77"/>
      <c r="D649" s="45"/>
    </row>
    <row r="650" spans="1:4" ht="12.65" customHeight="1">
      <c r="A650" s="76"/>
      <c r="B650" s="77"/>
      <c r="D650" s="45"/>
    </row>
    <row r="651" spans="1:4" ht="12.65" customHeight="1">
      <c r="A651" s="76"/>
      <c r="B651" s="77"/>
      <c r="D651" s="45"/>
    </row>
    <row r="652" spans="1:4" ht="12.65" customHeight="1">
      <c r="A652" s="76"/>
      <c r="B652" s="77"/>
      <c r="D652" s="45"/>
    </row>
    <row r="653" spans="1:4" ht="12.65" customHeight="1">
      <c r="A653" s="76"/>
      <c r="B653" s="77"/>
      <c r="D653" s="45"/>
    </row>
    <row r="654" spans="1:4" ht="12.65" customHeight="1">
      <c r="A654" s="76"/>
      <c r="B654" s="77"/>
      <c r="D654" s="45"/>
    </row>
    <row r="655" spans="1:4" ht="12.65" customHeight="1">
      <c r="A655" s="76"/>
      <c r="B655" s="77"/>
      <c r="D655" s="45"/>
    </row>
    <row r="656" spans="1:4" ht="12.65" customHeight="1">
      <c r="A656" s="76"/>
      <c r="B656" s="77"/>
      <c r="D656" s="45"/>
    </row>
    <row r="657" spans="1:4" ht="12.65" customHeight="1">
      <c r="A657" s="76"/>
      <c r="B657" s="77"/>
      <c r="D657" s="45"/>
    </row>
    <row r="658" spans="1:4" ht="12.65" customHeight="1">
      <c r="A658" s="76"/>
      <c r="B658" s="77"/>
      <c r="D658" s="45"/>
    </row>
    <row r="659" spans="1:4" ht="12.65" customHeight="1">
      <c r="A659" s="76"/>
      <c r="B659" s="77"/>
      <c r="D659" s="45"/>
    </row>
    <row r="660" spans="1:4" ht="12.65" customHeight="1">
      <c r="A660" s="76"/>
      <c r="B660" s="77"/>
      <c r="D660" s="45"/>
    </row>
    <row r="661" spans="1:4" ht="12.65" customHeight="1">
      <c r="A661" s="76"/>
      <c r="B661" s="77"/>
      <c r="D661" s="45"/>
    </row>
    <row r="662" spans="1:4" ht="12.65" customHeight="1">
      <c r="A662" s="76"/>
      <c r="B662" s="77"/>
      <c r="D662" s="45"/>
    </row>
    <row r="663" spans="1:4" ht="12.65" customHeight="1">
      <c r="A663" s="76"/>
      <c r="B663" s="77"/>
      <c r="D663" s="45"/>
    </row>
    <row r="664" spans="1:4" ht="12.65" customHeight="1">
      <c r="A664" s="76"/>
      <c r="B664" s="77"/>
      <c r="D664" s="45"/>
    </row>
    <row r="665" spans="1:4" ht="12.65" customHeight="1">
      <c r="A665" s="76"/>
      <c r="B665" s="77"/>
      <c r="D665" s="45"/>
    </row>
    <row r="666" spans="1:4" ht="12.65" customHeight="1">
      <c r="A666" s="76"/>
      <c r="B666" s="77"/>
      <c r="D666" s="45"/>
    </row>
    <row r="667" spans="1:4" ht="12.65" customHeight="1">
      <c r="A667" s="76"/>
      <c r="B667" s="77"/>
      <c r="D667" s="45"/>
    </row>
    <row r="668" spans="1:4" ht="12.65" customHeight="1">
      <c r="A668" s="76"/>
      <c r="B668" s="77"/>
      <c r="D668" s="45"/>
    </row>
    <row r="669" spans="1:4" ht="12.65" customHeight="1">
      <c r="A669" s="76"/>
      <c r="B669" s="77"/>
      <c r="D669" s="45"/>
    </row>
    <row r="670" spans="1:4" ht="12.65" customHeight="1">
      <c r="A670" s="76"/>
      <c r="B670" s="77"/>
      <c r="D670" s="45"/>
    </row>
    <row r="671" spans="1:4" ht="12.65" customHeight="1">
      <c r="A671" s="76"/>
      <c r="B671" s="77"/>
      <c r="D671" s="45"/>
    </row>
    <row r="672" spans="1:4" ht="12.65" customHeight="1">
      <c r="A672" s="76"/>
      <c r="B672" s="77"/>
      <c r="D672" s="45"/>
    </row>
    <row r="673" spans="1:4" ht="12.65" customHeight="1">
      <c r="A673" s="76"/>
      <c r="B673" s="77"/>
      <c r="D673" s="45"/>
    </row>
    <row r="674" spans="1:4" ht="12.65" customHeight="1">
      <c r="A674" s="76"/>
      <c r="B674" s="77"/>
      <c r="D674" s="45"/>
    </row>
    <row r="675" spans="1:4" ht="12.65" customHeight="1">
      <c r="A675" s="76"/>
      <c r="B675" s="77"/>
      <c r="D675" s="45"/>
    </row>
    <row r="676" spans="1:4" ht="12.65" customHeight="1">
      <c r="A676" s="76"/>
      <c r="B676" s="77"/>
      <c r="D676" s="45"/>
    </row>
    <row r="677" spans="1:4" ht="12.65" customHeight="1">
      <c r="A677" s="76"/>
      <c r="B677" s="77"/>
      <c r="D677" s="45"/>
    </row>
    <row r="678" spans="1:4" ht="12.65" customHeight="1">
      <c r="A678" s="76"/>
      <c r="B678" s="77"/>
      <c r="D678" s="45"/>
    </row>
    <row r="679" spans="1:4" ht="12.65" customHeight="1">
      <c r="A679" s="76"/>
      <c r="B679" s="77"/>
      <c r="D679" s="45"/>
    </row>
    <row r="680" spans="1:4" ht="12.65" customHeight="1">
      <c r="A680" s="76"/>
      <c r="B680" s="77"/>
      <c r="D680" s="45"/>
    </row>
    <row r="681" spans="1:4" ht="12.65" customHeight="1">
      <c r="A681" s="76"/>
      <c r="B681" s="77"/>
      <c r="D681" s="45"/>
    </row>
    <row r="682" spans="1:4" ht="12.65" customHeight="1">
      <c r="A682" s="76"/>
      <c r="B682" s="77"/>
      <c r="D682" s="45"/>
    </row>
    <row r="683" spans="1:4" ht="12.65" customHeight="1">
      <c r="A683" s="76"/>
      <c r="B683" s="77"/>
      <c r="D683" s="45"/>
    </row>
    <row r="684" spans="1:4" ht="12.65" customHeight="1">
      <c r="A684" s="76"/>
      <c r="B684" s="77"/>
      <c r="D684" s="45"/>
    </row>
    <row r="685" spans="1:4" ht="12.65" customHeight="1">
      <c r="A685" s="76"/>
      <c r="B685" s="77"/>
      <c r="D685" s="45"/>
    </row>
    <row r="686" spans="1:4" ht="12.65" customHeight="1">
      <c r="A686" s="76"/>
      <c r="B686" s="77"/>
      <c r="D686" s="45"/>
    </row>
    <row r="687" spans="1:4" ht="12.65" customHeight="1">
      <c r="A687" s="76"/>
      <c r="B687" s="77"/>
      <c r="D687" s="45"/>
    </row>
    <row r="688" spans="1:4" ht="12.65" customHeight="1">
      <c r="A688" s="76"/>
      <c r="B688" s="77"/>
      <c r="D688" s="45"/>
    </row>
    <row r="689" spans="1:4" ht="12.65" customHeight="1">
      <c r="A689" s="76"/>
      <c r="B689" s="77"/>
      <c r="D689" s="45"/>
    </row>
    <row r="690" spans="1:4" ht="12.65" customHeight="1">
      <c r="A690" s="76"/>
      <c r="B690" s="77"/>
      <c r="D690" s="45"/>
    </row>
    <row r="691" spans="1:4" ht="12.65" customHeight="1">
      <c r="A691" s="76"/>
      <c r="B691" s="77"/>
      <c r="D691" s="45"/>
    </row>
    <row r="692" spans="1:4" ht="12.65" customHeight="1">
      <c r="A692" s="76"/>
      <c r="B692" s="77"/>
      <c r="D692" s="45"/>
    </row>
    <row r="693" spans="1:4" ht="12.65" customHeight="1">
      <c r="A693" s="76"/>
      <c r="B693" s="77"/>
      <c r="D693" s="45"/>
    </row>
    <row r="694" spans="1:4" ht="12.65" customHeight="1">
      <c r="A694" s="76"/>
      <c r="B694" s="77"/>
      <c r="D694" s="45"/>
    </row>
    <row r="695" spans="1:4" ht="12.65" customHeight="1">
      <c r="A695" s="76"/>
      <c r="B695" s="77"/>
      <c r="D695" s="45"/>
    </row>
    <row r="696" spans="1:4" ht="12.65" customHeight="1">
      <c r="A696" s="76"/>
      <c r="B696" s="77"/>
      <c r="D696" s="45"/>
    </row>
    <row r="697" spans="1:4" ht="12.65" customHeight="1">
      <c r="A697" s="76"/>
      <c r="B697" s="77"/>
      <c r="D697" s="45"/>
    </row>
    <row r="698" spans="1:4" ht="12.65" customHeight="1">
      <c r="A698" s="76"/>
      <c r="B698" s="77"/>
      <c r="D698" s="45"/>
    </row>
    <row r="699" spans="1:4" ht="12.65" customHeight="1">
      <c r="A699" s="76"/>
      <c r="B699" s="77"/>
      <c r="D699" s="45"/>
    </row>
    <row r="700" spans="1:4" ht="12.65" customHeight="1">
      <c r="A700" s="76"/>
      <c r="B700" s="77"/>
      <c r="D700" s="45"/>
    </row>
    <row r="701" spans="1:4" ht="12.65" customHeight="1">
      <c r="A701" s="76"/>
      <c r="B701" s="77"/>
      <c r="D701" s="45"/>
    </row>
    <row r="702" spans="1:4" ht="12.65" customHeight="1">
      <c r="A702" s="76"/>
      <c r="B702" s="77"/>
      <c r="D702" s="45"/>
    </row>
    <row r="703" spans="1:4" ht="12.65" customHeight="1">
      <c r="A703" s="76"/>
      <c r="B703" s="77"/>
      <c r="D703" s="45"/>
    </row>
    <row r="704" spans="1:4" ht="12.65" customHeight="1">
      <c r="A704" s="76"/>
      <c r="B704" s="77"/>
      <c r="D704" s="45"/>
    </row>
    <row r="705" spans="1:4" ht="12.65" customHeight="1">
      <c r="A705" s="76"/>
      <c r="B705" s="77"/>
      <c r="D705" s="45"/>
    </row>
    <row r="706" spans="1:4" ht="12.65" customHeight="1">
      <c r="A706" s="76"/>
      <c r="B706" s="77"/>
      <c r="D706" s="45"/>
    </row>
    <row r="707" spans="1:4" ht="12.65" customHeight="1">
      <c r="A707" s="76"/>
      <c r="B707" s="77"/>
      <c r="D707" s="45"/>
    </row>
    <row r="708" spans="1:4" ht="12.65" customHeight="1">
      <c r="A708" s="76"/>
      <c r="B708" s="77"/>
      <c r="D708" s="45"/>
    </row>
    <row r="709" spans="1:4" ht="12.65" customHeight="1">
      <c r="A709" s="76"/>
      <c r="B709" s="77"/>
      <c r="D709" s="45"/>
    </row>
    <row r="710" spans="1:4" ht="12.65" customHeight="1">
      <c r="A710" s="76"/>
      <c r="B710" s="77"/>
      <c r="D710" s="45"/>
    </row>
    <row r="711" spans="1:4" ht="12.65" customHeight="1">
      <c r="A711" s="76"/>
      <c r="B711" s="77"/>
      <c r="D711" s="45"/>
    </row>
    <row r="712" spans="1:4" ht="12.65" customHeight="1">
      <c r="A712" s="76"/>
      <c r="B712" s="77"/>
      <c r="D712" s="45"/>
    </row>
    <row r="713" spans="1:4" ht="12.65" customHeight="1">
      <c r="A713" s="76"/>
      <c r="B713" s="77"/>
      <c r="D713" s="45"/>
    </row>
    <row r="714" spans="1:4" ht="12.65" customHeight="1">
      <c r="A714" s="76"/>
      <c r="B714" s="77"/>
      <c r="D714" s="45"/>
    </row>
    <row r="715" spans="1:4" ht="12.65" customHeight="1">
      <c r="A715" s="76"/>
      <c r="B715" s="77"/>
      <c r="D715" s="45"/>
    </row>
    <row r="716" spans="1:4" ht="12.65" customHeight="1">
      <c r="A716" s="76"/>
      <c r="B716" s="77"/>
      <c r="D716" s="45"/>
    </row>
    <row r="717" spans="1:4" ht="12.65" customHeight="1">
      <c r="A717" s="76"/>
      <c r="B717" s="77"/>
      <c r="D717" s="45"/>
    </row>
    <row r="718" spans="1:4" ht="12.65" customHeight="1">
      <c r="A718" s="76"/>
      <c r="B718" s="77"/>
      <c r="D718" s="45"/>
    </row>
    <row r="719" spans="1:4" ht="12.65" customHeight="1">
      <c r="A719" s="76"/>
      <c r="B719" s="77"/>
      <c r="D719" s="45"/>
    </row>
    <row r="720" spans="1:4" ht="12.65" customHeight="1">
      <c r="A720" s="76"/>
      <c r="B720" s="77"/>
      <c r="D720" s="45"/>
    </row>
    <row r="721" spans="1:4" ht="12.65" customHeight="1">
      <c r="A721" s="76"/>
      <c r="B721" s="77"/>
      <c r="D721" s="45"/>
    </row>
    <row r="722" spans="1:4" ht="12.65" customHeight="1">
      <c r="A722" s="76"/>
      <c r="B722" s="77"/>
      <c r="D722" s="45"/>
    </row>
    <row r="723" spans="1:4" ht="12.65" customHeight="1">
      <c r="A723" s="76"/>
      <c r="B723" s="77"/>
      <c r="D723" s="45"/>
    </row>
    <row r="724" spans="1:4" ht="12.65" customHeight="1">
      <c r="A724" s="76"/>
      <c r="B724" s="77"/>
      <c r="D724" s="45"/>
    </row>
    <row r="725" spans="1:4" ht="12.65" customHeight="1">
      <c r="A725" s="76"/>
      <c r="B725" s="77"/>
      <c r="D725" s="45"/>
    </row>
    <row r="726" spans="1:4" ht="12.65" customHeight="1">
      <c r="A726" s="76"/>
      <c r="B726" s="77"/>
      <c r="D726" s="45"/>
    </row>
    <row r="727" spans="1:4" ht="12.65" customHeight="1">
      <c r="A727" s="76"/>
      <c r="B727" s="77"/>
      <c r="D727" s="45"/>
    </row>
    <row r="728" spans="1:4" ht="12.65" customHeight="1">
      <c r="A728" s="76"/>
      <c r="B728" s="77"/>
      <c r="D728" s="45"/>
    </row>
    <row r="729" spans="1:4" ht="12.65" customHeight="1">
      <c r="A729" s="76"/>
      <c r="B729" s="77"/>
      <c r="D729" s="45"/>
    </row>
    <row r="730" spans="1:4" ht="12.65" customHeight="1">
      <c r="A730" s="76"/>
      <c r="B730" s="77"/>
      <c r="D730" s="45"/>
    </row>
    <row r="731" spans="1:4" ht="12.65" customHeight="1">
      <c r="A731" s="76"/>
      <c r="B731" s="77"/>
      <c r="D731" s="45"/>
    </row>
    <row r="732" spans="1:4" ht="12.65" customHeight="1">
      <c r="A732" s="76"/>
      <c r="B732" s="77"/>
      <c r="D732" s="45"/>
    </row>
    <row r="733" spans="1:4" ht="12.65" customHeight="1">
      <c r="A733" s="76"/>
      <c r="B733" s="77"/>
      <c r="D733" s="45"/>
    </row>
    <row r="734" spans="1:4" ht="12.65" customHeight="1">
      <c r="A734" s="76"/>
      <c r="B734" s="77"/>
      <c r="D734" s="45"/>
    </row>
    <row r="735" spans="1:4" ht="12.65" customHeight="1">
      <c r="A735" s="76"/>
      <c r="B735" s="77"/>
      <c r="D735" s="45"/>
    </row>
    <row r="736" spans="1:4" ht="12.65" customHeight="1">
      <c r="A736" s="76"/>
      <c r="B736" s="77"/>
      <c r="D736" s="45"/>
    </row>
    <row r="737" spans="1:4" ht="12.65" customHeight="1">
      <c r="A737" s="76"/>
      <c r="B737" s="77"/>
      <c r="D737" s="45"/>
    </row>
    <row r="738" spans="1:4" ht="12.65" customHeight="1">
      <c r="A738" s="76"/>
      <c r="B738" s="77"/>
      <c r="D738" s="45"/>
    </row>
    <row r="739" spans="1:4" ht="12.65" customHeight="1">
      <c r="A739" s="76"/>
      <c r="B739" s="77"/>
      <c r="D739" s="45"/>
    </row>
    <row r="740" spans="1:4" ht="12.65" customHeight="1">
      <c r="A740" s="76"/>
      <c r="B740" s="77"/>
      <c r="D740" s="45"/>
    </row>
    <row r="741" spans="1:4" ht="12.65" customHeight="1">
      <c r="A741" s="76"/>
      <c r="B741" s="77"/>
      <c r="D741" s="45"/>
    </row>
    <row r="742" spans="1:4" ht="12.65" customHeight="1">
      <c r="A742" s="76"/>
      <c r="B742" s="77"/>
      <c r="D742" s="45"/>
    </row>
    <row r="743" spans="1:4" ht="12.65" customHeight="1">
      <c r="A743" s="76"/>
      <c r="B743" s="77"/>
      <c r="D743" s="45"/>
    </row>
    <row r="744" spans="1:4" ht="12.65" customHeight="1">
      <c r="A744" s="76"/>
      <c r="B744" s="77"/>
      <c r="D744" s="45"/>
    </row>
    <row r="745" spans="1:4" ht="12.65" customHeight="1">
      <c r="A745" s="76"/>
      <c r="B745" s="77"/>
      <c r="D745" s="45"/>
    </row>
    <row r="746" spans="1:4" ht="12.65" customHeight="1">
      <c r="A746" s="76"/>
      <c r="B746" s="77"/>
      <c r="D746" s="45"/>
    </row>
    <row r="747" spans="1:4" ht="12.65" customHeight="1">
      <c r="A747" s="76"/>
      <c r="B747" s="77"/>
      <c r="D747" s="45"/>
    </row>
    <row r="748" spans="1:4" ht="12.65" customHeight="1">
      <c r="A748" s="76"/>
      <c r="B748" s="77"/>
      <c r="D748" s="45"/>
    </row>
    <row r="749" spans="1:4" ht="12.65" customHeight="1">
      <c r="A749" s="76"/>
      <c r="B749" s="77"/>
      <c r="D749" s="45"/>
    </row>
    <row r="750" spans="1:4" ht="12.65" customHeight="1">
      <c r="A750" s="76"/>
      <c r="B750" s="77"/>
      <c r="D750" s="45"/>
    </row>
    <row r="751" spans="1:4" ht="12.65" customHeight="1">
      <c r="A751" s="76"/>
      <c r="B751" s="77"/>
      <c r="D751" s="45"/>
    </row>
    <row r="752" spans="1:4" ht="12.65" customHeight="1">
      <c r="A752" s="76"/>
      <c r="B752" s="77"/>
      <c r="D752" s="45"/>
    </row>
    <row r="753" spans="1:4" ht="12.65" customHeight="1">
      <c r="A753" s="76"/>
      <c r="B753" s="77"/>
      <c r="D753" s="45"/>
    </row>
    <row r="754" spans="1:4" ht="12.65" customHeight="1">
      <c r="A754" s="76"/>
      <c r="B754" s="77"/>
      <c r="D754" s="45"/>
    </row>
    <row r="755" spans="1:4" ht="12.65" customHeight="1">
      <c r="A755" s="76"/>
      <c r="B755" s="77"/>
      <c r="D755" s="45"/>
    </row>
    <row r="756" spans="1:4" ht="12.65" customHeight="1">
      <c r="A756" s="76"/>
      <c r="B756" s="77"/>
      <c r="D756" s="45"/>
    </row>
    <row r="757" spans="1:4" ht="12.65" customHeight="1">
      <c r="A757" s="76"/>
      <c r="B757" s="77"/>
      <c r="D757" s="45"/>
    </row>
    <row r="758" spans="1:4" ht="12.65" customHeight="1">
      <c r="A758" s="76"/>
      <c r="B758" s="77"/>
      <c r="D758" s="45"/>
    </row>
    <row r="759" spans="1:4" ht="12.65" customHeight="1">
      <c r="A759" s="76"/>
      <c r="B759" s="77"/>
      <c r="D759" s="45"/>
    </row>
    <row r="760" spans="1:4" ht="12.65" customHeight="1">
      <c r="A760" s="76"/>
      <c r="B760" s="77"/>
      <c r="D760" s="45"/>
    </row>
    <row r="761" spans="1:4" ht="12.65" customHeight="1">
      <c r="A761" s="76"/>
      <c r="B761" s="77"/>
      <c r="D761" s="45"/>
    </row>
    <row r="762" spans="1:4" ht="12.65" customHeight="1">
      <c r="A762" s="76"/>
      <c r="B762" s="77"/>
      <c r="D762" s="45"/>
    </row>
    <row r="763" spans="1:4" ht="12.65" customHeight="1">
      <c r="A763" s="76"/>
      <c r="B763" s="77"/>
      <c r="D763" s="45"/>
    </row>
    <row r="764" spans="1:4" ht="12.65" customHeight="1">
      <c r="A764" s="76"/>
      <c r="B764" s="77"/>
      <c r="D764" s="45"/>
    </row>
    <row r="765" spans="1:4" ht="12.65" customHeight="1">
      <c r="A765" s="76"/>
      <c r="B765" s="77"/>
      <c r="D765" s="45"/>
    </row>
    <row r="766" spans="1:4" ht="12.65" customHeight="1">
      <c r="A766" s="76"/>
      <c r="B766" s="77"/>
      <c r="D766" s="45"/>
    </row>
    <row r="767" spans="1:4" ht="12.65" customHeight="1">
      <c r="A767" s="76"/>
      <c r="B767" s="77"/>
      <c r="D767" s="45"/>
    </row>
    <row r="768" spans="1:4" ht="12.65" customHeight="1">
      <c r="A768" s="76"/>
      <c r="B768" s="77"/>
      <c r="D768" s="45"/>
    </row>
    <row r="769" spans="1:4" ht="12.65" customHeight="1">
      <c r="A769" s="76"/>
      <c r="B769" s="77"/>
      <c r="D769" s="45"/>
    </row>
    <row r="770" spans="1:4" ht="12.65" customHeight="1">
      <c r="A770" s="76"/>
      <c r="B770" s="77"/>
      <c r="D770" s="45"/>
    </row>
    <row r="771" spans="1:4" ht="12.65" customHeight="1">
      <c r="A771" s="76"/>
      <c r="B771" s="77"/>
      <c r="D771" s="45"/>
    </row>
    <row r="772" spans="1:4" ht="12.65" customHeight="1">
      <c r="A772" s="76"/>
      <c r="B772" s="77"/>
      <c r="D772" s="45"/>
    </row>
    <row r="773" spans="1:4" ht="12.65" customHeight="1">
      <c r="A773" s="76"/>
      <c r="B773" s="77"/>
      <c r="D773" s="45"/>
    </row>
    <row r="774" spans="1:4" ht="12.65" customHeight="1">
      <c r="A774" s="76"/>
      <c r="B774" s="77"/>
      <c r="D774" s="45"/>
    </row>
    <row r="775" spans="1:4" ht="12.65" customHeight="1">
      <c r="A775" s="76"/>
      <c r="B775" s="77"/>
      <c r="D775" s="45"/>
    </row>
    <row r="776" spans="1:4" ht="12.65" customHeight="1">
      <c r="A776" s="76"/>
      <c r="B776" s="77"/>
      <c r="D776" s="45"/>
    </row>
    <row r="777" spans="1:4" ht="12.65" customHeight="1">
      <c r="A777" s="76"/>
      <c r="B777" s="77"/>
      <c r="D777" s="45"/>
    </row>
    <row r="778" spans="1:4" ht="12.65" customHeight="1">
      <c r="A778" s="76"/>
      <c r="B778" s="77"/>
      <c r="D778" s="45"/>
    </row>
    <row r="779" spans="1:4" ht="12.65" customHeight="1">
      <c r="A779" s="76"/>
      <c r="B779" s="77"/>
      <c r="D779" s="45"/>
    </row>
    <row r="780" spans="1:4" ht="12.65" customHeight="1">
      <c r="A780" s="76"/>
      <c r="B780" s="77"/>
      <c r="D780" s="45"/>
    </row>
    <row r="781" spans="1:4" ht="12.65" customHeight="1">
      <c r="A781" s="76"/>
      <c r="B781" s="77"/>
      <c r="D781" s="45"/>
    </row>
    <row r="782" spans="1:4" ht="12.65" customHeight="1">
      <c r="A782" s="76"/>
      <c r="B782" s="77"/>
      <c r="D782" s="45"/>
    </row>
    <row r="783" spans="1:4" ht="12.65" customHeight="1">
      <c r="A783" s="76"/>
      <c r="B783" s="77"/>
      <c r="D783" s="45"/>
    </row>
    <row r="784" spans="1:4" ht="12.65" customHeight="1">
      <c r="A784" s="76"/>
      <c r="B784" s="77"/>
      <c r="D784" s="45"/>
    </row>
    <row r="785" spans="1:4" ht="12.65" customHeight="1">
      <c r="A785" s="76"/>
      <c r="B785" s="77"/>
      <c r="D785" s="45"/>
    </row>
    <row r="786" spans="1:4" ht="12.65" customHeight="1">
      <c r="A786" s="76"/>
      <c r="B786" s="77"/>
      <c r="D786" s="45"/>
    </row>
    <row r="787" spans="1:4" ht="12.65" customHeight="1">
      <c r="A787" s="76"/>
      <c r="B787" s="77"/>
      <c r="D787" s="45"/>
    </row>
    <row r="788" spans="1:4" ht="12.65" customHeight="1">
      <c r="A788" s="76"/>
      <c r="B788" s="77"/>
      <c r="D788" s="45"/>
    </row>
    <row r="789" spans="1:4" ht="12.65" customHeight="1">
      <c r="A789" s="76"/>
      <c r="B789" s="77"/>
      <c r="D789" s="45"/>
    </row>
    <row r="790" spans="1:4" ht="12.65" customHeight="1">
      <c r="A790" s="76"/>
      <c r="B790" s="77"/>
      <c r="D790" s="45"/>
    </row>
    <row r="791" spans="1:4" ht="12.65" customHeight="1">
      <c r="A791" s="76"/>
      <c r="B791" s="77"/>
      <c r="D791" s="45"/>
    </row>
    <row r="792" spans="1:4" ht="12.65" customHeight="1">
      <c r="A792" s="76"/>
      <c r="B792" s="77"/>
      <c r="D792" s="45"/>
    </row>
    <row r="793" spans="1:4" ht="12.65" customHeight="1">
      <c r="A793" s="76"/>
      <c r="B793" s="77"/>
      <c r="D793" s="45"/>
    </row>
    <row r="794" spans="1:4" ht="12.65" customHeight="1">
      <c r="A794" s="76"/>
      <c r="B794" s="77"/>
      <c r="D794" s="45"/>
    </row>
    <row r="795" spans="1:4" ht="12.65" customHeight="1">
      <c r="A795" s="76"/>
      <c r="B795" s="77"/>
      <c r="D795" s="45"/>
    </row>
    <row r="796" spans="1:4" ht="12.65" customHeight="1">
      <c r="A796" s="76"/>
      <c r="B796" s="77"/>
      <c r="D796" s="45"/>
    </row>
    <row r="797" spans="1:4" ht="12.65" customHeight="1">
      <c r="A797" s="76"/>
      <c r="B797" s="77"/>
      <c r="D797" s="45"/>
    </row>
    <row r="798" spans="1:4" ht="12.65" customHeight="1">
      <c r="A798" s="76"/>
      <c r="B798" s="77"/>
      <c r="D798" s="45"/>
    </row>
    <row r="799" spans="1:4" ht="12.65" customHeight="1">
      <c r="A799" s="76"/>
      <c r="B799" s="77"/>
      <c r="D799" s="45"/>
    </row>
    <row r="800" spans="1:4" ht="12.65" customHeight="1">
      <c r="A800" s="76"/>
      <c r="B800" s="77"/>
      <c r="D800" s="45"/>
    </row>
    <row r="801" spans="1:4" ht="12.65" customHeight="1">
      <c r="A801" s="76"/>
      <c r="B801" s="77"/>
      <c r="D801" s="45"/>
    </row>
    <row r="802" spans="1:4" ht="12.65" customHeight="1">
      <c r="A802" s="76"/>
      <c r="B802" s="77"/>
      <c r="D802" s="45"/>
    </row>
    <row r="803" spans="1:4" ht="12.65" customHeight="1">
      <c r="A803" s="76"/>
      <c r="B803" s="77"/>
      <c r="D803" s="45"/>
    </row>
    <row r="804" spans="1:4" ht="12.65" customHeight="1">
      <c r="A804" s="76"/>
      <c r="B804" s="77"/>
      <c r="D804" s="45"/>
    </row>
    <row r="805" spans="1:4" ht="12.65" customHeight="1">
      <c r="A805" s="76"/>
      <c r="B805" s="77"/>
      <c r="D805" s="45"/>
    </row>
    <row r="806" spans="1:4" ht="12.65" customHeight="1">
      <c r="A806" s="76"/>
      <c r="B806" s="77"/>
      <c r="D806" s="45"/>
    </row>
    <row r="807" spans="1:4" ht="12.65" customHeight="1">
      <c r="A807" s="76"/>
      <c r="B807" s="77"/>
      <c r="D807" s="45"/>
    </row>
    <row r="808" spans="1:4" ht="12.65" customHeight="1">
      <c r="A808" s="76"/>
      <c r="B808" s="77"/>
      <c r="D808" s="45"/>
    </row>
    <row r="809" spans="1:4" ht="12.65" customHeight="1">
      <c r="A809" s="76"/>
      <c r="B809" s="77"/>
      <c r="D809" s="45"/>
    </row>
    <row r="810" spans="1:4" ht="12.65" customHeight="1">
      <c r="A810" s="76"/>
      <c r="B810" s="77"/>
      <c r="D810" s="45"/>
    </row>
    <row r="811" spans="1:4" ht="12.65" customHeight="1">
      <c r="A811" s="76"/>
      <c r="B811" s="77"/>
      <c r="D811" s="45"/>
    </row>
    <row r="812" spans="1:4" ht="12.65" customHeight="1">
      <c r="A812" s="76"/>
      <c r="B812" s="77"/>
      <c r="D812" s="45"/>
    </row>
    <row r="813" spans="1:4" ht="12.65" customHeight="1">
      <c r="A813" s="76"/>
      <c r="B813" s="77"/>
      <c r="D813" s="45"/>
    </row>
    <row r="814" spans="1:4" ht="12.65" customHeight="1">
      <c r="A814" s="76"/>
      <c r="B814" s="77"/>
      <c r="D814" s="45"/>
    </row>
    <row r="815" spans="1:4" ht="12.65" customHeight="1">
      <c r="A815" s="76"/>
      <c r="B815" s="77"/>
      <c r="D815" s="45"/>
    </row>
    <row r="816" spans="1:4" ht="12.65" customHeight="1">
      <c r="A816" s="76"/>
      <c r="B816" s="77"/>
      <c r="D816" s="45"/>
    </row>
    <row r="817" spans="1:4" ht="12.65" customHeight="1">
      <c r="A817" s="76"/>
      <c r="B817" s="77"/>
      <c r="D817" s="45"/>
    </row>
    <row r="818" spans="1:4" ht="12.65" customHeight="1">
      <c r="A818" s="76"/>
      <c r="B818" s="77"/>
      <c r="D818" s="45"/>
    </row>
    <row r="819" spans="1:4" ht="12.65" customHeight="1">
      <c r="A819" s="76"/>
      <c r="B819" s="77"/>
      <c r="D819" s="45"/>
    </row>
    <row r="820" spans="1:4" ht="12.65" customHeight="1">
      <c r="A820" s="76"/>
      <c r="B820" s="77"/>
      <c r="D820" s="45"/>
    </row>
    <row r="821" spans="1:4" ht="12.65" customHeight="1">
      <c r="A821" s="76"/>
      <c r="B821" s="77"/>
      <c r="D821" s="45"/>
    </row>
    <row r="822" spans="1:4" ht="12.65" customHeight="1">
      <c r="A822" s="76"/>
      <c r="B822" s="77"/>
      <c r="D822" s="45"/>
    </row>
    <row r="823" spans="1:4" ht="12.65" customHeight="1">
      <c r="A823" s="76"/>
      <c r="B823" s="77"/>
      <c r="D823" s="45"/>
    </row>
    <row r="824" spans="1:4" ht="12.65" customHeight="1">
      <c r="A824" s="76"/>
      <c r="B824" s="77"/>
      <c r="D824" s="45"/>
    </row>
    <row r="825" spans="1:4" ht="12.65" customHeight="1">
      <c r="A825" s="76"/>
      <c r="B825" s="77"/>
      <c r="D825" s="45"/>
    </row>
    <row r="826" spans="1:4" ht="12.65" customHeight="1">
      <c r="A826" s="76"/>
      <c r="B826" s="77"/>
      <c r="D826" s="45"/>
    </row>
    <row r="827" spans="1:4" ht="12.65" customHeight="1">
      <c r="A827" s="76"/>
      <c r="B827" s="77"/>
      <c r="D827" s="45"/>
    </row>
    <row r="828" spans="1:4" ht="12.65" customHeight="1">
      <c r="A828" s="76"/>
      <c r="B828" s="77"/>
      <c r="D828" s="45"/>
    </row>
    <row r="829" spans="1:4" ht="12.65" customHeight="1">
      <c r="A829" s="76"/>
      <c r="B829" s="77"/>
      <c r="D829" s="45"/>
    </row>
    <row r="830" spans="1:4" ht="12.65" customHeight="1">
      <c r="A830" s="76"/>
      <c r="B830" s="77"/>
      <c r="D830" s="45"/>
    </row>
    <row r="831" spans="1:4" ht="12.65" customHeight="1">
      <c r="A831" s="76"/>
      <c r="B831" s="77"/>
      <c r="D831" s="45"/>
    </row>
    <row r="832" spans="1:4" ht="12.65" customHeight="1">
      <c r="A832" s="76"/>
      <c r="B832" s="77"/>
      <c r="D832" s="45"/>
    </row>
    <row r="833" spans="1:4" ht="12.65" customHeight="1">
      <c r="A833" s="76"/>
      <c r="B833" s="77"/>
      <c r="D833" s="45"/>
    </row>
    <row r="834" spans="1:4" ht="12.65" customHeight="1">
      <c r="A834" s="76"/>
      <c r="B834" s="77"/>
      <c r="D834" s="45"/>
    </row>
    <row r="835" spans="1:4" ht="12.65" customHeight="1">
      <c r="A835" s="76"/>
      <c r="B835" s="77"/>
      <c r="D835" s="45"/>
    </row>
    <row r="836" spans="1:4" ht="12.65" customHeight="1">
      <c r="A836" s="76"/>
      <c r="B836" s="77"/>
      <c r="D836" s="45"/>
    </row>
    <row r="837" spans="1:4" ht="12.65" customHeight="1">
      <c r="A837" s="76"/>
      <c r="B837" s="77"/>
      <c r="D837" s="45"/>
    </row>
    <row r="838" spans="1:4" ht="12.65" customHeight="1">
      <c r="A838" s="76"/>
      <c r="B838" s="77"/>
      <c r="D838" s="45"/>
    </row>
    <row r="839" spans="1:4" ht="12.65" customHeight="1">
      <c r="A839" s="76"/>
      <c r="B839" s="77"/>
      <c r="D839" s="45"/>
    </row>
    <row r="840" spans="1:4" ht="12.65" customHeight="1">
      <c r="A840" s="76"/>
      <c r="B840" s="77"/>
      <c r="D840" s="45"/>
    </row>
    <row r="841" spans="1:4" ht="12.65" customHeight="1">
      <c r="A841" s="76"/>
      <c r="B841" s="77"/>
      <c r="D841" s="45"/>
    </row>
    <row r="842" spans="1:4" ht="12.65" customHeight="1">
      <c r="A842" s="76"/>
      <c r="B842" s="77"/>
      <c r="D842" s="45"/>
    </row>
    <row r="843" spans="1:4" ht="12.65" customHeight="1">
      <c r="A843" s="76"/>
      <c r="B843" s="77"/>
      <c r="D843" s="45"/>
    </row>
    <row r="844" spans="1:4" ht="12.65" customHeight="1">
      <c r="A844" s="76"/>
      <c r="B844" s="77"/>
      <c r="D844" s="45"/>
    </row>
    <row r="845" spans="1:4" ht="12.65" customHeight="1">
      <c r="A845" s="76"/>
      <c r="B845" s="77"/>
      <c r="D845" s="45"/>
    </row>
    <row r="846" spans="1:4" ht="12.65" customHeight="1">
      <c r="A846" s="76"/>
      <c r="B846" s="77"/>
      <c r="D846" s="45"/>
    </row>
    <row r="847" spans="1:4" ht="12.65" customHeight="1">
      <c r="A847" s="76"/>
      <c r="B847" s="77"/>
      <c r="D847" s="45"/>
    </row>
    <row r="848" spans="1:4" ht="12.65" customHeight="1">
      <c r="A848" s="76"/>
      <c r="B848" s="77"/>
      <c r="D848" s="45"/>
    </row>
    <row r="849" spans="1:4" ht="12.65" customHeight="1">
      <c r="A849" s="76"/>
      <c r="B849" s="77"/>
      <c r="D849" s="45"/>
    </row>
    <row r="850" spans="1:4" ht="12.65" customHeight="1">
      <c r="A850" s="76"/>
      <c r="B850" s="77"/>
      <c r="D850" s="45"/>
    </row>
    <row r="851" spans="1:4" ht="12.65" customHeight="1">
      <c r="A851" s="76"/>
      <c r="B851" s="77"/>
      <c r="D851" s="45"/>
    </row>
    <row r="852" spans="1:4" ht="12.65" customHeight="1">
      <c r="A852" s="76"/>
      <c r="B852" s="77"/>
      <c r="D852" s="45"/>
    </row>
    <row r="853" spans="1:4" ht="12.65" customHeight="1">
      <c r="A853" s="76"/>
      <c r="B853" s="77"/>
      <c r="D853" s="45"/>
    </row>
    <row r="854" spans="1:4" ht="12.65" customHeight="1">
      <c r="A854" s="76"/>
      <c r="B854" s="77"/>
      <c r="D854" s="45"/>
    </row>
    <row r="855" spans="1:4" ht="12.65" customHeight="1">
      <c r="A855" s="76"/>
      <c r="B855" s="77"/>
      <c r="D855" s="45"/>
    </row>
    <row r="856" spans="1:4" ht="12.65" customHeight="1">
      <c r="A856" s="76"/>
      <c r="B856" s="77"/>
      <c r="D856" s="45"/>
    </row>
    <row r="857" spans="1:4" ht="12.65" customHeight="1">
      <c r="A857" s="76"/>
      <c r="B857" s="77"/>
      <c r="D857" s="45"/>
    </row>
    <row r="858" spans="1:4" ht="12.65" customHeight="1">
      <c r="A858" s="76"/>
      <c r="B858" s="77"/>
      <c r="D858" s="45"/>
    </row>
    <row r="859" spans="1:4" ht="12.65" customHeight="1">
      <c r="A859" s="76"/>
      <c r="B859" s="77"/>
      <c r="D859" s="45"/>
    </row>
    <row r="860" spans="1:4" ht="12.65" customHeight="1">
      <c r="A860" s="76"/>
      <c r="B860" s="77"/>
      <c r="D860" s="45"/>
    </row>
    <row r="861" spans="1:4" ht="12.65" customHeight="1">
      <c r="A861" s="76"/>
      <c r="B861" s="77"/>
      <c r="D861" s="45"/>
    </row>
    <row r="862" spans="1:4" ht="12.65" customHeight="1">
      <c r="A862" s="76"/>
      <c r="B862" s="77"/>
      <c r="D862" s="45"/>
    </row>
    <row r="863" spans="1:4" ht="12.65" customHeight="1">
      <c r="A863" s="76"/>
      <c r="B863" s="77"/>
      <c r="D863" s="45"/>
    </row>
    <row r="864" spans="1:4" ht="12.65" customHeight="1">
      <c r="A864" s="76"/>
      <c r="B864" s="77"/>
      <c r="D864" s="45"/>
    </row>
    <row r="865" spans="1:4" ht="12.65" customHeight="1">
      <c r="A865" s="76"/>
      <c r="B865" s="77"/>
      <c r="D865" s="45"/>
    </row>
    <row r="866" spans="1:4" ht="12.65" customHeight="1">
      <c r="A866" s="76"/>
      <c r="B866" s="77"/>
      <c r="D866" s="45"/>
    </row>
    <row r="867" spans="1:4" ht="12.65" customHeight="1">
      <c r="A867" s="76"/>
      <c r="B867" s="77"/>
      <c r="D867" s="45"/>
    </row>
    <row r="868" spans="1:4" ht="12.65" customHeight="1">
      <c r="A868" s="76"/>
      <c r="B868" s="77"/>
      <c r="D868" s="45"/>
    </row>
    <row r="869" spans="1:4" ht="12.65" customHeight="1">
      <c r="A869" s="76"/>
      <c r="B869" s="77"/>
      <c r="D869" s="45"/>
    </row>
    <row r="870" spans="1:4" ht="12.65" customHeight="1">
      <c r="A870" s="76"/>
      <c r="B870" s="77"/>
      <c r="D870" s="45"/>
    </row>
    <row r="871" spans="1:4" ht="12.65" customHeight="1">
      <c r="A871" s="76"/>
      <c r="B871" s="77"/>
      <c r="D871" s="45"/>
    </row>
    <row r="872" spans="1:4" ht="12.65" customHeight="1">
      <c r="A872" s="76"/>
      <c r="B872" s="77"/>
      <c r="D872" s="45"/>
    </row>
    <row r="873" spans="1:4" ht="12.65" customHeight="1">
      <c r="A873" s="76"/>
      <c r="B873" s="77"/>
      <c r="D873" s="45"/>
    </row>
    <row r="874" spans="1:4" ht="12.65" customHeight="1">
      <c r="A874" s="76"/>
      <c r="B874" s="77"/>
      <c r="D874" s="45"/>
    </row>
    <row r="875" spans="1:4" ht="12.65" customHeight="1">
      <c r="A875" s="76"/>
      <c r="B875" s="77"/>
      <c r="D875" s="45"/>
    </row>
    <row r="876" spans="1:4" ht="12.65" customHeight="1">
      <c r="A876" s="76"/>
      <c r="B876" s="77"/>
      <c r="D876" s="45"/>
    </row>
    <row r="877" spans="1:4" ht="12.65" customHeight="1">
      <c r="A877" s="76"/>
      <c r="B877" s="77"/>
      <c r="D877" s="45"/>
    </row>
    <row r="878" spans="1:4" ht="12.65" customHeight="1">
      <c r="A878" s="76"/>
      <c r="B878" s="77"/>
      <c r="D878" s="45"/>
    </row>
    <row r="879" spans="1:4" ht="12.65" customHeight="1">
      <c r="A879" s="76"/>
      <c r="B879" s="77"/>
      <c r="D879" s="45"/>
    </row>
    <row r="880" spans="1:4" ht="12.65" customHeight="1">
      <c r="A880" s="76"/>
      <c r="B880" s="77"/>
      <c r="D880" s="45"/>
    </row>
    <row r="881" spans="1:4" ht="12.65" customHeight="1">
      <c r="A881" s="76"/>
      <c r="B881" s="77"/>
      <c r="D881" s="45"/>
    </row>
    <row r="882" spans="1:4" ht="12.65" customHeight="1">
      <c r="A882" s="76"/>
      <c r="B882" s="77"/>
      <c r="D882" s="45"/>
    </row>
    <row r="883" spans="1:4" ht="12.65" customHeight="1">
      <c r="A883" s="76"/>
      <c r="B883" s="77"/>
      <c r="D883" s="45"/>
    </row>
    <row r="884" spans="1:4" ht="12.65" customHeight="1">
      <c r="A884" s="76"/>
      <c r="B884" s="77"/>
      <c r="D884" s="45"/>
    </row>
    <row r="885" spans="1:4" ht="12.65" customHeight="1">
      <c r="A885" s="76"/>
      <c r="B885" s="77"/>
      <c r="D885" s="45"/>
    </row>
    <row r="886" spans="1:4" ht="12.65" customHeight="1">
      <c r="A886" s="76"/>
      <c r="B886" s="77"/>
      <c r="D886" s="45"/>
    </row>
    <row r="887" spans="1:4" ht="12.65" customHeight="1">
      <c r="A887" s="76"/>
      <c r="B887" s="77"/>
      <c r="D887" s="45"/>
    </row>
    <row r="888" spans="1:4" ht="12.65" customHeight="1">
      <c r="A888" s="76"/>
      <c r="B888" s="77"/>
      <c r="D888" s="45"/>
    </row>
    <row r="889" spans="1:4" ht="12.65" customHeight="1">
      <c r="A889" s="76"/>
      <c r="B889" s="77"/>
      <c r="D889" s="45"/>
    </row>
    <row r="890" spans="1:4" ht="12.65" customHeight="1">
      <c r="A890" s="76"/>
      <c r="B890" s="77"/>
      <c r="D890" s="45"/>
    </row>
    <row r="891" spans="1:4" ht="12.65" customHeight="1">
      <c r="A891" s="76"/>
      <c r="B891" s="77"/>
      <c r="D891" s="45"/>
    </row>
    <row r="892" spans="1:4" ht="12.65" customHeight="1">
      <c r="A892" s="76"/>
      <c r="B892" s="77"/>
      <c r="D892" s="45"/>
    </row>
    <row r="893" spans="1:4" ht="12.65" customHeight="1">
      <c r="A893" s="76"/>
      <c r="B893" s="77"/>
      <c r="D893" s="45"/>
    </row>
    <row r="894" spans="1:4" ht="12.65" customHeight="1">
      <c r="A894" s="76"/>
      <c r="B894" s="77"/>
      <c r="D894" s="45"/>
    </row>
    <row r="895" spans="1:4" ht="12.65" customHeight="1">
      <c r="A895" s="76"/>
      <c r="B895" s="77"/>
      <c r="D895" s="45"/>
    </row>
    <row r="896" spans="1:4" ht="12.65" customHeight="1">
      <c r="A896" s="76"/>
      <c r="B896" s="77"/>
      <c r="D896" s="45"/>
    </row>
    <row r="897" spans="1:4" ht="12.65" customHeight="1">
      <c r="A897" s="76"/>
      <c r="B897" s="77"/>
      <c r="D897" s="45"/>
    </row>
    <row r="898" spans="1:4" ht="12.65" customHeight="1">
      <c r="A898" s="76"/>
      <c r="B898" s="77"/>
      <c r="D898" s="45"/>
    </row>
    <row r="899" spans="1:4" ht="12.65" customHeight="1">
      <c r="A899" s="76"/>
      <c r="B899" s="77"/>
      <c r="D899" s="45"/>
    </row>
    <row r="900" spans="1:4" ht="12.65" customHeight="1">
      <c r="A900" s="76"/>
      <c r="B900" s="77"/>
      <c r="D900" s="45"/>
    </row>
    <row r="901" spans="1:4" ht="12.65" customHeight="1">
      <c r="A901" s="76"/>
      <c r="B901" s="77"/>
      <c r="D901" s="45"/>
    </row>
    <row r="902" spans="1:4" ht="12.65" customHeight="1">
      <c r="A902" s="76"/>
      <c r="B902" s="77"/>
      <c r="D902" s="45"/>
    </row>
    <row r="903" spans="1:4" ht="12.65" customHeight="1">
      <c r="A903" s="76"/>
      <c r="B903" s="77"/>
      <c r="D903" s="45"/>
    </row>
    <row r="904" spans="1:4" ht="12.65" customHeight="1">
      <c r="A904" s="76"/>
      <c r="B904" s="77"/>
      <c r="D904" s="45"/>
    </row>
    <row r="905" spans="1:4" ht="12.65" customHeight="1">
      <c r="A905" s="76"/>
      <c r="B905" s="77"/>
      <c r="D905" s="45"/>
    </row>
    <row r="906" spans="1:4" ht="12.65" customHeight="1">
      <c r="A906" s="76"/>
      <c r="B906" s="77"/>
      <c r="D906" s="45"/>
    </row>
    <row r="907" spans="1:4" ht="12.65" customHeight="1">
      <c r="A907" s="76"/>
      <c r="B907" s="77"/>
      <c r="D907" s="45"/>
    </row>
    <row r="908" spans="1:4" ht="12.65" customHeight="1">
      <c r="A908" s="76"/>
      <c r="B908" s="77"/>
      <c r="D908" s="45"/>
    </row>
    <row r="909" spans="1:4" ht="12.65" customHeight="1">
      <c r="A909" s="76"/>
      <c r="B909" s="77"/>
      <c r="D909" s="45"/>
    </row>
    <row r="910" spans="1:4" ht="12.65" customHeight="1">
      <c r="A910" s="76"/>
      <c r="B910" s="77"/>
      <c r="D910" s="45"/>
    </row>
    <row r="911" spans="1:4" ht="12.65" customHeight="1">
      <c r="A911" s="76"/>
      <c r="B911" s="77"/>
      <c r="D911" s="45"/>
    </row>
    <row r="912" spans="1:4" ht="12.65" customHeight="1">
      <c r="A912" s="76"/>
      <c r="B912" s="77"/>
      <c r="D912" s="45"/>
    </row>
    <row r="913" spans="1:4" ht="12.65" customHeight="1">
      <c r="A913" s="76"/>
      <c r="B913" s="77"/>
      <c r="D913" s="45"/>
    </row>
    <row r="914" spans="1:4" ht="12.65" customHeight="1">
      <c r="A914" s="76"/>
      <c r="B914" s="77"/>
      <c r="D914" s="45"/>
    </row>
    <row r="915" spans="1:4" ht="12.65" customHeight="1">
      <c r="A915" s="76"/>
      <c r="B915" s="77"/>
      <c r="D915" s="45"/>
    </row>
    <row r="916" spans="1:4" ht="12.65" customHeight="1">
      <c r="A916" s="76"/>
      <c r="B916" s="77"/>
      <c r="D916" s="45"/>
    </row>
    <row r="917" spans="1:4" ht="12.65" customHeight="1">
      <c r="A917" s="76"/>
      <c r="B917" s="77"/>
      <c r="D917" s="45"/>
    </row>
    <row r="918" spans="1:4" ht="12.65" customHeight="1">
      <c r="A918" s="76"/>
      <c r="B918" s="77"/>
      <c r="D918" s="45"/>
    </row>
    <row r="919" spans="1:4" ht="12.65" customHeight="1">
      <c r="A919" s="76"/>
      <c r="B919" s="77"/>
      <c r="D919" s="45"/>
    </row>
    <row r="920" spans="1:4" ht="12.65" customHeight="1">
      <c r="A920" s="76"/>
      <c r="B920" s="77"/>
      <c r="D920" s="45"/>
    </row>
    <row r="921" spans="1:4" ht="12.65" customHeight="1">
      <c r="A921" s="76"/>
      <c r="B921" s="77"/>
      <c r="D921" s="45"/>
    </row>
    <row r="922" spans="1:4" ht="12.65" customHeight="1">
      <c r="A922" s="76"/>
      <c r="B922" s="77"/>
      <c r="D922" s="45"/>
    </row>
    <row r="923" spans="1:4" ht="12.65" customHeight="1">
      <c r="A923" s="76"/>
      <c r="B923" s="77"/>
      <c r="D923" s="45"/>
    </row>
    <row r="924" spans="1:4" ht="12.65" customHeight="1">
      <c r="A924" s="76"/>
      <c r="B924" s="77"/>
      <c r="D924" s="45"/>
    </row>
    <row r="925" spans="1:4" ht="12.65" customHeight="1">
      <c r="A925" s="76"/>
      <c r="B925" s="77"/>
      <c r="D925" s="45"/>
    </row>
    <row r="926" spans="1:4" ht="12.65" customHeight="1">
      <c r="A926" s="76"/>
      <c r="B926" s="77"/>
      <c r="D926" s="45"/>
    </row>
    <row r="927" spans="1:4" ht="12.65" customHeight="1">
      <c r="A927" s="76"/>
      <c r="B927" s="77"/>
      <c r="D927" s="45"/>
    </row>
    <row r="928" spans="1:4" ht="12.65" customHeight="1">
      <c r="A928" s="76"/>
      <c r="B928" s="77"/>
      <c r="D928" s="45"/>
    </row>
    <row r="929" spans="1:4" ht="12.65" customHeight="1">
      <c r="A929" s="76"/>
      <c r="B929" s="77"/>
      <c r="D929" s="45"/>
    </row>
    <row r="930" spans="1:4" ht="12.65" customHeight="1">
      <c r="A930" s="76"/>
      <c r="B930" s="77"/>
      <c r="D930" s="45"/>
    </row>
    <row r="931" spans="1:4" ht="12.65" customHeight="1">
      <c r="A931" s="76"/>
      <c r="B931" s="77"/>
      <c r="D931" s="45"/>
    </row>
    <row r="932" spans="1:4" ht="12.65" customHeight="1">
      <c r="A932" s="76"/>
      <c r="B932" s="77"/>
      <c r="D932" s="45"/>
    </row>
    <row r="933" spans="1:4" ht="12.65" customHeight="1">
      <c r="A933" s="76"/>
      <c r="B933" s="77"/>
      <c r="D933" s="45"/>
    </row>
    <row r="934" spans="1:4" ht="12.65" customHeight="1">
      <c r="A934" s="76"/>
      <c r="B934" s="77"/>
      <c r="D934" s="45"/>
    </row>
    <row r="935" spans="1:4" ht="12.65" customHeight="1">
      <c r="A935" s="76"/>
      <c r="B935" s="77"/>
      <c r="D935" s="45"/>
    </row>
    <row r="936" spans="1:4" ht="12.65" customHeight="1">
      <c r="A936" s="76"/>
      <c r="B936" s="77"/>
      <c r="D936" s="45"/>
    </row>
    <row r="937" spans="1:4" ht="12.65" customHeight="1">
      <c r="A937" s="76"/>
      <c r="B937" s="77"/>
      <c r="D937" s="45"/>
    </row>
    <row r="938" spans="1:4" ht="12.65" customHeight="1">
      <c r="A938" s="76"/>
      <c r="B938" s="77"/>
      <c r="D938" s="45"/>
    </row>
    <row r="939" spans="1:4" ht="12.65" customHeight="1">
      <c r="A939" s="76"/>
      <c r="B939" s="77"/>
      <c r="D939" s="45"/>
    </row>
    <row r="940" spans="1:4" ht="12.65" customHeight="1">
      <c r="A940" s="76"/>
      <c r="B940" s="77"/>
      <c r="D940" s="45"/>
    </row>
    <row r="941" spans="1:4" ht="12.65" customHeight="1">
      <c r="A941" s="76"/>
      <c r="B941" s="77"/>
      <c r="D941" s="45"/>
    </row>
    <row r="942" spans="1:4" ht="12.65" customHeight="1">
      <c r="A942" s="76"/>
      <c r="B942" s="77"/>
      <c r="D942" s="45"/>
    </row>
    <row r="943" spans="1:4" ht="12.65" customHeight="1">
      <c r="A943" s="76"/>
      <c r="B943" s="77"/>
      <c r="D943" s="45"/>
    </row>
    <row r="944" spans="1:4" ht="12.65" customHeight="1">
      <c r="A944" s="76"/>
      <c r="B944" s="77"/>
      <c r="D944" s="45"/>
    </row>
    <row r="945" spans="1:4" ht="12.65" customHeight="1">
      <c r="A945" s="76"/>
      <c r="B945" s="77"/>
      <c r="D945" s="45"/>
    </row>
    <row r="946" spans="1:4" ht="12.65" customHeight="1">
      <c r="A946" s="76"/>
      <c r="B946" s="77"/>
      <c r="D946" s="45"/>
    </row>
    <row r="947" spans="1:4" ht="12.65" customHeight="1">
      <c r="A947" s="76"/>
      <c r="B947" s="77"/>
      <c r="D947" s="45"/>
    </row>
    <row r="948" spans="1:4" ht="12.65" customHeight="1">
      <c r="A948" s="76"/>
      <c r="B948" s="77"/>
      <c r="D948" s="45"/>
    </row>
    <row r="949" spans="1:4" ht="12.65" customHeight="1">
      <c r="A949" s="76"/>
      <c r="B949" s="77"/>
      <c r="D949" s="45"/>
    </row>
    <row r="950" spans="1:4" ht="12.65" customHeight="1">
      <c r="A950" s="76"/>
      <c r="B950" s="77"/>
      <c r="D950" s="45"/>
    </row>
    <row r="951" spans="1:4" ht="12.65" customHeight="1">
      <c r="A951" s="76"/>
      <c r="B951" s="77"/>
      <c r="D951" s="45"/>
    </row>
    <row r="952" spans="1:4" ht="12.65" customHeight="1">
      <c r="A952" s="76"/>
      <c r="B952" s="77"/>
      <c r="D952" s="45"/>
    </row>
    <row r="953" spans="1:4" ht="12.65" customHeight="1">
      <c r="A953" s="76"/>
      <c r="B953" s="77"/>
      <c r="D953" s="45"/>
    </row>
    <row r="954" spans="1:4" ht="12.65" customHeight="1">
      <c r="A954" s="76"/>
      <c r="B954" s="77"/>
      <c r="D954" s="45"/>
    </row>
    <row r="955" spans="1:4" ht="12.65" customHeight="1">
      <c r="A955" s="76"/>
      <c r="B955" s="77"/>
      <c r="D955" s="45"/>
    </row>
    <row r="956" spans="1:4" ht="12.65" customHeight="1">
      <c r="A956" s="76"/>
      <c r="B956" s="77"/>
      <c r="D956" s="45"/>
    </row>
    <row r="957" spans="1:4" ht="12.65" customHeight="1">
      <c r="A957" s="76"/>
      <c r="B957" s="77"/>
      <c r="D957" s="45"/>
    </row>
    <row r="958" spans="1:4" ht="12.65" customHeight="1">
      <c r="A958" s="76"/>
      <c r="B958" s="77"/>
      <c r="D958" s="45"/>
    </row>
    <row r="959" spans="1:4" ht="12.65" customHeight="1">
      <c r="A959" s="76"/>
      <c r="B959" s="77"/>
      <c r="D959" s="45"/>
    </row>
    <row r="960" spans="1:4" ht="12.65" customHeight="1">
      <c r="A960" s="76"/>
      <c r="B960" s="77"/>
      <c r="D960" s="45"/>
    </row>
    <row r="961" spans="1:4" ht="12.65" customHeight="1">
      <c r="A961" s="76"/>
      <c r="B961" s="77"/>
      <c r="D961" s="45"/>
    </row>
    <row r="962" spans="1:4" ht="12.65" customHeight="1">
      <c r="A962" s="76"/>
      <c r="B962" s="77"/>
      <c r="D962" s="45"/>
    </row>
    <row r="963" spans="1:4" ht="12.65" customHeight="1">
      <c r="A963" s="76"/>
      <c r="B963" s="77"/>
      <c r="D963" s="45"/>
    </row>
    <row r="964" spans="1:4" ht="12.65" customHeight="1">
      <c r="A964" s="76"/>
      <c r="B964" s="77"/>
      <c r="D964" s="45"/>
    </row>
    <row r="965" spans="1:4" ht="12.65" customHeight="1">
      <c r="A965" s="76"/>
      <c r="B965" s="77"/>
      <c r="D965" s="45"/>
    </row>
    <row r="966" spans="1:4" ht="12.65" customHeight="1">
      <c r="A966" s="76"/>
      <c r="B966" s="77"/>
      <c r="D966" s="45"/>
    </row>
    <row r="967" spans="1:4" ht="12.65" customHeight="1">
      <c r="A967" s="76"/>
      <c r="B967" s="77"/>
      <c r="D967" s="45"/>
    </row>
    <row r="968" spans="1:4" ht="12.65" customHeight="1">
      <c r="A968" s="76"/>
      <c r="B968" s="77"/>
      <c r="D968" s="45"/>
    </row>
    <row r="969" spans="1:4" ht="12.65" customHeight="1">
      <c r="A969" s="76"/>
      <c r="B969" s="77"/>
      <c r="D969" s="45"/>
    </row>
    <row r="970" spans="1:4" ht="12.65" customHeight="1">
      <c r="A970" s="76"/>
      <c r="B970" s="77"/>
      <c r="D970" s="45"/>
    </row>
    <row r="971" spans="1:4" ht="12.65" customHeight="1">
      <c r="A971" s="76"/>
      <c r="B971" s="77"/>
      <c r="D971" s="45"/>
    </row>
    <row r="972" spans="1:4" ht="12.65" customHeight="1">
      <c r="A972" s="76"/>
      <c r="B972" s="77"/>
      <c r="D972" s="45"/>
    </row>
    <row r="973" spans="1:4" ht="12.65" customHeight="1">
      <c r="A973" s="76"/>
      <c r="B973" s="77"/>
      <c r="D973" s="45"/>
    </row>
    <row r="974" spans="1:4" ht="12.65" customHeight="1">
      <c r="A974" s="76"/>
      <c r="B974" s="77"/>
      <c r="D974" s="45"/>
    </row>
    <row r="975" spans="1:4" ht="12.65" customHeight="1">
      <c r="A975" s="76"/>
      <c r="B975" s="77"/>
      <c r="D975" s="45"/>
    </row>
    <row r="976" spans="1:4" ht="12.65" customHeight="1">
      <c r="A976" s="76"/>
      <c r="B976" s="77"/>
      <c r="D976" s="45"/>
    </row>
    <row r="977" spans="1:4" ht="12.65" customHeight="1">
      <c r="A977" s="76"/>
      <c r="B977" s="77"/>
      <c r="D977" s="45"/>
    </row>
    <row r="978" spans="1:4" ht="12.65" customHeight="1">
      <c r="A978" s="76"/>
      <c r="B978" s="77"/>
      <c r="D978" s="45"/>
    </row>
    <row r="979" spans="1:4" ht="12.65" customHeight="1">
      <c r="A979" s="76"/>
      <c r="B979" s="77"/>
      <c r="D979" s="45"/>
    </row>
    <row r="980" spans="1:4" ht="12.65" customHeight="1">
      <c r="A980" s="76"/>
      <c r="B980" s="77"/>
      <c r="D980" s="45"/>
    </row>
    <row r="981" spans="1:4" ht="12.65" customHeight="1">
      <c r="A981" s="76"/>
      <c r="B981" s="77"/>
      <c r="D981" s="45"/>
    </row>
    <row r="982" spans="1:4" ht="12.65" customHeight="1">
      <c r="A982" s="76"/>
      <c r="B982" s="77"/>
      <c r="D982" s="45"/>
    </row>
    <row r="983" spans="1:4" ht="12.65" customHeight="1">
      <c r="A983" s="76"/>
      <c r="B983" s="77"/>
      <c r="D983" s="45"/>
    </row>
    <row r="984" spans="1:4" ht="12.65" customHeight="1">
      <c r="A984" s="76"/>
      <c r="B984" s="77"/>
      <c r="D984" s="45"/>
    </row>
    <row r="985" spans="1:4" ht="12.65" customHeight="1">
      <c r="A985" s="76"/>
      <c r="B985" s="77"/>
      <c r="D985" s="45"/>
    </row>
    <row r="986" spans="1:4" ht="12.65" customHeight="1">
      <c r="A986" s="76"/>
      <c r="B986" s="77"/>
      <c r="D986" s="45"/>
    </row>
    <row r="987" spans="1:4" ht="12.65" customHeight="1">
      <c r="A987" s="76"/>
      <c r="B987" s="77"/>
      <c r="D987" s="45"/>
    </row>
    <row r="988" spans="1:4" ht="12.65" customHeight="1">
      <c r="A988" s="76"/>
      <c r="B988" s="77"/>
      <c r="D988" s="45"/>
    </row>
    <row r="989" spans="1:4" ht="12.65" customHeight="1">
      <c r="A989" s="76"/>
      <c r="B989" s="77"/>
      <c r="D989" s="45"/>
    </row>
    <row r="990" spans="1:4" ht="12.65" customHeight="1">
      <c r="A990" s="76"/>
      <c r="B990" s="77"/>
      <c r="D990" s="45"/>
    </row>
    <row r="991" spans="1:4" ht="12.65" customHeight="1">
      <c r="A991" s="76"/>
      <c r="B991" s="77"/>
      <c r="D991" s="45"/>
    </row>
    <row r="992" spans="1:4" ht="12.65" customHeight="1">
      <c r="A992" s="76"/>
      <c r="B992" s="77"/>
      <c r="D992" s="45"/>
    </row>
    <row r="993" spans="1:4" ht="12.65" customHeight="1">
      <c r="A993" s="76"/>
      <c r="B993" s="77"/>
      <c r="D993" s="45"/>
    </row>
    <row r="994" spans="1:4" ht="12.65" customHeight="1">
      <c r="A994" s="76"/>
      <c r="B994" s="77"/>
      <c r="D994" s="45"/>
    </row>
    <row r="995" spans="1:4" ht="12.65" customHeight="1">
      <c r="A995" s="76"/>
      <c r="B995" s="77"/>
      <c r="D995" s="45"/>
    </row>
    <row r="996" spans="1:4" ht="12.65" customHeight="1">
      <c r="A996" s="76"/>
      <c r="B996" s="77"/>
      <c r="D996" s="45"/>
    </row>
    <row r="997" spans="1:4" ht="12.65" customHeight="1">
      <c r="A997" s="76"/>
      <c r="B997" s="77"/>
      <c r="D997" s="45"/>
    </row>
    <row r="998" spans="1:4" ht="12.65" customHeight="1">
      <c r="A998" s="76"/>
      <c r="B998" s="77"/>
      <c r="D998" s="45"/>
    </row>
    <row r="999" spans="1:4" ht="12.65" customHeight="1">
      <c r="A999" s="76"/>
      <c r="B999" s="77"/>
      <c r="D999" s="45"/>
    </row>
    <row r="1000" spans="1:4" ht="12.65" customHeight="1">
      <c r="A1000" s="76"/>
      <c r="B1000" s="77"/>
      <c r="D1000" s="45"/>
    </row>
    <row r="1001" spans="1:4" ht="12.65" customHeight="1">
      <c r="A1001" s="76"/>
      <c r="B1001" s="77"/>
      <c r="D1001" s="45"/>
    </row>
    <row r="1002" spans="1:4" ht="12.65" customHeight="1">
      <c r="A1002" s="76"/>
      <c r="B1002" s="77"/>
      <c r="D1002" s="45"/>
    </row>
    <row r="1003" spans="1:4" ht="12.65" customHeight="1">
      <c r="A1003" s="76"/>
      <c r="B1003" s="77"/>
      <c r="D1003" s="45"/>
    </row>
    <row r="1004" spans="1:4" ht="12.65" customHeight="1">
      <c r="A1004" s="76"/>
      <c r="B1004" s="77"/>
      <c r="D1004" s="45"/>
    </row>
    <row r="1005" spans="1:4" ht="12.65" customHeight="1">
      <c r="A1005" s="76"/>
      <c r="B1005" s="77"/>
      <c r="D1005" s="45"/>
    </row>
    <row r="1006" spans="1:4" ht="12.65" customHeight="1">
      <c r="A1006" s="76"/>
      <c r="B1006" s="77"/>
      <c r="D1006" s="45"/>
    </row>
    <row r="1007" spans="1:4" ht="12.65" customHeight="1">
      <c r="A1007" s="76"/>
      <c r="B1007" s="77"/>
      <c r="D1007" s="45"/>
    </row>
    <row r="1008" spans="1:4" ht="12.65" customHeight="1">
      <c r="A1008" s="76"/>
      <c r="B1008" s="77"/>
      <c r="D1008" s="45"/>
    </row>
    <row r="1009" spans="1:4" ht="12.65" customHeight="1">
      <c r="A1009" s="76"/>
      <c r="B1009" s="77"/>
      <c r="D1009" s="45"/>
    </row>
    <row r="1010" spans="1:4" ht="12.65" customHeight="1">
      <c r="A1010" s="76"/>
      <c r="B1010" s="77"/>
      <c r="D1010" s="45"/>
    </row>
    <row r="1011" spans="1:4" ht="12.65" customHeight="1">
      <c r="A1011" s="76"/>
      <c r="B1011" s="77"/>
      <c r="D1011" s="45"/>
    </row>
    <row r="1012" spans="1:4" ht="12.65" customHeight="1">
      <c r="A1012" s="76"/>
      <c r="B1012" s="77"/>
      <c r="D1012" s="45"/>
    </row>
    <row r="1013" spans="1:4" ht="12.65" customHeight="1">
      <c r="A1013" s="76"/>
      <c r="B1013" s="77"/>
      <c r="D1013" s="45"/>
    </row>
    <row r="1014" spans="1:4" ht="12.65" customHeight="1">
      <c r="A1014" s="76"/>
      <c r="B1014" s="77"/>
      <c r="D1014" s="45"/>
    </row>
    <row r="1015" spans="1:4" ht="12.65" customHeight="1">
      <c r="A1015" s="76"/>
      <c r="B1015" s="77"/>
      <c r="D1015" s="45"/>
    </row>
    <row r="1016" spans="1:4" ht="12.65" customHeight="1">
      <c r="A1016" s="76"/>
      <c r="B1016" s="77"/>
      <c r="D1016" s="45"/>
    </row>
    <row r="1017" spans="1:4" ht="12.65" customHeight="1">
      <c r="A1017" s="76"/>
      <c r="B1017" s="77"/>
      <c r="D1017" s="45"/>
    </row>
  </sheetData>
  <mergeCells count="10">
    <mergeCell ref="A15:A19"/>
    <mergeCell ref="B34:B37"/>
    <mergeCell ref="A34:A37"/>
    <mergeCell ref="A4:A13"/>
    <mergeCell ref="A20:A21"/>
    <mergeCell ref="A31:A32"/>
    <mergeCell ref="B20:B21"/>
    <mergeCell ref="B15:B19"/>
    <mergeCell ref="B4:B13"/>
    <mergeCell ref="B31:B3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538ED-39C7-4244-8192-9C9EB9DEB65E}">
  <sheetPr>
    <outlinePr summaryBelow="0" summaryRight="0"/>
  </sheetPr>
  <dimension ref="A1:S59"/>
  <sheetViews>
    <sheetView zoomScale="110" zoomScaleNormal="110" workbookViewId="0">
      <pane xSplit="5" ySplit="2" topLeftCell="M44" activePane="bottomRight" state="frozen"/>
      <selection pane="topRight" activeCell="E1" sqref="E1"/>
      <selection pane="bottomLeft" activeCell="A3" sqref="A3"/>
      <selection pane="bottomRight" activeCell="D36" sqref="D36"/>
    </sheetView>
  </sheetViews>
  <sheetFormatPr defaultColWidth="12.54296875" defaultRowHeight="15.75" customHeight="1"/>
  <cols>
    <col min="1" max="1" width="13.1796875" style="547" customWidth="1"/>
    <col min="2" max="2" width="7.54296875" style="666" customWidth="1"/>
    <col min="3" max="3" width="13" style="549" customWidth="1"/>
    <col min="4" max="4" width="27.81640625" style="547" customWidth="1"/>
    <col min="5" max="5" width="30.7265625" style="547" customWidth="1"/>
    <col min="6" max="6" width="18.54296875" style="547" customWidth="1"/>
    <col min="7" max="12" width="29.453125" style="547" customWidth="1"/>
    <col min="13" max="13" width="24.54296875" style="547" customWidth="1"/>
    <col min="14" max="14" width="24.81640625" style="547" customWidth="1"/>
    <col min="15" max="15" width="10.81640625" style="547" customWidth="1"/>
    <col min="16" max="16" width="70.81640625" style="667" customWidth="1"/>
    <col min="17" max="17" width="15" style="547" customWidth="1"/>
    <col min="18" max="18" width="12" style="547" customWidth="1"/>
    <col min="19" max="19" width="4.453125" style="547" customWidth="1"/>
    <col min="20" max="16384" width="12.54296875" style="547"/>
  </cols>
  <sheetData>
    <row r="1" spans="1:19" ht="36.65" customHeight="1" thickBot="1">
      <c r="A1" s="612" t="s">
        <v>2055</v>
      </c>
      <c r="B1" s="613" t="s">
        <v>2056</v>
      </c>
      <c r="C1" s="614"/>
      <c r="D1" s="615" t="s">
        <v>2057</v>
      </c>
      <c r="E1" s="615" t="s">
        <v>2058</v>
      </c>
      <c r="F1" s="615" t="s">
        <v>26</v>
      </c>
      <c r="G1" s="615" t="s">
        <v>2059</v>
      </c>
      <c r="H1" s="615" t="s">
        <v>2060</v>
      </c>
      <c r="I1" s="615" t="s">
        <v>2061</v>
      </c>
      <c r="J1" s="615" t="s">
        <v>2062</v>
      </c>
      <c r="K1" s="615" t="s">
        <v>2063</v>
      </c>
      <c r="L1" s="615" t="s">
        <v>2064</v>
      </c>
      <c r="M1" s="615" t="s">
        <v>2065</v>
      </c>
      <c r="N1" s="615" t="s">
        <v>13</v>
      </c>
      <c r="O1" s="615" t="s">
        <v>2066</v>
      </c>
      <c r="P1" s="616" t="s">
        <v>2067</v>
      </c>
      <c r="Q1" s="615" t="s">
        <v>2068</v>
      </c>
      <c r="R1" s="617" t="s">
        <v>2069</v>
      </c>
      <c r="S1" s="618"/>
    </row>
    <row r="2" spans="1:19" ht="14.5" customHeight="1" thickBot="1">
      <c r="A2" s="619" t="s">
        <v>127</v>
      </c>
      <c r="B2" s="745"/>
      <c r="C2" s="745"/>
      <c r="D2" s="746"/>
      <c r="E2" s="746"/>
      <c r="F2" s="746"/>
      <c r="G2" s="746"/>
      <c r="H2" s="746"/>
      <c r="I2" s="746"/>
      <c r="J2" s="746"/>
      <c r="K2" s="746"/>
      <c r="L2" s="746"/>
      <c r="M2" s="746"/>
      <c r="N2" s="746"/>
      <c r="O2" s="746"/>
      <c r="P2" s="746"/>
      <c r="Q2" s="746"/>
      <c r="R2" s="747"/>
      <c r="S2" s="618"/>
    </row>
    <row r="3" spans="1:19" ht="63" thickBot="1">
      <c r="A3" s="620" t="s">
        <v>2070</v>
      </c>
      <c r="B3" s="748">
        <v>1</v>
      </c>
      <c r="C3" s="748" t="s">
        <v>2071</v>
      </c>
      <c r="D3" s="749" t="s">
        <v>2072</v>
      </c>
      <c r="E3" s="621" t="s">
        <v>129</v>
      </c>
      <c r="F3" s="622">
        <v>0</v>
      </c>
      <c r="G3" s="622">
        <v>0.1</v>
      </c>
      <c r="H3" s="622">
        <v>0.25</v>
      </c>
      <c r="I3" s="622">
        <v>0.5</v>
      </c>
      <c r="J3" s="622">
        <v>0.75</v>
      </c>
      <c r="K3" s="622">
        <v>0.75</v>
      </c>
      <c r="L3" s="621" t="s">
        <v>2073</v>
      </c>
      <c r="M3" s="621" t="s">
        <v>131</v>
      </c>
      <c r="N3" s="621" t="s">
        <v>133</v>
      </c>
      <c r="O3" s="621" t="s">
        <v>109</v>
      </c>
      <c r="P3" s="623" t="s">
        <v>2074</v>
      </c>
      <c r="Q3" s="624" t="s">
        <v>2075</v>
      </c>
      <c r="R3" s="625" t="s">
        <v>137</v>
      </c>
      <c r="S3" s="618"/>
    </row>
    <row r="4" spans="1:19" ht="25.5" thickBot="1">
      <c r="A4" s="620"/>
      <c r="B4" s="742"/>
      <c r="C4" s="742"/>
      <c r="D4" s="744"/>
      <c r="E4" s="621" t="s">
        <v>138</v>
      </c>
      <c r="F4" s="622">
        <v>0</v>
      </c>
      <c r="G4" s="622">
        <v>0.7</v>
      </c>
      <c r="H4" s="622">
        <v>0.75</v>
      </c>
      <c r="I4" s="622">
        <v>0.8</v>
      </c>
      <c r="J4" s="622">
        <v>0.85</v>
      </c>
      <c r="K4" s="622">
        <v>0.95</v>
      </c>
      <c r="L4" s="733" t="s">
        <v>2076</v>
      </c>
      <c r="M4" s="733" t="s">
        <v>140</v>
      </c>
      <c r="N4" s="733" t="s">
        <v>142</v>
      </c>
      <c r="O4" s="733" t="s">
        <v>109</v>
      </c>
      <c r="P4" s="736" t="s">
        <v>2077</v>
      </c>
      <c r="Q4" s="739" t="s">
        <v>2075</v>
      </c>
      <c r="R4" s="725" t="s">
        <v>146</v>
      </c>
      <c r="S4" s="618"/>
    </row>
    <row r="5" spans="1:19" ht="25.5" thickBot="1">
      <c r="A5" s="620"/>
      <c r="B5" s="728"/>
      <c r="C5" s="728"/>
      <c r="D5" s="732"/>
      <c r="E5" s="621" t="s">
        <v>147</v>
      </c>
      <c r="F5" s="622">
        <v>0</v>
      </c>
      <c r="G5" s="622">
        <v>0</v>
      </c>
      <c r="H5" s="622">
        <v>0.3</v>
      </c>
      <c r="I5" s="622">
        <v>0.5</v>
      </c>
      <c r="J5" s="622">
        <v>0.6</v>
      </c>
      <c r="K5" s="622">
        <v>0.7</v>
      </c>
      <c r="L5" s="734"/>
      <c r="M5" s="734"/>
      <c r="N5" s="734"/>
      <c r="O5" s="734"/>
      <c r="P5" s="738"/>
      <c r="Q5" s="741"/>
      <c r="R5" s="726"/>
      <c r="S5" s="618"/>
    </row>
    <row r="6" spans="1:19" ht="25.5" thickBot="1">
      <c r="A6" s="620"/>
      <c r="B6" s="727">
        <v>2</v>
      </c>
      <c r="C6" s="729" t="s">
        <v>2078</v>
      </c>
      <c r="D6" s="731" t="s">
        <v>153</v>
      </c>
      <c r="E6" s="621" t="s">
        <v>154</v>
      </c>
      <c r="F6" s="622">
        <v>0.7</v>
      </c>
      <c r="G6" s="622">
        <v>0.7</v>
      </c>
      <c r="H6" s="622">
        <v>0.8</v>
      </c>
      <c r="I6" s="622">
        <v>0.8</v>
      </c>
      <c r="J6" s="622">
        <v>0.9</v>
      </c>
      <c r="K6" s="622">
        <v>0.95</v>
      </c>
      <c r="L6" s="733" t="s">
        <v>2079</v>
      </c>
      <c r="M6" s="733" t="s">
        <v>156</v>
      </c>
      <c r="N6" s="733" t="s">
        <v>158</v>
      </c>
      <c r="O6" s="733" t="s">
        <v>109</v>
      </c>
      <c r="P6" s="736" t="s">
        <v>2080</v>
      </c>
      <c r="Q6" s="739" t="s">
        <v>2075</v>
      </c>
      <c r="R6" s="625" t="s">
        <v>161</v>
      </c>
      <c r="S6" s="618"/>
    </row>
    <row r="7" spans="1:19" ht="37" customHeight="1" thickBot="1">
      <c r="A7" s="620"/>
      <c r="B7" s="742"/>
      <c r="C7" s="743"/>
      <c r="D7" s="744"/>
      <c r="E7" s="621" t="s">
        <v>162</v>
      </c>
      <c r="F7" s="622">
        <v>0.6</v>
      </c>
      <c r="G7" s="622">
        <v>0.65</v>
      </c>
      <c r="H7" s="622">
        <v>0.75</v>
      </c>
      <c r="I7" s="622">
        <v>0.8</v>
      </c>
      <c r="J7" s="622">
        <v>0.9</v>
      </c>
      <c r="K7" s="622">
        <v>0.95</v>
      </c>
      <c r="L7" s="735"/>
      <c r="M7" s="735"/>
      <c r="N7" s="735"/>
      <c r="O7" s="735"/>
      <c r="P7" s="737"/>
      <c r="Q7" s="740"/>
      <c r="R7" s="625" t="s">
        <v>146</v>
      </c>
      <c r="S7" s="618"/>
    </row>
    <row r="8" spans="1:19" ht="25.5" thickBot="1">
      <c r="A8" s="620"/>
      <c r="B8" s="728"/>
      <c r="C8" s="730"/>
      <c r="D8" s="732"/>
      <c r="E8" s="621" t="s">
        <v>167</v>
      </c>
      <c r="F8" s="622">
        <v>0.6</v>
      </c>
      <c r="G8" s="622">
        <v>0.65</v>
      </c>
      <c r="H8" s="622">
        <v>0.75</v>
      </c>
      <c r="I8" s="622">
        <v>0.8</v>
      </c>
      <c r="J8" s="622">
        <v>0.9</v>
      </c>
      <c r="K8" s="622">
        <v>0.95</v>
      </c>
      <c r="L8" s="734"/>
      <c r="M8" s="734"/>
      <c r="N8" s="734"/>
      <c r="O8" s="734"/>
      <c r="P8" s="738"/>
      <c r="Q8" s="741"/>
      <c r="R8" s="625" t="s">
        <v>172</v>
      </c>
      <c r="S8" s="618"/>
    </row>
    <row r="9" spans="1:19" ht="38" thickBot="1">
      <c r="A9" s="620"/>
      <c r="B9" s="727">
        <v>3</v>
      </c>
      <c r="C9" s="729" t="s">
        <v>2081</v>
      </c>
      <c r="D9" s="731" t="s">
        <v>173</v>
      </c>
      <c r="E9" s="621" t="s">
        <v>174</v>
      </c>
      <c r="F9" s="622">
        <v>0.95</v>
      </c>
      <c r="G9" s="622">
        <v>0.98</v>
      </c>
      <c r="H9" s="622">
        <v>1</v>
      </c>
      <c r="I9" s="622">
        <v>1</v>
      </c>
      <c r="J9" s="622">
        <v>1</v>
      </c>
      <c r="K9" s="622">
        <v>1</v>
      </c>
      <c r="L9" s="733" t="s">
        <v>2082</v>
      </c>
      <c r="M9" s="733" t="s">
        <v>176</v>
      </c>
      <c r="N9" s="733" t="s">
        <v>178</v>
      </c>
      <c r="O9" s="621" t="s">
        <v>109</v>
      </c>
      <c r="P9" s="736" t="s">
        <v>2083</v>
      </c>
      <c r="Q9" s="739" t="s">
        <v>2075</v>
      </c>
      <c r="R9" s="725" t="s">
        <v>146</v>
      </c>
      <c r="S9" s="618"/>
    </row>
    <row r="10" spans="1:19" ht="62.5">
      <c r="A10" s="620"/>
      <c r="B10" s="728"/>
      <c r="C10" s="730"/>
      <c r="D10" s="732"/>
      <c r="E10" s="621" t="s">
        <v>182</v>
      </c>
      <c r="F10" s="622">
        <v>0.8</v>
      </c>
      <c r="G10" s="622">
        <v>0.85</v>
      </c>
      <c r="H10" s="622">
        <v>0.9</v>
      </c>
      <c r="I10" s="622">
        <v>0.95</v>
      </c>
      <c r="J10" s="622">
        <v>0.98</v>
      </c>
      <c r="K10" s="622">
        <v>1</v>
      </c>
      <c r="L10" s="734"/>
      <c r="M10" s="734"/>
      <c r="N10" s="734"/>
      <c r="O10" s="621" t="s">
        <v>109</v>
      </c>
      <c r="P10" s="738"/>
      <c r="Q10" s="741"/>
      <c r="R10" s="726"/>
      <c r="S10" s="618"/>
    </row>
    <row r="11" spans="1:19" ht="49.75" customHeight="1">
      <c r="A11" s="626" t="s">
        <v>2084</v>
      </c>
      <c r="B11" s="627">
        <v>1.1000000000000001</v>
      </c>
      <c r="C11" s="628" t="s">
        <v>2085</v>
      </c>
      <c r="D11" s="629" t="s">
        <v>350</v>
      </c>
      <c r="E11" s="629" t="s">
        <v>2086</v>
      </c>
      <c r="F11" s="629">
        <v>0</v>
      </c>
      <c r="G11" s="629">
        <v>1</v>
      </c>
      <c r="H11" s="629">
        <v>1</v>
      </c>
      <c r="I11" s="629">
        <v>1</v>
      </c>
      <c r="J11" s="629">
        <v>2</v>
      </c>
      <c r="K11" s="629">
        <v>2</v>
      </c>
      <c r="L11" s="629" t="s">
        <v>2087</v>
      </c>
      <c r="M11" s="629" t="s">
        <v>353</v>
      </c>
      <c r="N11" s="629" t="s">
        <v>355</v>
      </c>
      <c r="O11" s="629" t="s">
        <v>109</v>
      </c>
      <c r="P11" s="630" t="s">
        <v>2088</v>
      </c>
      <c r="Q11" s="629" t="s">
        <v>2075</v>
      </c>
      <c r="R11" s="629" t="s">
        <v>358</v>
      </c>
      <c r="S11" s="618"/>
    </row>
    <row r="12" spans="1:19" ht="64.5">
      <c r="A12" s="626"/>
      <c r="B12" s="627">
        <v>1.2</v>
      </c>
      <c r="C12" s="628" t="s">
        <v>2089</v>
      </c>
      <c r="D12" s="631" t="s">
        <v>2090</v>
      </c>
      <c r="E12" s="631" t="s">
        <v>360</v>
      </c>
      <c r="F12" s="632">
        <v>0.7</v>
      </c>
      <c r="G12" s="632">
        <v>0.75</v>
      </c>
      <c r="H12" s="632">
        <v>0.75</v>
      </c>
      <c r="I12" s="632">
        <v>0.85</v>
      </c>
      <c r="J12" s="632">
        <v>0.9</v>
      </c>
      <c r="K12" s="632">
        <v>0.95</v>
      </c>
      <c r="L12" s="631" t="s">
        <v>2091</v>
      </c>
      <c r="M12" s="631" t="s">
        <v>362</v>
      </c>
      <c r="N12" s="631" t="s">
        <v>364</v>
      </c>
      <c r="O12" s="631" t="s">
        <v>109</v>
      </c>
      <c r="P12" s="633" t="s">
        <v>2092</v>
      </c>
      <c r="Q12" s="634" t="s">
        <v>109</v>
      </c>
      <c r="R12" s="635" t="s">
        <v>367</v>
      </c>
      <c r="S12" s="618"/>
    </row>
    <row r="13" spans="1:19" ht="49.75" customHeight="1">
      <c r="A13" s="626"/>
      <c r="B13" s="627">
        <v>1.3</v>
      </c>
      <c r="C13" s="628" t="s">
        <v>2093</v>
      </c>
      <c r="D13" s="636" t="s">
        <v>368</v>
      </c>
      <c r="E13" s="636" t="s">
        <v>2094</v>
      </c>
      <c r="F13" s="637">
        <v>0.6</v>
      </c>
      <c r="G13" s="637">
        <v>0.7</v>
      </c>
      <c r="H13" s="637">
        <v>0.75</v>
      </c>
      <c r="I13" s="637">
        <v>0.8</v>
      </c>
      <c r="J13" s="637">
        <v>0.85</v>
      </c>
      <c r="K13" s="637">
        <v>0.9</v>
      </c>
      <c r="L13" s="636" t="s">
        <v>2095</v>
      </c>
      <c r="M13" s="636" t="s">
        <v>371</v>
      </c>
      <c r="N13" s="636" t="s">
        <v>373</v>
      </c>
      <c r="O13" s="636" t="s">
        <v>109</v>
      </c>
      <c r="P13" s="638" t="s">
        <v>2096</v>
      </c>
      <c r="Q13" s="634" t="s">
        <v>109</v>
      </c>
      <c r="R13" s="635" t="s">
        <v>376</v>
      </c>
      <c r="S13" s="618"/>
    </row>
    <row r="14" spans="1:19" ht="49.75" customHeight="1">
      <c r="A14" s="639"/>
      <c r="B14" s="627">
        <v>2.1</v>
      </c>
      <c r="C14" s="628" t="s">
        <v>2097</v>
      </c>
      <c r="D14" s="629" t="s">
        <v>378</v>
      </c>
      <c r="E14" s="629" t="s">
        <v>379</v>
      </c>
      <c r="F14" s="640">
        <v>0.7</v>
      </c>
      <c r="G14" s="640">
        <v>0.7</v>
      </c>
      <c r="H14" s="640">
        <v>0.75</v>
      </c>
      <c r="I14" s="640">
        <v>0.8</v>
      </c>
      <c r="J14" s="640">
        <v>0.9</v>
      </c>
      <c r="K14" s="640">
        <v>0.9</v>
      </c>
      <c r="L14" s="629" t="s">
        <v>2098</v>
      </c>
      <c r="M14" s="629" t="s">
        <v>381</v>
      </c>
      <c r="N14" s="629" t="s">
        <v>383</v>
      </c>
      <c r="O14" s="629" t="s">
        <v>109</v>
      </c>
      <c r="P14" s="630" t="s">
        <v>2099</v>
      </c>
      <c r="Q14" s="641" t="s">
        <v>2075</v>
      </c>
      <c r="R14" s="642" t="s">
        <v>146</v>
      </c>
      <c r="S14" s="618"/>
    </row>
    <row r="15" spans="1:19" ht="62.5">
      <c r="A15" s="626"/>
      <c r="B15" s="627">
        <v>2.2000000000000002</v>
      </c>
      <c r="C15" s="628" t="s">
        <v>2100</v>
      </c>
      <c r="D15" s="629" t="s">
        <v>386</v>
      </c>
      <c r="E15" s="629" t="s">
        <v>2101</v>
      </c>
      <c r="F15" s="640">
        <v>0</v>
      </c>
      <c r="G15" s="640">
        <v>0.25</v>
      </c>
      <c r="H15" s="640">
        <v>0.5</v>
      </c>
      <c r="I15" s="640">
        <v>0.6</v>
      </c>
      <c r="J15" s="640">
        <v>0.75</v>
      </c>
      <c r="K15" s="640">
        <v>1</v>
      </c>
      <c r="L15" s="629" t="s">
        <v>2102</v>
      </c>
      <c r="M15" s="629" t="s">
        <v>2103</v>
      </c>
      <c r="N15" s="629" t="s">
        <v>390</v>
      </c>
      <c r="O15" s="629" t="s">
        <v>109</v>
      </c>
      <c r="P15" s="630" t="s">
        <v>2104</v>
      </c>
      <c r="Q15" s="629" t="s">
        <v>2075</v>
      </c>
      <c r="R15" s="629" t="s">
        <v>146</v>
      </c>
      <c r="S15" s="618"/>
    </row>
    <row r="16" spans="1:19" ht="100">
      <c r="A16" s="639"/>
      <c r="B16" s="627">
        <v>3.1</v>
      </c>
      <c r="C16" s="628" t="s">
        <v>2105</v>
      </c>
      <c r="D16" s="643" t="s">
        <v>394</v>
      </c>
      <c r="E16" s="629" t="s">
        <v>395</v>
      </c>
      <c r="F16" s="640">
        <v>0.8</v>
      </c>
      <c r="G16" s="640">
        <v>0.9</v>
      </c>
      <c r="H16" s="640">
        <v>0.9</v>
      </c>
      <c r="I16" s="640">
        <v>0.95</v>
      </c>
      <c r="J16" s="640">
        <v>1</v>
      </c>
      <c r="K16" s="640">
        <v>1</v>
      </c>
      <c r="L16" s="629" t="s">
        <v>2106</v>
      </c>
      <c r="M16" s="629" t="s">
        <v>397</v>
      </c>
      <c r="N16" s="629" t="s">
        <v>399</v>
      </c>
      <c r="O16" s="629" t="s">
        <v>109</v>
      </c>
      <c r="P16" s="630" t="s">
        <v>2107</v>
      </c>
      <c r="Q16" s="641" t="s">
        <v>2075</v>
      </c>
      <c r="R16" s="642" t="s">
        <v>146</v>
      </c>
      <c r="S16" s="618"/>
    </row>
    <row r="17" spans="1:19" ht="104">
      <c r="A17" s="644" t="s">
        <v>2108</v>
      </c>
      <c r="B17" s="645">
        <v>1.1000000000000001</v>
      </c>
      <c r="C17" s="646" t="s">
        <v>2085</v>
      </c>
      <c r="D17" s="647" t="s">
        <v>350</v>
      </c>
      <c r="E17" s="648"/>
      <c r="F17" s="648"/>
      <c r="G17" s="648"/>
      <c r="H17" s="648"/>
      <c r="I17" s="648"/>
      <c r="J17" s="648"/>
      <c r="K17" s="648"/>
      <c r="L17" s="648"/>
      <c r="M17" s="648"/>
      <c r="N17" s="648"/>
      <c r="O17" s="648"/>
      <c r="P17" s="649"/>
      <c r="Q17" s="648"/>
      <c r="R17" s="650"/>
      <c r="S17" s="618"/>
    </row>
    <row r="18" spans="1:19" ht="50">
      <c r="A18" s="644"/>
      <c r="B18" s="651" t="s">
        <v>419</v>
      </c>
      <c r="C18" s="652"/>
      <c r="D18" s="648" t="s">
        <v>2109</v>
      </c>
      <c r="E18" s="648" t="s">
        <v>2110</v>
      </c>
      <c r="F18" s="653">
        <v>0.75</v>
      </c>
      <c r="G18" s="653">
        <v>0.8</v>
      </c>
      <c r="H18" s="653">
        <v>0.85</v>
      </c>
      <c r="I18" s="653">
        <v>0.85</v>
      </c>
      <c r="J18" s="653">
        <v>0.9</v>
      </c>
      <c r="K18" s="653">
        <v>0.95</v>
      </c>
      <c r="L18" s="648" t="s">
        <v>2111</v>
      </c>
      <c r="M18" s="648" t="s">
        <v>2112</v>
      </c>
      <c r="N18" s="648" t="s">
        <v>2113</v>
      </c>
      <c r="O18" s="648" t="s">
        <v>109</v>
      </c>
      <c r="P18" s="649" t="s">
        <v>2114</v>
      </c>
      <c r="Q18" s="648"/>
      <c r="R18" s="650"/>
      <c r="S18" s="618"/>
    </row>
    <row r="19" spans="1:19" ht="62.5">
      <c r="A19" s="644"/>
      <c r="B19" s="651" t="s">
        <v>437</v>
      </c>
      <c r="C19" s="652"/>
      <c r="D19" s="648" t="s">
        <v>2115</v>
      </c>
      <c r="E19" s="648" t="s">
        <v>2116</v>
      </c>
      <c r="F19" s="653">
        <v>0.75</v>
      </c>
      <c r="G19" s="653">
        <v>0.8</v>
      </c>
      <c r="H19" s="653">
        <v>0.85</v>
      </c>
      <c r="I19" s="653">
        <v>0.85</v>
      </c>
      <c r="J19" s="653">
        <v>0.9</v>
      </c>
      <c r="K19" s="653">
        <v>0.95</v>
      </c>
      <c r="L19" s="648" t="s">
        <v>2117</v>
      </c>
      <c r="M19" s="648" t="s">
        <v>2118</v>
      </c>
      <c r="N19" s="648" t="s">
        <v>2119</v>
      </c>
      <c r="O19" s="648" t="s">
        <v>109</v>
      </c>
      <c r="P19" s="649" t="s">
        <v>2120</v>
      </c>
      <c r="Q19" s="648"/>
      <c r="R19" s="650"/>
      <c r="S19" s="618"/>
    </row>
    <row r="20" spans="1:19" ht="75">
      <c r="A20" s="644"/>
      <c r="B20" s="651" t="s">
        <v>447</v>
      </c>
      <c r="C20" s="652"/>
      <c r="D20" s="648" t="s">
        <v>2121</v>
      </c>
      <c r="E20" s="648" t="s">
        <v>2122</v>
      </c>
      <c r="F20" s="653">
        <v>0.75</v>
      </c>
      <c r="G20" s="653">
        <v>0.8</v>
      </c>
      <c r="H20" s="653">
        <v>0.85</v>
      </c>
      <c r="I20" s="653">
        <v>0.85</v>
      </c>
      <c r="J20" s="653">
        <v>0.9</v>
      </c>
      <c r="K20" s="653">
        <v>0.95</v>
      </c>
      <c r="L20" s="648" t="s">
        <v>2123</v>
      </c>
      <c r="M20" s="648" t="s">
        <v>2124</v>
      </c>
      <c r="N20" s="648" t="s">
        <v>2125</v>
      </c>
      <c r="O20" s="648" t="s">
        <v>109</v>
      </c>
      <c r="P20" s="649" t="s">
        <v>2126</v>
      </c>
      <c r="Q20" s="648"/>
      <c r="R20" s="650"/>
      <c r="S20" s="618"/>
    </row>
    <row r="21" spans="1:19" ht="37.5">
      <c r="A21" s="644"/>
      <c r="B21" s="651" t="s">
        <v>460</v>
      </c>
      <c r="C21" s="652"/>
      <c r="D21" s="648" t="s">
        <v>1680</v>
      </c>
      <c r="E21" s="648" t="s">
        <v>2127</v>
      </c>
      <c r="F21" s="648">
        <v>2</v>
      </c>
      <c r="G21" s="648">
        <v>2</v>
      </c>
      <c r="H21" s="648">
        <v>3</v>
      </c>
      <c r="I21" s="648">
        <v>4</v>
      </c>
      <c r="J21" s="648">
        <v>5</v>
      </c>
      <c r="K21" s="648">
        <v>5</v>
      </c>
      <c r="L21" s="648" t="s">
        <v>2128</v>
      </c>
      <c r="M21" s="648" t="s">
        <v>2129</v>
      </c>
      <c r="N21" s="648" t="s">
        <v>2130</v>
      </c>
      <c r="O21" s="648" t="s">
        <v>109</v>
      </c>
      <c r="P21" s="649" t="s">
        <v>2131</v>
      </c>
      <c r="Q21" s="648"/>
      <c r="R21" s="650"/>
      <c r="S21" s="618"/>
    </row>
    <row r="22" spans="1:19" ht="50">
      <c r="A22" s="644"/>
      <c r="B22" s="651" t="s">
        <v>1689</v>
      </c>
      <c r="C22" s="652"/>
      <c r="D22" s="648" t="s">
        <v>1690</v>
      </c>
      <c r="E22" s="648" t="s">
        <v>2132</v>
      </c>
      <c r="F22" s="653">
        <v>0.5</v>
      </c>
      <c r="G22" s="653">
        <v>0.6</v>
      </c>
      <c r="H22" s="653">
        <v>0.7</v>
      </c>
      <c r="I22" s="653">
        <v>0.8</v>
      </c>
      <c r="J22" s="653">
        <v>0.9</v>
      </c>
      <c r="K22" s="653">
        <v>1</v>
      </c>
      <c r="L22" s="648" t="s">
        <v>2133</v>
      </c>
      <c r="M22" s="648" t="s">
        <v>2134</v>
      </c>
      <c r="N22" s="648" t="s">
        <v>2135</v>
      </c>
      <c r="O22" s="648" t="s">
        <v>109</v>
      </c>
      <c r="P22" s="649" t="s">
        <v>2136</v>
      </c>
      <c r="Q22" s="648"/>
      <c r="R22" s="650"/>
      <c r="S22" s="618"/>
    </row>
    <row r="23" spans="1:19" ht="50">
      <c r="A23" s="644"/>
      <c r="B23" s="651" t="s">
        <v>489</v>
      </c>
      <c r="C23" s="652"/>
      <c r="D23" s="648" t="s">
        <v>1698</v>
      </c>
      <c r="E23" s="648" t="s">
        <v>2137</v>
      </c>
      <c r="F23" s="653">
        <v>0.75</v>
      </c>
      <c r="G23" s="653">
        <v>0.75</v>
      </c>
      <c r="H23" s="653">
        <v>0.8</v>
      </c>
      <c r="I23" s="653">
        <v>0.85</v>
      </c>
      <c r="J23" s="653">
        <v>0.9</v>
      </c>
      <c r="K23" s="653">
        <v>1</v>
      </c>
      <c r="L23" s="648" t="s">
        <v>2138</v>
      </c>
      <c r="M23" s="648" t="s">
        <v>2139</v>
      </c>
      <c r="N23" s="648" t="s">
        <v>2140</v>
      </c>
      <c r="O23" s="648" t="s">
        <v>109</v>
      </c>
      <c r="P23" s="649" t="s">
        <v>2141</v>
      </c>
      <c r="Q23" s="648"/>
      <c r="R23" s="650"/>
      <c r="S23" s="618"/>
    </row>
    <row r="24" spans="1:19" ht="52">
      <c r="A24" s="644"/>
      <c r="B24" s="645">
        <v>1.2</v>
      </c>
      <c r="C24" s="646" t="s">
        <v>2089</v>
      </c>
      <c r="D24" s="654" t="s">
        <v>2142</v>
      </c>
      <c r="E24" s="648"/>
      <c r="F24" s="648"/>
      <c r="G24" s="648"/>
      <c r="H24" s="648"/>
      <c r="I24" s="648"/>
      <c r="J24" s="648"/>
      <c r="K24" s="648"/>
      <c r="L24" s="648"/>
      <c r="M24" s="648"/>
      <c r="N24" s="648"/>
      <c r="O24" s="648"/>
      <c r="P24" s="649"/>
      <c r="Q24" s="648"/>
      <c r="R24" s="650"/>
      <c r="S24" s="618"/>
    </row>
    <row r="25" spans="1:19" ht="50">
      <c r="A25" s="644"/>
      <c r="B25" s="651">
        <v>7.1</v>
      </c>
      <c r="C25" s="652"/>
      <c r="D25" s="648" t="s">
        <v>1706</v>
      </c>
      <c r="E25" s="648" t="s">
        <v>2143</v>
      </c>
      <c r="F25" s="653">
        <v>0.7</v>
      </c>
      <c r="G25" s="653">
        <v>0.75</v>
      </c>
      <c r="H25" s="653">
        <v>0.8</v>
      </c>
      <c r="I25" s="653">
        <v>0.85</v>
      </c>
      <c r="J25" s="653">
        <v>0.9</v>
      </c>
      <c r="K25" s="653">
        <v>0.95</v>
      </c>
      <c r="L25" s="648" t="s">
        <v>2144</v>
      </c>
      <c r="M25" s="648" t="s">
        <v>2145</v>
      </c>
      <c r="N25" s="648" t="s">
        <v>2146</v>
      </c>
      <c r="O25" s="648" t="s">
        <v>109</v>
      </c>
      <c r="P25" s="649" t="s">
        <v>2147</v>
      </c>
      <c r="Q25" s="648"/>
      <c r="R25" s="650"/>
      <c r="S25" s="618"/>
    </row>
    <row r="26" spans="1:19" ht="62.5">
      <c r="A26" s="644"/>
      <c r="B26" s="651">
        <v>7.2</v>
      </c>
      <c r="C26" s="652"/>
      <c r="D26" s="648" t="s">
        <v>2148</v>
      </c>
      <c r="E26" s="648" t="s">
        <v>2149</v>
      </c>
      <c r="F26" s="648">
        <v>2</v>
      </c>
      <c r="G26" s="648">
        <v>3</v>
      </c>
      <c r="H26" s="648">
        <v>4</v>
      </c>
      <c r="I26" s="648">
        <v>5</v>
      </c>
      <c r="J26" s="648">
        <v>6</v>
      </c>
      <c r="K26" s="648">
        <v>7</v>
      </c>
      <c r="L26" s="648" t="s">
        <v>2150</v>
      </c>
      <c r="M26" s="648" t="s">
        <v>2151</v>
      </c>
      <c r="N26" s="648" t="s">
        <v>2152</v>
      </c>
      <c r="O26" s="648" t="s">
        <v>109</v>
      </c>
      <c r="P26" s="649" t="s">
        <v>2153</v>
      </c>
      <c r="Q26" s="648"/>
      <c r="R26" s="650"/>
      <c r="S26" s="618"/>
    </row>
    <row r="27" spans="1:19" ht="37.5">
      <c r="A27" s="644"/>
      <c r="B27" s="651">
        <v>7.3</v>
      </c>
      <c r="C27" s="652"/>
      <c r="D27" s="648" t="s">
        <v>2154</v>
      </c>
      <c r="E27" s="648" t="s">
        <v>2155</v>
      </c>
      <c r="F27" s="653">
        <v>0.75</v>
      </c>
      <c r="G27" s="653">
        <v>0.75</v>
      </c>
      <c r="H27" s="648">
        <v>80</v>
      </c>
      <c r="I27" s="653">
        <v>0.85</v>
      </c>
      <c r="J27" s="653">
        <v>0.9</v>
      </c>
      <c r="K27" s="653">
        <v>0.95</v>
      </c>
      <c r="L27" s="648" t="s">
        <v>2156</v>
      </c>
      <c r="M27" s="648" t="s">
        <v>2157</v>
      </c>
      <c r="N27" s="648" t="s">
        <v>2158</v>
      </c>
      <c r="O27" s="648" t="s">
        <v>109</v>
      </c>
      <c r="P27" s="649" t="s">
        <v>2159</v>
      </c>
      <c r="Q27" s="648"/>
      <c r="R27" s="650"/>
      <c r="S27" s="618"/>
    </row>
    <row r="28" spans="1:19" ht="37.5">
      <c r="A28" s="644"/>
      <c r="B28" s="651">
        <v>7.4</v>
      </c>
      <c r="C28" s="652"/>
      <c r="D28" s="648" t="s">
        <v>1728</v>
      </c>
      <c r="E28" s="648" t="s">
        <v>2160</v>
      </c>
      <c r="F28" s="653">
        <v>0.6</v>
      </c>
      <c r="G28" s="653">
        <v>0.7</v>
      </c>
      <c r="H28" s="653">
        <v>0.8</v>
      </c>
      <c r="I28" s="653">
        <v>0.85</v>
      </c>
      <c r="J28" s="653">
        <v>0.9</v>
      </c>
      <c r="K28" s="653">
        <v>0.95</v>
      </c>
      <c r="L28" s="648" t="s">
        <v>2161</v>
      </c>
      <c r="M28" s="648" t="s">
        <v>2162</v>
      </c>
      <c r="N28" s="648" t="s">
        <v>2163</v>
      </c>
      <c r="O28" s="648" t="s">
        <v>109</v>
      </c>
      <c r="P28" s="649" t="s">
        <v>2164</v>
      </c>
      <c r="Q28" s="648"/>
      <c r="R28" s="650"/>
      <c r="S28" s="618"/>
    </row>
    <row r="29" spans="1:19" ht="50">
      <c r="A29" s="644"/>
      <c r="B29" s="651">
        <v>7.5</v>
      </c>
      <c r="C29" s="652"/>
      <c r="D29" s="648" t="s">
        <v>2165</v>
      </c>
      <c r="E29" s="648" t="s">
        <v>2166</v>
      </c>
      <c r="F29" s="653">
        <v>0.75</v>
      </c>
      <c r="G29" s="653">
        <v>0.75</v>
      </c>
      <c r="H29" s="653">
        <v>1</v>
      </c>
      <c r="I29" s="653">
        <v>1</v>
      </c>
      <c r="J29" s="653">
        <v>1</v>
      </c>
      <c r="K29" s="653">
        <v>1</v>
      </c>
      <c r="L29" s="648" t="s">
        <v>2167</v>
      </c>
      <c r="M29" s="648" t="s">
        <v>2168</v>
      </c>
      <c r="N29" s="648" t="s">
        <v>2169</v>
      </c>
      <c r="O29" s="648" t="s">
        <v>109</v>
      </c>
      <c r="P29" s="649" t="s">
        <v>2170</v>
      </c>
      <c r="Q29" s="648"/>
      <c r="R29" s="650"/>
      <c r="S29" s="618"/>
    </row>
    <row r="30" spans="1:19" ht="25">
      <c r="A30" s="644"/>
      <c r="B30" s="651">
        <v>7.6</v>
      </c>
      <c r="C30" s="652"/>
      <c r="D30" s="648" t="s">
        <v>1743</v>
      </c>
      <c r="E30" s="648" t="s">
        <v>2171</v>
      </c>
      <c r="F30" s="653">
        <v>0.8</v>
      </c>
      <c r="G30" s="653">
        <v>0.8</v>
      </c>
      <c r="H30" s="653">
        <v>0.85</v>
      </c>
      <c r="I30" s="653">
        <v>0.9</v>
      </c>
      <c r="J30" s="653">
        <v>1</v>
      </c>
      <c r="K30" s="653">
        <v>1</v>
      </c>
      <c r="L30" s="648" t="s">
        <v>2172</v>
      </c>
      <c r="M30" s="648" t="s">
        <v>2173</v>
      </c>
      <c r="N30" s="648" t="s">
        <v>2174</v>
      </c>
      <c r="O30" s="648" t="s">
        <v>109</v>
      </c>
      <c r="P30" s="649" t="s">
        <v>2175</v>
      </c>
      <c r="Q30" s="648"/>
      <c r="R30" s="650"/>
      <c r="S30" s="618"/>
    </row>
    <row r="31" spans="1:19" ht="50">
      <c r="A31" s="644"/>
      <c r="B31" s="651">
        <v>7.7</v>
      </c>
      <c r="C31" s="652"/>
      <c r="D31" s="648" t="s">
        <v>1750</v>
      </c>
      <c r="E31" s="648" t="s">
        <v>2176</v>
      </c>
      <c r="F31" s="653">
        <v>0.75</v>
      </c>
      <c r="G31" s="653">
        <v>0.8</v>
      </c>
      <c r="H31" s="653">
        <v>0.9</v>
      </c>
      <c r="I31" s="653">
        <v>0.95</v>
      </c>
      <c r="J31" s="653">
        <v>1</v>
      </c>
      <c r="K31" s="653">
        <v>1</v>
      </c>
      <c r="L31" s="648" t="s">
        <v>2177</v>
      </c>
      <c r="M31" s="648" t="s">
        <v>2178</v>
      </c>
      <c r="N31" s="648" t="s">
        <v>2179</v>
      </c>
      <c r="O31" s="648" t="s">
        <v>109</v>
      </c>
      <c r="P31" s="649" t="s">
        <v>2180</v>
      </c>
      <c r="Q31" s="648"/>
      <c r="R31" s="650"/>
      <c r="S31" s="618"/>
    </row>
    <row r="32" spans="1:19" ht="117">
      <c r="A32" s="644"/>
      <c r="B32" s="645">
        <v>1.3</v>
      </c>
      <c r="C32" s="646" t="s">
        <v>2093</v>
      </c>
      <c r="D32" s="647" t="s">
        <v>368</v>
      </c>
      <c r="E32" s="648"/>
      <c r="F32" s="648"/>
      <c r="G32" s="648"/>
      <c r="H32" s="648"/>
      <c r="I32" s="648"/>
      <c r="J32" s="648"/>
      <c r="K32" s="648"/>
      <c r="L32" s="648"/>
      <c r="M32" s="648"/>
      <c r="N32" s="648"/>
      <c r="O32" s="648"/>
      <c r="P32" s="649"/>
      <c r="Q32" s="648"/>
      <c r="R32" s="650"/>
      <c r="S32" s="618"/>
    </row>
    <row r="33" spans="1:19" ht="62.5">
      <c r="A33" s="644"/>
      <c r="B33" s="651">
        <v>8.1</v>
      </c>
      <c r="C33" s="652"/>
      <c r="D33" s="648" t="s">
        <v>2181</v>
      </c>
      <c r="E33" s="648" t="s">
        <v>2182</v>
      </c>
      <c r="F33" s="653">
        <v>0.6</v>
      </c>
      <c r="G33" s="653">
        <v>0.65</v>
      </c>
      <c r="H33" s="653">
        <v>0.7</v>
      </c>
      <c r="I33" s="653">
        <v>0.75</v>
      </c>
      <c r="J33" s="653">
        <v>0.8</v>
      </c>
      <c r="K33" s="653">
        <v>0.9</v>
      </c>
      <c r="L33" s="648" t="s">
        <v>2183</v>
      </c>
      <c r="M33" s="648" t="s">
        <v>2184</v>
      </c>
      <c r="N33" s="648" t="s">
        <v>2185</v>
      </c>
      <c r="O33" s="648" t="s">
        <v>109</v>
      </c>
      <c r="P33" s="649" t="s">
        <v>2186</v>
      </c>
      <c r="Q33" s="648"/>
      <c r="R33" s="650"/>
      <c r="S33" s="618"/>
    </row>
    <row r="34" spans="1:19" ht="50">
      <c r="A34" s="644"/>
      <c r="B34" s="651">
        <v>8.1999999999999993</v>
      </c>
      <c r="C34" s="652"/>
      <c r="D34" s="648" t="s">
        <v>1780</v>
      </c>
      <c r="E34" s="648" t="s">
        <v>2187</v>
      </c>
      <c r="F34" s="653">
        <v>0.7</v>
      </c>
      <c r="G34" s="653">
        <v>0.75</v>
      </c>
      <c r="H34" s="653">
        <v>0.8</v>
      </c>
      <c r="I34" s="653">
        <v>0.85</v>
      </c>
      <c r="J34" s="653">
        <v>0.9</v>
      </c>
      <c r="K34" s="653">
        <v>0.95</v>
      </c>
      <c r="L34" s="648" t="s">
        <v>2188</v>
      </c>
      <c r="M34" s="648" t="s">
        <v>2189</v>
      </c>
      <c r="N34" s="648" t="s">
        <v>2190</v>
      </c>
      <c r="O34" s="648" t="s">
        <v>109</v>
      </c>
      <c r="P34" s="649" t="s">
        <v>2191</v>
      </c>
      <c r="Q34" s="648"/>
      <c r="R34" s="650"/>
      <c r="S34" s="618"/>
    </row>
    <row r="35" spans="1:19" ht="37.5">
      <c r="A35" s="644"/>
      <c r="B35" s="651">
        <v>8.3000000000000007</v>
      </c>
      <c r="C35" s="652"/>
      <c r="D35" s="648" t="s">
        <v>2192</v>
      </c>
      <c r="E35" s="648" t="s">
        <v>2193</v>
      </c>
      <c r="F35" s="653">
        <v>0.25</v>
      </c>
      <c r="G35" s="653">
        <v>0.45</v>
      </c>
      <c r="H35" s="653">
        <v>0.55000000000000004</v>
      </c>
      <c r="I35" s="653">
        <v>0.6</v>
      </c>
      <c r="J35" s="653">
        <v>0.7</v>
      </c>
      <c r="K35" s="653">
        <v>0.75</v>
      </c>
      <c r="L35" s="648" t="s">
        <v>2194</v>
      </c>
      <c r="M35" s="648" t="s">
        <v>2195</v>
      </c>
      <c r="N35" s="648" t="s">
        <v>2196</v>
      </c>
      <c r="O35" s="648" t="s">
        <v>109</v>
      </c>
      <c r="P35" s="649" t="s">
        <v>2197</v>
      </c>
      <c r="Q35" s="648"/>
      <c r="R35" s="650"/>
      <c r="S35" s="618"/>
    </row>
    <row r="36" spans="1:19" ht="62.5">
      <c r="A36" s="644"/>
      <c r="B36" s="651">
        <v>8.4</v>
      </c>
      <c r="C36" s="652"/>
      <c r="D36" s="648" t="s">
        <v>1796</v>
      </c>
      <c r="E36" s="648" t="s">
        <v>2198</v>
      </c>
      <c r="F36" s="648">
        <v>4</v>
      </c>
      <c r="G36" s="648">
        <v>6</v>
      </c>
      <c r="H36" s="648">
        <v>8</v>
      </c>
      <c r="I36" s="648">
        <v>10</v>
      </c>
      <c r="J36" s="648">
        <v>10</v>
      </c>
      <c r="K36" s="648">
        <v>10</v>
      </c>
      <c r="L36" s="648" t="s">
        <v>2199</v>
      </c>
      <c r="M36" s="648" t="s">
        <v>2200</v>
      </c>
      <c r="N36" s="648" t="s">
        <v>2201</v>
      </c>
      <c r="O36" s="648" t="s">
        <v>109</v>
      </c>
      <c r="P36" s="649" t="s">
        <v>2202</v>
      </c>
      <c r="Q36" s="648"/>
      <c r="R36" s="650"/>
      <c r="S36" s="618"/>
    </row>
    <row r="37" spans="1:19" ht="65">
      <c r="A37" s="644"/>
      <c r="B37" s="655">
        <v>2.1</v>
      </c>
      <c r="C37" s="646" t="s">
        <v>2097</v>
      </c>
      <c r="D37" s="647" t="s">
        <v>378</v>
      </c>
      <c r="E37" s="648"/>
      <c r="F37" s="648"/>
      <c r="G37" s="648"/>
      <c r="H37" s="648"/>
      <c r="I37" s="648"/>
      <c r="J37" s="648"/>
      <c r="K37" s="648"/>
      <c r="L37" s="648"/>
      <c r="M37" s="648"/>
      <c r="N37" s="648"/>
      <c r="O37" s="648"/>
      <c r="P37" s="649"/>
      <c r="Q37" s="648"/>
      <c r="R37" s="650"/>
      <c r="S37" s="618"/>
    </row>
    <row r="38" spans="1:19" ht="62.5">
      <c r="A38" s="644"/>
      <c r="B38" s="651" t="s">
        <v>305</v>
      </c>
      <c r="C38" s="652"/>
      <c r="D38" s="648" t="s">
        <v>1804</v>
      </c>
      <c r="E38" s="648" t="s">
        <v>2203</v>
      </c>
      <c r="F38" s="653">
        <v>0.7</v>
      </c>
      <c r="G38" s="653">
        <v>0.7</v>
      </c>
      <c r="H38" s="653">
        <v>0.75</v>
      </c>
      <c r="I38" s="653">
        <v>0.8</v>
      </c>
      <c r="J38" s="653">
        <v>0.85</v>
      </c>
      <c r="K38" s="653">
        <v>0.9</v>
      </c>
      <c r="L38" s="648" t="s">
        <v>2204</v>
      </c>
      <c r="M38" s="648" t="s">
        <v>2205</v>
      </c>
      <c r="N38" s="648" t="s">
        <v>2206</v>
      </c>
      <c r="O38" s="648" t="s">
        <v>109</v>
      </c>
      <c r="P38" s="649" t="s">
        <v>2207</v>
      </c>
      <c r="Q38" s="648"/>
      <c r="R38" s="650"/>
      <c r="S38" s="618"/>
    </row>
    <row r="39" spans="1:19" ht="50">
      <c r="A39" s="644"/>
      <c r="B39" s="651" t="s">
        <v>329</v>
      </c>
      <c r="C39" s="652"/>
      <c r="D39" s="648" t="s">
        <v>2208</v>
      </c>
      <c r="E39" s="648" t="s">
        <v>2209</v>
      </c>
      <c r="F39" s="648">
        <v>5</v>
      </c>
      <c r="G39" s="648">
        <v>6</v>
      </c>
      <c r="H39" s="648">
        <v>7</v>
      </c>
      <c r="I39" s="648">
        <v>8</v>
      </c>
      <c r="J39" s="648">
        <v>9</v>
      </c>
      <c r="K39" s="648">
        <v>10</v>
      </c>
      <c r="L39" s="648" t="s">
        <v>2210</v>
      </c>
      <c r="M39" s="648" t="s">
        <v>2211</v>
      </c>
      <c r="N39" s="648" t="s">
        <v>2212</v>
      </c>
      <c r="O39" s="648" t="s">
        <v>109</v>
      </c>
      <c r="P39" s="649" t="s">
        <v>2213</v>
      </c>
      <c r="Q39" s="648"/>
      <c r="R39" s="650"/>
      <c r="S39" s="618"/>
    </row>
    <row r="40" spans="1:19" ht="50">
      <c r="A40" s="644"/>
      <c r="B40" s="651" t="s">
        <v>1810</v>
      </c>
      <c r="C40" s="652"/>
      <c r="D40" s="648" t="s">
        <v>1819</v>
      </c>
      <c r="E40" s="648" t="s">
        <v>2214</v>
      </c>
      <c r="F40" s="653">
        <v>0.8</v>
      </c>
      <c r="G40" s="653">
        <v>0.85</v>
      </c>
      <c r="H40" s="653">
        <v>0.9</v>
      </c>
      <c r="I40" s="653">
        <v>0.95</v>
      </c>
      <c r="J40" s="653">
        <v>1</v>
      </c>
      <c r="K40" s="653">
        <v>1</v>
      </c>
      <c r="L40" s="648" t="s">
        <v>2215</v>
      </c>
      <c r="M40" s="648" t="s">
        <v>2216</v>
      </c>
      <c r="N40" s="648" t="s">
        <v>2217</v>
      </c>
      <c r="O40" s="648" t="s">
        <v>109</v>
      </c>
      <c r="P40" s="649" t="s">
        <v>2218</v>
      </c>
      <c r="Q40" s="648"/>
      <c r="R40" s="650"/>
      <c r="S40" s="618"/>
    </row>
    <row r="41" spans="1:19" ht="50">
      <c r="A41" s="644"/>
      <c r="B41" s="651" t="s">
        <v>1818</v>
      </c>
      <c r="C41" s="652"/>
      <c r="D41" s="648" t="s">
        <v>1827</v>
      </c>
      <c r="E41" s="648" t="s">
        <v>2219</v>
      </c>
      <c r="F41" s="653">
        <v>0.7</v>
      </c>
      <c r="G41" s="653">
        <v>0.8</v>
      </c>
      <c r="H41" s="653">
        <v>0.9</v>
      </c>
      <c r="I41" s="653">
        <v>0.95</v>
      </c>
      <c r="J41" s="653">
        <v>1</v>
      </c>
      <c r="K41" s="653">
        <v>1</v>
      </c>
      <c r="L41" s="648" t="s">
        <v>2220</v>
      </c>
      <c r="M41" s="648" t="s">
        <v>2221</v>
      </c>
      <c r="N41" s="648" t="s">
        <v>2222</v>
      </c>
      <c r="O41" s="648" t="s">
        <v>109</v>
      </c>
      <c r="P41" s="649" t="s">
        <v>2223</v>
      </c>
      <c r="Q41" s="648"/>
      <c r="R41" s="650"/>
      <c r="S41" s="618"/>
    </row>
    <row r="42" spans="1:19" ht="52">
      <c r="A42" s="644"/>
      <c r="B42" s="655">
        <v>2.2000000000000002</v>
      </c>
      <c r="C42" s="646" t="s">
        <v>2100</v>
      </c>
      <c r="D42" s="654" t="s">
        <v>2224</v>
      </c>
      <c r="E42" s="648"/>
      <c r="F42" s="648"/>
      <c r="G42" s="648"/>
      <c r="H42" s="648"/>
      <c r="I42" s="648"/>
      <c r="J42" s="648"/>
      <c r="K42" s="648"/>
      <c r="L42" s="648"/>
      <c r="M42" s="648"/>
      <c r="N42" s="648"/>
      <c r="O42" s="648"/>
      <c r="P42" s="649"/>
      <c r="Q42" s="648"/>
      <c r="R42" s="650"/>
      <c r="S42" s="618"/>
    </row>
    <row r="43" spans="1:19" ht="50">
      <c r="A43" s="644"/>
      <c r="B43" s="651" t="s">
        <v>310</v>
      </c>
      <c r="C43" s="652"/>
      <c r="D43" s="648" t="s">
        <v>2225</v>
      </c>
      <c r="E43" s="648" t="s">
        <v>2226</v>
      </c>
      <c r="F43" s="653">
        <v>0.8</v>
      </c>
      <c r="G43" s="653">
        <v>0.85</v>
      </c>
      <c r="H43" s="653">
        <v>0.9</v>
      </c>
      <c r="I43" s="653">
        <v>0.95</v>
      </c>
      <c r="J43" s="653">
        <v>1</v>
      </c>
      <c r="K43" s="653">
        <v>1</v>
      </c>
      <c r="L43" s="648" t="s">
        <v>2227</v>
      </c>
      <c r="M43" s="648" t="s">
        <v>2228</v>
      </c>
      <c r="N43" s="648" t="s">
        <v>2229</v>
      </c>
      <c r="O43" s="648" t="s">
        <v>109</v>
      </c>
      <c r="P43" s="649" t="s">
        <v>2230</v>
      </c>
      <c r="Q43" s="648"/>
      <c r="R43" s="650"/>
      <c r="S43" s="618"/>
    </row>
    <row r="44" spans="1:19" ht="50">
      <c r="A44" s="644"/>
      <c r="B44" s="651" t="s">
        <v>1854</v>
      </c>
      <c r="C44" s="652"/>
      <c r="D44" s="648" t="s">
        <v>2231</v>
      </c>
      <c r="E44" s="648" t="s">
        <v>2232</v>
      </c>
      <c r="F44" s="653">
        <v>0.5</v>
      </c>
      <c r="G44" s="653">
        <v>0.6</v>
      </c>
      <c r="H44" s="653">
        <v>0.7</v>
      </c>
      <c r="I44" s="653">
        <v>0.8</v>
      </c>
      <c r="J44" s="653">
        <v>0.9</v>
      </c>
      <c r="K44" s="653">
        <v>1</v>
      </c>
      <c r="L44" s="648" t="s">
        <v>2233</v>
      </c>
      <c r="M44" s="648" t="s">
        <v>2234</v>
      </c>
      <c r="N44" s="648" t="s">
        <v>2235</v>
      </c>
      <c r="O44" s="648" t="s">
        <v>109</v>
      </c>
      <c r="P44" s="649" t="s">
        <v>2236</v>
      </c>
      <c r="Q44" s="648"/>
      <c r="R44" s="650"/>
      <c r="S44" s="618"/>
    </row>
    <row r="45" spans="1:19" ht="91">
      <c r="A45" s="644"/>
      <c r="B45" s="655">
        <v>3.1</v>
      </c>
      <c r="C45" s="652" t="s">
        <v>2105</v>
      </c>
      <c r="D45" s="654" t="s">
        <v>2237</v>
      </c>
      <c r="E45" s="648"/>
      <c r="F45" s="648"/>
      <c r="G45" s="648"/>
      <c r="H45" s="648"/>
      <c r="I45" s="648"/>
      <c r="J45" s="648"/>
      <c r="K45" s="648"/>
      <c r="L45" s="648"/>
      <c r="M45" s="648"/>
      <c r="N45" s="648"/>
      <c r="O45" s="648"/>
      <c r="P45" s="649"/>
      <c r="Q45" s="648"/>
      <c r="R45" s="650"/>
      <c r="S45" s="618"/>
    </row>
    <row r="46" spans="1:19" ht="37.5">
      <c r="A46" s="644"/>
      <c r="B46" s="651" t="s">
        <v>269</v>
      </c>
      <c r="C46" s="652"/>
      <c r="D46" s="648" t="s">
        <v>1877</v>
      </c>
      <c r="E46" s="648" t="s">
        <v>2238</v>
      </c>
      <c r="F46" s="653">
        <v>0.8</v>
      </c>
      <c r="G46" s="653">
        <v>0.85</v>
      </c>
      <c r="H46" s="653">
        <v>0.9</v>
      </c>
      <c r="I46" s="653">
        <v>0.95</v>
      </c>
      <c r="J46" s="653">
        <v>1</v>
      </c>
      <c r="K46" s="653">
        <v>1</v>
      </c>
      <c r="L46" s="648" t="s">
        <v>2239</v>
      </c>
      <c r="M46" s="648" t="s">
        <v>2240</v>
      </c>
      <c r="N46" s="648" t="s">
        <v>2241</v>
      </c>
      <c r="O46" s="648" t="s">
        <v>109</v>
      </c>
      <c r="P46" s="649" t="s">
        <v>2242</v>
      </c>
      <c r="Q46" s="648"/>
      <c r="R46" s="650"/>
      <c r="S46" s="618"/>
    </row>
    <row r="47" spans="1:19" ht="37.5">
      <c r="A47" s="644"/>
      <c r="B47" s="651" t="s">
        <v>275</v>
      </c>
      <c r="C47" s="652"/>
      <c r="D47" s="648" t="s">
        <v>2243</v>
      </c>
      <c r="E47" s="648" t="s">
        <v>2244</v>
      </c>
      <c r="F47" s="648">
        <v>4</v>
      </c>
      <c r="G47" s="648">
        <v>4</v>
      </c>
      <c r="H47" s="648">
        <v>4</v>
      </c>
      <c r="I47" s="648">
        <v>4</v>
      </c>
      <c r="J47" s="648">
        <v>4</v>
      </c>
      <c r="K47" s="648">
        <v>4</v>
      </c>
      <c r="L47" s="648" t="s">
        <v>2245</v>
      </c>
      <c r="M47" s="648" t="s">
        <v>1886</v>
      </c>
      <c r="N47" s="648" t="s">
        <v>2246</v>
      </c>
      <c r="O47" s="648" t="s">
        <v>109</v>
      </c>
      <c r="P47" s="649" t="s">
        <v>2247</v>
      </c>
      <c r="Q47" s="648"/>
      <c r="R47" s="650"/>
      <c r="S47" s="618"/>
    </row>
    <row r="48" spans="1:19" ht="37.5">
      <c r="A48" s="644"/>
      <c r="B48" s="651" t="s">
        <v>667</v>
      </c>
      <c r="C48" s="652"/>
      <c r="D48" s="648" t="s">
        <v>1890</v>
      </c>
      <c r="E48" s="648" t="s">
        <v>2248</v>
      </c>
      <c r="F48" s="653">
        <v>0.75</v>
      </c>
      <c r="G48" s="653">
        <v>0.8</v>
      </c>
      <c r="H48" s="653">
        <v>0.8</v>
      </c>
      <c r="I48" s="653">
        <v>0.85</v>
      </c>
      <c r="J48" s="653">
        <v>0.9</v>
      </c>
      <c r="K48" s="653">
        <v>0.95</v>
      </c>
      <c r="L48" s="648" t="s">
        <v>2249</v>
      </c>
      <c r="M48" s="648" t="s">
        <v>1893</v>
      </c>
      <c r="N48" s="648" t="s">
        <v>2250</v>
      </c>
      <c r="O48" s="648" t="s">
        <v>109</v>
      </c>
      <c r="P48" s="649" t="s">
        <v>2251</v>
      </c>
      <c r="Q48" s="648"/>
      <c r="R48" s="650"/>
      <c r="S48" s="618"/>
    </row>
    <row r="49" spans="1:19" ht="50">
      <c r="A49" s="644"/>
      <c r="B49" s="651" t="s">
        <v>279</v>
      </c>
      <c r="C49" s="652"/>
      <c r="D49" s="648" t="s">
        <v>2252</v>
      </c>
      <c r="E49" s="648" t="s">
        <v>2253</v>
      </c>
      <c r="F49" s="653">
        <v>0.75</v>
      </c>
      <c r="G49" s="653">
        <v>0.8</v>
      </c>
      <c r="H49" s="653">
        <v>0.85</v>
      </c>
      <c r="I49" s="653">
        <v>0.9</v>
      </c>
      <c r="J49" s="653">
        <v>0.95</v>
      </c>
      <c r="K49" s="653">
        <v>1</v>
      </c>
      <c r="L49" s="648" t="s">
        <v>2254</v>
      </c>
      <c r="M49" s="648" t="s">
        <v>2255</v>
      </c>
      <c r="N49" s="648" t="s">
        <v>2256</v>
      </c>
      <c r="O49" s="648" t="s">
        <v>109</v>
      </c>
      <c r="P49" s="649" t="s">
        <v>2257</v>
      </c>
      <c r="Q49" s="648"/>
      <c r="R49" s="650"/>
      <c r="S49" s="618"/>
    </row>
    <row r="50" spans="1:19" ht="15" thickBot="1">
      <c r="A50" s="656"/>
      <c r="B50" s="656"/>
      <c r="C50" s="657"/>
      <c r="D50" s="658"/>
      <c r="E50" s="658"/>
      <c r="F50" s="658"/>
      <c r="G50" s="658"/>
      <c r="H50" s="658"/>
      <c r="I50" s="658"/>
      <c r="J50" s="658"/>
      <c r="K50" s="659"/>
      <c r="L50" s="658"/>
      <c r="M50" s="658"/>
      <c r="N50" s="658"/>
      <c r="O50" s="658"/>
      <c r="P50" s="660"/>
      <c r="Q50" s="658"/>
      <c r="R50" s="661"/>
      <c r="S50" s="618"/>
    </row>
    <row r="51" spans="1:19" ht="12.5">
      <c r="A51" s="618"/>
      <c r="B51" s="662"/>
      <c r="C51" s="663"/>
      <c r="D51" s="618"/>
      <c r="E51" s="618"/>
      <c r="F51" s="618"/>
      <c r="G51" s="618"/>
      <c r="H51" s="618"/>
      <c r="I51" s="618"/>
      <c r="J51" s="618"/>
      <c r="K51" s="664"/>
      <c r="L51" s="618"/>
      <c r="M51" s="618"/>
      <c r="N51" s="618"/>
      <c r="O51" s="618"/>
      <c r="P51" s="665"/>
      <c r="Q51" s="618"/>
      <c r="R51" s="618"/>
      <c r="S51" s="618"/>
    </row>
    <row r="52" spans="1:19" ht="12.5">
      <c r="A52" s="618"/>
      <c r="B52" s="662"/>
      <c r="C52" s="663"/>
      <c r="D52" s="618"/>
      <c r="E52" s="618"/>
      <c r="F52" s="618"/>
      <c r="G52" s="618"/>
      <c r="H52" s="618"/>
      <c r="I52" s="618"/>
      <c r="J52" s="618"/>
      <c r="K52" s="664"/>
      <c r="L52" s="618"/>
      <c r="M52" s="618"/>
      <c r="N52" s="618"/>
      <c r="O52" s="618"/>
      <c r="P52" s="665"/>
      <c r="Q52" s="618"/>
      <c r="R52" s="618"/>
      <c r="S52" s="618"/>
    </row>
    <row r="53" spans="1:19" ht="12.5">
      <c r="A53" s="618"/>
      <c r="B53" s="662"/>
      <c r="C53" s="663"/>
      <c r="D53" s="618"/>
      <c r="E53" s="618"/>
      <c r="F53" s="618"/>
      <c r="G53" s="618"/>
      <c r="H53" s="618"/>
      <c r="I53" s="618"/>
      <c r="J53" s="618"/>
      <c r="K53" s="664"/>
      <c r="L53" s="618"/>
      <c r="M53" s="618"/>
      <c r="N53" s="618"/>
      <c r="O53" s="618"/>
      <c r="P53" s="665"/>
      <c r="Q53" s="618"/>
      <c r="R53" s="618"/>
      <c r="S53" s="618"/>
    </row>
    <row r="54" spans="1:19" ht="12.5">
      <c r="A54" s="618"/>
      <c r="B54" s="662"/>
      <c r="C54" s="663"/>
      <c r="D54" s="618"/>
      <c r="E54" s="618"/>
      <c r="F54" s="618"/>
      <c r="G54" s="618"/>
      <c r="H54" s="618"/>
      <c r="I54" s="618"/>
      <c r="J54" s="618"/>
      <c r="K54" s="664"/>
      <c r="L54" s="618"/>
      <c r="M54" s="618"/>
      <c r="N54" s="618"/>
      <c r="O54" s="618"/>
      <c r="P54" s="665"/>
      <c r="Q54" s="618"/>
      <c r="R54" s="618"/>
      <c r="S54" s="618"/>
    </row>
    <row r="55" spans="1:19" ht="12.5">
      <c r="A55" s="618"/>
      <c r="B55" s="662"/>
      <c r="C55" s="663"/>
      <c r="D55" s="618"/>
      <c r="E55" s="618"/>
      <c r="F55" s="618"/>
      <c r="G55" s="618"/>
      <c r="H55" s="618"/>
      <c r="I55" s="618"/>
      <c r="J55" s="618"/>
      <c r="K55" s="664"/>
      <c r="L55" s="618"/>
      <c r="M55" s="618"/>
      <c r="N55" s="618"/>
      <c r="O55" s="618"/>
      <c r="P55" s="665"/>
      <c r="Q55" s="618"/>
      <c r="R55" s="618"/>
      <c r="S55" s="618"/>
    </row>
    <row r="56" spans="1:19" ht="12.5">
      <c r="A56" s="618"/>
      <c r="B56" s="662"/>
      <c r="C56" s="663"/>
      <c r="D56" s="618"/>
      <c r="E56" s="618"/>
      <c r="F56" s="618"/>
      <c r="G56" s="618"/>
      <c r="H56" s="618"/>
      <c r="I56" s="618"/>
      <c r="J56" s="618"/>
      <c r="K56" s="664"/>
      <c r="L56" s="618"/>
      <c r="M56" s="618"/>
      <c r="N56" s="618"/>
      <c r="O56" s="618"/>
      <c r="P56" s="665"/>
      <c r="Q56" s="618"/>
      <c r="R56" s="618"/>
      <c r="S56" s="618"/>
    </row>
    <row r="57" spans="1:19" ht="12.5">
      <c r="A57" s="618"/>
      <c r="B57" s="662"/>
      <c r="C57" s="663"/>
      <c r="D57" s="618"/>
      <c r="E57" s="618"/>
      <c r="F57" s="618"/>
      <c r="G57" s="618"/>
      <c r="H57" s="618"/>
      <c r="I57" s="618"/>
      <c r="J57" s="618"/>
      <c r="K57" s="664"/>
      <c r="L57" s="618"/>
      <c r="M57" s="618"/>
      <c r="N57" s="618"/>
      <c r="O57" s="618"/>
      <c r="P57" s="665"/>
      <c r="Q57" s="618"/>
      <c r="R57" s="618"/>
      <c r="S57" s="618"/>
    </row>
    <row r="58" spans="1:19" ht="12.5">
      <c r="A58" s="618"/>
      <c r="B58" s="662"/>
      <c r="C58" s="663"/>
      <c r="D58" s="618"/>
      <c r="E58" s="618"/>
      <c r="F58" s="618"/>
      <c r="G58" s="618"/>
      <c r="H58" s="618"/>
      <c r="I58" s="618"/>
      <c r="J58" s="618"/>
      <c r="K58" s="664"/>
      <c r="L58" s="618"/>
      <c r="M58" s="618"/>
      <c r="N58" s="618"/>
      <c r="O58" s="618"/>
      <c r="P58" s="665"/>
      <c r="Q58" s="618"/>
      <c r="R58" s="618"/>
      <c r="S58" s="618"/>
    </row>
    <row r="59" spans="1:19" ht="12.5">
      <c r="A59" s="618"/>
      <c r="B59" s="662"/>
      <c r="C59" s="663"/>
      <c r="D59" s="618"/>
      <c r="E59" s="618"/>
      <c r="F59" s="618"/>
      <c r="G59" s="618"/>
      <c r="H59" s="618"/>
      <c r="I59" s="618"/>
      <c r="J59" s="618"/>
      <c r="K59" s="664"/>
      <c r="L59" s="618"/>
      <c r="M59" s="618"/>
      <c r="N59" s="618"/>
      <c r="O59" s="618"/>
      <c r="P59" s="665"/>
      <c r="Q59" s="618"/>
      <c r="R59" s="618"/>
      <c r="S59" s="618"/>
    </row>
  </sheetData>
  <mergeCells count="29">
    <mergeCell ref="B2:R2"/>
    <mergeCell ref="B3:B5"/>
    <mergeCell ref="C3:C5"/>
    <mergeCell ref="D3:D5"/>
    <mergeCell ref="L4:L5"/>
    <mergeCell ref="M4:M5"/>
    <mergeCell ref="N4:N5"/>
    <mergeCell ref="O4:O5"/>
    <mergeCell ref="P4:P5"/>
    <mergeCell ref="Q4:Q5"/>
    <mergeCell ref="R4:R5"/>
    <mergeCell ref="B6:B8"/>
    <mergeCell ref="C6:C8"/>
    <mergeCell ref="D6:D8"/>
    <mergeCell ref="L6:L8"/>
    <mergeCell ref="M6:M8"/>
    <mergeCell ref="N6:N8"/>
    <mergeCell ref="O6:O8"/>
    <mergeCell ref="P6:P8"/>
    <mergeCell ref="Q6:Q8"/>
    <mergeCell ref="P9:P10"/>
    <mergeCell ref="Q9:Q10"/>
    <mergeCell ref="R9:R10"/>
    <mergeCell ref="B9:B10"/>
    <mergeCell ref="C9:C10"/>
    <mergeCell ref="D9:D10"/>
    <mergeCell ref="L9:L10"/>
    <mergeCell ref="M9:M10"/>
    <mergeCell ref="N9:N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sheetPr>
  <dimension ref="A1:Z1000"/>
  <sheetViews>
    <sheetView showGridLines="0" workbookViewId="0">
      <pane ySplit="5" topLeftCell="A22" activePane="bottomLeft" state="frozen"/>
      <selection pane="bottomLeft" activeCell="B7" sqref="B7"/>
    </sheetView>
  </sheetViews>
  <sheetFormatPr defaultColWidth="12.7265625" defaultRowHeight="15" customHeight="1"/>
  <cols>
    <col min="1" max="1" width="4.1796875" customWidth="1"/>
    <col min="2" max="2" width="23.7265625" customWidth="1"/>
    <col min="3" max="3" width="171.26953125" customWidth="1"/>
    <col min="4" max="5" width="13.7265625" customWidth="1"/>
    <col min="6" max="6" width="33.81640625" customWidth="1"/>
    <col min="7" max="26" width="8.7265625" customWidth="1"/>
  </cols>
  <sheetData>
    <row r="1" spans="1:26" ht="12.75" hidden="1" customHeight="1">
      <c r="A1" s="755" t="s">
        <v>2258</v>
      </c>
      <c r="B1" s="756"/>
      <c r="C1" s="81"/>
      <c r="D1" s="82"/>
      <c r="E1" s="82"/>
      <c r="F1" s="83"/>
      <c r="G1" s="552"/>
      <c r="H1" s="552"/>
      <c r="I1" s="552"/>
      <c r="J1" s="552"/>
      <c r="K1" s="552"/>
      <c r="L1" s="552"/>
      <c r="M1" s="552"/>
      <c r="N1" s="552"/>
      <c r="O1" s="552"/>
      <c r="P1" s="552"/>
      <c r="Q1" s="552"/>
      <c r="R1" s="552"/>
      <c r="S1" s="552"/>
      <c r="T1" s="552"/>
      <c r="U1" s="552"/>
      <c r="V1" s="552"/>
      <c r="W1" s="552"/>
      <c r="X1" s="552"/>
      <c r="Y1" s="552"/>
      <c r="Z1" s="552"/>
    </row>
    <row r="2" spans="1:26" ht="12.75" hidden="1" customHeight="1">
      <c r="A2" s="750" t="s">
        <v>2259</v>
      </c>
      <c r="B2" s="717"/>
      <c r="C2" s="717"/>
      <c r="D2" s="717"/>
      <c r="E2" s="717"/>
      <c r="F2" s="751"/>
      <c r="G2" s="552"/>
      <c r="H2" s="552"/>
      <c r="I2" s="552"/>
      <c r="J2" s="552"/>
      <c r="K2" s="552"/>
      <c r="L2" s="552"/>
      <c r="M2" s="552"/>
      <c r="N2" s="552"/>
      <c r="O2" s="552"/>
      <c r="P2" s="552"/>
      <c r="Q2" s="552"/>
      <c r="R2" s="552"/>
      <c r="S2" s="552"/>
      <c r="T2" s="552"/>
      <c r="U2" s="552"/>
      <c r="V2" s="552"/>
      <c r="W2" s="552"/>
      <c r="X2" s="552"/>
      <c r="Y2" s="552"/>
      <c r="Z2" s="552"/>
    </row>
    <row r="3" spans="1:26" ht="12.75" hidden="1" customHeight="1">
      <c r="A3" s="750" t="s">
        <v>2260</v>
      </c>
      <c r="B3" s="717"/>
      <c r="C3" s="717"/>
      <c r="D3" s="717"/>
      <c r="E3" s="717"/>
      <c r="F3" s="751"/>
      <c r="G3" s="552"/>
      <c r="H3" s="552"/>
      <c r="I3" s="552"/>
      <c r="J3" s="552"/>
      <c r="K3" s="552"/>
      <c r="L3" s="552"/>
      <c r="M3" s="552"/>
      <c r="N3" s="552"/>
      <c r="O3" s="552"/>
      <c r="P3" s="552"/>
      <c r="Q3" s="552"/>
      <c r="R3" s="552"/>
      <c r="S3" s="552"/>
      <c r="T3" s="552"/>
      <c r="U3" s="552"/>
      <c r="V3" s="552"/>
      <c r="W3" s="552"/>
      <c r="X3" s="552"/>
      <c r="Y3" s="552"/>
      <c r="Z3" s="552"/>
    </row>
    <row r="4" spans="1:26" ht="12.75" hidden="1" customHeight="1">
      <c r="A4" s="752" t="s">
        <v>2261</v>
      </c>
      <c r="B4" s="753"/>
      <c r="C4" s="753"/>
      <c r="D4" s="753"/>
      <c r="E4" s="753"/>
      <c r="F4" s="754"/>
      <c r="G4" s="552"/>
      <c r="H4" s="552"/>
      <c r="I4" s="552"/>
      <c r="J4" s="552"/>
      <c r="K4" s="552"/>
      <c r="L4" s="552"/>
      <c r="M4" s="552"/>
      <c r="N4" s="552"/>
      <c r="O4" s="552"/>
      <c r="P4" s="552"/>
      <c r="Q4" s="552"/>
      <c r="R4" s="552"/>
      <c r="S4" s="552"/>
      <c r="T4" s="552"/>
      <c r="U4" s="552"/>
      <c r="V4" s="552"/>
      <c r="W4" s="552"/>
      <c r="X4" s="552"/>
      <c r="Y4" s="552"/>
      <c r="Z4" s="552"/>
    </row>
    <row r="5" spans="1:26" ht="19.5" customHeight="1">
      <c r="A5" s="84" t="s">
        <v>2056</v>
      </c>
      <c r="B5" s="85" t="s">
        <v>2262</v>
      </c>
      <c r="C5" s="86" t="s">
        <v>2263</v>
      </c>
      <c r="D5" s="87" t="s">
        <v>2264</v>
      </c>
      <c r="E5" s="87" t="s">
        <v>2265</v>
      </c>
      <c r="F5" s="88" t="s">
        <v>2266</v>
      </c>
      <c r="G5" s="552"/>
      <c r="H5" s="552"/>
      <c r="I5" s="552"/>
      <c r="J5" s="552"/>
      <c r="K5" s="552"/>
      <c r="L5" s="552"/>
      <c r="M5" s="552"/>
      <c r="N5" s="552"/>
      <c r="O5" s="552"/>
      <c r="P5" s="552"/>
      <c r="Q5" s="552"/>
      <c r="R5" s="552"/>
      <c r="S5" s="552"/>
      <c r="T5" s="552"/>
      <c r="U5" s="552"/>
      <c r="V5" s="552"/>
      <c r="W5" s="552"/>
      <c r="X5" s="552"/>
      <c r="Y5" s="552"/>
      <c r="Z5" s="552"/>
    </row>
    <row r="6" spans="1:26" ht="94.5" customHeight="1">
      <c r="A6" s="6">
        <v>1</v>
      </c>
      <c r="B6" s="7" t="s">
        <v>4</v>
      </c>
      <c r="C6" s="8" t="s">
        <v>2267</v>
      </c>
      <c r="D6" s="9" t="s">
        <v>2268</v>
      </c>
      <c r="E6" s="9" t="s">
        <v>2269</v>
      </c>
      <c r="F6" s="10" t="s">
        <v>2270</v>
      </c>
      <c r="G6" s="552"/>
      <c r="H6" s="552"/>
      <c r="I6" s="552"/>
      <c r="J6" s="552"/>
      <c r="K6" s="552"/>
      <c r="L6" s="552"/>
      <c r="M6" s="552"/>
      <c r="N6" s="552"/>
      <c r="O6" s="552"/>
      <c r="P6" s="552"/>
      <c r="Q6" s="552"/>
      <c r="R6" s="552"/>
      <c r="S6" s="552"/>
      <c r="T6" s="552"/>
      <c r="U6" s="552"/>
      <c r="V6" s="552"/>
      <c r="W6" s="552"/>
      <c r="X6" s="552"/>
      <c r="Y6" s="552"/>
      <c r="Z6" s="552"/>
    </row>
    <row r="7" spans="1:26" ht="94.5" customHeight="1">
      <c r="A7" s="6">
        <v>2</v>
      </c>
      <c r="B7" s="7" t="s">
        <v>5</v>
      </c>
      <c r="C7" s="8" t="s">
        <v>2271</v>
      </c>
      <c r="D7" s="9" t="s">
        <v>2268</v>
      </c>
      <c r="E7" s="9" t="s">
        <v>2269</v>
      </c>
      <c r="F7" s="10" t="s">
        <v>2270</v>
      </c>
      <c r="G7" s="552"/>
      <c r="H7" s="552"/>
      <c r="I7" s="552"/>
      <c r="J7" s="552"/>
      <c r="K7" s="552"/>
      <c r="L7" s="552"/>
      <c r="M7" s="552"/>
      <c r="N7" s="552"/>
      <c r="O7" s="552"/>
      <c r="P7" s="552"/>
      <c r="Q7" s="552"/>
      <c r="R7" s="552"/>
      <c r="S7" s="552"/>
      <c r="T7" s="552"/>
      <c r="U7" s="552"/>
      <c r="V7" s="552"/>
      <c r="W7" s="552"/>
      <c r="X7" s="552"/>
      <c r="Y7" s="552"/>
      <c r="Z7" s="552"/>
    </row>
    <row r="8" spans="1:26" ht="94.5" customHeight="1">
      <c r="A8" s="6">
        <v>3</v>
      </c>
      <c r="B8" s="7" t="s">
        <v>6</v>
      </c>
      <c r="C8" s="8" t="s">
        <v>2272</v>
      </c>
      <c r="D8" s="9" t="s">
        <v>2273</v>
      </c>
      <c r="E8" s="9" t="s">
        <v>2269</v>
      </c>
      <c r="F8" s="10" t="s">
        <v>2274</v>
      </c>
      <c r="G8" s="552"/>
      <c r="H8" s="552"/>
      <c r="I8" s="552"/>
      <c r="J8" s="552"/>
      <c r="K8" s="552"/>
      <c r="L8" s="552"/>
      <c r="M8" s="552"/>
      <c r="N8" s="552"/>
      <c r="O8" s="552"/>
      <c r="P8" s="552"/>
      <c r="Q8" s="552"/>
      <c r="R8" s="552"/>
      <c r="S8" s="552"/>
      <c r="T8" s="552"/>
      <c r="U8" s="552"/>
      <c r="V8" s="552"/>
      <c r="W8" s="552"/>
      <c r="X8" s="552"/>
      <c r="Y8" s="552"/>
      <c r="Z8" s="552"/>
    </row>
    <row r="9" spans="1:26" ht="94.5" customHeight="1">
      <c r="A9" s="6">
        <v>4</v>
      </c>
      <c r="B9" s="7" t="s">
        <v>7</v>
      </c>
      <c r="C9" s="8" t="s">
        <v>2275</v>
      </c>
      <c r="D9" s="9" t="s">
        <v>2273</v>
      </c>
      <c r="E9" s="9" t="s">
        <v>2269</v>
      </c>
      <c r="F9" s="10" t="s">
        <v>2276</v>
      </c>
      <c r="G9" s="552"/>
      <c r="H9" s="552"/>
      <c r="I9" s="552"/>
      <c r="J9" s="552"/>
      <c r="K9" s="552"/>
      <c r="L9" s="552"/>
      <c r="M9" s="552"/>
      <c r="N9" s="552"/>
      <c r="O9" s="552"/>
      <c r="P9" s="552"/>
      <c r="Q9" s="552"/>
      <c r="R9" s="552"/>
      <c r="S9" s="552"/>
      <c r="T9" s="552"/>
      <c r="U9" s="552"/>
      <c r="V9" s="552"/>
      <c r="W9" s="552"/>
      <c r="X9" s="552"/>
      <c r="Y9" s="552"/>
      <c r="Z9" s="552"/>
    </row>
    <row r="10" spans="1:26" ht="94.5" customHeight="1">
      <c r="A10" s="6">
        <v>5</v>
      </c>
      <c r="B10" s="7" t="s">
        <v>8</v>
      </c>
      <c r="C10" s="8" t="s">
        <v>2277</v>
      </c>
      <c r="D10" s="9" t="s">
        <v>2273</v>
      </c>
      <c r="E10" s="9" t="s">
        <v>2269</v>
      </c>
      <c r="F10" s="10" t="s">
        <v>2278</v>
      </c>
      <c r="G10" s="552"/>
      <c r="H10" s="552"/>
      <c r="I10" s="552"/>
      <c r="J10" s="552"/>
      <c r="K10" s="552"/>
      <c r="L10" s="552"/>
      <c r="M10" s="552"/>
      <c r="N10" s="552"/>
      <c r="O10" s="552"/>
      <c r="P10" s="552"/>
      <c r="Q10" s="552"/>
      <c r="R10" s="552"/>
      <c r="S10" s="552"/>
      <c r="T10" s="552"/>
      <c r="U10" s="552"/>
      <c r="V10" s="552"/>
      <c r="W10" s="552"/>
      <c r="X10" s="552"/>
      <c r="Y10" s="552"/>
      <c r="Z10" s="552"/>
    </row>
    <row r="11" spans="1:26" ht="94.5" customHeight="1">
      <c r="A11" s="6">
        <v>6</v>
      </c>
      <c r="B11" s="7" t="s">
        <v>9</v>
      </c>
      <c r="C11" s="8" t="s">
        <v>2279</v>
      </c>
      <c r="D11" s="9" t="s">
        <v>2273</v>
      </c>
      <c r="E11" s="9" t="s">
        <v>2269</v>
      </c>
      <c r="F11" s="10" t="s">
        <v>2280</v>
      </c>
      <c r="G11" s="552"/>
      <c r="H11" s="552"/>
      <c r="I11" s="552"/>
      <c r="J11" s="552"/>
      <c r="K11" s="552"/>
      <c r="L11" s="552"/>
      <c r="M11" s="552"/>
      <c r="N11" s="552"/>
      <c r="O11" s="552"/>
      <c r="P11" s="552"/>
      <c r="Q11" s="552"/>
      <c r="R11" s="552"/>
      <c r="S11" s="552"/>
      <c r="T11" s="552"/>
      <c r="U11" s="552"/>
      <c r="V11" s="552"/>
      <c r="W11" s="552"/>
      <c r="X11" s="552"/>
      <c r="Y11" s="552"/>
      <c r="Z11" s="552"/>
    </row>
    <row r="12" spans="1:26" ht="94.5" customHeight="1">
      <c r="A12" s="6">
        <v>7</v>
      </c>
      <c r="B12" s="7" t="s">
        <v>10</v>
      </c>
      <c r="C12" s="8" t="s">
        <v>2281</v>
      </c>
      <c r="D12" s="9" t="s">
        <v>2273</v>
      </c>
      <c r="E12" s="9" t="s">
        <v>2269</v>
      </c>
      <c r="F12" s="10" t="s">
        <v>2282</v>
      </c>
      <c r="G12" s="552"/>
      <c r="H12" s="552"/>
      <c r="I12" s="552"/>
      <c r="J12" s="552"/>
      <c r="K12" s="552"/>
      <c r="L12" s="552"/>
      <c r="M12" s="552"/>
      <c r="N12" s="552"/>
      <c r="O12" s="552"/>
      <c r="P12" s="552"/>
      <c r="Q12" s="552"/>
      <c r="R12" s="552"/>
      <c r="S12" s="552"/>
      <c r="T12" s="552"/>
      <c r="U12" s="552"/>
      <c r="V12" s="552"/>
      <c r="W12" s="552"/>
      <c r="X12" s="552"/>
      <c r="Y12" s="552"/>
      <c r="Z12" s="552"/>
    </row>
    <row r="13" spans="1:26" ht="94.5" customHeight="1">
      <c r="A13" s="6">
        <v>8</v>
      </c>
      <c r="B13" s="7" t="s">
        <v>11</v>
      </c>
      <c r="C13" s="8" t="s">
        <v>2283</v>
      </c>
      <c r="D13" s="9" t="s">
        <v>2268</v>
      </c>
      <c r="E13" s="9" t="s">
        <v>2269</v>
      </c>
      <c r="F13" s="10" t="s">
        <v>2270</v>
      </c>
      <c r="G13" s="552"/>
      <c r="H13" s="552"/>
      <c r="I13" s="552"/>
      <c r="J13" s="552"/>
      <c r="K13" s="552"/>
      <c r="L13" s="552"/>
      <c r="M13" s="552"/>
      <c r="N13" s="552"/>
      <c r="O13" s="552"/>
      <c r="P13" s="552"/>
      <c r="Q13" s="552"/>
      <c r="R13" s="552"/>
      <c r="S13" s="552"/>
      <c r="T13" s="552"/>
      <c r="U13" s="552"/>
      <c r="V13" s="552"/>
      <c r="W13" s="552"/>
      <c r="X13" s="552"/>
      <c r="Y13" s="552"/>
      <c r="Z13" s="552"/>
    </row>
    <row r="14" spans="1:26" ht="94.5" customHeight="1">
      <c r="A14" s="6">
        <v>9</v>
      </c>
      <c r="B14" s="7" t="s">
        <v>13</v>
      </c>
      <c r="C14" s="8" t="s">
        <v>2284</v>
      </c>
      <c r="D14" s="9" t="s">
        <v>2273</v>
      </c>
      <c r="E14" s="9" t="s">
        <v>2269</v>
      </c>
      <c r="F14" s="10" t="s">
        <v>2285</v>
      </c>
      <c r="G14" s="552"/>
      <c r="H14" s="552"/>
      <c r="I14" s="552"/>
      <c r="J14" s="552"/>
      <c r="K14" s="552"/>
      <c r="L14" s="552"/>
      <c r="M14" s="552"/>
      <c r="N14" s="552"/>
      <c r="O14" s="552"/>
      <c r="P14" s="552"/>
      <c r="Q14" s="552"/>
      <c r="R14" s="552"/>
      <c r="S14" s="552"/>
      <c r="T14" s="552"/>
      <c r="U14" s="552"/>
      <c r="V14" s="552"/>
      <c r="W14" s="552"/>
      <c r="X14" s="552"/>
      <c r="Y14" s="552"/>
      <c r="Z14" s="552"/>
    </row>
    <row r="15" spans="1:26" ht="94.5" customHeight="1">
      <c r="A15" s="6">
        <v>10</v>
      </c>
      <c r="B15" s="7" t="s">
        <v>14</v>
      </c>
      <c r="C15" s="8" t="s">
        <v>2286</v>
      </c>
      <c r="D15" s="9" t="s">
        <v>2268</v>
      </c>
      <c r="E15" s="9" t="s">
        <v>2269</v>
      </c>
      <c r="F15" s="10" t="s">
        <v>2270</v>
      </c>
      <c r="G15" s="552"/>
      <c r="H15" s="552"/>
      <c r="I15" s="552"/>
      <c r="J15" s="552"/>
      <c r="K15" s="552"/>
      <c r="L15" s="552"/>
      <c r="M15" s="552"/>
      <c r="N15" s="552"/>
      <c r="O15" s="552"/>
      <c r="P15" s="552"/>
      <c r="Q15" s="552"/>
      <c r="R15" s="552"/>
      <c r="S15" s="552"/>
      <c r="T15" s="552"/>
      <c r="U15" s="552"/>
      <c r="V15" s="552"/>
      <c r="W15" s="552"/>
      <c r="X15" s="552"/>
      <c r="Y15" s="552"/>
      <c r="Z15" s="552"/>
    </row>
    <row r="16" spans="1:26" ht="94.5" customHeight="1">
      <c r="A16" s="6">
        <v>11</v>
      </c>
      <c r="B16" s="7" t="s">
        <v>2287</v>
      </c>
      <c r="C16" s="8" t="s">
        <v>2288</v>
      </c>
      <c r="D16" s="9" t="s">
        <v>2268</v>
      </c>
      <c r="E16" s="9" t="s">
        <v>2269</v>
      </c>
      <c r="F16" s="10" t="s">
        <v>2270</v>
      </c>
      <c r="G16" s="552"/>
      <c r="H16" s="552"/>
      <c r="I16" s="552"/>
      <c r="J16" s="552"/>
      <c r="K16" s="552"/>
      <c r="L16" s="552"/>
      <c r="M16" s="552"/>
      <c r="N16" s="552"/>
      <c r="O16" s="552"/>
      <c r="P16" s="552"/>
      <c r="Q16" s="552"/>
      <c r="R16" s="552"/>
      <c r="S16" s="552"/>
      <c r="T16" s="552"/>
      <c r="U16" s="552"/>
      <c r="V16" s="552"/>
      <c r="W16" s="552"/>
      <c r="X16" s="552"/>
      <c r="Y16" s="552"/>
      <c r="Z16" s="552"/>
    </row>
    <row r="17" spans="1:26" ht="94.5" customHeight="1">
      <c r="A17" s="6">
        <v>12</v>
      </c>
      <c r="B17" s="7" t="s">
        <v>16</v>
      </c>
      <c r="C17" s="8" t="s">
        <v>2289</v>
      </c>
      <c r="D17" s="9" t="s">
        <v>2273</v>
      </c>
      <c r="E17" s="9" t="s">
        <v>2269</v>
      </c>
      <c r="F17" s="10" t="s">
        <v>2290</v>
      </c>
      <c r="G17" s="552"/>
      <c r="H17" s="552"/>
      <c r="I17" s="552"/>
      <c r="J17" s="552"/>
      <c r="K17" s="552"/>
      <c r="L17" s="552"/>
      <c r="M17" s="552"/>
      <c r="N17" s="552"/>
      <c r="O17" s="552"/>
      <c r="P17" s="552"/>
      <c r="Q17" s="552"/>
      <c r="R17" s="552"/>
      <c r="S17" s="552"/>
      <c r="T17" s="552"/>
      <c r="U17" s="552"/>
      <c r="V17" s="552"/>
      <c r="W17" s="552"/>
      <c r="X17" s="552"/>
      <c r="Y17" s="552"/>
      <c r="Z17" s="552"/>
    </row>
    <row r="18" spans="1:26" ht="94.5" customHeight="1">
      <c r="A18" s="6">
        <v>13</v>
      </c>
      <c r="B18" s="7" t="s">
        <v>17</v>
      </c>
      <c r="C18" s="8" t="s">
        <v>2291</v>
      </c>
      <c r="D18" s="9" t="s">
        <v>2273</v>
      </c>
      <c r="E18" s="9" t="s">
        <v>2269</v>
      </c>
      <c r="F18" s="10" t="s">
        <v>2292</v>
      </c>
      <c r="G18" s="552"/>
      <c r="H18" s="552"/>
      <c r="I18" s="552"/>
      <c r="J18" s="552"/>
      <c r="K18" s="552"/>
      <c r="L18" s="552"/>
      <c r="M18" s="552"/>
      <c r="N18" s="552"/>
      <c r="O18" s="552"/>
      <c r="P18" s="552"/>
      <c r="Q18" s="552"/>
      <c r="R18" s="552"/>
      <c r="S18" s="552"/>
      <c r="T18" s="552"/>
      <c r="U18" s="552"/>
      <c r="V18" s="552"/>
      <c r="W18" s="552"/>
      <c r="X18" s="552"/>
      <c r="Y18" s="552"/>
      <c r="Z18" s="552"/>
    </row>
    <row r="19" spans="1:26" ht="94.5" customHeight="1">
      <c r="A19" s="6">
        <v>14</v>
      </c>
      <c r="B19" s="7" t="s">
        <v>18</v>
      </c>
      <c r="C19" s="8" t="s">
        <v>2293</v>
      </c>
      <c r="D19" s="9" t="s">
        <v>2273</v>
      </c>
      <c r="E19" s="9" t="s">
        <v>2269</v>
      </c>
      <c r="F19" s="10" t="s">
        <v>2294</v>
      </c>
      <c r="G19" s="552"/>
      <c r="H19" s="552"/>
      <c r="I19" s="552"/>
      <c r="J19" s="552"/>
      <c r="K19" s="552"/>
      <c r="L19" s="552"/>
      <c r="M19" s="552"/>
      <c r="N19" s="552"/>
      <c r="O19" s="552"/>
      <c r="P19" s="552"/>
      <c r="Q19" s="552"/>
      <c r="R19" s="552"/>
      <c r="S19" s="552"/>
      <c r="T19" s="552"/>
      <c r="U19" s="552"/>
      <c r="V19" s="552"/>
      <c r="W19" s="552"/>
      <c r="X19" s="552"/>
      <c r="Y19" s="552"/>
      <c r="Z19" s="552"/>
    </row>
    <row r="20" spans="1:26" ht="94.5" customHeight="1">
      <c r="A20" s="6">
        <v>15</v>
      </c>
      <c r="B20" s="7" t="s">
        <v>2295</v>
      </c>
      <c r="C20" s="8" t="s">
        <v>2296</v>
      </c>
      <c r="D20" s="9" t="s">
        <v>2273</v>
      </c>
      <c r="E20" s="9" t="s">
        <v>2269</v>
      </c>
      <c r="F20" s="10" t="s">
        <v>2297</v>
      </c>
      <c r="G20" s="552"/>
      <c r="H20" s="552"/>
      <c r="I20" s="552"/>
      <c r="J20" s="552"/>
      <c r="K20" s="552"/>
      <c r="L20" s="552"/>
      <c r="M20" s="552"/>
      <c r="N20" s="552"/>
      <c r="O20" s="552"/>
      <c r="P20" s="552"/>
      <c r="Q20" s="552"/>
      <c r="R20" s="552"/>
      <c r="S20" s="552"/>
      <c r="T20" s="552"/>
      <c r="U20" s="552"/>
      <c r="V20" s="552"/>
      <c r="W20" s="552"/>
      <c r="X20" s="552"/>
      <c r="Y20" s="552"/>
      <c r="Z20" s="552"/>
    </row>
    <row r="21" spans="1:26" ht="94.5" customHeight="1">
      <c r="A21" s="6">
        <v>16</v>
      </c>
      <c r="B21" s="7" t="s">
        <v>20</v>
      </c>
      <c r="C21" s="8" t="s">
        <v>2298</v>
      </c>
      <c r="D21" s="9" t="s">
        <v>2273</v>
      </c>
      <c r="E21" s="9" t="s">
        <v>2269</v>
      </c>
      <c r="F21" s="10" t="s">
        <v>2299</v>
      </c>
      <c r="G21" s="552"/>
      <c r="H21" s="552"/>
      <c r="I21" s="552"/>
      <c r="J21" s="552"/>
      <c r="K21" s="552"/>
      <c r="L21" s="552"/>
      <c r="M21" s="552"/>
      <c r="N21" s="552"/>
      <c r="O21" s="552"/>
      <c r="P21" s="552"/>
      <c r="Q21" s="552"/>
      <c r="R21" s="552"/>
      <c r="S21" s="552"/>
      <c r="T21" s="552"/>
      <c r="U21" s="552"/>
      <c r="V21" s="552"/>
      <c r="W21" s="552"/>
      <c r="X21" s="552"/>
      <c r="Y21" s="552"/>
      <c r="Z21" s="552"/>
    </row>
    <row r="22" spans="1:26" ht="94.5" customHeight="1">
      <c r="A22" s="6">
        <v>17</v>
      </c>
      <c r="B22" s="7" t="s">
        <v>21</v>
      </c>
      <c r="C22" s="8" t="s">
        <v>2300</v>
      </c>
      <c r="D22" s="9" t="s">
        <v>2268</v>
      </c>
      <c r="E22" s="9" t="s">
        <v>2301</v>
      </c>
      <c r="F22" s="10" t="s">
        <v>2270</v>
      </c>
      <c r="G22" s="552"/>
      <c r="H22" s="552"/>
      <c r="I22" s="552"/>
      <c r="J22" s="552"/>
      <c r="K22" s="552"/>
      <c r="L22" s="552"/>
      <c r="M22" s="552"/>
      <c r="N22" s="552"/>
      <c r="O22" s="552"/>
      <c r="P22" s="552"/>
      <c r="Q22" s="552"/>
      <c r="R22" s="552"/>
      <c r="S22" s="552"/>
      <c r="T22" s="552"/>
      <c r="U22" s="552"/>
      <c r="V22" s="552"/>
      <c r="W22" s="552"/>
      <c r="X22" s="552"/>
      <c r="Y22" s="552"/>
      <c r="Z22" s="552"/>
    </row>
    <row r="23" spans="1:26" ht="94.5" customHeight="1">
      <c r="A23" s="6">
        <v>18</v>
      </c>
      <c r="B23" s="7" t="s">
        <v>22</v>
      </c>
      <c r="C23" s="8" t="s">
        <v>2302</v>
      </c>
      <c r="D23" s="9" t="s">
        <v>2273</v>
      </c>
      <c r="E23" s="9" t="s">
        <v>2301</v>
      </c>
      <c r="F23" s="10" t="s">
        <v>2303</v>
      </c>
      <c r="G23" s="552"/>
      <c r="H23" s="552"/>
      <c r="I23" s="552"/>
      <c r="J23" s="552"/>
      <c r="K23" s="552"/>
      <c r="L23" s="552"/>
      <c r="M23" s="552"/>
      <c r="N23" s="552"/>
      <c r="O23" s="552"/>
      <c r="P23" s="552"/>
      <c r="Q23" s="552"/>
      <c r="R23" s="552"/>
      <c r="S23" s="552"/>
      <c r="T23" s="552"/>
      <c r="U23" s="552"/>
      <c r="V23" s="552"/>
      <c r="W23" s="552"/>
      <c r="X23" s="552"/>
      <c r="Y23" s="552"/>
      <c r="Z23" s="552"/>
    </row>
    <row r="24" spans="1:26" ht="94.5" customHeight="1">
      <c r="A24" s="11">
        <v>19</v>
      </c>
      <c r="B24" s="7" t="s">
        <v>23</v>
      </c>
      <c r="C24" s="8" t="s">
        <v>2304</v>
      </c>
      <c r="D24" s="9" t="s">
        <v>2273</v>
      </c>
      <c r="E24" s="9" t="s">
        <v>2301</v>
      </c>
      <c r="F24" s="10" t="s">
        <v>2305</v>
      </c>
      <c r="G24" s="552"/>
      <c r="H24" s="552"/>
      <c r="I24" s="552"/>
      <c r="J24" s="552"/>
      <c r="K24" s="552"/>
      <c r="L24" s="552"/>
      <c r="M24" s="552"/>
      <c r="N24" s="552"/>
      <c r="O24" s="552"/>
      <c r="P24" s="552"/>
      <c r="Q24" s="552"/>
      <c r="R24" s="552"/>
      <c r="S24" s="552"/>
      <c r="T24" s="552"/>
      <c r="U24" s="552"/>
      <c r="V24" s="552"/>
      <c r="W24" s="552"/>
      <c r="X24" s="552"/>
      <c r="Y24" s="552"/>
      <c r="Z24" s="552"/>
    </row>
    <row r="25" spans="1:26" ht="94.5" customHeight="1">
      <c r="A25" s="12">
        <v>20</v>
      </c>
      <c r="B25" s="13" t="s">
        <v>24</v>
      </c>
      <c r="C25" s="14" t="s">
        <v>2306</v>
      </c>
      <c r="D25" s="9" t="s">
        <v>2268</v>
      </c>
      <c r="E25" s="9" t="s">
        <v>2301</v>
      </c>
      <c r="F25" s="10" t="s">
        <v>2270</v>
      </c>
      <c r="G25" s="552"/>
      <c r="H25" s="552"/>
      <c r="I25" s="552"/>
      <c r="J25" s="552"/>
      <c r="K25" s="552"/>
      <c r="L25" s="552"/>
      <c r="M25" s="552"/>
      <c r="N25" s="552"/>
      <c r="O25" s="552"/>
      <c r="P25" s="552"/>
      <c r="Q25" s="552"/>
      <c r="R25" s="552"/>
      <c r="S25" s="552"/>
      <c r="T25" s="552"/>
      <c r="U25" s="552"/>
      <c r="V25" s="552"/>
      <c r="W25" s="552"/>
      <c r="X25" s="552"/>
      <c r="Y25" s="552"/>
      <c r="Z25" s="552"/>
    </row>
    <row r="26" spans="1:26" ht="94.5" customHeight="1">
      <c r="A26" s="12">
        <v>21</v>
      </c>
      <c r="B26" s="15" t="s">
        <v>25</v>
      </c>
      <c r="C26" s="16" t="s">
        <v>2307</v>
      </c>
      <c r="D26" s="17" t="s">
        <v>2268</v>
      </c>
      <c r="E26" s="17" t="s">
        <v>2269</v>
      </c>
      <c r="F26" s="18" t="s">
        <v>2270</v>
      </c>
      <c r="G26" s="552"/>
      <c r="H26" s="552"/>
      <c r="I26" s="552"/>
      <c r="J26" s="552"/>
      <c r="K26" s="552"/>
      <c r="L26" s="552"/>
      <c r="M26" s="552"/>
      <c r="N26" s="552"/>
      <c r="O26" s="552"/>
      <c r="P26" s="552"/>
      <c r="Q26" s="552"/>
      <c r="R26" s="552"/>
      <c r="S26" s="552"/>
      <c r="T26" s="552"/>
      <c r="U26" s="552"/>
      <c r="V26" s="552"/>
      <c r="W26" s="552"/>
      <c r="X26" s="552"/>
      <c r="Y26" s="552"/>
      <c r="Z26" s="552"/>
    </row>
    <row r="27" spans="1:26" ht="12.75" customHeight="1">
      <c r="A27" s="553"/>
      <c r="B27" s="552"/>
      <c r="C27" s="554"/>
      <c r="D27" s="552"/>
      <c r="E27" s="552"/>
      <c r="F27" s="555"/>
      <c r="G27" s="552"/>
      <c r="H27" s="552"/>
      <c r="I27" s="552"/>
      <c r="J27" s="552"/>
      <c r="K27" s="552"/>
      <c r="L27" s="552"/>
      <c r="M27" s="552"/>
      <c r="N27" s="552"/>
      <c r="O27" s="552"/>
      <c r="P27" s="552"/>
      <c r="Q27" s="552"/>
      <c r="R27" s="552"/>
      <c r="S27" s="552"/>
      <c r="T27" s="552"/>
      <c r="U27" s="552"/>
      <c r="V27" s="552"/>
      <c r="W27" s="552"/>
      <c r="X27" s="552"/>
      <c r="Y27" s="552"/>
      <c r="Z27" s="552"/>
    </row>
    <row r="28" spans="1:26" ht="12.75" customHeight="1">
      <c r="A28" s="553"/>
      <c r="B28" s="552"/>
      <c r="C28" s="554"/>
      <c r="D28" s="552"/>
      <c r="E28" s="552"/>
      <c r="F28" s="555"/>
      <c r="G28" s="552"/>
      <c r="H28" s="552"/>
      <c r="I28" s="552"/>
      <c r="J28" s="552"/>
      <c r="K28" s="552"/>
      <c r="L28" s="552"/>
      <c r="M28" s="552"/>
      <c r="N28" s="552"/>
      <c r="O28" s="552"/>
      <c r="P28" s="552"/>
      <c r="Q28" s="552"/>
      <c r="R28" s="552"/>
      <c r="S28" s="552"/>
      <c r="T28" s="552"/>
      <c r="U28" s="552"/>
      <c r="V28" s="552"/>
      <c r="W28" s="552"/>
      <c r="X28" s="552"/>
      <c r="Y28" s="552"/>
      <c r="Z28" s="552"/>
    </row>
    <row r="29" spans="1:26" ht="12.75" customHeight="1">
      <c r="A29" s="553"/>
      <c r="B29" s="552"/>
      <c r="C29" s="554"/>
      <c r="D29" s="552"/>
      <c r="E29" s="552"/>
      <c r="F29" s="555"/>
      <c r="G29" s="552"/>
      <c r="H29" s="552"/>
      <c r="I29" s="552"/>
      <c r="J29" s="552"/>
      <c r="K29" s="552"/>
      <c r="L29" s="552"/>
      <c r="M29" s="552"/>
      <c r="N29" s="552"/>
      <c r="O29" s="552"/>
      <c r="P29" s="552"/>
      <c r="Q29" s="552"/>
      <c r="R29" s="552"/>
      <c r="S29" s="552"/>
      <c r="T29" s="552"/>
      <c r="U29" s="552"/>
      <c r="V29" s="552"/>
      <c r="W29" s="552"/>
      <c r="X29" s="552"/>
      <c r="Y29" s="552"/>
      <c r="Z29" s="552"/>
    </row>
    <row r="30" spans="1:26" ht="12.75" customHeight="1">
      <c r="A30" s="553"/>
      <c r="B30" s="552"/>
      <c r="C30" s="554"/>
      <c r="D30" s="552"/>
      <c r="E30" s="552"/>
      <c r="F30" s="555"/>
      <c r="G30" s="552"/>
      <c r="H30" s="552"/>
      <c r="I30" s="552"/>
      <c r="J30" s="552"/>
      <c r="K30" s="552"/>
      <c r="L30" s="552"/>
      <c r="M30" s="552"/>
      <c r="N30" s="552"/>
      <c r="O30" s="552"/>
      <c r="P30" s="552"/>
      <c r="Q30" s="552"/>
      <c r="R30" s="552"/>
      <c r="S30" s="552"/>
      <c r="T30" s="552"/>
      <c r="U30" s="552"/>
      <c r="V30" s="552"/>
      <c r="W30" s="552"/>
      <c r="X30" s="552"/>
      <c r="Y30" s="552"/>
      <c r="Z30" s="552"/>
    </row>
    <row r="31" spans="1:26" ht="12.75" customHeight="1">
      <c r="A31" s="553"/>
      <c r="B31" s="552"/>
      <c r="C31" s="554"/>
      <c r="D31" s="552"/>
      <c r="E31" s="552"/>
      <c r="F31" s="555"/>
      <c r="G31" s="552"/>
      <c r="H31" s="552"/>
      <c r="I31" s="552"/>
      <c r="J31" s="552"/>
      <c r="K31" s="552"/>
      <c r="L31" s="552"/>
      <c r="M31" s="552"/>
      <c r="N31" s="552"/>
      <c r="O31" s="552"/>
      <c r="P31" s="552"/>
      <c r="Q31" s="552"/>
      <c r="R31" s="552"/>
      <c r="S31" s="552"/>
      <c r="T31" s="552"/>
      <c r="U31" s="552"/>
      <c r="V31" s="552"/>
      <c r="W31" s="552"/>
      <c r="X31" s="552"/>
      <c r="Y31" s="552"/>
      <c r="Z31" s="552"/>
    </row>
    <row r="32" spans="1:26" ht="12.75" customHeight="1">
      <c r="A32" s="553"/>
      <c r="B32" s="552"/>
      <c r="C32" s="554"/>
      <c r="D32" s="552"/>
      <c r="E32" s="552"/>
      <c r="F32" s="555"/>
      <c r="G32" s="552"/>
      <c r="H32" s="552"/>
      <c r="I32" s="552"/>
      <c r="J32" s="552"/>
      <c r="K32" s="552"/>
      <c r="L32" s="552"/>
      <c r="M32" s="552"/>
      <c r="N32" s="552"/>
      <c r="O32" s="552"/>
      <c r="P32" s="552"/>
      <c r="Q32" s="552"/>
      <c r="R32" s="552"/>
      <c r="S32" s="552"/>
      <c r="T32" s="552"/>
      <c r="U32" s="552"/>
      <c r="V32" s="552"/>
      <c r="W32" s="552"/>
      <c r="X32" s="552"/>
      <c r="Y32" s="552"/>
      <c r="Z32" s="552"/>
    </row>
    <row r="33" spans="1:26" ht="12.75" customHeight="1">
      <c r="A33" s="553"/>
      <c r="B33" s="552"/>
      <c r="C33" s="554"/>
      <c r="D33" s="552"/>
      <c r="E33" s="552"/>
      <c r="F33" s="555"/>
      <c r="G33" s="552"/>
      <c r="H33" s="552"/>
      <c r="I33" s="552"/>
      <c r="J33" s="552"/>
      <c r="K33" s="552"/>
      <c r="L33" s="552"/>
      <c r="M33" s="552"/>
      <c r="N33" s="552"/>
      <c r="O33" s="552"/>
      <c r="P33" s="552"/>
      <c r="Q33" s="552"/>
      <c r="R33" s="552"/>
      <c r="S33" s="552"/>
      <c r="T33" s="552"/>
      <c r="U33" s="552"/>
      <c r="V33" s="552"/>
      <c r="W33" s="552"/>
      <c r="X33" s="552"/>
      <c r="Y33" s="552"/>
      <c r="Z33" s="552"/>
    </row>
    <row r="34" spans="1:26" ht="12.75" customHeight="1">
      <c r="A34" s="553"/>
      <c r="B34" s="552"/>
      <c r="C34" s="554"/>
      <c r="D34" s="552"/>
      <c r="E34" s="552"/>
      <c r="F34" s="555"/>
      <c r="G34" s="552"/>
      <c r="H34" s="552"/>
      <c r="I34" s="552"/>
      <c r="J34" s="552"/>
      <c r="K34" s="552"/>
      <c r="L34" s="552"/>
      <c r="M34" s="552"/>
      <c r="N34" s="552"/>
      <c r="O34" s="552"/>
      <c r="P34" s="552"/>
      <c r="Q34" s="552"/>
      <c r="R34" s="552"/>
      <c r="S34" s="552"/>
      <c r="T34" s="552"/>
      <c r="U34" s="552"/>
      <c r="V34" s="552"/>
      <c r="W34" s="552"/>
      <c r="X34" s="552"/>
      <c r="Y34" s="552"/>
      <c r="Z34" s="552"/>
    </row>
    <row r="35" spans="1:26" ht="12.75" customHeight="1">
      <c r="A35" s="553"/>
      <c r="B35" s="552"/>
      <c r="C35" s="554"/>
      <c r="D35" s="552"/>
      <c r="E35" s="552"/>
      <c r="F35" s="555"/>
      <c r="G35" s="552"/>
      <c r="H35" s="552"/>
      <c r="I35" s="552"/>
      <c r="J35" s="552"/>
      <c r="K35" s="552"/>
      <c r="L35" s="552"/>
      <c r="M35" s="552"/>
      <c r="N35" s="552"/>
      <c r="O35" s="552"/>
      <c r="P35" s="552"/>
      <c r="Q35" s="552"/>
      <c r="R35" s="552"/>
      <c r="S35" s="552"/>
      <c r="T35" s="552"/>
      <c r="U35" s="552"/>
      <c r="V35" s="552"/>
      <c r="W35" s="552"/>
      <c r="X35" s="552"/>
      <c r="Y35" s="552"/>
      <c r="Z35" s="552"/>
    </row>
    <row r="36" spans="1:26" ht="12.75" customHeight="1">
      <c r="A36" s="553"/>
      <c r="B36" s="552"/>
      <c r="C36" s="554"/>
      <c r="D36" s="552"/>
      <c r="E36" s="552"/>
      <c r="F36" s="555"/>
      <c r="G36" s="552"/>
      <c r="H36" s="552"/>
      <c r="I36" s="552"/>
      <c r="J36" s="552"/>
      <c r="K36" s="552"/>
      <c r="L36" s="552"/>
      <c r="M36" s="552"/>
      <c r="N36" s="552"/>
      <c r="O36" s="552"/>
      <c r="P36" s="552"/>
      <c r="Q36" s="552"/>
      <c r="R36" s="552"/>
      <c r="S36" s="552"/>
      <c r="T36" s="552"/>
      <c r="U36" s="552"/>
      <c r="V36" s="552"/>
      <c r="W36" s="552"/>
      <c r="X36" s="552"/>
      <c r="Y36" s="552"/>
      <c r="Z36" s="552"/>
    </row>
    <row r="37" spans="1:26" ht="12.75" customHeight="1">
      <c r="A37" s="553"/>
      <c r="B37" s="552"/>
      <c r="C37" s="554"/>
      <c r="D37" s="552"/>
      <c r="E37" s="552"/>
      <c r="F37" s="555"/>
      <c r="G37" s="552"/>
      <c r="H37" s="552"/>
      <c r="I37" s="552"/>
      <c r="J37" s="552"/>
      <c r="K37" s="552"/>
      <c r="L37" s="552"/>
      <c r="M37" s="552"/>
      <c r="N37" s="552"/>
      <c r="O37" s="552"/>
      <c r="P37" s="552"/>
      <c r="Q37" s="552"/>
      <c r="R37" s="552"/>
      <c r="S37" s="552"/>
      <c r="T37" s="552"/>
      <c r="U37" s="552"/>
      <c r="V37" s="552"/>
      <c r="W37" s="552"/>
      <c r="X37" s="552"/>
      <c r="Y37" s="552"/>
      <c r="Z37" s="552"/>
    </row>
    <row r="38" spans="1:26" ht="12.75" customHeight="1">
      <c r="A38" s="553"/>
      <c r="B38" s="552"/>
      <c r="C38" s="554"/>
      <c r="D38" s="552"/>
      <c r="E38" s="552"/>
      <c r="F38" s="555"/>
      <c r="G38" s="552"/>
      <c r="H38" s="552"/>
      <c r="I38" s="552"/>
      <c r="J38" s="552"/>
      <c r="K38" s="552"/>
      <c r="L38" s="552"/>
      <c r="M38" s="552"/>
      <c r="N38" s="552"/>
      <c r="O38" s="552"/>
      <c r="P38" s="552"/>
      <c r="Q38" s="552"/>
      <c r="R38" s="552"/>
      <c r="S38" s="552"/>
      <c r="T38" s="552"/>
      <c r="U38" s="552"/>
      <c r="V38" s="552"/>
      <c r="W38" s="552"/>
      <c r="X38" s="552"/>
      <c r="Y38" s="552"/>
      <c r="Z38" s="552"/>
    </row>
    <row r="39" spans="1:26" ht="12.75" customHeight="1">
      <c r="A39" s="553"/>
      <c r="B39" s="552"/>
      <c r="C39" s="554"/>
      <c r="D39" s="552"/>
      <c r="E39" s="552"/>
      <c r="F39" s="555"/>
      <c r="G39" s="552"/>
      <c r="H39" s="552"/>
      <c r="I39" s="552"/>
      <c r="J39" s="552"/>
      <c r="K39" s="552"/>
      <c r="L39" s="552"/>
      <c r="M39" s="552"/>
      <c r="N39" s="552"/>
      <c r="O39" s="552"/>
      <c r="P39" s="552"/>
      <c r="Q39" s="552"/>
      <c r="R39" s="552"/>
      <c r="S39" s="552"/>
      <c r="T39" s="552"/>
      <c r="U39" s="552"/>
      <c r="V39" s="552"/>
      <c r="W39" s="552"/>
      <c r="X39" s="552"/>
      <c r="Y39" s="552"/>
      <c r="Z39" s="552"/>
    </row>
    <row r="40" spans="1:26" ht="12.75" customHeight="1">
      <c r="A40" s="553"/>
      <c r="B40" s="552"/>
      <c r="C40" s="554"/>
      <c r="D40" s="552"/>
      <c r="E40" s="552"/>
      <c r="F40" s="555"/>
      <c r="G40" s="552"/>
      <c r="H40" s="552"/>
      <c r="I40" s="552"/>
      <c r="J40" s="552"/>
      <c r="K40" s="552"/>
      <c r="L40" s="552"/>
      <c r="M40" s="552"/>
      <c r="N40" s="552"/>
      <c r="O40" s="552"/>
      <c r="P40" s="552"/>
      <c r="Q40" s="552"/>
      <c r="R40" s="552"/>
      <c r="S40" s="552"/>
      <c r="T40" s="552"/>
      <c r="U40" s="552"/>
      <c r="V40" s="552"/>
      <c r="W40" s="552"/>
      <c r="X40" s="552"/>
      <c r="Y40" s="552"/>
      <c r="Z40" s="552"/>
    </row>
    <row r="41" spans="1:26" ht="12.75" customHeight="1">
      <c r="A41" s="553"/>
      <c r="B41" s="552"/>
      <c r="C41" s="554"/>
      <c r="D41" s="552"/>
      <c r="E41" s="552"/>
      <c r="F41" s="555"/>
      <c r="G41" s="552"/>
      <c r="H41" s="552"/>
      <c r="I41" s="552"/>
      <c r="J41" s="552"/>
      <c r="K41" s="552"/>
      <c r="L41" s="552"/>
      <c r="M41" s="552"/>
      <c r="N41" s="552"/>
      <c r="O41" s="552"/>
      <c r="P41" s="552"/>
      <c r="Q41" s="552"/>
      <c r="R41" s="552"/>
      <c r="S41" s="552"/>
      <c r="T41" s="552"/>
      <c r="U41" s="552"/>
      <c r="V41" s="552"/>
      <c r="W41" s="552"/>
      <c r="X41" s="552"/>
      <c r="Y41" s="552"/>
      <c r="Z41" s="552"/>
    </row>
    <row r="42" spans="1:26" ht="12.75" customHeight="1">
      <c r="A42" s="553"/>
      <c r="B42" s="552"/>
      <c r="C42" s="554"/>
      <c r="D42" s="552"/>
      <c r="E42" s="552"/>
      <c r="F42" s="555"/>
      <c r="G42" s="552"/>
      <c r="H42" s="552"/>
      <c r="I42" s="552"/>
      <c r="J42" s="552"/>
      <c r="K42" s="552"/>
      <c r="L42" s="552"/>
      <c r="M42" s="552"/>
      <c r="N42" s="552"/>
      <c r="O42" s="552"/>
      <c r="P42" s="552"/>
      <c r="Q42" s="552"/>
      <c r="R42" s="552"/>
      <c r="S42" s="552"/>
      <c r="T42" s="552"/>
      <c r="U42" s="552"/>
      <c r="V42" s="552"/>
      <c r="W42" s="552"/>
      <c r="X42" s="552"/>
      <c r="Y42" s="552"/>
      <c r="Z42" s="552"/>
    </row>
    <row r="43" spans="1:26" ht="12.75" customHeight="1">
      <c r="A43" s="553"/>
      <c r="B43" s="552"/>
      <c r="C43" s="554"/>
      <c r="D43" s="552"/>
      <c r="E43" s="552"/>
      <c r="F43" s="555"/>
      <c r="G43" s="552"/>
      <c r="H43" s="552"/>
      <c r="I43" s="552"/>
      <c r="J43" s="552"/>
      <c r="K43" s="552"/>
      <c r="L43" s="552"/>
      <c r="M43" s="552"/>
      <c r="N43" s="552"/>
      <c r="O43" s="552"/>
      <c r="P43" s="552"/>
      <c r="Q43" s="552"/>
      <c r="R43" s="552"/>
      <c r="S43" s="552"/>
      <c r="T43" s="552"/>
      <c r="U43" s="552"/>
      <c r="V43" s="552"/>
      <c r="W43" s="552"/>
      <c r="X43" s="552"/>
      <c r="Y43" s="552"/>
      <c r="Z43" s="552"/>
    </row>
    <row r="44" spans="1:26" ht="12.75" customHeight="1">
      <c r="A44" s="553"/>
      <c r="B44" s="552"/>
      <c r="C44" s="554"/>
      <c r="D44" s="552"/>
      <c r="E44" s="552"/>
      <c r="F44" s="555"/>
      <c r="G44" s="552"/>
      <c r="H44" s="552"/>
      <c r="I44" s="552"/>
      <c r="J44" s="552"/>
      <c r="K44" s="552"/>
      <c r="L44" s="552"/>
      <c r="M44" s="552"/>
      <c r="N44" s="552"/>
      <c r="O44" s="552"/>
      <c r="P44" s="552"/>
      <c r="Q44" s="552"/>
      <c r="R44" s="552"/>
      <c r="S44" s="552"/>
      <c r="T44" s="552"/>
      <c r="U44" s="552"/>
      <c r="V44" s="552"/>
      <c r="W44" s="552"/>
      <c r="X44" s="552"/>
      <c r="Y44" s="552"/>
      <c r="Z44" s="552"/>
    </row>
    <row r="45" spans="1:26" ht="12.75" customHeight="1">
      <c r="A45" s="553"/>
      <c r="B45" s="552"/>
      <c r="C45" s="554"/>
      <c r="D45" s="552"/>
      <c r="E45" s="552"/>
      <c r="F45" s="555"/>
      <c r="G45" s="552"/>
      <c r="H45" s="552"/>
      <c r="I45" s="552"/>
      <c r="J45" s="552"/>
      <c r="K45" s="552"/>
      <c r="L45" s="552"/>
      <c r="M45" s="552"/>
      <c r="N45" s="552"/>
      <c r="O45" s="552"/>
      <c r="P45" s="552"/>
      <c r="Q45" s="552"/>
      <c r="R45" s="552"/>
      <c r="S45" s="552"/>
      <c r="T45" s="552"/>
      <c r="U45" s="552"/>
      <c r="V45" s="552"/>
      <c r="W45" s="552"/>
      <c r="X45" s="552"/>
      <c r="Y45" s="552"/>
      <c r="Z45" s="552"/>
    </row>
    <row r="46" spans="1:26" ht="12.75" customHeight="1">
      <c r="A46" s="553"/>
      <c r="B46" s="552"/>
      <c r="C46" s="554"/>
      <c r="D46" s="552"/>
      <c r="E46" s="552"/>
      <c r="F46" s="555"/>
      <c r="G46" s="552"/>
      <c r="H46" s="552"/>
      <c r="I46" s="552"/>
      <c r="J46" s="552"/>
      <c r="K46" s="552"/>
      <c r="L46" s="552"/>
      <c r="M46" s="552"/>
      <c r="N46" s="552"/>
      <c r="O46" s="552"/>
      <c r="P46" s="552"/>
      <c r="Q46" s="552"/>
      <c r="R46" s="552"/>
      <c r="S46" s="552"/>
      <c r="T46" s="552"/>
      <c r="U46" s="552"/>
      <c r="V46" s="552"/>
      <c r="W46" s="552"/>
      <c r="X46" s="552"/>
      <c r="Y46" s="552"/>
      <c r="Z46" s="552"/>
    </row>
    <row r="47" spans="1:26" ht="12.75" customHeight="1">
      <c r="A47" s="553"/>
      <c r="B47" s="552"/>
      <c r="C47" s="554"/>
      <c r="D47" s="552"/>
      <c r="E47" s="552"/>
      <c r="F47" s="555"/>
      <c r="G47" s="552"/>
      <c r="H47" s="552"/>
      <c r="I47" s="552"/>
      <c r="J47" s="552"/>
      <c r="K47" s="552"/>
      <c r="L47" s="552"/>
      <c r="M47" s="552"/>
      <c r="N47" s="552"/>
      <c r="O47" s="552"/>
      <c r="P47" s="552"/>
      <c r="Q47" s="552"/>
      <c r="R47" s="552"/>
      <c r="S47" s="552"/>
      <c r="T47" s="552"/>
      <c r="U47" s="552"/>
      <c r="V47" s="552"/>
      <c r="W47" s="552"/>
      <c r="X47" s="552"/>
      <c r="Y47" s="552"/>
      <c r="Z47" s="552"/>
    </row>
    <row r="48" spans="1:26" ht="12.75" customHeight="1">
      <c r="A48" s="553"/>
      <c r="B48" s="552"/>
      <c r="C48" s="554"/>
      <c r="D48" s="552"/>
      <c r="E48" s="552"/>
      <c r="F48" s="555"/>
      <c r="G48" s="552"/>
      <c r="H48" s="552"/>
      <c r="I48" s="552"/>
      <c r="J48" s="552"/>
      <c r="K48" s="552"/>
      <c r="L48" s="552"/>
      <c r="M48" s="552"/>
      <c r="N48" s="552"/>
      <c r="O48" s="552"/>
      <c r="P48" s="552"/>
      <c r="Q48" s="552"/>
      <c r="R48" s="552"/>
      <c r="S48" s="552"/>
      <c r="T48" s="552"/>
      <c r="U48" s="552"/>
      <c r="V48" s="552"/>
      <c r="W48" s="552"/>
      <c r="X48" s="552"/>
      <c r="Y48" s="552"/>
      <c r="Z48" s="552"/>
    </row>
    <row r="49" spans="1:26" ht="12.75" customHeight="1">
      <c r="A49" s="553"/>
      <c r="B49" s="552"/>
      <c r="C49" s="554"/>
      <c r="D49" s="552"/>
      <c r="E49" s="552"/>
      <c r="F49" s="555"/>
      <c r="G49" s="552"/>
      <c r="H49" s="552"/>
      <c r="I49" s="552"/>
      <c r="J49" s="552"/>
      <c r="K49" s="552"/>
      <c r="L49" s="552"/>
      <c r="M49" s="552"/>
      <c r="N49" s="552"/>
      <c r="O49" s="552"/>
      <c r="P49" s="552"/>
      <c r="Q49" s="552"/>
      <c r="R49" s="552"/>
      <c r="S49" s="552"/>
      <c r="T49" s="552"/>
      <c r="U49" s="552"/>
      <c r="V49" s="552"/>
      <c r="W49" s="552"/>
      <c r="X49" s="552"/>
      <c r="Y49" s="552"/>
      <c r="Z49" s="552"/>
    </row>
    <row r="50" spans="1:26" ht="12.75" customHeight="1">
      <c r="A50" s="553"/>
      <c r="B50" s="552"/>
      <c r="C50" s="554"/>
      <c r="D50" s="552"/>
      <c r="E50" s="552"/>
      <c r="F50" s="555"/>
      <c r="G50" s="552"/>
      <c r="H50" s="552"/>
      <c r="I50" s="552"/>
      <c r="J50" s="552"/>
      <c r="K50" s="552"/>
      <c r="L50" s="552"/>
      <c r="M50" s="552"/>
      <c r="N50" s="552"/>
      <c r="O50" s="552"/>
      <c r="P50" s="552"/>
      <c r="Q50" s="552"/>
      <c r="R50" s="552"/>
      <c r="S50" s="552"/>
      <c r="T50" s="552"/>
      <c r="U50" s="552"/>
      <c r="V50" s="552"/>
      <c r="W50" s="552"/>
      <c r="X50" s="552"/>
      <c r="Y50" s="552"/>
      <c r="Z50" s="552"/>
    </row>
    <row r="51" spans="1:26" ht="12.75" customHeight="1">
      <c r="A51" s="553"/>
      <c r="B51" s="552"/>
      <c r="C51" s="554"/>
      <c r="D51" s="552"/>
      <c r="E51" s="552"/>
      <c r="F51" s="555"/>
      <c r="G51" s="552"/>
      <c r="H51" s="552"/>
      <c r="I51" s="552"/>
      <c r="J51" s="552"/>
      <c r="K51" s="552"/>
      <c r="L51" s="552"/>
      <c r="M51" s="552"/>
      <c r="N51" s="552"/>
      <c r="O51" s="552"/>
      <c r="P51" s="552"/>
      <c r="Q51" s="552"/>
      <c r="R51" s="552"/>
      <c r="S51" s="552"/>
      <c r="T51" s="552"/>
      <c r="U51" s="552"/>
      <c r="V51" s="552"/>
      <c r="W51" s="552"/>
      <c r="X51" s="552"/>
      <c r="Y51" s="552"/>
      <c r="Z51" s="552"/>
    </row>
    <row r="52" spans="1:26" ht="12.75" customHeight="1">
      <c r="A52" s="553"/>
      <c r="B52" s="552"/>
      <c r="C52" s="554"/>
      <c r="D52" s="552"/>
      <c r="E52" s="552"/>
      <c r="F52" s="555"/>
      <c r="G52" s="552"/>
      <c r="H52" s="552"/>
      <c r="I52" s="552"/>
      <c r="J52" s="552"/>
      <c r="K52" s="552"/>
      <c r="L52" s="552"/>
      <c r="M52" s="552"/>
      <c r="N52" s="552"/>
      <c r="O52" s="552"/>
      <c r="P52" s="552"/>
      <c r="Q52" s="552"/>
      <c r="R52" s="552"/>
      <c r="S52" s="552"/>
      <c r="T52" s="552"/>
      <c r="U52" s="552"/>
      <c r="V52" s="552"/>
      <c r="W52" s="552"/>
      <c r="X52" s="552"/>
      <c r="Y52" s="552"/>
      <c r="Z52" s="552"/>
    </row>
    <row r="53" spans="1:26" ht="12.75" customHeight="1">
      <c r="A53" s="553"/>
      <c r="B53" s="552"/>
      <c r="C53" s="554"/>
      <c r="D53" s="552"/>
      <c r="E53" s="552"/>
      <c r="F53" s="555"/>
      <c r="G53" s="552"/>
      <c r="H53" s="552"/>
      <c r="I53" s="552"/>
      <c r="J53" s="552"/>
      <c r="K53" s="552"/>
      <c r="L53" s="552"/>
      <c r="M53" s="552"/>
      <c r="N53" s="552"/>
      <c r="O53" s="552"/>
      <c r="P53" s="552"/>
      <c r="Q53" s="552"/>
      <c r="R53" s="552"/>
      <c r="S53" s="552"/>
      <c r="T53" s="552"/>
      <c r="U53" s="552"/>
      <c r="V53" s="552"/>
      <c r="W53" s="552"/>
      <c r="X53" s="552"/>
      <c r="Y53" s="552"/>
      <c r="Z53" s="552"/>
    </row>
    <row r="54" spans="1:26" ht="12.75" customHeight="1">
      <c r="A54" s="553"/>
      <c r="B54" s="552"/>
      <c r="C54" s="554"/>
      <c r="D54" s="552"/>
      <c r="E54" s="552"/>
      <c r="F54" s="555"/>
      <c r="G54" s="552"/>
      <c r="H54" s="552"/>
      <c r="I54" s="552"/>
      <c r="J54" s="552"/>
      <c r="K54" s="552"/>
      <c r="L54" s="552"/>
      <c r="M54" s="552"/>
      <c r="N54" s="552"/>
      <c r="O54" s="552"/>
      <c r="P54" s="552"/>
      <c r="Q54" s="552"/>
      <c r="R54" s="552"/>
      <c r="S54" s="552"/>
      <c r="T54" s="552"/>
      <c r="U54" s="552"/>
      <c r="V54" s="552"/>
      <c r="W54" s="552"/>
      <c r="X54" s="552"/>
      <c r="Y54" s="552"/>
      <c r="Z54" s="552"/>
    </row>
    <row r="55" spans="1:26" ht="12.75" customHeight="1">
      <c r="A55" s="553"/>
      <c r="B55" s="552"/>
      <c r="C55" s="554"/>
      <c r="D55" s="552"/>
      <c r="E55" s="552"/>
      <c r="F55" s="555"/>
      <c r="G55" s="552"/>
      <c r="H55" s="552"/>
      <c r="I55" s="552"/>
      <c r="J55" s="552"/>
      <c r="K55" s="552"/>
      <c r="L55" s="552"/>
      <c r="M55" s="552"/>
      <c r="N55" s="552"/>
      <c r="O55" s="552"/>
      <c r="P55" s="552"/>
      <c r="Q55" s="552"/>
      <c r="R55" s="552"/>
      <c r="S55" s="552"/>
      <c r="T55" s="552"/>
      <c r="U55" s="552"/>
      <c r="V55" s="552"/>
      <c r="W55" s="552"/>
      <c r="X55" s="552"/>
      <c r="Y55" s="552"/>
      <c r="Z55" s="552"/>
    </row>
    <row r="56" spans="1:26" ht="12.75" customHeight="1">
      <c r="A56" s="553"/>
      <c r="B56" s="552"/>
      <c r="C56" s="554"/>
      <c r="D56" s="552"/>
      <c r="E56" s="552"/>
      <c r="F56" s="555"/>
      <c r="G56" s="552"/>
      <c r="H56" s="552"/>
      <c r="I56" s="552"/>
      <c r="J56" s="552"/>
      <c r="K56" s="552"/>
      <c r="L56" s="552"/>
      <c r="M56" s="552"/>
      <c r="N56" s="552"/>
      <c r="O56" s="552"/>
      <c r="P56" s="552"/>
      <c r="Q56" s="552"/>
      <c r="R56" s="552"/>
      <c r="S56" s="552"/>
      <c r="T56" s="552"/>
      <c r="U56" s="552"/>
      <c r="V56" s="552"/>
      <c r="W56" s="552"/>
      <c r="X56" s="552"/>
      <c r="Y56" s="552"/>
      <c r="Z56" s="552"/>
    </row>
    <row r="57" spans="1:26" ht="12.75" customHeight="1">
      <c r="A57" s="553"/>
      <c r="B57" s="552"/>
      <c r="C57" s="554"/>
      <c r="D57" s="552"/>
      <c r="E57" s="552"/>
      <c r="F57" s="555"/>
      <c r="G57" s="552"/>
      <c r="H57" s="552"/>
      <c r="I57" s="552"/>
      <c r="J57" s="552"/>
      <c r="K57" s="552"/>
      <c r="L57" s="552"/>
      <c r="M57" s="552"/>
      <c r="N57" s="552"/>
      <c r="O57" s="552"/>
      <c r="P57" s="552"/>
      <c r="Q57" s="552"/>
      <c r="R57" s="552"/>
      <c r="S57" s="552"/>
      <c r="T57" s="552"/>
      <c r="U57" s="552"/>
      <c r="V57" s="552"/>
      <c r="W57" s="552"/>
      <c r="X57" s="552"/>
      <c r="Y57" s="552"/>
      <c r="Z57" s="552"/>
    </row>
    <row r="58" spans="1:26" ht="12.75" customHeight="1">
      <c r="A58" s="553"/>
      <c r="B58" s="552"/>
      <c r="C58" s="554"/>
      <c r="D58" s="552"/>
      <c r="E58" s="552"/>
      <c r="F58" s="555"/>
      <c r="G58" s="552"/>
      <c r="H58" s="552"/>
      <c r="I58" s="552"/>
      <c r="J58" s="552"/>
      <c r="K58" s="552"/>
      <c r="L58" s="552"/>
      <c r="M58" s="552"/>
      <c r="N58" s="552"/>
      <c r="O58" s="552"/>
      <c r="P58" s="552"/>
      <c r="Q58" s="552"/>
      <c r="R58" s="552"/>
      <c r="S58" s="552"/>
      <c r="T58" s="552"/>
      <c r="U58" s="552"/>
      <c r="V58" s="552"/>
      <c r="W58" s="552"/>
      <c r="X58" s="552"/>
      <c r="Y58" s="552"/>
      <c r="Z58" s="552"/>
    </row>
    <row r="59" spans="1:26" ht="12.75" customHeight="1">
      <c r="A59" s="553"/>
      <c r="B59" s="552"/>
      <c r="C59" s="554"/>
      <c r="D59" s="552"/>
      <c r="E59" s="552"/>
      <c r="F59" s="555"/>
      <c r="G59" s="552"/>
      <c r="H59" s="552"/>
      <c r="I59" s="552"/>
      <c r="J59" s="552"/>
      <c r="K59" s="552"/>
      <c r="L59" s="552"/>
      <c r="M59" s="552"/>
      <c r="N59" s="552"/>
      <c r="O59" s="552"/>
      <c r="P59" s="552"/>
      <c r="Q59" s="552"/>
      <c r="R59" s="552"/>
      <c r="S59" s="552"/>
      <c r="T59" s="552"/>
      <c r="U59" s="552"/>
      <c r="V59" s="552"/>
      <c r="W59" s="552"/>
      <c r="X59" s="552"/>
      <c r="Y59" s="552"/>
      <c r="Z59" s="552"/>
    </row>
    <row r="60" spans="1:26" ht="12.75" customHeight="1">
      <c r="A60" s="553"/>
      <c r="B60" s="552"/>
      <c r="C60" s="554"/>
      <c r="D60" s="552"/>
      <c r="E60" s="552"/>
      <c r="F60" s="555"/>
      <c r="G60" s="552"/>
      <c r="H60" s="552"/>
      <c r="I60" s="552"/>
      <c r="J60" s="552"/>
      <c r="K60" s="552"/>
      <c r="L60" s="552"/>
      <c r="M60" s="552"/>
      <c r="N60" s="552"/>
      <c r="O60" s="552"/>
      <c r="P60" s="552"/>
      <c r="Q60" s="552"/>
      <c r="R60" s="552"/>
      <c r="S60" s="552"/>
      <c r="T60" s="552"/>
      <c r="U60" s="552"/>
      <c r="V60" s="552"/>
      <c r="W60" s="552"/>
      <c r="X60" s="552"/>
      <c r="Y60" s="552"/>
      <c r="Z60" s="552"/>
    </row>
    <row r="61" spans="1:26" ht="12.75" customHeight="1">
      <c r="A61" s="553"/>
      <c r="B61" s="552"/>
      <c r="C61" s="554"/>
      <c r="D61" s="552"/>
      <c r="E61" s="552"/>
      <c r="F61" s="555"/>
      <c r="G61" s="552"/>
      <c r="H61" s="552"/>
      <c r="I61" s="552"/>
      <c r="J61" s="552"/>
      <c r="K61" s="552"/>
      <c r="L61" s="552"/>
      <c r="M61" s="552"/>
      <c r="N61" s="552"/>
      <c r="O61" s="552"/>
      <c r="P61" s="552"/>
      <c r="Q61" s="552"/>
      <c r="R61" s="552"/>
      <c r="S61" s="552"/>
      <c r="T61" s="552"/>
      <c r="U61" s="552"/>
      <c r="V61" s="552"/>
      <c r="W61" s="552"/>
      <c r="X61" s="552"/>
      <c r="Y61" s="552"/>
      <c r="Z61" s="552"/>
    </row>
    <row r="62" spans="1:26" ht="12.75" customHeight="1">
      <c r="A62" s="553"/>
      <c r="B62" s="552"/>
      <c r="C62" s="554"/>
      <c r="D62" s="552"/>
      <c r="E62" s="552"/>
      <c r="F62" s="555"/>
      <c r="G62" s="552"/>
      <c r="H62" s="552"/>
      <c r="I62" s="552"/>
      <c r="J62" s="552"/>
      <c r="K62" s="552"/>
      <c r="L62" s="552"/>
      <c r="M62" s="552"/>
      <c r="N62" s="552"/>
      <c r="O62" s="552"/>
      <c r="P62" s="552"/>
      <c r="Q62" s="552"/>
      <c r="R62" s="552"/>
      <c r="S62" s="552"/>
      <c r="T62" s="552"/>
      <c r="U62" s="552"/>
      <c r="V62" s="552"/>
      <c r="W62" s="552"/>
      <c r="X62" s="552"/>
      <c r="Y62" s="552"/>
      <c r="Z62" s="552"/>
    </row>
    <row r="63" spans="1:26" ht="12.75" customHeight="1">
      <c r="A63" s="553"/>
      <c r="B63" s="552"/>
      <c r="C63" s="554"/>
      <c r="D63" s="552"/>
      <c r="E63" s="552"/>
      <c r="F63" s="555"/>
      <c r="G63" s="552"/>
      <c r="H63" s="552"/>
      <c r="I63" s="552"/>
      <c r="J63" s="552"/>
      <c r="K63" s="552"/>
      <c r="L63" s="552"/>
      <c r="M63" s="552"/>
      <c r="N63" s="552"/>
      <c r="O63" s="552"/>
      <c r="P63" s="552"/>
      <c r="Q63" s="552"/>
      <c r="R63" s="552"/>
      <c r="S63" s="552"/>
      <c r="T63" s="552"/>
      <c r="U63" s="552"/>
      <c r="V63" s="552"/>
      <c r="W63" s="552"/>
      <c r="X63" s="552"/>
      <c r="Y63" s="552"/>
      <c r="Z63" s="552"/>
    </row>
    <row r="64" spans="1:26" ht="12.75" customHeight="1">
      <c r="A64" s="553"/>
      <c r="B64" s="552"/>
      <c r="C64" s="554"/>
      <c r="D64" s="552"/>
      <c r="E64" s="552"/>
      <c r="F64" s="555"/>
      <c r="G64" s="552"/>
      <c r="H64" s="552"/>
      <c r="I64" s="552"/>
      <c r="J64" s="552"/>
      <c r="K64" s="552"/>
      <c r="L64" s="552"/>
      <c r="M64" s="552"/>
      <c r="N64" s="552"/>
      <c r="O64" s="552"/>
      <c r="P64" s="552"/>
      <c r="Q64" s="552"/>
      <c r="R64" s="552"/>
      <c r="S64" s="552"/>
      <c r="T64" s="552"/>
      <c r="U64" s="552"/>
      <c r="V64" s="552"/>
      <c r="W64" s="552"/>
      <c r="X64" s="552"/>
      <c r="Y64" s="552"/>
      <c r="Z64" s="552"/>
    </row>
    <row r="65" spans="1:26" ht="12.75" customHeight="1">
      <c r="A65" s="553"/>
      <c r="B65" s="552"/>
      <c r="C65" s="554"/>
      <c r="D65" s="552"/>
      <c r="E65" s="552"/>
      <c r="F65" s="555"/>
      <c r="G65" s="552"/>
      <c r="H65" s="552"/>
      <c r="I65" s="552"/>
      <c r="J65" s="552"/>
      <c r="K65" s="552"/>
      <c r="L65" s="552"/>
      <c r="M65" s="552"/>
      <c r="N65" s="552"/>
      <c r="O65" s="552"/>
      <c r="P65" s="552"/>
      <c r="Q65" s="552"/>
      <c r="R65" s="552"/>
      <c r="S65" s="552"/>
      <c r="T65" s="552"/>
      <c r="U65" s="552"/>
      <c r="V65" s="552"/>
      <c r="W65" s="552"/>
      <c r="X65" s="552"/>
      <c r="Y65" s="552"/>
      <c r="Z65" s="552"/>
    </row>
    <row r="66" spans="1:26" ht="12.75" customHeight="1">
      <c r="A66" s="553"/>
      <c r="B66" s="552"/>
      <c r="C66" s="554"/>
      <c r="D66" s="552"/>
      <c r="E66" s="552"/>
      <c r="F66" s="555"/>
      <c r="G66" s="552"/>
      <c r="H66" s="552"/>
      <c r="I66" s="552"/>
      <c r="J66" s="552"/>
      <c r="K66" s="552"/>
      <c r="L66" s="552"/>
      <c r="M66" s="552"/>
      <c r="N66" s="552"/>
      <c r="O66" s="552"/>
      <c r="P66" s="552"/>
      <c r="Q66" s="552"/>
      <c r="R66" s="552"/>
      <c r="S66" s="552"/>
      <c r="T66" s="552"/>
      <c r="U66" s="552"/>
      <c r="V66" s="552"/>
      <c r="W66" s="552"/>
      <c r="X66" s="552"/>
      <c r="Y66" s="552"/>
      <c r="Z66" s="552"/>
    </row>
    <row r="67" spans="1:26" ht="12.75" customHeight="1">
      <c r="A67" s="553"/>
      <c r="B67" s="552"/>
      <c r="C67" s="554"/>
      <c r="D67" s="552"/>
      <c r="E67" s="552"/>
      <c r="F67" s="555"/>
      <c r="G67" s="552"/>
      <c r="H67" s="552"/>
      <c r="I67" s="552"/>
      <c r="J67" s="552"/>
      <c r="K67" s="552"/>
      <c r="L67" s="552"/>
      <c r="M67" s="552"/>
      <c r="N67" s="552"/>
      <c r="O67" s="552"/>
      <c r="P67" s="552"/>
      <c r="Q67" s="552"/>
      <c r="R67" s="552"/>
      <c r="S67" s="552"/>
      <c r="T67" s="552"/>
      <c r="U67" s="552"/>
      <c r="V67" s="552"/>
      <c r="W67" s="552"/>
      <c r="X67" s="552"/>
      <c r="Y67" s="552"/>
      <c r="Z67" s="552"/>
    </row>
    <row r="68" spans="1:26" ht="12.75" customHeight="1">
      <c r="A68" s="553"/>
      <c r="B68" s="552"/>
      <c r="C68" s="554"/>
      <c r="D68" s="552"/>
      <c r="E68" s="552"/>
      <c r="F68" s="555"/>
      <c r="G68" s="552"/>
      <c r="H68" s="552"/>
      <c r="I68" s="552"/>
      <c r="J68" s="552"/>
      <c r="K68" s="552"/>
      <c r="L68" s="552"/>
      <c r="M68" s="552"/>
      <c r="N68" s="552"/>
      <c r="O68" s="552"/>
      <c r="P68" s="552"/>
      <c r="Q68" s="552"/>
      <c r="R68" s="552"/>
      <c r="S68" s="552"/>
      <c r="T68" s="552"/>
      <c r="U68" s="552"/>
      <c r="V68" s="552"/>
      <c r="W68" s="552"/>
      <c r="X68" s="552"/>
      <c r="Y68" s="552"/>
      <c r="Z68" s="552"/>
    </row>
    <row r="69" spans="1:26" ht="12.75" customHeight="1">
      <c r="A69" s="553"/>
      <c r="B69" s="552"/>
      <c r="C69" s="554"/>
      <c r="D69" s="552"/>
      <c r="E69" s="552"/>
      <c r="F69" s="555"/>
      <c r="G69" s="552"/>
      <c r="H69" s="552"/>
      <c r="I69" s="552"/>
      <c r="J69" s="552"/>
      <c r="K69" s="552"/>
      <c r="L69" s="552"/>
      <c r="M69" s="552"/>
      <c r="N69" s="552"/>
      <c r="O69" s="552"/>
      <c r="P69" s="552"/>
      <c r="Q69" s="552"/>
      <c r="R69" s="552"/>
      <c r="S69" s="552"/>
      <c r="T69" s="552"/>
      <c r="U69" s="552"/>
      <c r="V69" s="552"/>
      <c r="W69" s="552"/>
      <c r="X69" s="552"/>
      <c r="Y69" s="552"/>
      <c r="Z69" s="552"/>
    </row>
    <row r="70" spans="1:26" ht="12.75" customHeight="1">
      <c r="A70" s="553"/>
      <c r="B70" s="552"/>
      <c r="C70" s="554"/>
      <c r="D70" s="552"/>
      <c r="E70" s="552"/>
      <c r="F70" s="555"/>
      <c r="G70" s="552"/>
      <c r="H70" s="552"/>
      <c r="I70" s="552"/>
      <c r="J70" s="552"/>
      <c r="K70" s="552"/>
      <c r="L70" s="552"/>
      <c r="M70" s="552"/>
      <c r="N70" s="552"/>
      <c r="O70" s="552"/>
      <c r="P70" s="552"/>
      <c r="Q70" s="552"/>
      <c r="R70" s="552"/>
      <c r="S70" s="552"/>
      <c r="T70" s="552"/>
      <c r="U70" s="552"/>
      <c r="V70" s="552"/>
      <c r="W70" s="552"/>
      <c r="X70" s="552"/>
      <c r="Y70" s="552"/>
      <c r="Z70" s="552"/>
    </row>
    <row r="71" spans="1:26" ht="12.75" customHeight="1">
      <c r="A71" s="553"/>
      <c r="B71" s="552"/>
      <c r="C71" s="554"/>
      <c r="D71" s="552"/>
      <c r="E71" s="552"/>
      <c r="F71" s="555"/>
      <c r="G71" s="552"/>
      <c r="H71" s="552"/>
      <c r="I71" s="552"/>
      <c r="J71" s="552"/>
      <c r="K71" s="552"/>
      <c r="L71" s="552"/>
      <c r="M71" s="552"/>
      <c r="N71" s="552"/>
      <c r="O71" s="552"/>
      <c r="P71" s="552"/>
      <c r="Q71" s="552"/>
      <c r="R71" s="552"/>
      <c r="S71" s="552"/>
      <c r="T71" s="552"/>
      <c r="U71" s="552"/>
      <c r="V71" s="552"/>
      <c r="W71" s="552"/>
      <c r="X71" s="552"/>
      <c r="Y71" s="552"/>
      <c r="Z71" s="552"/>
    </row>
    <row r="72" spans="1:26" ht="12.75" customHeight="1">
      <c r="A72" s="553"/>
      <c r="B72" s="552"/>
      <c r="C72" s="554"/>
      <c r="D72" s="552"/>
      <c r="E72" s="552"/>
      <c r="F72" s="555"/>
      <c r="G72" s="552"/>
      <c r="H72" s="552"/>
      <c r="I72" s="552"/>
      <c r="J72" s="552"/>
      <c r="K72" s="552"/>
      <c r="L72" s="552"/>
      <c r="M72" s="552"/>
      <c r="N72" s="552"/>
      <c r="O72" s="552"/>
      <c r="P72" s="552"/>
      <c r="Q72" s="552"/>
      <c r="R72" s="552"/>
      <c r="S72" s="552"/>
      <c r="T72" s="552"/>
      <c r="U72" s="552"/>
      <c r="V72" s="552"/>
      <c r="W72" s="552"/>
      <c r="X72" s="552"/>
      <c r="Y72" s="552"/>
      <c r="Z72" s="552"/>
    </row>
    <row r="73" spans="1:26" ht="12.75" customHeight="1">
      <c r="A73" s="553"/>
      <c r="B73" s="552"/>
      <c r="C73" s="554"/>
      <c r="D73" s="552"/>
      <c r="E73" s="552"/>
      <c r="F73" s="555"/>
      <c r="G73" s="552"/>
      <c r="H73" s="552"/>
      <c r="I73" s="552"/>
      <c r="J73" s="552"/>
      <c r="K73" s="552"/>
      <c r="L73" s="552"/>
      <c r="M73" s="552"/>
      <c r="N73" s="552"/>
      <c r="O73" s="552"/>
      <c r="P73" s="552"/>
      <c r="Q73" s="552"/>
      <c r="R73" s="552"/>
      <c r="S73" s="552"/>
      <c r="T73" s="552"/>
      <c r="U73" s="552"/>
      <c r="V73" s="552"/>
      <c r="W73" s="552"/>
      <c r="X73" s="552"/>
      <c r="Y73" s="552"/>
      <c r="Z73" s="552"/>
    </row>
    <row r="74" spans="1:26" ht="12.75" customHeight="1">
      <c r="A74" s="553"/>
      <c r="B74" s="552"/>
      <c r="C74" s="554"/>
      <c r="D74" s="552"/>
      <c r="E74" s="552"/>
      <c r="F74" s="555"/>
      <c r="G74" s="552"/>
      <c r="H74" s="552"/>
      <c r="I74" s="552"/>
      <c r="J74" s="552"/>
      <c r="K74" s="552"/>
      <c r="L74" s="552"/>
      <c r="M74" s="552"/>
      <c r="N74" s="552"/>
      <c r="O74" s="552"/>
      <c r="P74" s="552"/>
      <c r="Q74" s="552"/>
      <c r="R74" s="552"/>
      <c r="S74" s="552"/>
      <c r="T74" s="552"/>
      <c r="U74" s="552"/>
      <c r="V74" s="552"/>
      <c r="W74" s="552"/>
      <c r="X74" s="552"/>
      <c r="Y74" s="552"/>
      <c r="Z74" s="552"/>
    </row>
    <row r="75" spans="1:26" ht="12.75" customHeight="1">
      <c r="A75" s="553"/>
      <c r="B75" s="552"/>
      <c r="C75" s="554"/>
      <c r="D75" s="552"/>
      <c r="E75" s="552"/>
      <c r="F75" s="555"/>
      <c r="G75" s="552"/>
      <c r="H75" s="552"/>
      <c r="I75" s="552"/>
      <c r="J75" s="552"/>
      <c r="K75" s="552"/>
      <c r="L75" s="552"/>
      <c r="M75" s="552"/>
      <c r="N75" s="552"/>
      <c r="O75" s="552"/>
      <c r="P75" s="552"/>
      <c r="Q75" s="552"/>
      <c r="R75" s="552"/>
      <c r="S75" s="552"/>
      <c r="T75" s="552"/>
      <c r="U75" s="552"/>
      <c r="V75" s="552"/>
      <c r="W75" s="552"/>
      <c r="X75" s="552"/>
      <c r="Y75" s="552"/>
      <c r="Z75" s="552"/>
    </row>
    <row r="76" spans="1:26" ht="12.75" customHeight="1">
      <c r="A76" s="553"/>
      <c r="B76" s="552"/>
      <c r="C76" s="554"/>
      <c r="D76" s="552"/>
      <c r="E76" s="552"/>
      <c r="F76" s="555"/>
      <c r="G76" s="552"/>
      <c r="H76" s="552"/>
      <c r="I76" s="552"/>
      <c r="J76" s="552"/>
      <c r="K76" s="552"/>
      <c r="L76" s="552"/>
      <c r="M76" s="552"/>
      <c r="N76" s="552"/>
      <c r="O76" s="552"/>
      <c r="P76" s="552"/>
      <c r="Q76" s="552"/>
      <c r="R76" s="552"/>
      <c r="S76" s="552"/>
      <c r="T76" s="552"/>
      <c r="U76" s="552"/>
      <c r="V76" s="552"/>
      <c r="W76" s="552"/>
      <c r="X76" s="552"/>
      <c r="Y76" s="552"/>
      <c r="Z76" s="552"/>
    </row>
    <row r="77" spans="1:26" ht="12.75" customHeight="1">
      <c r="A77" s="553"/>
      <c r="B77" s="552"/>
      <c r="C77" s="554"/>
      <c r="D77" s="552"/>
      <c r="E77" s="552"/>
      <c r="F77" s="555"/>
      <c r="G77" s="552"/>
      <c r="H77" s="552"/>
      <c r="I77" s="552"/>
      <c r="J77" s="552"/>
      <c r="K77" s="552"/>
      <c r="L77" s="552"/>
      <c r="M77" s="552"/>
      <c r="N77" s="552"/>
      <c r="O77" s="552"/>
      <c r="P77" s="552"/>
      <c r="Q77" s="552"/>
      <c r="R77" s="552"/>
      <c r="S77" s="552"/>
      <c r="T77" s="552"/>
      <c r="U77" s="552"/>
      <c r="V77" s="552"/>
      <c r="W77" s="552"/>
      <c r="X77" s="552"/>
      <c r="Y77" s="552"/>
      <c r="Z77" s="552"/>
    </row>
    <row r="78" spans="1:26" ht="12.75" customHeight="1">
      <c r="A78" s="553"/>
      <c r="B78" s="552"/>
      <c r="C78" s="554"/>
      <c r="D78" s="552"/>
      <c r="E78" s="552"/>
      <c r="F78" s="555"/>
      <c r="G78" s="552"/>
      <c r="H78" s="552"/>
      <c r="I78" s="552"/>
      <c r="J78" s="552"/>
      <c r="K78" s="552"/>
      <c r="L78" s="552"/>
      <c r="M78" s="552"/>
      <c r="N78" s="552"/>
      <c r="O78" s="552"/>
      <c r="P78" s="552"/>
      <c r="Q78" s="552"/>
      <c r="R78" s="552"/>
      <c r="S78" s="552"/>
      <c r="T78" s="552"/>
      <c r="U78" s="552"/>
      <c r="V78" s="552"/>
      <c r="W78" s="552"/>
      <c r="X78" s="552"/>
      <c r="Y78" s="552"/>
      <c r="Z78" s="552"/>
    </row>
    <row r="79" spans="1:26" ht="12.75" customHeight="1">
      <c r="A79" s="553"/>
      <c r="B79" s="552"/>
      <c r="C79" s="554"/>
      <c r="D79" s="552"/>
      <c r="E79" s="552"/>
      <c r="F79" s="555"/>
      <c r="G79" s="552"/>
      <c r="H79" s="552"/>
      <c r="I79" s="552"/>
      <c r="J79" s="552"/>
      <c r="K79" s="552"/>
      <c r="L79" s="552"/>
      <c r="M79" s="552"/>
      <c r="N79" s="552"/>
      <c r="O79" s="552"/>
      <c r="P79" s="552"/>
      <c r="Q79" s="552"/>
      <c r="R79" s="552"/>
      <c r="S79" s="552"/>
      <c r="T79" s="552"/>
      <c r="U79" s="552"/>
      <c r="V79" s="552"/>
      <c r="W79" s="552"/>
      <c r="X79" s="552"/>
      <c r="Y79" s="552"/>
      <c r="Z79" s="552"/>
    </row>
    <row r="80" spans="1:26" ht="12.75" customHeight="1">
      <c r="A80" s="553"/>
      <c r="B80" s="552"/>
      <c r="C80" s="554"/>
      <c r="D80" s="552"/>
      <c r="E80" s="552"/>
      <c r="F80" s="555"/>
      <c r="G80" s="552"/>
      <c r="H80" s="552"/>
      <c r="I80" s="552"/>
      <c r="J80" s="552"/>
      <c r="K80" s="552"/>
      <c r="L80" s="552"/>
      <c r="M80" s="552"/>
      <c r="N80" s="552"/>
      <c r="O80" s="552"/>
      <c r="P80" s="552"/>
      <c r="Q80" s="552"/>
      <c r="R80" s="552"/>
      <c r="S80" s="552"/>
      <c r="T80" s="552"/>
      <c r="U80" s="552"/>
      <c r="V80" s="552"/>
      <c r="W80" s="552"/>
      <c r="X80" s="552"/>
      <c r="Y80" s="552"/>
      <c r="Z80" s="552"/>
    </row>
    <row r="81" spans="1:26" ht="12.75" customHeight="1">
      <c r="A81" s="553"/>
      <c r="B81" s="552"/>
      <c r="C81" s="554"/>
      <c r="D81" s="552"/>
      <c r="E81" s="552"/>
      <c r="F81" s="555"/>
      <c r="G81" s="552"/>
      <c r="H81" s="552"/>
      <c r="I81" s="552"/>
      <c r="J81" s="552"/>
      <c r="K81" s="552"/>
      <c r="L81" s="552"/>
      <c r="M81" s="552"/>
      <c r="N81" s="552"/>
      <c r="O81" s="552"/>
      <c r="P81" s="552"/>
      <c r="Q81" s="552"/>
      <c r="R81" s="552"/>
      <c r="S81" s="552"/>
      <c r="T81" s="552"/>
      <c r="U81" s="552"/>
      <c r="V81" s="552"/>
      <c r="W81" s="552"/>
      <c r="X81" s="552"/>
      <c r="Y81" s="552"/>
      <c r="Z81" s="552"/>
    </row>
    <row r="82" spans="1:26" ht="12.75" customHeight="1">
      <c r="A82" s="553"/>
      <c r="B82" s="552"/>
      <c r="C82" s="554"/>
      <c r="D82" s="552"/>
      <c r="E82" s="552"/>
      <c r="F82" s="555"/>
      <c r="G82" s="552"/>
      <c r="H82" s="552"/>
      <c r="I82" s="552"/>
      <c r="J82" s="552"/>
      <c r="K82" s="552"/>
      <c r="L82" s="552"/>
      <c r="M82" s="552"/>
      <c r="N82" s="552"/>
      <c r="O82" s="552"/>
      <c r="P82" s="552"/>
      <c r="Q82" s="552"/>
      <c r="R82" s="552"/>
      <c r="S82" s="552"/>
      <c r="T82" s="552"/>
      <c r="U82" s="552"/>
      <c r="V82" s="552"/>
      <c r="W82" s="552"/>
      <c r="X82" s="552"/>
      <c r="Y82" s="552"/>
      <c r="Z82" s="552"/>
    </row>
    <row r="83" spans="1:26" ht="12.75" customHeight="1">
      <c r="A83" s="553"/>
      <c r="B83" s="552"/>
      <c r="C83" s="554"/>
      <c r="D83" s="552"/>
      <c r="E83" s="552"/>
      <c r="F83" s="555"/>
      <c r="G83" s="552"/>
      <c r="H83" s="552"/>
      <c r="I83" s="552"/>
      <c r="J83" s="552"/>
      <c r="K83" s="552"/>
      <c r="L83" s="552"/>
      <c r="M83" s="552"/>
      <c r="N83" s="552"/>
      <c r="O83" s="552"/>
      <c r="P83" s="552"/>
      <c r="Q83" s="552"/>
      <c r="R83" s="552"/>
      <c r="S83" s="552"/>
      <c r="T83" s="552"/>
      <c r="U83" s="552"/>
      <c r="V83" s="552"/>
      <c r="W83" s="552"/>
      <c r="X83" s="552"/>
      <c r="Y83" s="552"/>
      <c r="Z83" s="552"/>
    </row>
    <row r="84" spans="1:26" ht="12.75" customHeight="1">
      <c r="A84" s="553"/>
      <c r="B84" s="552"/>
      <c r="C84" s="554"/>
      <c r="D84" s="552"/>
      <c r="E84" s="552"/>
      <c r="F84" s="555"/>
      <c r="G84" s="552"/>
      <c r="H84" s="552"/>
      <c r="I84" s="552"/>
      <c r="J84" s="552"/>
      <c r="K84" s="552"/>
      <c r="L84" s="552"/>
      <c r="M84" s="552"/>
      <c r="N84" s="552"/>
      <c r="O84" s="552"/>
      <c r="P84" s="552"/>
      <c r="Q84" s="552"/>
      <c r="R84" s="552"/>
      <c r="S84" s="552"/>
      <c r="T84" s="552"/>
      <c r="U84" s="552"/>
      <c r="V84" s="552"/>
      <c r="W84" s="552"/>
      <c r="X84" s="552"/>
      <c r="Y84" s="552"/>
      <c r="Z84" s="552"/>
    </row>
    <row r="85" spans="1:26" ht="12.75" customHeight="1">
      <c r="A85" s="553"/>
      <c r="B85" s="552"/>
      <c r="C85" s="554"/>
      <c r="D85" s="552"/>
      <c r="E85" s="552"/>
      <c r="F85" s="555"/>
      <c r="G85" s="552"/>
      <c r="H85" s="552"/>
      <c r="I85" s="552"/>
      <c r="J85" s="552"/>
      <c r="K85" s="552"/>
      <c r="L85" s="552"/>
      <c r="M85" s="552"/>
      <c r="N85" s="552"/>
      <c r="O85" s="552"/>
      <c r="P85" s="552"/>
      <c r="Q85" s="552"/>
      <c r="R85" s="552"/>
      <c r="S85" s="552"/>
      <c r="T85" s="552"/>
      <c r="U85" s="552"/>
      <c r="V85" s="552"/>
      <c r="W85" s="552"/>
      <c r="X85" s="552"/>
      <c r="Y85" s="552"/>
      <c r="Z85" s="552"/>
    </row>
    <row r="86" spans="1:26" ht="12.75" customHeight="1">
      <c r="A86" s="553"/>
      <c r="B86" s="552"/>
      <c r="C86" s="554"/>
      <c r="D86" s="552"/>
      <c r="E86" s="552"/>
      <c r="F86" s="555"/>
      <c r="G86" s="552"/>
      <c r="H86" s="552"/>
      <c r="I86" s="552"/>
      <c r="J86" s="552"/>
      <c r="K86" s="552"/>
      <c r="L86" s="552"/>
      <c r="M86" s="552"/>
      <c r="N86" s="552"/>
      <c r="O86" s="552"/>
      <c r="P86" s="552"/>
      <c r="Q86" s="552"/>
      <c r="R86" s="552"/>
      <c r="S86" s="552"/>
      <c r="T86" s="552"/>
      <c r="U86" s="552"/>
      <c r="V86" s="552"/>
      <c r="W86" s="552"/>
      <c r="X86" s="552"/>
      <c r="Y86" s="552"/>
      <c r="Z86" s="552"/>
    </row>
    <row r="87" spans="1:26" ht="12.75" customHeight="1">
      <c r="A87" s="553"/>
      <c r="B87" s="552"/>
      <c r="C87" s="554"/>
      <c r="D87" s="552"/>
      <c r="E87" s="552"/>
      <c r="F87" s="555"/>
      <c r="G87" s="552"/>
      <c r="H87" s="552"/>
      <c r="I87" s="552"/>
      <c r="J87" s="552"/>
      <c r="K87" s="552"/>
      <c r="L87" s="552"/>
      <c r="M87" s="552"/>
      <c r="N87" s="552"/>
      <c r="O87" s="552"/>
      <c r="P87" s="552"/>
      <c r="Q87" s="552"/>
      <c r="R87" s="552"/>
      <c r="S87" s="552"/>
      <c r="T87" s="552"/>
      <c r="U87" s="552"/>
      <c r="V87" s="552"/>
      <c r="W87" s="552"/>
      <c r="X87" s="552"/>
      <c r="Y87" s="552"/>
      <c r="Z87" s="552"/>
    </row>
    <row r="88" spans="1:26" ht="12.75" customHeight="1">
      <c r="A88" s="553"/>
      <c r="B88" s="552"/>
      <c r="C88" s="554"/>
      <c r="D88" s="552"/>
      <c r="E88" s="552"/>
      <c r="F88" s="555"/>
      <c r="G88" s="552"/>
      <c r="H88" s="552"/>
      <c r="I88" s="552"/>
      <c r="J88" s="552"/>
      <c r="K88" s="552"/>
      <c r="L88" s="552"/>
      <c r="M88" s="552"/>
      <c r="N88" s="552"/>
      <c r="O88" s="552"/>
      <c r="P88" s="552"/>
      <c r="Q88" s="552"/>
      <c r="R88" s="552"/>
      <c r="S88" s="552"/>
      <c r="T88" s="552"/>
      <c r="U88" s="552"/>
      <c r="V88" s="552"/>
      <c r="W88" s="552"/>
      <c r="X88" s="552"/>
      <c r="Y88" s="552"/>
      <c r="Z88" s="552"/>
    </row>
    <row r="89" spans="1:26" ht="12.75" customHeight="1">
      <c r="A89" s="553"/>
      <c r="B89" s="552"/>
      <c r="C89" s="554"/>
      <c r="D89" s="552"/>
      <c r="E89" s="552"/>
      <c r="F89" s="555"/>
      <c r="G89" s="552"/>
      <c r="H89" s="552"/>
      <c r="I89" s="552"/>
      <c r="J89" s="552"/>
      <c r="K89" s="552"/>
      <c r="L89" s="552"/>
      <c r="M89" s="552"/>
      <c r="N89" s="552"/>
      <c r="O89" s="552"/>
      <c r="P89" s="552"/>
      <c r="Q89" s="552"/>
      <c r="R89" s="552"/>
      <c r="S89" s="552"/>
      <c r="T89" s="552"/>
      <c r="U89" s="552"/>
      <c r="V89" s="552"/>
      <c r="W89" s="552"/>
      <c r="X89" s="552"/>
      <c r="Y89" s="552"/>
      <c r="Z89" s="552"/>
    </row>
    <row r="90" spans="1:26" ht="12.75" customHeight="1">
      <c r="A90" s="553"/>
      <c r="B90" s="552"/>
      <c r="C90" s="554"/>
      <c r="D90" s="552"/>
      <c r="E90" s="552"/>
      <c r="F90" s="555"/>
      <c r="G90" s="552"/>
      <c r="H90" s="552"/>
      <c r="I90" s="552"/>
      <c r="J90" s="552"/>
      <c r="K90" s="552"/>
      <c r="L90" s="552"/>
      <c r="M90" s="552"/>
      <c r="N90" s="552"/>
      <c r="O90" s="552"/>
      <c r="P90" s="552"/>
      <c r="Q90" s="552"/>
      <c r="R90" s="552"/>
      <c r="S90" s="552"/>
      <c r="T90" s="552"/>
      <c r="U90" s="552"/>
      <c r="V90" s="552"/>
      <c r="W90" s="552"/>
      <c r="X90" s="552"/>
      <c r="Y90" s="552"/>
      <c r="Z90" s="552"/>
    </row>
    <row r="91" spans="1:26" ht="12.75" customHeight="1">
      <c r="A91" s="553"/>
      <c r="B91" s="552"/>
      <c r="C91" s="554"/>
      <c r="D91" s="552"/>
      <c r="E91" s="552"/>
      <c r="F91" s="555"/>
      <c r="G91" s="552"/>
      <c r="H91" s="552"/>
      <c r="I91" s="552"/>
      <c r="J91" s="552"/>
      <c r="K91" s="552"/>
      <c r="L91" s="552"/>
      <c r="M91" s="552"/>
      <c r="N91" s="552"/>
      <c r="O91" s="552"/>
      <c r="P91" s="552"/>
      <c r="Q91" s="552"/>
      <c r="R91" s="552"/>
      <c r="S91" s="552"/>
      <c r="T91" s="552"/>
      <c r="U91" s="552"/>
      <c r="V91" s="552"/>
      <c r="W91" s="552"/>
      <c r="X91" s="552"/>
      <c r="Y91" s="552"/>
      <c r="Z91" s="552"/>
    </row>
    <row r="92" spans="1:26" ht="12.75" customHeight="1">
      <c r="A92" s="553"/>
      <c r="B92" s="552"/>
      <c r="C92" s="554"/>
      <c r="D92" s="552"/>
      <c r="E92" s="552"/>
      <c r="F92" s="555"/>
      <c r="G92" s="552"/>
      <c r="H92" s="552"/>
      <c r="I92" s="552"/>
      <c r="J92" s="552"/>
      <c r="K92" s="552"/>
      <c r="L92" s="552"/>
      <c r="M92" s="552"/>
      <c r="N92" s="552"/>
      <c r="O92" s="552"/>
      <c r="P92" s="552"/>
      <c r="Q92" s="552"/>
      <c r="R92" s="552"/>
      <c r="S92" s="552"/>
      <c r="T92" s="552"/>
      <c r="U92" s="552"/>
      <c r="V92" s="552"/>
      <c r="W92" s="552"/>
      <c r="X92" s="552"/>
      <c r="Y92" s="552"/>
      <c r="Z92" s="552"/>
    </row>
    <row r="93" spans="1:26" ht="12.75" customHeight="1">
      <c r="A93" s="553"/>
      <c r="B93" s="552"/>
      <c r="C93" s="554"/>
      <c r="D93" s="552"/>
      <c r="E93" s="552"/>
      <c r="F93" s="555"/>
      <c r="G93" s="552"/>
      <c r="H93" s="552"/>
      <c r="I93" s="552"/>
      <c r="J93" s="552"/>
      <c r="K93" s="552"/>
      <c r="L93" s="552"/>
      <c r="M93" s="552"/>
      <c r="N93" s="552"/>
      <c r="O93" s="552"/>
      <c r="P93" s="552"/>
      <c r="Q93" s="552"/>
      <c r="R93" s="552"/>
      <c r="S93" s="552"/>
      <c r="T93" s="552"/>
      <c r="U93" s="552"/>
      <c r="V93" s="552"/>
      <c r="W93" s="552"/>
      <c r="X93" s="552"/>
      <c r="Y93" s="552"/>
      <c r="Z93" s="552"/>
    </row>
    <row r="94" spans="1:26" ht="12.75" customHeight="1">
      <c r="A94" s="553"/>
      <c r="B94" s="552"/>
      <c r="C94" s="554"/>
      <c r="D94" s="552"/>
      <c r="E94" s="552"/>
      <c r="F94" s="555"/>
      <c r="G94" s="552"/>
      <c r="H94" s="552"/>
      <c r="I94" s="552"/>
      <c r="J94" s="552"/>
      <c r="K94" s="552"/>
      <c r="L94" s="552"/>
      <c r="M94" s="552"/>
      <c r="N94" s="552"/>
      <c r="O94" s="552"/>
      <c r="P94" s="552"/>
      <c r="Q94" s="552"/>
      <c r="R94" s="552"/>
      <c r="S94" s="552"/>
      <c r="T94" s="552"/>
      <c r="U94" s="552"/>
      <c r="V94" s="552"/>
      <c r="W94" s="552"/>
      <c r="X94" s="552"/>
      <c r="Y94" s="552"/>
      <c r="Z94" s="552"/>
    </row>
    <row r="95" spans="1:26" ht="12.75" customHeight="1">
      <c r="A95" s="553"/>
      <c r="B95" s="552"/>
      <c r="C95" s="554"/>
      <c r="D95" s="552"/>
      <c r="E95" s="552"/>
      <c r="F95" s="555"/>
      <c r="G95" s="552"/>
      <c r="H95" s="552"/>
      <c r="I95" s="552"/>
      <c r="J95" s="552"/>
      <c r="K95" s="552"/>
      <c r="L95" s="552"/>
      <c r="M95" s="552"/>
      <c r="N95" s="552"/>
      <c r="O95" s="552"/>
      <c r="P95" s="552"/>
      <c r="Q95" s="552"/>
      <c r="R95" s="552"/>
      <c r="S95" s="552"/>
      <c r="T95" s="552"/>
      <c r="U95" s="552"/>
      <c r="V95" s="552"/>
      <c r="W95" s="552"/>
      <c r="X95" s="552"/>
      <c r="Y95" s="552"/>
      <c r="Z95" s="552"/>
    </row>
    <row r="96" spans="1:26" ht="12.75" customHeight="1">
      <c r="A96" s="553"/>
      <c r="B96" s="552"/>
      <c r="C96" s="554"/>
      <c r="D96" s="552"/>
      <c r="E96" s="552"/>
      <c r="F96" s="555"/>
      <c r="G96" s="552"/>
      <c r="H96" s="552"/>
      <c r="I96" s="552"/>
      <c r="J96" s="552"/>
      <c r="K96" s="552"/>
      <c r="L96" s="552"/>
      <c r="M96" s="552"/>
      <c r="N96" s="552"/>
      <c r="O96" s="552"/>
      <c r="P96" s="552"/>
      <c r="Q96" s="552"/>
      <c r="R96" s="552"/>
      <c r="S96" s="552"/>
      <c r="T96" s="552"/>
      <c r="U96" s="552"/>
      <c r="V96" s="552"/>
      <c r="W96" s="552"/>
      <c r="X96" s="552"/>
      <c r="Y96" s="552"/>
      <c r="Z96" s="552"/>
    </row>
    <row r="97" spans="1:26" ht="12.75" customHeight="1">
      <c r="A97" s="553"/>
      <c r="B97" s="552"/>
      <c r="C97" s="554"/>
      <c r="D97" s="552"/>
      <c r="E97" s="552"/>
      <c r="F97" s="555"/>
      <c r="G97" s="552"/>
      <c r="H97" s="552"/>
      <c r="I97" s="552"/>
      <c r="J97" s="552"/>
      <c r="K97" s="552"/>
      <c r="L97" s="552"/>
      <c r="M97" s="552"/>
      <c r="N97" s="552"/>
      <c r="O97" s="552"/>
      <c r="P97" s="552"/>
      <c r="Q97" s="552"/>
      <c r="R97" s="552"/>
      <c r="S97" s="552"/>
      <c r="T97" s="552"/>
      <c r="U97" s="552"/>
      <c r="V97" s="552"/>
      <c r="W97" s="552"/>
      <c r="X97" s="552"/>
      <c r="Y97" s="552"/>
      <c r="Z97" s="552"/>
    </row>
    <row r="98" spans="1:26" ht="12.75" customHeight="1">
      <c r="A98" s="553"/>
      <c r="B98" s="552"/>
      <c r="C98" s="554"/>
      <c r="D98" s="552"/>
      <c r="E98" s="552"/>
      <c r="F98" s="555"/>
      <c r="G98" s="552"/>
      <c r="H98" s="552"/>
      <c r="I98" s="552"/>
      <c r="J98" s="552"/>
      <c r="K98" s="552"/>
      <c r="L98" s="552"/>
      <c r="M98" s="552"/>
      <c r="N98" s="552"/>
      <c r="O98" s="552"/>
      <c r="P98" s="552"/>
      <c r="Q98" s="552"/>
      <c r="R98" s="552"/>
      <c r="S98" s="552"/>
      <c r="T98" s="552"/>
      <c r="U98" s="552"/>
      <c r="V98" s="552"/>
      <c r="W98" s="552"/>
      <c r="X98" s="552"/>
      <c r="Y98" s="552"/>
      <c r="Z98" s="552"/>
    </row>
    <row r="99" spans="1:26" ht="12.75" customHeight="1">
      <c r="A99" s="553"/>
      <c r="B99" s="552"/>
      <c r="C99" s="554"/>
      <c r="D99" s="552"/>
      <c r="E99" s="552"/>
      <c r="F99" s="555"/>
      <c r="G99" s="552"/>
      <c r="H99" s="552"/>
      <c r="I99" s="552"/>
      <c r="J99" s="552"/>
      <c r="K99" s="552"/>
      <c r="L99" s="552"/>
      <c r="M99" s="552"/>
      <c r="N99" s="552"/>
      <c r="O99" s="552"/>
      <c r="P99" s="552"/>
      <c r="Q99" s="552"/>
      <c r="R99" s="552"/>
      <c r="S99" s="552"/>
      <c r="T99" s="552"/>
      <c r="U99" s="552"/>
      <c r="V99" s="552"/>
      <c r="W99" s="552"/>
      <c r="X99" s="552"/>
      <c r="Y99" s="552"/>
      <c r="Z99" s="552"/>
    </row>
    <row r="100" spans="1:26" ht="12.75" customHeight="1">
      <c r="A100" s="553"/>
      <c r="B100" s="552"/>
      <c r="C100" s="554"/>
      <c r="D100" s="552"/>
      <c r="E100" s="552"/>
      <c r="F100" s="555"/>
      <c r="G100" s="552"/>
      <c r="H100" s="552"/>
      <c r="I100" s="552"/>
      <c r="J100" s="552"/>
      <c r="K100" s="552"/>
      <c r="L100" s="552"/>
      <c r="M100" s="552"/>
      <c r="N100" s="552"/>
      <c r="O100" s="552"/>
      <c r="P100" s="552"/>
      <c r="Q100" s="552"/>
      <c r="R100" s="552"/>
      <c r="S100" s="552"/>
      <c r="T100" s="552"/>
      <c r="U100" s="552"/>
      <c r="V100" s="552"/>
      <c r="W100" s="552"/>
      <c r="X100" s="552"/>
      <c r="Y100" s="552"/>
      <c r="Z100" s="552"/>
    </row>
    <row r="101" spans="1:26" ht="12.75" customHeight="1">
      <c r="A101" s="553"/>
      <c r="B101" s="552"/>
      <c r="C101" s="554"/>
      <c r="D101" s="552"/>
      <c r="E101" s="552"/>
      <c r="F101" s="555"/>
      <c r="G101" s="552"/>
      <c r="H101" s="552"/>
      <c r="I101" s="552"/>
      <c r="J101" s="552"/>
      <c r="K101" s="552"/>
      <c r="L101" s="552"/>
      <c r="M101" s="552"/>
      <c r="N101" s="552"/>
      <c r="O101" s="552"/>
      <c r="P101" s="552"/>
      <c r="Q101" s="552"/>
      <c r="R101" s="552"/>
      <c r="S101" s="552"/>
      <c r="T101" s="552"/>
      <c r="U101" s="552"/>
      <c r="V101" s="552"/>
      <c r="W101" s="552"/>
      <c r="X101" s="552"/>
      <c r="Y101" s="552"/>
      <c r="Z101" s="552"/>
    </row>
    <row r="102" spans="1:26" ht="12.75" customHeight="1">
      <c r="A102" s="553"/>
      <c r="B102" s="552"/>
      <c r="C102" s="554"/>
      <c r="D102" s="552"/>
      <c r="E102" s="552"/>
      <c r="F102" s="555"/>
      <c r="G102" s="552"/>
      <c r="H102" s="552"/>
      <c r="I102" s="552"/>
      <c r="J102" s="552"/>
      <c r="K102" s="552"/>
      <c r="L102" s="552"/>
      <c r="M102" s="552"/>
      <c r="N102" s="552"/>
      <c r="O102" s="552"/>
      <c r="P102" s="552"/>
      <c r="Q102" s="552"/>
      <c r="R102" s="552"/>
      <c r="S102" s="552"/>
      <c r="T102" s="552"/>
      <c r="U102" s="552"/>
      <c r="V102" s="552"/>
      <c r="W102" s="552"/>
      <c r="X102" s="552"/>
      <c r="Y102" s="552"/>
      <c r="Z102" s="552"/>
    </row>
    <row r="103" spans="1:26" ht="12.75" customHeight="1">
      <c r="A103" s="553"/>
      <c r="B103" s="552"/>
      <c r="C103" s="554"/>
      <c r="D103" s="552"/>
      <c r="E103" s="552"/>
      <c r="F103" s="555"/>
      <c r="G103" s="552"/>
      <c r="H103" s="552"/>
      <c r="I103" s="552"/>
      <c r="J103" s="552"/>
      <c r="K103" s="552"/>
      <c r="L103" s="552"/>
      <c r="M103" s="552"/>
      <c r="N103" s="552"/>
      <c r="O103" s="552"/>
      <c r="P103" s="552"/>
      <c r="Q103" s="552"/>
      <c r="R103" s="552"/>
      <c r="S103" s="552"/>
      <c r="T103" s="552"/>
      <c r="U103" s="552"/>
      <c r="V103" s="552"/>
      <c r="W103" s="552"/>
      <c r="X103" s="552"/>
      <c r="Y103" s="552"/>
      <c r="Z103" s="552"/>
    </row>
    <row r="104" spans="1:26" ht="12.75" customHeight="1">
      <c r="A104" s="553"/>
      <c r="B104" s="552"/>
      <c r="C104" s="554"/>
      <c r="D104" s="552"/>
      <c r="E104" s="552"/>
      <c r="F104" s="555"/>
      <c r="G104" s="552"/>
      <c r="H104" s="552"/>
      <c r="I104" s="552"/>
      <c r="J104" s="552"/>
      <c r="K104" s="552"/>
      <c r="L104" s="552"/>
      <c r="M104" s="552"/>
      <c r="N104" s="552"/>
      <c r="O104" s="552"/>
      <c r="P104" s="552"/>
      <c r="Q104" s="552"/>
      <c r="R104" s="552"/>
      <c r="S104" s="552"/>
      <c r="T104" s="552"/>
      <c r="U104" s="552"/>
      <c r="V104" s="552"/>
      <c r="W104" s="552"/>
      <c r="X104" s="552"/>
      <c r="Y104" s="552"/>
      <c r="Z104" s="552"/>
    </row>
    <row r="105" spans="1:26" ht="12.75" customHeight="1">
      <c r="A105" s="553"/>
      <c r="B105" s="552"/>
      <c r="C105" s="554"/>
      <c r="D105" s="552"/>
      <c r="E105" s="552"/>
      <c r="F105" s="555"/>
      <c r="G105" s="552"/>
      <c r="H105" s="552"/>
      <c r="I105" s="552"/>
      <c r="J105" s="552"/>
      <c r="K105" s="552"/>
      <c r="L105" s="552"/>
      <c r="M105" s="552"/>
      <c r="N105" s="552"/>
      <c r="O105" s="552"/>
      <c r="P105" s="552"/>
      <c r="Q105" s="552"/>
      <c r="R105" s="552"/>
      <c r="S105" s="552"/>
      <c r="T105" s="552"/>
      <c r="U105" s="552"/>
      <c r="V105" s="552"/>
      <c r="W105" s="552"/>
      <c r="X105" s="552"/>
      <c r="Y105" s="552"/>
      <c r="Z105" s="552"/>
    </row>
    <row r="106" spans="1:26" ht="12.75" customHeight="1">
      <c r="A106" s="553"/>
      <c r="B106" s="552"/>
      <c r="C106" s="554"/>
      <c r="D106" s="552"/>
      <c r="E106" s="552"/>
      <c r="F106" s="555"/>
      <c r="G106" s="552"/>
      <c r="H106" s="552"/>
      <c r="I106" s="552"/>
      <c r="J106" s="552"/>
      <c r="K106" s="552"/>
      <c r="L106" s="552"/>
      <c r="M106" s="552"/>
      <c r="N106" s="552"/>
      <c r="O106" s="552"/>
      <c r="P106" s="552"/>
      <c r="Q106" s="552"/>
      <c r="R106" s="552"/>
      <c r="S106" s="552"/>
      <c r="T106" s="552"/>
      <c r="U106" s="552"/>
      <c r="V106" s="552"/>
      <c r="W106" s="552"/>
      <c r="X106" s="552"/>
      <c r="Y106" s="552"/>
      <c r="Z106" s="552"/>
    </row>
    <row r="107" spans="1:26" ht="12.75" customHeight="1">
      <c r="A107" s="553"/>
      <c r="B107" s="552"/>
      <c r="C107" s="554"/>
      <c r="D107" s="552"/>
      <c r="E107" s="552"/>
      <c r="F107" s="555"/>
      <c r="G107" s="552"/>
      <c r="H107" s="552"/>
      <c r="I107" s="552"/>
      <c r="J107" s="552"/>
      <c r="K107" s="552"/>
      <c r="L107" s="552"/>
      <c r="M107" s="552"/>
      <c r="N107" s="552"/>
      <c r="O107" s="552"/>
      <c r="P107" s="552"/>
      <c r="Q107" s="552"/>
      <c r="R107" s="552"/>
      <c r="S107" s="552"/>
      <c r="T107" s="552"/>
      <c r="U107" s="552"/>
      <c r="V107" s="552"/>
      <c r="W107" s="552"/>
      <c r="X107" s="552"/>
      <c r="Y107" s="552"/>
      <c r="Z107" s="552"/>
    </row>
    <row r="108" spans="1:26" ht="12.75" customHeight="1">
      <c r="A108" s="553"/>
      <c r="B108" s="552"/>
      <c r="C108" s="554"/>
      <c r="D108" s="552"/>
      <c r="E108" s="552"/>
      <c r="F108" s="555"/>
      <c r="G108" s="552"/>
      <c r="H108" s="552"/>
      <c r="I108" s="552"/>
      <c r="J108" s="552"/>
      <c r="K108" s="552"/>
      <c r="L108" s="552"/>
      <c r="M108" s="552"/>
      <c r="N108" s="552"/>
      <c r="O108" s="552"/>
      <c r="P108" s="552"/>
      <c r="Q108" s="552"/>
      <c r="R108" s="552"/>
      <c r="S108" s="552"/>
      <c r="T108" s="552"/>
      <c r="U108" s="552"/>
      <c r="V108" s="552"/>
      <c r="W108" s="552"/>
      <c r="X108" s="552"/>
      <c r="Y108" s="552"/>
      <c r="Z108" s="552"/>
    </row>
    <row r="109" spans="1:26" ht="12.75" customHeight="1">
      <c r="A109" s="553"/>
      <c r="B109" s="552"/>
      <c r="C109" s="554"/>
      <c r="D109" s="552"/>
      <c r="E109" s="552"/>
      <c r="F109" s="555"/>
      <c r="G109" s="552"/>
      <c r="H109" s="552"/>
      <c r="I109" s="552"/>
      <c r="J109" s="552"/>
      <c r="K109" s="552"/>
      <c r="L109" s="552"/>
      <c r="M109" s="552"/>
      <c r="N109" s="552"/>
      <c r="O109" s="552"/>
      <c r="P109" s="552"/>
      <c r="Q109" s="552"/>
      <c r="R109" s="552"/>
      <c r="S109" s="552"/>
      <c r="T109" s="552"/>
      <c r="U109" s="552"/>
      <c r="V109" s="552"/>
      <c r="W109" s="552"/>
      <c r="X109" s="552"/>
      <c r="Y109" s="552"/>
      <c r="Z109" s="552"/>
    </row>
    <row r="110" spans="1:26" ht="12.75" customHeight="1">
      <c r="A110" s="553"/>
      <c r="B110" s="552"/>
      <c r="C110" s="554"/>
      <c r="D110" s="552"/>
      <c r="E110" s="552"/>
      <c r="F110" s="555"/>
      <c r="G110" s="552"/>
      <c r="H110" s="552"/>
      <c r="I110" s="552"/>
      <c r="J110" s="552"/>
      <c r="K110" s="552"/>
      <c r="L110" s="552"/>
      <c r="M110" s="552"/>
      <c r="N110" s="552"/>
      <c r="O110" s="552"/>
      <c r="P110" s="552"/>
      <c r="Q110" s="552"/>
      <c r="R110" s="552"/>
      <c r="S110" s="552"/>
      <c r="T110" s="552"/>
      <c r="U110" s="552"/>
      <c r="V110" s="552"/>
      <c r="W110" s="552"/>
      <c r="X110" s="552"/>
      <c r="Y110" s="552"/>
      <c r="Z110" s="552"/>
    </row>
    <row r="111" spans="1:26" ht="12.75" customHeight="1">
      <c r="A111" s="553"/>
      <c r="B111" s="552"/>
      <c r="C111" s="554"/>
      <c r="D111" s="552"/>
      <c r="E111" s="552"/>
      <c r="F111" s="555"/>
      <c r="G111" s="552"/>
      <c r="H111" s="552"/>
      <c r="I111" s="552"/>
      <c r="J111" s="552"/>
      <c r="K111" s="552"/>
      <c r="L111" s="552"/>
      <c r="M111" s="552"/>
      <c r="N111" s="552"/>
      <c r="O111" s="552"/>
      <c r="P111" s="552"/>
      <c r="Q111" s="552"/>
      <c r="R111" s="552"/>
      <c r="S111" s="552"/>
      <c r="T111" s="552"/>
      <c r="U111" s="552"/>
      <c r="V111" s="552"/>
      <c r="W111" s="552"/>
      <c r="X111" s="552"/>
      <c r="Y111" s="552"/>
      <c r="Z111" s="552"/>
    </row>
    <row r="112" spans="1:26" ht="12.75" customHeight="1">
      <c r="A112" s="553"/>
      <c r="B112" s="552"/>
      <c r="C112" s="554"/>
      <c r="D112" s="552"/>
      <c r="E112" s="552"/>
      <c r="F112" s="555"/>
      <c r="G112" s="552"/>
      <c r="H112" s="552"/>
      <c r="I112" s="552"/>
      <c r="J112" s="552"/>
      <c r="K112" s="552"/>
      <c r="L112" s="552"/>
      <c r="M112" s="552"/>
      <c r="N112" s="552"/>
      <c r="O112" s="552"/>
      <c r="P112" s="552"/>
      <c r="Q112" s="552"/>
      <c r="R112" s="552"/>
      <c r="S112" s="552"/>
      <c r="T112" s="552"/>
      <c r="U112" s="552"/>
      <c r="V112" s="552"/>
      <c r="W112" s="552"/>
      <c r="X112" s="552"/>
      <c r="Y112" s="552"/>
      <c r="Z112" s="552"/>
    </row>
    <row r="113" spans="1:26" ht="12.75" customHeight="1">
      <c r="A113" s="553"/>
      <c r="B113" s="552"/>
      <c r="C113" s="554"/>
      <c r="D113" s="552"/>
      <c r="E113" s="552"/>
      <c r="F113" s="555"/>
      <c r="G113" s="552"/>
      <c r="H113" s="552"/>
      <c r="I113" s="552"/>
      <c r="J113" s="552"/>
      <c r="K113" s="552"/>
      <c r="L113" s="552"/>
      <c r="M113" s="552"/>
      <c r="N113" s="552"/>
      <c r="O113" s="552"/>
      <c r="P113" s="552"/>
      <c r="Q113" s="552"/>
      <c r="R113" s="552"/>
      <c r="S113" s="552"/>
      <c r="T113" s="552"/>
      <c r="U113" s="552"/>
      <c r="V113" s="552"/>
      <c r="W113" s="552"/>
      <c r="X113" s="552"/>
      <c r="Y113" s="552"/>
      <c r="Z113" s="552"/>
    </row>
    <row r="114" spans="1:26" ht="12.75" customHeight="1">
      <c r="A114" s="553"/>
      <c r="B114" s="552"/>
      <c r="C114" s="554"/>
      <c r="D114" s="552"/>
      <c r="E114" s="552"/>
      <c r="F114" s="555"/>
      <c r="G114" s="552"/>
      <c r="H114" s="552"/>
      <c r="I114" s="552"/>
      <c r="J114" s="552"/>
      <c r="K114" s="552"/>
      <c r="L114" s="552"/>
      <c r="M114" s="552"/>
      <c r="N114" s="552"/>
      <c r="O114" s="552"/>
      <c r="P114" s="552"/>
      <c r="Q114" s="552"/>
      <c r="R114" s="552"/>
      <c r="S114" s="552"/>
      <c r="T114" s="552"/>
      <c r="U114" s="552"/>
      <c r="V114" s="552"/>
      <c r="W114" s="552"/>
      <c r="X114" s="552"/>
      <c r="Y114" s="552"/>
      <c r="Z114" s="552"/>
    </row>
    <row r="115" spans="1:26" ht="12.75" customHeight="1">
      <c r="A115" s="553"/>
      <c r="B115" s="552"/>
      <c r="C115" s="554"/>
      <c r="D115" s="552"/>
      <c r="E115" s="552"/>
      <c r="F115" s="555"/>
      <c r="G115" s="552"/>
      <c r="H115" s="552"/>
      <c r="I115" s="552"/>
      <c r="J115" s="552"/>
      <c r="K115" s="552"/>
      <c r="L115" s="552"/>
      <c r="M115" s="552"/>
      <c r="N115" s="552"/>
      <c r="O115" s="552"/>
      <c r="P115" s="552"/>
      <c r="Q115" s="552"/>
      <c r="R115" s="552"/>
      <c r="S115" s="552"/>
      <c r="T115" s="552"/>
      <c r="U115" s="552"/>
      <c r="V115" s="552"/>
      <c r="W115" s="552"/>
      <c r="X115" s="552"/>
      <c r="Y115" s="552"/>
      <c r="Z115" s="552"/>
    </row>
    <row r="116" spans="1:26" ht="12.75" customHeight="1">
      <c r="A116" s="553"/>
      <c r="B116" s="552"/>
      <c r="C116" s="554"/>
      <c r="D116" s="552"/>
      <c r="E116" s="552"/>
      <c r="F116" s="555"/>
      <c r="G116" s="552"/>
      <c r="H116" s="552"/>
      <c r="I116" s="552"/>
      <c r="J116" s="552"/>
      <c r="K116" s="552"/>
      <c r="L116" s="552"/>
      <c r="M116" s="552"/>
      <c r="N116" s="552"/>
      <c r="O116" s="552"/>
      <c r="P116" s="552"/>
      <c r="Q116" s="552"/>
      <c r="R116" s="552"/>
      <c r="S116" s="552"/>
      <c r="T116" s="552"/>
      <c r="U116" s="552"/>
      <c r="V116" s="552"/>
      <c r="W116" s="552"/>
      <c r="X116" s="552"/>
      <c r="Y116" s="552"/>
      <c r="Z116" s="552"/>
    </row>
    <row r="117" spans="1:26" ht="12.75" customHeight="1">
      <c r="A117" s="553"/>
      <c r="B117" s="552"/>
      <c r="C117" s="554"/>
      <c r="D117" s="552"/>
      <c r="E117" s="552"/>
      <c r="F117" s="555"/>
      <c r="G117" s="552"/>
      <c r="H117" s="552"/>
      <c r="I117" s="552"/>
      <c r="J117" s="552"/>
      <c r="K117" s="552"/>
      <c r="L117" s="552"/>
      <c r="M117" s="552"/>
      <c r="N117" s="552"/>
      <c r="O117" s="552"/>
      <c r="P117" s="552"/>
      <c r="Q117" s="552"/>
      <c r="R117" s="552"/>
      <c r="S117" s="552"/>
      <c r="T117" s="552"/>
      <c r="U117" s="552"/>
      <c r="V117" s="552"/>
      <c r="W117" s="552"/>
      <c r="X117" s="552"/>
      <c r="Y117" s="552"/>
      <c r="Z117" s="552"/>
    </row>
    <row r="118" spans="1:26" ht="12.75" customHeight="1">
      <c r="A118" s="553"/>
      <c r="B118" s="552"/>
      <c r="C118" s="554"/>
      <c r="D118" s="552"/>
      <c r="E118" s="552"/>
      <c r="F118" s="555"/>
      <c r="G118" s="552"/>
      <c r="H118" s="552"/>
      <c r="I118" s="552"/>
      <c r="J118" s="552"/>
      <c r="K118" s="552"/>
      <c r="L118" s="552"/>
      <c r="M118" s="552"/>
      <c r="N118" s="552"/>
      <c r="O118" s="552"/>
      <c r="P118" s="552"/>
      <c r="Q118" s="552"/>
      <c r="R118" s="552"/>
      <c r="S118" s="552"/>
      <c r="T118" s="552"/>
      <c r="U118" s="552"/>
      <c r="V118" s="552"/>
      <c r="W118" s="552"/>
      <c r="X118" s="552"/>
      <c r="Y118" s="552"/>
      <c r="Z118" s="552"/>
    </row>
    <row r="119" spans="1:26" ht="12.75" customHeight="1">
      <c r="A119" s="553"/>
      <c r="B119" s="552"/>
      <c r="C119" s="554"/>
      <c r="D119" s="552"/>
      <c r="E119" s="552"/>
      <c r="F119" s="555"/>
      <c r="G119" s="552"/>
      <c r="H119" s="552"/>
      <c r="I119" s="552"/>
      <c r="J119" s="552"/>
      <c r="K119" s="552"/>
      <c r="L119" s="552"/>
      <c r="M119" s="552"/>
      <c r="N119" s="552"/>
      <c r="O119" s="552"/>
      <c r="P119" s="552"/>
      <c r="Q119" s="552"/>
      <c r="R119" s="552"/>
      <c r="S119" s="552"/>
      <c r="T119" s="552"/>
      <c r="U119" s="552"/>
      <c r="V119" s="552"/>
      <c r="W119" s="552"/>
      <c r="X119" s="552"/>
      <c r="Y119" s="552"/>
      <c r="Z119" s="552"/>
    </row>
    <row r="120" spans="1:26" ht="12.75" customHeight="1">
      <c r="A120" s="553"/>
      <c r="B120" s="552"/>
      <c r="C120" s="554"/>
      <c r="D120" s="552"/>
      <c r="E120" s="552"/>
      <c r="F120" s="555"/>
      <c r="G120" s="552"/>
      <c r="H120" s="552"/>
      <c r="I120" s="552"/>
      <c r="J120" s="552"/>
      <c r="K120" s="552"/>
      <c r="L120" s="552"/>
      <c r="M120" s="552"/>
      <c r="N120" s="552"/>
      <c r="O120" s="552"/>
      <c r="P120" s="552"/>
      <c r="Q120" s="552"/>
      <c r="R120" s="552"/>
      <c r="S120" s="552"/>
      <c r="T120" s="552"/>
      <c r="U120" s="552"/>
      <c r="V120" s="552"/>
      <c r="W120" s="552"/>
      <c r="X120" s="552"/>
      <c r="Y120" s="552"/>
      <c r="Z120" s="552"/>
    </row>
    <row r="121" spans="1:26" ht="12.75" customHeight="1">
      <c r="A121" s="553"/>
      <c r="B121" s="552"/>
      <c r="C121" s="554"/>
      <c r="D121" s="552"/>
      <c r="E121" s="552"/>
      <c r="F121" s="555"/>
      <c r="G121" s="552"/>
      <c r="H121" s="552"/>
      <c r="I121" s="552"/>
      <c r="J121" s="552"/>
      <c r="K121" s="552"/>
      <c r="L121" s="552"/>
      <c r="M121" s="552"/>
      <c r="N121" s="552"/>
      <c r="O121" s="552"/>
      <c r="P121" s="552"/>
      <c r="Q121" s="552"/>
      <c r="R121" s="552"/>
      <c r="S121" s="552"/>
      <c r="T121" s="552"/>
      <c r="U121" s="552"/>
      <c r="V121" s="552"/>
      <c r="W121" s="552"/>
      <c r="X121" s="552"/>
      <c r="Y121" s="552"/>
      <c r="Z121" s="552"/>
    </row>
    <row r="122" spans="1:26" ht="12.75" customHeight="1">
      <c r="A122" s="553"/>
      <c r="B122" s="552"/>
      <c r="C122" s="554"/>
      <c r="D122" s="552"/>
      <c r="E122" s="552"/>
      <c r="F122" s="555"/>
      <c r="G122" s="552"/>
      <c r="H122" s="552"/>
      <c r="I122" s="552"/>
      <c r="J122" s="552"/>
      <c r="K122" s="552"/>
      <c r="L122" s="552"/>
      <c r="M122" s="552"/>
      <c r="N122" s="552"/>
      <c r="O122" s="552"/>
      <c r="P122" s="552"/>
      <c r="Q122" s="552"/>
      <c r="R122" s="552"/>
      <c r="S122" s="552"/>
      <c r="T122" s="552"/>
      <c r="U122" s="552"/>
      <c r="V122" s="552"/>
      <c r="W122" s="552"/>
      <c r="X122" s="552"/>
      <c r="Y122" s="552"/>
      <c r="Z122" s="552"/>
    </row>
    <row r="123" spans="1:26" ht="12.75" customHeight="1">
      <c r="A123" s="553"/>
      <c r="B123" s="552"/>
      <c r="C123" s="554"/>
      <c r="D123" s="552"/>
      <c r="E123" s="552"/>
      <c r="F123" s="555"/>
      <c r="G123" s="552"/>
      <c r="H123" s="552"/>
      <c r="I123" s="552"/>
      <c r="J123" s="552"/>
      <c r="K123" s="552"/>
      <c r="L123" s="552"/>
      <c r="M123" s="552"/>
      <c r="N123" s="552"/>
      <c r="O123" s="552"/>
      <c r="P123" s="552"/>
      <c r="Q123" s="552"/>
      <c r="R123" s="552"/>
      <c r="S123" s="552"/>
      <c r="T123" s="552"/>
      <c r="U123" s="552"/>
      <c r="V123" s="552"/>
      <c r="W123" s="552"/>
      <c r="X123" s="552"/>
      <c r="Y123" s="552"/>
      <c r="Z123" s="552"/>
    </row>
    <row r="124" spans="1:26" ht="12.75" customHeight="1">
      <c r="A124" s="553"/>
      <c r="B124" s="552"/>
      <c r="C124" s="554"/>
      <c r="D124" s="552"/>
      <c r="E124" s="552"/>
      <c r="F124" s="555"/>
      <c r="G124" s="552"/>
      <c r="H124" s="552"/>
      <c r="I124" s="552"/>
      <c r="J124" s="552"/>
      <c r="K124" s="552"/>
      <c r="L124" s="552"/>
      <c r="M124" s="552"/>
      <c r="N124" s="552"/>
      <c r="O124" s="552"/>
      <c r="P124" s="552"/>
      <c r="Q124" s="552"/>
      <c r="R124" s="552"/>
      <c r="S124" s="552"/>
      <c r="T124" s="552"/>
      <c r="U124" s="552"/>
      <c r="V124" s="552"/>
      <c r="W124" s="552"/>
      <c r="X124" s="552"/>
      <c r="Y124" s="552"/>
      <c r="Z124" s="552"/>
    </row>
    <row r="125" spans="1:26" ht="12.75" customHeight="1">
      <c r="A125" s="553"/>
      <c r="B125" s="552"/>
      <c r="C125" s="554"/>
      <c r="D125" s="552"/>
      <c r="E125" s="552"/>
      <c r="F125" s="555"/>
      <c r="G125" s="552"/>
      <c r="H125" s="552"/>
      <c r="I125" s="552"/>
      <c r="J125" s="552"/>
      <c r="K125" s="552"/>
      <c r="L125" s="552"/>
      <c r="M125" s="552"/>
      <c r="N125" s="552"/>
      <c r="O125" s="552"/>
      <c r="P125" s="552"/>
      <c r="Q125" s="552"/>
      <c r="R125" s="552"/>
      <c r="S125" s="552"/>
      <c r="T125" s="552"/>
      <c r="U125" s="552"/>
      <c r="V125" s="552"/>
      <c r="W125" s="552"/>
      <c r="X125" s="552"/>
      <c r="Y125" s="552"/>
      <c r="Z125" s="552"/>
    </row>
    <row r="126" spans="1:26" ht="12.75" customHeight="1">
      <c r="A126" s="553"/>
      <c r="B126" s="552"/>
      <c r="C126" s="554"/>
      <c r="D126" s="552"/>
      <c r="E126" s="552"/>
      <c r="F126" s="555"/>
      <c r="G126" s="552"/>
      <c r="H126" s="552"/>
      <c r="I126" s="552"/>
      <c r="J126" s="552"/>
      <c r="K126" s="552"/>
      <c r="L126" s="552"/>
      <c r="M126" s="552"/>
      <c r="N126" s="552"/>
      <c r="O126" s="552"/>
      <c r="P126" s="552"/>
      <c r="Q126" s="552"/>
      <c r="R126" s="552"/>
      <c r="S126" s="552"/>
      <c r="T126" s="552"/>
      <c r="U126" s="552"/>
      <c r="V126" s="552"/>
      <c r="W126" s="552"/>
      <c r="X126" s="552"/>
      <c r="Y126" s="552"/>
      <c r="Z126" s="552"/>
    </row>
    <row r="127" spans="1:26" ht="12.75" customHeight="1">
      <c r="A127" s="553"/>
      <c r="B127" s="552"/>
      <c r="C127" s="554"/>
      <c r="D127" s="552"/>
      <c r="E127" s="552"/>
      <c r="F127" s="555"/>
      <c r="G127" s="552"/>
      <c r="H127" s="552"/>
      <c r="I127" s="552"/>
      <c r="J127" s="552"/>
      <c r="K127" s="552"/>
      <c r="L127" s="552"/>
      <c r="M127" s="552"/>
      <c r="N127" s="552"/>
      <c r="O127" s="552"/>
      <c r="P127" s="552"/>
      <c r="Q127" s="552"/>
      <c r="R127" s="552"/>
      <c r="S127" s="552"/>
      <c r="T127" s="552"/>
      <c r="U127" s="552"/>
      <c r="V127" s="552"/>
      <c r="W127" s="552"/>
      <c r="X127" s="552"/>
      <c r="Y127" s="552"/>
      <c r="Z127" s="552"/>
    </row>
    <row r="128" spans="1:26" ht="12.75" customHeight="1">
      <c r="A128" s="553"/>
      <c r="B128" s="552"/>
      <c r="C128" s="554"/>
      <c r="D128" s="552"/>
      <c r="E128" s="552"/>
      <c r="F128" s="555"/>
      <c r="G128" s="552"/>
      <c r="H128" s="552"/>
      <c r="I128" s="552"/>
      <c r="J128" s="552"/>
      <c r="K128" s="552"/>
      <c r="L128" s="552"/>
      <c r="M128" s="552"/>
      <c r="N128" s="552"/>
      <c r="O128" s="552"/>
      <c r="P128" s="552"/>
      <c r="Q128" s="552"/>
      <c r="R128" s="552"/>
      <c r="S128" s="552"/>
      <c r="T128" s="552"/>
      <c r="U128" s="552"/>
      <c r="V128" s="552"/>
      <c r="W128" s="552"/>
      <c r="X128" s="552"/>
      <c r="Y128" s="552"/>
      <c r="Z128" s="552"/>
    </row>
    <row r="129" spans="1:26" ht="12.75" customHeight="1">
      <c r="A129" s="553"/>
      <c r="B129" s="552"/>
      <c r="C129" s="554"/>
      <c r="D129" s="552"/>
      <c r="E129" s="552"/>
      <c r="F129" s="555"/>
      <c r="G129" s="552"/>
      <c r="H129" s="552"/>
      <c r="I129" s="552"/>
      <c r="J129" s="552"/>
      <c r="K129" s="552"/>
      <c r="L129" s="552"/>
      <c r="M129" s="552"/>
      <c r="N129" s="552"/>
      <c r="O129" s="552"/>
      <c r="P129" s="552"/>
      <c r="Q129" s="552"/>
      <c r="R129" s="552"/>
      <c r="S129" s="552"/>
      <c r="T129" s="552"/>
      <c r="U129" s="552"/>
      <c r="V129" s="552"/>
      <c r="W129" s="552"/>
      <c r="X129" s="552"/>
      <c r="Y129" s="552"/>
      <c r="Z129" s="552"/>
    </row>
    <row r="130" spans="1:26" ht="12.75" customHeight="1">
      <c r="A130" s="553"/>
      <c r="B130" s="552"/>
      <c r="C130" s="554"/>
      <c r="D130" s="552"/>
      <c r="E130" s="552"/>
      <c r="F130" s="555"/>
      <c r="G130" s="552"/>
      <c r="H130" s="552"/>
      <c r="I130" s="552"/>
      <c r="J130" s="552"/>
      <c r="K130" s="552"/>
      <c r="L130" s="552"/>
      <c r="M130" s="552"/>
      <c r="N130" s="552"/>
      <c r="O130" s="552"/>
      <c r="P130" s="552"/>
      <c r="Q130" s="552"/>
      <c r="R130" s="552"/>
      <c r="S130" s="552"/>
      <c r="T130" s="552"/>
      <c r="U130" s="552"/>
      <c r="V130" s="552"/>
      <c r="W130" s="552"/>
      <c r="X130" s="552"/>
      <c r="Y130" s="552"/>
      <c r="Z130" s="552"/>
    </row>
    <row r="131" spans="1:26" ht="12.75" customHeight="1">
      <c r="A131" s="553"/>
      <c r="B131" s="552"/>
      <c r="C131" s="554"/>
      <c r="D131" s="552"/>
      <c r="E131" s="552"/>
      <c r="F131" s="555"/>
      <c r="G131" s="552"/>
      <c r="H131" s="552"/>
      <c r="I131" s="552"/>
      <c r="J131" s="552"/>
      <c r="K131" s="552"/>
      <c r="L131" s="552"/>
      <c r="M131" s="552"/>
      <c r="N131" s="552"/>
      <c r="O131" s="552"/>
      <c r="P131" s="552"/>
      <c r="Q131" s="552"/>
      <c r="R131" s="552"/>
      <c r="S131" s="552"/>
      <c r="T131" s="552"/>
      <c r="U131" s="552"/>
      <c r="V131" s="552"/>
      <c r="W131" s="552"/>
      <c r="X131" s="552"/>
      <c r="Y131" s="552"/>
      <c r="Z131" s="552"/>
    </row>
    <row r="132" spans="1:26" ht="12.75" customHeight="1">
      <c r="A132" s="553"/>
      <c r="B132" s="552"/>
      <c r="C132" s="554"/>
      <c r="D132" s="552"/>
      <c r="E132" s="552"/>
      <c r="F132" s="555"/>
      <c r="G132" s="552"/>
      <c r="H132" s="552"/>
      <c r="I132" s="552"/>
      <c r="J132" s="552"/>
      <c r="K132" s="552"/>
      <c r="L132" s="552"/>
      <c r="M132" s="552"/>
      <c r="N132" s="552"/>
      <c r="O132" s="552"/>
      <c r="P132" s="552"/>
      <c r="Q132" s="552"/>
      <c r="R132" s="552"/>
      <c r="S132" s="552"/>
      <c r="T132" s="552"/>
      <c r="U132" s="552"/>
      <c r="V132" s="552"/>
      <c r="W132" s="552"/>
      <c r="X132" s="552"/>
      <c r="Y132" s="552"/>
      <c r="Z132" s="552"/>
    </row>
    <row r="133" spans="1:26" ht="12.75" customHeight="1">
      <c r="A133" s="553"/>
      <c r="B133" s="552"/>
      <c r="C133" s="554"/>
      <c r="D133" s="552"/>
      <c r="E133" s="552"/>
      <c r="F133" s="555"/>
      <c r="G133" s="552"/>
      <c r="H133" s="552"/>
      <c r="I133" s="552"/>
      <c r="J133" s="552"/>
      <c r="K133" s="552"/>
      <c r="L133" s="552"/>
      <c r="M133" s="552"/>
      <c r="N133" s="552"/>
      <c r="O133" s="552"/>
      <c r="P133" s="552"/>
      <c r="Q133" s="552"/>
      <c r="R133" s="552"/>
      <c r="S133" s="552"/>
      <c r="T133" s="552"/>
      <c r="U133" s="552"/>
      <c r="V133" s="552"/>
      <c r="W133" s="552"/>
      <c r="X133" s="552"/>
      <c r="Y133" s="552"/>
      <c r="Z133" s="552"/>
    </row>
    <row r="134" spans="1:26" ht="12.75" customHeight="1">
      <c r="A134" s="553"/>
      <c r="B134" s="552"/>
      <c r="C134" s="554"/>
      <c r="D134" s="552"/>
      <c r="E134" s="552"/>
      <c r="F134" s="555"/>
      <c r="G134" s="552"/>
      <c r="H134" s="552"/>
      <c r="I134" s="552"/>
      <c r="J134" s="552"/>
      <c r="K134" s="552"/>
      <c r="L134" s="552"/>
      <c r="M134" s="552"/>
      <c r="N134" s="552"/>
      <c r="O134" s="552"/>
      <c r="P134" s="552"/>
      <c r="Q134" s="552"/>
      <c r="R134" s="552"/>
      <c r="S134" s="552"/>
      <c r="T134" s="552"/>
      <c r="U134" s="552"/>
      <c r="V134" s="552"/>
      <c r="W134" s="552"/>
      <c r="X134" s="552"/>
      <c r="Y134" s="552"/>
      <c r="Z134" s="552"/>
    </row>
    <row r="135" spans="1:26" ht="12.75" customHeight="1">
      <c r="A135" s="553"/>
      <c r="B135" s="552"/>
      <c r="C135" s="554"/>
      <c r="D135" s="552"/>
      <c r="E135" s="552"/>
      <c r="F135" s="555"/>
      <c r="G135" s="552"/>
      <c r="H135" s="552"/>
      <c r="I135" s="552"/>
      <c r="J135" s="552"/>
      <c r="K135" s="552"/>
      <c r="L135" s="552"/>
      <c r="M135" s="552"/>
      <c r="N135" s="552"/>
      <c r="O135" s="552"/>
      <c r="P135" s="552"/>
      <c r="Q135" s="552"/>
      <c r="R135" s="552"/>
      <c r="S135" s="552"/>
      <c r="T135" s="552"/>
      <c r="U135" s="552"/>
      <c r="V135" s="552"/>
      <c r="W135" s="552"/>
      <c r="X135" s="552"/>
      <c r="Y135" s="552"/>
      <c r="Z135" s="552"/>
    </row>
    <row r="136" spans="1:26" ht="12.75" customHeight="1">
      <c r="A136" s="553"/>
      <c r="B136" s="552"/>
      <c r="C136" s="554"/>
      <c r="D136" s="552"/>
      <c r="E136" s="552"/>
      <c r="F136" s="555"/>
      <c r="G136" s="552"/>
      <c r="H136" s="552"/>
      <c r="I136" s="552"/>
      <c r="J136" s="552"/>
      <c r="K136" s="552"/>
      <c r="L136" s="552"/>
      <c r="M136" s="552"/>
      <c r="N136" s="552"/>
      <c r="O136" s="552"/>
      <c r="P136" s="552"/>
      <c r="Q136" s="552"/>
      <c r="R136" s="552"/>
      <c r="S136" s="552"/>
      <c r="T136" s="552"/>
      <c r="U136" s="552"/>
      <c r="V136" s="552"/>
      <c r="W136" s="552"/>
      <c r="X136" s="552"/>
      <c r="Y136" s="552"/>
      <c r="Z136" s="552"/>
    </row>
    <row r="137" spans="1:26" ht="12.75" customHeight="1">
      <c r="A137" s="553"/>
      <c r="B137" s="552"/>
      <c r="C137" s="554"/>
      <c r="D137" s="552"/>
      <c r="E137" s="552"/>
      <c r="F137" s="555"/>
      <c r="G137" s="552"/>
      <c r="H137" s="552"/>
      <c r="I137" s="552"/>
      <c r="J137" s="552"/>
      <c r="K137" s="552"/>
      <c r="L137" s="552"/>
      <c r="M137" s="552"/>
      <c r="N137" s="552"/>
      <c r="O137" s="552"/>
      <c r="P137" s="552"/>
      <c r="Q137" s="552"/>
      <c r="R137" s="552"/>
      <c r="S137" s="552"/>
      <c r="T137" s="552"/>
      <c r="U137" s="552"/>
      <c r="V137" s="552"/>
      <c r="W137" s="552"/>
      <c r="X137" s="552"/>
      <c r="Y137" s="552"/>
      <c r="Z137" s="552"/>
    </row>
    <row r="138" spans="1:26" ht="12.75" customHeight="1">
      <c r="A138" s="553"/>
      <c r="B138" s="552"/>
      <c r="C138" s="554"/>
      <c r="D138" s="552"/>
      <c r="E138" s="552"/>
      <c r="F138" s="555"/>
      <c r="G138" s="552"/>
      <c r="H138" s="552"/>
      <c r="I138" s="552"/>
      <c r="J138" s="552"/>
      <c r="K138" s="552"/>
      <c r="L138" s="552"/>
      <c r="M138" s="552"/>
      <c r="N138" s="552"/>
      <c r="O138" s="552"/>
      <c r="P138" s="552"/>
      <c r="Q138" s="552"/>
      <c r="R138" s="552"/>
      <c r="S138" s="552"/>
      <c r="T138" s="552"/>
      <c r="U138" s="552"/>
      <c r="V138" s="552"/>
      <c r="W138" s="552"/>
      <c r="X138" s="552"/>
      <c r="Y138" s="552"/>
      <c r="Z138" s="552"/>
    </row>
    <row r="139" spans="1:26" ht="12.75" customHeight="1">
      <c r="A139" s="553"/>
      <c r="B139" s="552"/>
      <c r="C139" s="554"/>
      <c r="D139" s="552"/>
      <c r="E139" s="552"/>
      <c r="F139" s="555"/>
      <c r="G139" s="552"/>
      <c r="H139" s="552"/>
      <c r="I139" s="552"/>
      <c r="J139" s="552"/>
      <c r="K139" s="552"/>
      <c r="L139" s="552"/>
      <c r="M139" s="552"/>
      <c r="N139" s="552"/>
      <c r="O139" s="552"/>
      <c r="P139" s="552"/>
      <c r="Q139" s="552"/>
      <c r="R139" s="552"/>
      <c r="S139" s="552"/>
      <c r="T139" s="552"/>
      <c r="U139" s="552"/>
      <c r="V139" s="552"/>
      <c r="W139" s="552"/>
      <c r="X139" s="552"/>
      <c r="Y139" s="552"/>
      <c r="Z139" s="552"/>
    </row>
    <row r="140" spans="1:26" ht="12.75" customHeight="1">
      <c r="A140" s="553"/>
      <c r="B140" s="552"/>
      <c r="C140" s="554"/>
      <c r="D140" s="552"/>
      <c r="E140" s="552"/>
      <c r="F140" s="555"/>
      <c r="G140" s="552"/>
      <c r="H140" s="552"/>
      <c r="I140" s="552"/>
      <c r="J140" s="552"/>
      <c r="K140" s="552"/>
      <c r="L140" s="552"/>
      <c r="M140" s="552"/>
      <c r="N140" s="552"/>
      <c r="O140" s="552"/>
      <c r="P140" s="552"/>
      <c r="Q140" s="552"/>
      <c r="R140" s="552"/>
      <c r="S140" s="552"/>
      <c r="T140" s="552"/>
      <c r="U140" s="552"/>
      <c r="V140" s="552"/>
      <c r="W140" s="552"/>
      <c r="X140" s="552"/>
      <c r="Y140" s="552"/>
      <c r="Z140" s="552"/>
    </row>
    <row r="141" spans="1:26" ht="12.75" customHeight="1">
      <c r="A141" s="553"/>
      <c r="B141" s="552"/>
      <c r="C141" s="554"/>
      <c r="D141" s="552"/>
      <c r="E141" s="552"/>
      <c r="F141" s="555"/>
      <c r="G141" s="552"/>
      <c r="H141" s="552"/>
      <c r="I141" s="552"/>
      <c r="J141" s="552"/>
      <c r="K141" s="552"/>
      <c r="L141" s="552"/>
      <c r="M141" s="552"/>
      <c r="N141" s="552"/>
      <c r="O141" s="552"/>
      <c r="P141" s="552"/>
      <c r="Q141" s="552"/>
      <c r="R141" s="552"/>
      <c r="S141" s="552"/>
      <c r="T141" s="552"/>
      <c r="U141" s="552"/>
      <c r="V141" s="552"/>
      <c r="W141" s="552"/>
      <c r="X141" s="552"/>
      <c r="Y141" s="552"/>
      <c r="Z141" s="552"/>
    </row>
    <row r="142" spans="1:26" ht="12.75" customHeight="1">
      <c r="A142" s="553"/>
      <c r="B142" s="552"/>
      <c r="C142" s="554"/>
      <c r="D142" s="552"/>
      <c r="E142" s="552"/>
      <c r="F142" s="555"/>
      <c r="G142" s="552"/>
      <c r="H142" s="552"/>
      <c r="I142" s="552"/>
      <c r="J142" s="552"/>
      <c r="K142" s="552"/>
      <c r="L142" s="552"/>
      <c r="M142" s="552"/>
      <c r="N142" s="552"/>
      <c r="O142" s="552"/>
      <c r="P142" s="552"/>
      <c r="Q142" s="552"/>
      <c r="R142" s="552"/>
      <c r="S142" s="552"/>
      <c r="T142" s="552"/>
      <c r="U142" s="552"/>
      <c r="V142" s="552"/>
      <c r="W142" s="552"/>
      <c r="X142" s="552"/>
      <c r="Y142" s="552"/>
      <c r="Z142" s="552"/>
    </row>
    <row r="143" spans="1:26" ht="12.75" customHeight="1">
      <c r="A143" s="553"/>
      <c r="B143" s="552"/>
      <c r="C143" s="554"/>
      <c r="D143" s="552"/>
      <c r="E143" s="552"/>
      <c r="F143" s="555"/>
      <c r="G143" s="552"/>
      <c r="H143" s="552"/>
      <c r="I143" s="552"/>
      <c r="J143" s="552"/>
      <c r="K143" s="552"/>
      <c r="L143" s="552"/>
      <c r="M143" s="552"/>
      <c r="N143" s="552"/>
      <c r="O143" s="552"/>
      <c r="P143" s="552"/>
      <c r="Q143" s="552"/>
      <c r="R143" s="552"/>
      <c r="S143" s="552"/>
      <c r="T143" s="552"/>
      <c r="U143" s="552"/>
      <c r="V143" s="552"/>
      <c r="W143" s="552"/>
      <c r="X143" s="552"/>
      <c r="Y143" s="552"/>
      <c r="Z143" s="552"/>
    </row>
    <row r="144" spans="1:26" ht="12.75" customHeight="1">
      <c r="A144" s="553"/>
      <c r="B144" s="552"/>
      <c r="C144" s="554"/>
      <c r="D144" s="552"/>
      <c r="E144" s="552"/>
      <c r="F144" s="555"/>
      <c r="G144" s="552"/>
      <c r="H144" s="552"/>
      <c r="I144" s="552"/>
      <c r="J144" s="552"/>
      <c r="K144" s="552"/>
      <c r="L144" s="552"/>
      <c r="M144" s="552"/>
      <c r="N144" s="552"/>
      <c r="O144" s="552"/>
      <c r="P144" s="552"/>
      <c r="Q144" s="552"/>
      <c r="R144" s="552"/>
      <c r="S144" s="552"/>
      <c r="T144" s="552"/>
      <c r="U144" s="552"/>
      <c r="V144" s="552"/>
      <c r="W144" s="552"/>
      <c r="X144" s="552"/>
      <c r="Y144" s="552"/>
      <c r="Z144" s="552"/>
    </row>
    <row r="145" spans="1:26" ht="12.75" customHeight="1">
      <c r="A145" s="553"/>
      <c r="B145" s="552"/>
      <c r="C145" s="554"/>
      <c r="D145" s="552"/>
      <c r="E145" s="552"/>
      <c r="F145" s="555"/>
      <c r="G145" s="552"/>
      <c r="H145" s="552"/>
      <c r="I145" s="552"/>
      <c r="J145" s="552"/>
      <c r="K145" s="552"/>
      <c r="L145" s="552"/>
      <c r="M145" s="552"/>
      <c r="N145" s="552"/>
      <c r="O145" s="552"/>
      <c r="P145" s="552"/>
      <c r="Q145" s="552"/>
      <c r="R145" s="552"/>
      <c r="S145" s="552"/>
      <c r="T145" s="552"/>
      <c r="U145" s="552"/>
      <c r="V145" s="552"/>
      <c r="W145" s="552"/>
      <c r="X145" s="552"/>
      <c r="Y145" s="552"/>
      <c r="Z145" s="552"/>
    </row>
    <row r="146" spans="1:26" ht="12.75" customHeight="1">
      <c r="A146" s="553"/>
      <c r="B146" s="552"/>
      <c r="C146" s="554"/>
      <c r="D146" s="552"/>
      <c r="E146" s="552"/>
      <c r="F146" s="555"/>
      <c r="G146" s="552"/>
      <c r="H146" s="552"/>
      <c r="I146" s="552"/>
      <c r="J146" s="552"/>
      <c r="K146" s="552"/>
      <c r="L146" s="552"/>
      <c r="M146" s="552"/>
      <c r="N146" s="552"/>
      <c r="O146" s="552"/>
      <c r="P146" s="552"/>
      <c r="Q146" s="552"/>
      <c r="R146" s="552"/>
      <c r="S146" s="552"/>
      <c r="T146" s="552"/>
      <c r="U146" s="552"/>
      <c r="V146" s="552"/>
      <c r="W146" s="552"/>
      <c r="X146" s="552"/>
      <c r="Y146" s="552"/>
      <c r="Z146" s="552"/>
    </row>
    <row r="147" spans="1:26" ht="12.75" customHeight="1">
      <c r="A147" s="553"/>
      <c r="B147" s="552"/>
      <c r="C147" s="554"/>
      <c r="D147" s="552"/>
      <c r="E147" s="552"/>
      <c r="F147" s="555"/>
      <c r="G147" s="552"/>
      <c r="H147" s="552"/>
      <c r="I147" s="552"/>
      <c r="J147" s="552"/>
      <c r="K147" s="552"/>
      <c r="L147" s="552"/>
      <c r="M147" s="552"/>
      <c r="N147" s="552"/>
      <c r="O147" s="552"/>
      <c r="P147" s="552"/>
      <c r="Q147" s="552"/>
      <c r="R147" s="552"/>
      <c r="S147" s="552"/>
      <c r="T147" s="552"/>
      <c r="U147" s="552"/>
      <c r="V147" s="552"/>
      <c r="W147" s="552"/>
      <c r="X147" s="552"/>
      <c r="Y147" s="552"/>
      <c r="Z147" s="552"/>
    </row>
    <row r="148" spans="1:26" ht="12.75" customHeight="1">
      <c r="A148" s="553"/>
      <c r="B148" s="552"/>
      <c r="C148" s="554"/>
      <c r="D148" s="552"/>
      <c r="E148" s="552"/>
      <c r="F148" s="555"/>
      <c r="G148" s="552"/>
      <c r="H148" s="552"/>
      <c r="I148" s="552"/>
      <c r="J148" s="552"/>
      <c r="K148" s="552"/>
      <c r="L148" s="552"/>
      <c r="M148" s="552"/>
      <c r="N148" s="552"/>
      <c r="O148" s="552"/>
      <c r="P148" s="552"/>
      <c r="Q148" s="552"/>
      <c r="R148" s="552"/>
      <c r="S148" s="552"/>
      <c r="T148" s="552"/>
      <c r="U148" s="552"/>
      <c r="V148" s="552"/>
      <c r="W148" s="552"/>
      <c r="X148" s="552"/>
      <c r="Y148" s="552"/>
      <c r="Z148" s="552"/>
    </row>
    <row r="149" spans="1:26" ht="12.75" customHeight="1">
      <c r="A149" s="553"/>
      <c r="B149" s="552"/>
      <c r="C149" s="554"/>
      <c r="D149" s="552"/>
      <c r="E149" s="552"/>
      <c r="F149" s="555"/>
      <c r="G149" s="552"/>
      <c r="H149" s="552"/>
      <c r="I149" s="552"/>
      <c r="J149" s="552"/>
      <c r="K149" s="552"/>
      <c r="L149" s="552"/>
      <c r="M149" s="552"/>
      <c r="N149" s="552"/>
      <c r="O149" s="552"/>
      <c r="P149" s="552"/>
      <c r="Q149" s="552"/>
      <c r="R149" s="552"/>
      <c r="S149" s="552"/>
      <c r="T149" s="552"/>
      <c r="U149" s="552"/>
      <c r="V149" s="552"/>
      <c r="W149" s="552"/>
      <c r="X149" s="552"/>
      <c r="Y149" s="552"/>
      <c r="Z149" s="552"/>
    </row>
    <row r="150" spans="1:26" ht="12.75" customHeight="1">
      <c r="A150" s="553"/>
      <c r="B150" s="552"/>
      <c r="C150" s="554"/>
      <c r="D150" s="552"/>
      <c r="E150" s="552"/>
      <c r="F150" s="555"/>
      <c r="G150" s="552"/>
      <c r="H150" s="552"/>
      <c r="I150" s="552"/>
      <c r="J150" s="552"/>
      <c r="K150" s="552"/>
      <c r="L150" s="552"/>
      <c r="M150" s="552"/>
      <c r="N150" s="552"/>
      <c r="O150" s="552"/>
      <c r="P150" s="552"/>
      <c r="Q150" s="552"/>
      <c r="R150" s="552"/>
      <c r="S150" s="552"/>
      <c r="T150" s="552"/>
      <c r="U150" s="552"/>
      <c r="V150" s="552"/>
      <c r="W150" s="552"/>
      <c r="X150" s="552"/>
      <c r="Y150" s="552"/>
      <c r="Z150" s="552"/>
    </row>
    <row r="151" spans="1:26" ht="12.75" customHeight="1">
      <c r="A151" s="553"/>
      <c r="B151" s="552"/>
      <c r="C151" s="554"/>
      <c r="D151" s="552"/>
      <c r="E151" s="552"/>
      <c r="F151" s="555"/>
      <c r="G151" s="552"/>
      <c r="H151" s="552"/>
      <c r="I151" s="552"/>
      <c r="J151" s="552"/>
      <c r="K151" s="552"/>
      <c r="L151" s="552"/>
      <c r="M151" s="552"/>
      <c r="N151" s="552"/>
      <c r="O151" s="552"/>
      <c r="P151" s="552"/>
      <c r="Q151" s="552"/>
      <c r="R151" s="552"/>
      <c r="S151" s="552"/>
      <c r="T151" s="552"/>
      <c r="U151" s="552"/>
      <c r="V151" s="552"/>
      <c r="W151" s="552"/>
      <c r="X151" s="552"/>
      <c r="Y151" s="552"/>
      <c r="Z151" s="552"/>
    </row>
    <row r="152" spans="1:26" ht="12.75" customHeight="1">
      <c r="A152" s="553"/>
      <c r="B152" s="552"/>
      <c r="C152" s="554"/>
      <c r="D152" s="552"/>
      <c r="E152" s="552"/>
      <c r="F152" s="555"/>
      <c r="G152" s="552"/>
      <c r="H152" s="552"/>
      <c r="I152" s="552"/>
      <c r="J152" s="552"/>
      <c r="K152" s="552"/>
      <c r="L152" s="552"/>
      <c r="M152" s="552"/>
      <c r="N152" s="552"/>
      <c r="O152" s="552"/>
      <c r="P152" s="552"/>
      <c r="Q152" s="552"/>
      <c r="R152" s="552"/>
      <c r="S152" s="552"/>
      <c r="T152" s="552"/>
      <c r="U152" s="552"/>
      <c r="V152" s="552"/>
      <c r="W152" s="552"/>
      <c r="X152" s="552"/>
      <c r="Y152" s="552"/>
      <c r="Z152" s="552"/>
    </row>
    <row r="153" spans="1:26" ht="12.75" customHeight="1">
      <c r="A153" s="553"/>
      <c r="B153" s="552"/>
      <c r="C153" s="554"/>
      <c r="D153" s="552"/>
      <c r="E153" s="552"/>
      <c r="F153" s="555"/>
      <c r="G153" s="552"/>
      <c r="H153" s="552"/>
      <c r="I153" s="552"/>
      <c r="J153" s="552"/>
      <c r="K153" s="552"/>
      <c r="L153" s="552"/>
      <c r="M153" s="552"/>
      <c r="N153" s="552"/>
      <c r="O153" s="552"/>
      <c r="P153" s="552"/>
      <c r="Q153" s="552"/>
      <c r="R153" s="552"/>
      <c r="S153" s="552"/>
      <c r="T153" s="552"/>
      <c r="U153" s="552"/>
      <c r="V153" s="552"/>
      <c r="W153" s="552"/>
      <c r="X153" s="552"/>
      <c r="Y153" s="552"/>
      <c r="Z153" s="552"/>
    </row>
    <row r="154" spans="1:26" ht="12.75" customHeight="1">
      <c r="A154" s="553"/>
      <c r="B154" s="552"/>
      <c r="C154" s="554"/>
      <c r="D154" s="552"/>
      <c r="E154" s="552"/>
      <c r="F154" s="555"/>
      <c r="G154" s="552"/>
      <c r="H154" s="552"/>
      <c r="I154" s="552"/>
      <c r="J154" s="552"/>
      <c r="K154" s="552"/>
      <c r="L154" s="552"/>
      <c r="M154" s="552"/>
      <c r="N154" s="552"/>
      <c r="O154" s="552"/>
      <c r="P154" s="552"/>
      <c r="Q154" s="552"/>
      <c r="R154" s="552"/>
      <c r="S154" s="552"/>
      <c r="T154" s="552"/>
      <c r="U154" s="552"/>
      <c r="V154" s="552"/>
      <c r="W154" s="552"/>
      <c r="X154" s="552"/>
      <c r="Y154" s="552"/>
      <c r="Z154" s="552"/>
    </row>
    <row r="155" spans="1:26" ht="12.75" customHeight="1">
      <c r="A155" s="553"/>
      <c r="B155" s="552"/>
      <c r="C155" s="554"/>
      <c r="D155" s="552"/>
      <c r="E155" s="552"/>
      <c r="F155" s="555"/>
      <c r="G155" s="552"/>
      <c r="H155" s="552"/>
      <c r="I155" s="552"/>
      <c r="J155" s="552"/>
      <c r="K155" s="552"/>
      <c r="L155" s="552"/>
      <c r="M155" s="552"/>
      <c r="N155" s="552"/>
      <c r="O155" s="552"/>
      <c r="P155" s="552"/>
      <c r="Q155" s="552"/>
      <c r="R155" s="552"/>
      <c r="S155" s="552"/>
      <c r="T155" s="552"/>
      <c r="U155" s="552"/>
      <c r="V155" s="552"/>
      <c r="W155" s="552"/>
      <c r="X155" s="552"/>
      <c r="Y155" s="552"/>
      <c r="Z155" s="552"/>
    </row>
    <row r="156" spans="1:26" ht="12.75" customHeight="1">
      <c r="A156" s="553"/>
      <c r="B156" s="552"/>
      <c r="C156" s="554"/>
      <c r="D156" s="552"/>
      <c r="E156" s="552"/>
      <c r="F156" s="555"/>
      <c r="G156" s="552"/>
      <c r="H156" s="552"/>
      <c r="I156" s="552"/>
      <c r="J156" s="552"/>
      <c r="K156" s="552"/>
      <c r="L156" s="552"/>
      <c r="M156" s="552"/>
      <c r="N156" s="552"/>
      <c r="O156" s="552"/>
      <c r="P156" s="552"/>
      <c r="Q156" s="552"/>
      <c r="R156" s="552"/>
      <c r="S156" s="552"/>
      <c r="T156" s="552"/>
      <c r="U156" s="552"/>
      <c r="V156" s="552"/>
      <c r="W156" s="552"/>
      <c r="X156" s="552"/>
      <c r="Y156" s="552"/>
      <c r="Z156" s="552"/>
    </row>
    <row r="157" spans="1:26" ht="12.75" customHeight="1">
      <c r="A157" s="553"/>
      <c r="B157" s="552"/>
      <c r="C157" s="554"/>
      <c r="D157" s="552"/>
      <c r="E157" s="552"/>
      <c r="F157" s="555"/>
      <c r="G157" s="552"/>
      <c r="H157" s="552"/>
      <c r="I157" s="552"/>
      <c r="J157" s="552"/>
      <c r="K157" s="552"/>
      <c r="L157" s="552"/>
      <c r="M157" s="552"/>
      <c r="N157" s="552"/>
      <c r="O157" s="552"/>
      <c r="P157" s="552"/>
      <c r="Q157" s="552"/>
      <c r="R157" s="552"/>
      <c r="S157" s="552"/>
      <c r="T157" s="552"/>
      <c r="U157" s="552"/>
      <c r="V157" s="552"/>
      <c r="W157" s="552"/>
      <c r="X157" s="552"/>
      <c r="Y157" s="552"/>
      <c r="Z157" s="552"/>
    </row>
    <row r="158" spans="1:26" ht="12.75" customHeight="1">
      <c r="A158" s="553"/>
      <c r="B158" s="552"/>
      <c r="C158" s="554"/>
      <c r="D158" s="552"/>
      <c r="E158" s="552"/>
      <c r="F158" s="555"/>
      <c r="G158" s="552"/>
      <c r="H158" s="552"/>
      <c r="I158" s="552"/>
      <c r="J158" s="552"/>
      <c r="K158" s="552"/>
      <c r="L158" s="552"/>
      <c r="M158" s="552"/>
      <c r="N158" s="552"/>
      <c r="O158" s="552"/>
      <c r="P158" s="552"/>
      <c r="Q158" s="552"/>
      <c r="R158" s="552"/>
      <c r="S158" s="552"/>
      <c r="T158" s="552"/>
      <c r="U158" s="552"/>
      <c r="V158" s="552"/>
      <c r="W158" s="552"/>
      <c r="X158" s="552"/>
      <c r="Y158" s="552"/>
      <c r="Z158" s="552"/>
    </row>
    <row r="159" spans="1:26" ht="12.75" customHeight="1">
      <c r="A159" s="553"/>
      <c r="B159" s="552"/>
      <c r="C159" s="554"/>
      <c r="D159" s="552"/>
      <c r="E159" s="552"/>
      <c r="F159" s="555"/>
      <c r="G159" s="552"/>
      <c r="H159" s="552"/>
      <c r="I159" s="552"/>
      <c r="J159" s="552"/>
      <c r="K159" s="552"/>
      <c r="L159" s="552"/>
      <c r="M159" s="552"/>
      <c r="N159" s="552"/>
      <c r="O159" s="552"/>
      <c r="P159" s="552"/>
      <c r="Q159" s="552"/>
      <c r="R159" s="552"/>
      <c r="S159" s="552"/>
      <c r="T159" s="552"/>
      <c r="U159" s="552"/>
      <c r="V159" s="552"/>
      <c r="W159" s="552"/>
      <c r="X159" s="552"/>
      <c r="Y159" s="552"/>
      <c r="Z159" s="552"/>
    </row>
    <row r="160" spans="1:26" ht="12.75" customHeight="1">
      <c r="A160" s="553"/>
      <c r="B160" s="552"/>
      <c r="C160" s="554"/>
      <c r="D160" s="552"/>
      <c r="E160" s="552"/>
      <c r="F160" s="555"/>
      <c r="G160" s="552"/>
      <c r="H160" s="552"/>
      <c r="I160" s="552"/>
      <c r="J160" s="552"/>
      <c r="K160" s="552"/>
      <c r="L160" s="552"/>
      <c r="M160" s="552"/>
      <c r="N160" s="552"/>
      <c r="O160" s="552"/>
      <c r="P160" s="552"/>
      <c r="Q160" s="552"/>
      <c r="R160" s="552"/>
      <c r="S160" s="552"/>
      <c r="T160" s="552"/>
      <c r="U160" s="552"/>
      <c r="V160" s="552"/>
      <c r="W160" s="552"/>
      <c r="X160" s="552"/>
      <c r="Y160" s="552"/>
      <c r="Z160" s="552"/>
    </row>
    <row r="161" spans="1:26" ht="12.75" customHeight="1">
      <c r="A161" s="553"/>
      <c r="B161" s="552"/>
      <c r="C161" s="554"/>
      <c r="D161" s="552"/>
      <c r="E161" s="552"/>
      <c r="F161" s="555"/>
      <c r="G161" s="552"/>
      <c r="H161" s="552"/>
      <c r="I161" s="552"/>
      <c r="J161" s="552"/>
      <c r="K161" s="552"/>
      <c r="L161" s="552"/>
      <c r="M161" s="552"/>
      <c r="N161" s="552"/>
      <c r="O161" s="552"/>
      <c r="P161" s="552"/>
      <c r="Q161" s="552"/>
      <c r="R161" s="552"/>
      <c r="S161" s="552"/>
      <c r="T161" s="552"/>
      <c r="U161" s="552"/>
      <c r="V161" s="552"/>
      <c r="W161" s="552"/>
      <c r="X161" s="552"/>
      <c r="Y161" s="552"/>
      <c r="Z161" s="552"/>
    </row>
    <row r="162" spans="1:26" ht="12.75" customHeight="1">
      <c r="A162" s="553"/>
      <c r="B162" s="552"/>
      <c r="C162" s="554"/>
      <c r="D162" s="552"/>
      <c r="E162" s="552"/>
      <c r="F162" s="555"/>
      <c r="G162" s="552"/>
      <c r="H162" s="552"/>
      <c r="I162" s="552"/>
      <c r="J162" s="552"/>
      <c r="K162" s="552"/>
      <c r="L162" s="552"/>
      <c r="M162" s="552"/>
      <c r="N162" s="552"/>
      <c r="O162" s="552"/>
      <c r="P162" s="552"/>
      <c r="Q162" s="552"/>
      <c r="R162" s="552"/>
      <c r="S162" s="552"/>
      <c r="T162" s="552"/>
      <c r="U162" s="552"/>
      <c r="V162" s="552"/>
      <c r="W162" s="552"/>
      <c r="X162" s="552"/>
      <c r="Y162" s="552"/>
      <c r="Z162" s="552"/>
    </row>
    <row r="163" spans="1:26" ht="12.75" customHeight="1">
      <c r="A163" s="553"/>
      <c r="B163" s="552"/>
      <c r="C163" s="554"/>
      <c r="D163" s="552"/>
      <c r="E163" s="552"/>
      <c r="F163" s="555"/>
      <c r="G163" s="552"/>
      <c r="H163" s="552"/>
      <c r="I163" s="552"/>
      <c r="J163" s="552"/>
      <c r="K163" s="552"/>
      <c r="L163" s="552"/>
      <c r="M163" s="552"/>
      <c r="N163" s="552"/>
      <c r="O163" s="552"/>
      <c r="P163" s="552"/>
      <c r="Q163" s="552"/>
      <c r="R163" s="552"/>
      <c r="S163" s="552"/>
      <c r="T163" s="552"/>
      <c r="U163" s="552"/>
      <c r="V163" s="552"/>
      <c r="W163" s="552"/>
      <c r="X163" s="552"/>
      <c r="Y163" s="552"/>
      <c r="Z163" s="552"/>
    </row>
    <row r="164" spans="1:26" ht="12.75" customHeight="1">
      <c r="A164" s="553"/>
      <c r="B164" s="552"/>
      <c r="C164" s="554"/>
      <c r="D164" s="552"/>
      <c r="E164" s="552"/>
      <c r="F164" s="555"/>
      <c r="G164" s="552"/>
      <c r="H164" s="552"/>
      <c r="I164" s="552"/>
      <c r="J164" s="552"/>
      <c r="K164" s="552"/>
      <c r="L164" s="552"/>
      <c r="M164" s="552"/>
      <c r="N164" s="552"/>
      <c r="O164" s="552"/>
      <c r="P164" s="552"/>
      <c r="Q164" s="552"/>
      <c r="R164" s="552"/>
      <c r="S164" s="552"/>
      <c r="T164" s="552"/>
      <c r="U164" s="552"/>
      <c r="V164" s="552"/>
      <c r="W164" s="552"/>
      <c r="X164" s="552"/>
      <c r="Y164" s="552"/>
      <c r="Z164" s="552"/>
    </row>
    <row r="165" spans="1:26" ht="12.75" customHeight="1">
      <c r="A165" s="553"/>
      <c r="B165" s="552"/>
      <c r="C165" s="554"/>
      <c r="D165" s="552"/>
      <c r="E165" s="552"/>
      <c r="F165" s="555"/>
      <c r="G165" s="552"/>
      <c r="H165" s="552"/>
      <c r="I165" s="552"/>
      <c r="J165" s="552"/>
      <c r="K165" s="552"/>
      <c r="L165" s="552"/>
      <c r="M165" s="552"/>
      <c r="N165" s="552"/>
      <c r="O165" s="552"/>
      <c r="P165" s="552"/>
      <c r="Q165" s="552"/>
      <c r="R165" s="552"/>
      <c r="S165" s="552"/>
      <c r="T165" s="552"/>
      <c r="U165" s="552"/>
      <c r="V165" s="552"/>
      <c r="W165" s="552"/>
      <c r="X165" s="552"/>
      <c r="Y165" s="552"/>
      <c r="Z165" s="552"/>
    </row>
    <row r="166" spans="1:26" ht="12.75" customHeight="1">
      <c r="A166" s="553"/>
      <c r="B166" s="552"/>
      <c r="C166" s="554"/>
      <c r="D166" s="552"/>
      <c r="E166" s="552"/>
      <c r="F166" s="555"/>
      <c r="G166" s="552"/>
      <c r="H166" s="552"/>
      <c r="I166" s="552"/>
      <c r="J166" s="552"/>
      <c r="K166" s="552"/>
      <c r="L166" s="552"/>
      <c r="M166" s="552"/>
      <c r="N166" s="552"/>
      <c r="O166" s="552"/>
      <c r="P166" s="552"/>
      <c r="Q166" s="552"/>
      <c r="R166" s="552"/>
      <c r="S166" s="552"/>
      <c r="T166" s="552"/>
      <c r="U166" s="552"/>
      <c r="V166" s="552"/>
      <c r="W166" s="552"/>
      <c r="X166" s="552"/>
      <c r="Y166" s="552"/>
      <c r="Z166" s="552"/>
    </row>
    <row r="167" spans="1:26" ht="12.75" customHeight="1">
      <c r="A167" s="553"/>
      <c r="B167" s="552"/>
      <c r="C167" s="554"/>
      <c r="D167" s="552"/>
      <c r="E167" s="552"/>
      <c r="F167" s="555"/>
      <c r="G167" s="552"/>
      <c r="H167" s="552"/>
      <c r="I167" s="552"/>
      <c r="J167" s="552"/>
      <c r="K167" s="552"/>
      <c r="L167" s="552"/>
      <c r="M167" s="552"/>
      <c r="N167" s="552"/>
      <c r="O167" s="552"/>
      <c r="P167" s="552"/>
      <c r="Q167" s="552"/>
      <c r="R167" s="552"/>
      <c r="S167" s="552"/>
      <c r="T167" s="552"/>
      <c r="U167" s="552"/>
      <c r="V167" s="552"/>
      <c r="W167" s="552"/>
      <c r="X167" s="552"/>
      <c r="Y167" s="552"/>
      <c r="Z167" s="552"/>
    </row>
    <row r="168" spans="1:26" ht="12.75" customHeight="1">
      <c r="A168" s="553"/>
      <c r="B168" s="552"/>
      <c r="C168" s="554"/>
      <c r="D168" s="552"/>
      <c r="E168" s="552"/>
      <c r="F168" s="555"/>
      <c r="G168" s="552"/>
      <c r="H168" s="552"/>
      <c r="I168" s="552"/>
      <c r="J168" s="552"/>
      <c r="K168" s="552"/>
      <c r="L168" s="552"/>
      <c r="M168" s="552"/>
      <c r="N168" s="552"/>
      <c r="O168" s="552"/>
      <c r="P168" s="552"/>
      <c r="Q168" s="552"/>
      <c r="R168" s="552"/>
      <c r="S168" s="552"/>
      <c r="T168" s="552"/>
      <c r="U168" s="552"/>
      <c r="V168" s="552"/>
      <c r="W168" s="552"/>
      <c r="X168" s="552"/>
      <c r="Y168" s="552"/>
      <c r="Z168" s="552"/>
    </row>
    <row r="169" spans="1:26" ht="12.75" customHeight="1">
      <c r="A169" s="553"/>
      <c r="B169" s="552"/>
      <c r="C169" s="554"/>
      <c r="D169" s="552"/>
      <c r="E169" s="552"/>
      <c r="F169" s="555"/>
      <c r="G169" s="552"/>
      <c r="H169" s="552"/>
      <c r="I169" s="552"/>
      <c r="J169" s="552"/>
      <c r="K169" s="552"/>
      <c r="L169" s="552"/>
      <c r="M169" s="552"/>
      <c r="N169" s="552"/>
      <c r="O169" s="552"/>
      <c r="P169" s="552"/>
      <c r="Q169" s="552"/>
      <c r="R169" s="552"/>
      <c r="S169" s="552"/>
      <c r="T169" s="552"/>
      <c r="U169" s="552"/>
      <c r="V169" s="552"/>
      <c r="W169" s="552"/>
      <c r="X169" s="552"/>
      <c r="Y169" s="552"/>
      <c r="Z169" s="552"/>
    </row>
    <row r="170" spans="1:26" ht="12.75" customHeight="1">
      <c r="A170" s="553"/>
      <c r="B170" s="552"/>
      <c r="C170" s="554"/>
      <c r="D170" s="552"/>
      <c r="E170" s="552"/>
      <c r="F170" s="555"/>
      <c r="G170" s="552"/>
      <c r="H170" s="552"/>
      <c r="I170" s="552"/>
      <c r="J170" s="552"/>
      <c r="K170" s="552"/>
      <c r="L170" s="552"/>
      <c r="M170" s="552"/>
      <c r="N170" s="552"/>
      <c r="O170" s="552"/>
      <c r="P170" s="552"/>
      <c r="Q170" s="552"/>
      <c r="R170" s="552"/>
      <c r="S170" s="552"/>
      <c r="T170" s="552"/>
      <c r="U170" s="552"/>
      <c r="V170" s="552"/>
      <c r="W170" s="552"/>
      <c r="X170" s="552"/>
      <c r="Y170" s="552"/>
      <c r="Z170" s="552"/>
    </row>
    <row r="171" spans="1:26" ht="12.75" customHeight="1">
      <c r="A171" s="553"/>
      <c r="B171" s="552"/>
      <c r="C171" s="554"/>
      <c r="D171" s="552"/>
      <c r="E171" s="552"/>
      <c r="F171" s="555"/>
      <c r="G171" s="552"/>
      <c r="H171" s="552"/>
      <c r="I171" s="552"/>
      <c r="J171" s="552"/>
      <c r="K171" s="552"/>
      <c r="L171" s="552"/>
      <c r="M171" s="552"/>
      <c r="N171" s="552"/>
      <c r="O171" s="552"/>
      <c r="P171" s="552"/>
      <c r="Q171" s="552"/>
      <c r="R171" s="552"/>
      <c r="S171" s="552"/>
      <c r="T171" s="552"/>
      <c r="U171" s="552"/>
      <c r="V171" s="552"/>
      <c r="W171" s="552"/>
      <c r="X171" s="552"/>
      <c r="Y171" s="552"/>
      <c r="Z171" s="552"/>
    </row>
    <row r="172" spans="1:26" ht="12.75" customHeight="1">
      <c r="A172" s="553"/>
      <c r="B172" s="552"/>
      <c r="C172" s="554"/>
      <c r="D172" s="552"/>
      <c r="E172" s="552"/>
      <c r="F172" s="555"/>
      <c r="G172" s="552"/>
      <c r="H172" s="552"/>
      <c r="I172" s="552"/>
      <c r="J172" s="552"/>
      <c r="K172" s="552"/>
      <c r="L172" s="552"/>
      <c r="M172" s="552"/>
      <c r="N172" s="552"/>
      <c r="O172" s="552"/>
      <c r="P172" s="552"/>
      <c r="Q172" s="552"/>
      <c r="R172" s="552"/>
      <c r="S172" s="552"/>
      <c r="T172" s="552"/>
      <c r="U172" s="552"/>
      <c r="V172" s="552"/>
      <c r="W172" s="552"/>
      <c r="X172" s="552"/>
      <c r="Y172" s="552"/>
      <c r="Z172" s="552"/>
    </row>
    <row r="173" spans="1:26" ht="12.75" customHeight="1">
      <c r="A173" s="553"/>
      <c r="B173" s="552"/>
      <c r="C173" s="554"/>
      <c r="D173" s="552"/>
      <c r="E173" s="552"/>
      <c r="F173" s="555"/>
      <c r="G173" s="552"/>
      <c r="H173" s="552"/>
      <c r="I173" s="552"/>
      <c r="J173" s="552"/>
      <c r="K173" s="552"/>
      <c r="L173" s="552"/>
      <c r="M173" s="552"/>
      <c r="N173" s="552"/>
      <c r="O173" s="552"/>
      <c r="P173" s="552"/>
      <c r="Q173" s="552"/>
      <c r="R173" s="552"/>
      <c r="S173" s="552"/>
      <c r="T173" s="552"/>
      <c r="U173" s="552"/>
      <c r="V173" s="552"/>
      <c r="W173" s="552"/>
      <c r="X173" s="552"/>
      <c r="Y173" s="552"/>
      <c r="Z173" s="552"/>
    </row>
    <row r="174" spans="1:26" ht="12.75" customHeight="1">
      <c r="A174" s="553"/>
      <c r="B174" s="552"/>
      <c r="C174" s="554"/>
      <c r="D174" s="552"/>
      <c r="E174" s="552"/>
      <c r="F174" s="555"/>
      <c r="G174" s="552"/>
      <c r="H174" s="552"/>
      <c r="I174" s="552"/>
      <c r="J174" s="552"/>
      <c r="K174" s="552"/>
      <c r="L174" s="552"/>
      <c r="M174" s="552"/>
      <c r="N174" s="552"/>
      <c r="O174" s="552"/>
      <c r="P174" s="552"/>
      <c r="Q174" s="552"/>
      <c r="R174" s="552"/>
      <c r="S174" s="552"/>
      <c r="T174" s="552"/>
      <c r="U174" s="552"/>
      <c r="V174" s="552"/>
      <c r="W174" s="552"/>
      <c r="X174" s="552"/>
      <c r="Y174" s="552"/>
      <c r="Z174" s="552"/>
    </row>
    <row r="175" spans="1:26" ht="12.75" customHeight="1">
      <c r="A175" s="553"/>
      <c r="B175" s="552"/>
      <c r="C175" s="554"/>
      <c r="D175" s="552"/>
      <c r="E175" s="552"/>
      <c r="F175" s="555"/>
      <c r="G175" s="552"/>
      <c r="H175" s="552"/>
      <c r="I175" s="552"/>
      <c r="J175" s="552"/>
      <c r="K175" s="552"/>
      <c r="L175" s="552"/>
      <c r="M175" s="552"/>
      <c r="N175" s="552"/>
      <c r="O175" s="552"/>
      <c r="P175" s="552"/>
      <c r="Q175" s="552"/>
      <c r="R175" s="552"/>
      <c r="S175" s="552"/>
      <c r="T175" s="552"/>
      <c r="U175" s="552"/>
      <c r="V175" s="552"/>
      <c r="W175" s="552"/>
      <c r="X175" s="552"/>
      <c r="Y175" s="552"/>
      <c r="Z175" s="552"/>
    </row>
    <row r="176" spans="1:26" ht="12.75" customHeight="1">
      <c r="A176" s="553"/>
      <c r="B176" s="552"/>
      <c r="C176" s="554"/>
      <c r="D176" s="552"/>
      <c r="E176" s="552"/>
      <c r="F176" s="555"/>
      <c r="G176" s="552"/>
      <c r="H176" s="552"/>
      <c r="I176" s="552"/>
      <c r="J176" s="552"/>
      <c r="K176" s="552"/>
      <c r="L176" s="552"/>
      <c r="M176" s="552"/>
      <c r="N176" s="552"/>
      <c r="O176" s="552"/>
      <c r="P176" s="552"/>
      <c r="Q176" s="552"/>
      <c r="R176" s="552"/>
      <c r="S176" s="552"/>
      <c r="T176" s="552"/>
      <c r="U176" s="552"/>
      <c r="V176" s="552"/>
      <c r="W176" s="552"/>
      <c r="X176" s="552"/>
      <c r="Y176" s="552"/>
      <c r="Z176" s="552"/>
    </row>
    <row r="177" spans="1:26" ht="12.75" customHeight="1">
      <c r="A177" s="553"/>
      <c r="B177" s="552"/>
      <c r="C177" s="554"/>
      <c r="D177" s="552"/>
      <c r="E177" s="552"/>
      <c r="F177" s="555"/>
      <c r="G177" s="552"/>
      <c r="H177" s="552"/>
      <c r="I177" s="552"/>
      <c r="J177" s="552"/>
      <c r="K177" s="552"/>
      <c r="L177" s="552"/>
      <c r="M177" s="552"/>
      <c r="N177" s="552"/>
      <c r="O177" s="552"/>
      <c r="P177" s="552"/>
      <c r="Q177" s="552"/>
      <c r="R177" s="552"/>
      <c r="S177" s="552"/>
      <c r="T177" s="552"/>
      <c r="U177" s="552"/>
      <c r="V177" s="552"/>
      <c r="W177" s="552"/>
      <c r="X177" s="552"/>
      <c r="Y177" s="552"/>
      <c r="Z177" s="552"/>
    </row>
    <row r="178" spans="1:26" ht="12.75" customHeight="1">
      <c r="A178" s="553"/>
      <c r="B178" s="552"/>
      <c r="C178" s="554"/>
      <c r="D178" s="552"/>
      <c r="E178" s="552"/>
      <c r="F178" s="555"/>
      <c r="G178" s="552"/>
      <c r="H178" s="552"/>
      <c r="I178" s="552"/>
      <c r="J178" s="552"/>
      <c r="K178" s="552"/>
      <c r="L178" s="552"/>
      <c r="M178" s="552"/>
      <c r="N178" s="552"/>
      <c r="O178" s="552"/>
      <c r="P178" s="552"/>
      <c r="Q178" s="552"/>
      <c r="R178" s="552"/>
      <c r="S178" s="552"/>
      <c r="T178" s="552"/>
      <c r="U178" s="552"/>
      <c r="V178" s="552"/>
      <c r="W178" s="552"/>
      <c r="X178" s="552"/>
      <c r="Y178" s="552"/>
      <c r="Z178" s="552"/>
    </row>
    <row r="179" spans="1:26" ht="12.75" customHeight="1">
      <c r="A179" s="553"/>
      <c r="B179" s="552"/>
      <c r="C179" s="554"/>
      <c r="D179" s="552"/>
      <c r="E179" s="552"/>
      <c r="F179" s="555"/>
      <c r="G179" s="552"/>
      <c r="H179" s="552"/>
      <c r="I179" s="552"/>
      <c r="J179" s="552"/>
      <c r="K179" s="552"/>
      <c r="L179" s="552"/>
      <c r="M179" s="552"/>
      <c r="N179" s="552"/>
      <c r="O179" s="552"/>
      <c r="P179" s="552"/>
      <c r="Q179" s="552"/>
      <c r="R179" s="552"/>
      <c r="S179" s="552"/>
      <c r="T179" s="552"/>
      <c r="U179" s="552"/>
      <c r="V179" s="552"/>
      <c r="W179" s="552"/>
      <c r="X179" s="552"/>
      <c r="Y179" s="552"/>
      <c r="Z179" s="552"/>
    </row>
    <row r="180" spans="1:26" ht="12.75" customHeight="1">
      <c r="A180" s="553"/>
      <c r="B180" s="552"/>
      <c r="C180" s="554"/>
      <c r="D180" s="552"/>
      <c r="E180" s="552"/>
      <c r="F180" s="555"/>
      <c r="G180" s="552"/>
      <c r="H180" s="552"/>
      <c r="I180" s="552"/>
      <c r="J180" s="552"/>
      <c r="K180" s="552"/>
      <c r="L180" s="552"/>
      <c r="M180" s="552"/>
      <c r="N180" s="552"/>
      <c r="O180" s="552"/>
      <c r="P180" s="552"/>
      <c r="Q180" s="552"/>
      <c r="R180" s="552"/>
      <c r="S180" s="552"/>
      <c r="T180" s="552"/>
      <c r="U180" s="552"/>
      <c r="V180" s="552"/>
      <c r="W180" s="552"/>
      <c r="X180" s="552"/>
      <c r="Y180" s="552"/>
      <c r="Z180" s="552"/>
    </row>
    <row r="181" spans="1:26" ht="12.75" customHeight="1">
      <c r="A181" s="553"/>
      <c r="B181" s="552"/>
      <c r="C181" s="554"/>
      <c r="D181" s="552"/>
      <c r="E181" s="552"/>
      <c r="F181" s="555"/>
      <c r="G181" s="552"/>
      <c r="H181" s="552"/>
      <c r="I181" s="552"/>
      <c r="J181" s="552"/>
      <c r="K181" s="552"/>
      <c r="L181" s="552"/>
      <c r="M181" s="552"/>
      <c r="N181" s="552"/>
      <c r="O181" s="552"/>
      <c r="P181" s="552"/>
      <c r="Q181" s="552"/>
      <c r="R181" s="552"/>
      <c r="S181" s="552"/>
      <c r="T181" s="552"/>
      <c r="U181" s="552"/>
      <c r="V181" s="552"/>
      <c r="W181" s="552"/>
      <c r="X181" s="552"/>
      <c r="Y181" s="552"/>
      <c r="Z181" s="552"/>
    </row>
    <row r="182" spans="1:26" ht="12.75" customHeight="1">
      <c r="A182" s="553"/>
      <c r="B182" s="552"/>
      <c r="C182" s="554"/>
      <c r="D182" s="552"/>
      <c r="E182" s="552"/>
      <c r="F182" s="555"/>
      <c r="G182" s="552"/>
      <c r="H182" s="552"/>
      <c r="I182" s="552"/>
      <c r="J182" s="552"/>
      <c r="K182" s="552"/>
      <c r="L182" s="552"/>
      <c r="M182" s="552"/>
      <c r="N182" s="552"/>
      <c r="O182" s="552"/>
      <c r="P182" s="552"/>
      <c r="Q182" s="552"/>
      <c r="R182" s="552"/>
      <c r="S182" s="552"/>
      <c r="T182" s="552"/>
      <c r="U182" s="552"/>
      <c r="V182" s="552"/>
      <c r="W182" s="552"/>
      <c r="X182" s="552"/>
      <c r="Y182" s="552"/>
      <c r="Z182" s="552"/>
    </row>
    <row r="183" spans="1:26" ht="12.75" customHeight="1">
      <c r="A183" s="553"/>
      <c r="B183" s="552"/>
      <c r="C183" s="554"/>
      <c r="D183" s="552"/>
      <c r="E183" s="552"/>
      <c r="F183" s="555"/>
      <c r="G183" s="552"/>
      <c r="H183" s="552"/>
      <c r="I183" s="552"/>
      <c r="J183" s="552"/>
      <c r="K183" s="552"/>
      <c r="L183" s="552"/>
      <c r="M183" s="552"/>
      <c r="N183" s="552"/>
      <c r="O183" s="552"/>
      <c r="P183" s="552"/>
      <c r="Q183" s="552"/>
      <c r="R183" s="552"/>
      <c r="S183" s="552"/>
      <c r="T183" s="552"/>
      <c r="U183" s="552"/>
      <c r="V183" s="552"/>
      <c r="W183" s="552"/>
      <c r="X183" s="552"/>
      <c r="Y183" s="552"/>
      <c r="Z183" s="552"/>
    </row>
    <row r="184" spans="1:26" ht="12.75" customHeight="1">
      <c r="A184" s="553"/>
      <c r="B184" s="552"/>
      <c r="C184" s="554"/>
      <c r="D184" s="552"/>
      <c r="E184" s="552"/>
      <c r="F184" s="555"/>
      <c r="G184" s="552"/>
      <c r="H184" s="552"/>
      <c r="I184" s="552"/>
      <c r="J184" s="552"/>
      <c r="K184" s="552"/>
      <c r="L184" s="552"/>
      <c r="M184" s="552"/>
      <c r="N184" s="552"/>
      <c r="O184" s="552"/>
      <c r="P184" s="552"/>
      <c r="Q184" s="552"/>
      <c r="R184" s="552"/>
      <c r="S184" s="552"/>
      <c r="T184" s="552"/>
      <c r="U184" s="552"/>
      <c r="V184" s="552"/>
      <c r="W184" s="552"/>
      <c r="X184" s="552"/>
      <c r="Y184" s="552"/>
      <c r="Z184" s="552"/>
    </row>
    <row r="185" spans="1:26" ht="12.75" customHeight="1">
      <c r="A185" s="553"/>
      <c r="B185" s="552"/>
      <c r="C185" s="554"/>
      <c r="D185" s="552"/>
      <c r="E185" s="552"/>
      <c r="F185" s="555"/>
      <c r="G185" s="552"/>
      <c r="H185" s="552"/>
      <c r="I185" s="552"/>
      <c r="J185" s="552"/>
      <c r="K185" s="552"/>
      <c r="L185" s="552"/>
      <c r="M185" s="552"/>
      <c r="N185" s="552"/>
      <c r="O185" s="552"/>
      <c r="P185" s="552"/>
      <c r="Q185" s="552"/>
      <c r="R185" s="552"/>
      <c r="S185" s="552"/>
      <c r="T185" s="552"/>
      <c r="U185" s="552"/>
      <c r="V185" s="552"/>
      <c r="W185" s="552"/>
      <c r="X185" s="552"/>
      <c r="Y185" s="552"/>
      <c r="Z185" s="552"/>
    </row>
    <row r="186" spans="1:26" ht="12.75" customHeight="1">
      <c r="A186" s="553"/>
      <c r="B186" s="552"/>
      <c r="C186" s="554"/>
      <c r="D186" s="552"/>
      <c r="E186" s="552"/>
      <c r="F186" s="555"/>
      <c r="G186" s="552"/>
      <c r="H186" s="552"/>
      <c r="I186" s="552"/>
      <c r="J186" s="552"/>
      <c r="K186" s="552"/>
      <c r="L186" s="552"/>
      <c r="M186" s="552"/>
      <c r="N186" s="552"/>
      <c r="O186" s="552"/>
      <c r="P186" s="552"/>
      <c r="Q186" s="552"/>
      <c r="R186" s="552"/>
      <c r="S186" s="552"/>
      <c r="T186" s="552"/>
      <c r="U186" s="552"/>
      <c r="V186" s="552"/>
      <c r="W186" s="552"/>
      <c r="X186" s="552"/>
      <c r="Y186" s="552"/>
      <c r="Z186" s="552"/>
    </row>
    <row r="187" spans="1:26" ht="12.75" customHeight="1">
      <c r="A187" s="553"/>
      <c r="B187" s="552"/>
      <c r="C187" s="554"/>
      <c r="D187" s="552"/>
      <c r="E187" s="552"/>
      <c r="F187" s="555"/>
      <c r="G187" s="552"/>
      <c r="H187" s="552"/>
      <c r="I187" s="552"/>
      <c r="J187" s="552"/>
      <c r="K187" s="552"/>
      <c r="L187" s="552"/>
      <c r="M187" s="552"/>
      <c r="N187" s="552"/>
      <c r="O187" s="552"/>
      <c r="P187" s="552"/>
      <c r="Q187" s="552"/>
      <c r="R187" s="552"/>
      <c r="S187" s="552"/>
      <c r="T187" s="552"/>
      <c r="U187" s="552"/>
      <c r="V187" s="552"/>
      <c r="W187" s="552"/>
      <c r="X187" s="552"/>
      <c r="Y187" s="552"/>
      <c r="Z187" s="552"/>
    </row>
    <row r="188" spans="1:26" ht="12.75" customHeight="1">
      <c r="A188" s="553"/>
      <c r="B188" s="552"/>
      <c r="C188" s="554"/>
      <c r="D188" s="552"/>
      <c r="E188" s="552"/>
      <c r="F188" s="555"/>
      <c r="G188" s="552"/>
      <c r="H188" s="552"/>
      <c r="I188" s="552"/>
      <c r="J188" s="552"/>
      <c r="K188" s="552"/>
      <c r="L188" s="552"/>
      <c r="M188" s="552"/>
      <c r="N188" s="552"/>
      <c r="O188" s="552"/>
      <c r="P188" s="552"/>
      <c r="Q188" s="552"/>
      <c r="R188" s="552"/>
      <c r="S188" s="552"/>
      <c r="T188" s="552"/>
      <c r="U188" s="552"/>
      <c r="V188" s="552"/>
      <c r="W188" s="552"/>
      <c r="X188" s="552"/>
      <c r="Y188" s="552"/>
      <c r="Z188" s="552"/>
    </row>
    <row r="189" spans="1:26" ht="12.75" customHeight="1">
      <c r="A189" s="553"/>
      <c r="B189" s="552"/>
      <c r="C189" s="554"/>
      <c r="D189" s="552"/>
      <c r="E189" s="552"/>
      <c r="F189" s="555"/>
      <c r="G189" s="552"/>
      <c r="H189" s="552"/>
      <c r="I189" s="552"/>
      <c r="J189" s="552"/>
      <c r="K189" s="552"/>
      <c r="L189" s="552"/>
      <c r="M189" s="552"/>
      <c r="N189" s="552"/>
      <c r="O189" s="552"/>
      <c r="P189" s="552"/>
      <c r="Q189" s="552"/>
      <c r="R189" s="552"/>
      <c r="S189" s="552"/>
      <c r="T189" s="552"/>
      <c r="U189" s="552"/>
      <c r="V189" s="552"/>
      <c r="W189" s="552"/>
      <c r="X189" s="552"/>
      <c r="Y189" s="552"/>
      <c r="Z189" s="552"/>
    </row>
    <row r="190" spans="1:26" ht="12.75" customHeight="1">
      <c r="A190" s="553"/>
      <c r="B190" s="552"/>
      <c r="C190" s="554"/>
      <c r="D190" s="552"/>
      <c r="E190" s="552"/>
      <c r="F190" s="555"/>
      <c r="G190" s="552"/>
      <c r="H190" s="552"/>
      <c r="I190" s="552"/>
      <c r="J190" s="552"/>
      <c r="K190" s="552"/>
      <c r="L190" s="552"/>
      <c r="M190" s="552"/>
      <c r="N190" s="552"/>
      <c r="O190" s="552"/>
      <c r="P190" s="552"/>
      <c r="Q190" s="552"/>
      <c r="R190" s="552"/>
      <c r="S190" s="552"/>
      <c r="T190" s="552"/>
      <c r="U190" s="552"/>
      <c r="V190" s="552"/>
      <c r="W190" s="552"/>
      <c r="X190" s="552"/>
      <c r="Y190" s="552"/>
      <c r="Z190" s="552"/>
    </row>
    <row r="191" spans="1:26" ht="12.75" customHeight="1">
      <c r="A191" s="553"/>
      <c r="B191" s="552"/>
      <c r="C191" s="554"/>
      <c r="D191" s="552"/>
      <c r="E191" s="552"/>
      <c r="F191" s="555"/>
      <c r="G191" s="552"/>
      <c r="H191" s="552"/>
      <c r="I191" s="552"/>
      <c r="J191" s="552"/>
      <c r="K191" s="552"/>
      <c r="L191" s="552"/>
      <c r="M191" s="552"/>
      <c r="N191" s="552"/>
      <c r="O191" s="552"/>
      <c r="P191" s="552"/>
      <c r="Q191" s="552"/>
      <c r="R191" s="552"/>
      <c r="S191" s="552"/>
      <c r="T191" s="552"/>
      <c r="U191" s="552"/>
      <c r="V191" s="552"/>
      <c r="W191" s="552"/>
      <c r="X191" s="552"/>
      <c r="Y191" s="552"/>
      <c r="Z191" s="552"/>
    </row>
    <row r="192" spans="1:26" ht="12.75" customHeight="1">
      <c r="A192" s="553"/>
      <c r="B192" s="552"/>
      <c r="C192" s="554"/>
      <c r="D192" s="552"/>
      <c r="E192" s="552"/>
      <c r="F192" s="555"/>
      <c r="G192" s="552"/>
      <c r="H192" s="552"/>
      <c r="I192" s="552"/>
      <c r="J192" s="552"/>
      <c r="K192" s="552"/>
      <c r="L192" s="552"/>
      <c r="M192" s="552"/>
      <c r="N192" s="552"/>
      <c r="O192" s="552"/>
      <c r="P192" s="552"/>
      <c r="Q192" s="552"/>
      <c r="R192" s="552"/>
      <c r="S192" s="552"/>
      <c r="T192" s="552"/>
      <c r="U192" s="552"/>
      <c r="V192" s="552"/>
      <c r="W192" s="552"/>
      <c r="X192" s="552"/>
      <c r="Y192" s="552"/>
      <c r="Z192" s="552"/>
    </row>
    <row r="193" spans="1:26" ht="12.75" customHeight="1">
      <c r="A193" s="553"/>
      <c r="B193" s="552"/>
      <c r="C193" s="554"/>
      <c r="D193" s="552"/>
      <c r="E193" s="552"/>
      <c r="F193" s="555"/>
      <c r="G193" s="552"/>
      <c r="H193" s="552"/>
      <c r="I193" s="552"/>
      <c r="J193" s="552"/>
      <c r="K193" s="552"/>
      <c r="L193" s="552"/>
      <c r="M193" s="552"/>
      <c r="N193" s="552"/>
      <c r="O193" s="552"/>
      <c r="P193" s="552"/>
      <c r="Q193" s="552"/>
      <c r="R193" s="552"/>
      <c r="S193" s="552"/>
      <c r="T193" s="552"/>
      <c r="U193" s="552"/>
      <c r="V193" s="552"/>
      <c r="W193" s="552"/>
      <c r="X193" s="552"/>
      <c r="Y193" s="552"/>
      <c r="Z193" s="552"/>
    </row>
    <row r="194" spans="1:26" ht="12.75" customHeight="1">
      <c r="A194" s="553"/>
      <c r="B194" s="552"/>
      <c r="C194" s="554"/>
      <c r="D194" s="552"/>
      <c r="E194" s="552"/>
      <c r="F194" s="555"/>
      <c r="G194" s="552"/>
      <c r="H194" s="552"/>
      <c r="I194" s="552"/>
      <c r="J194" s="552"/>
      <c r="K194" s="552"/>
      <c r="L194" s="552"/>
      <c r="M194" s="552"/>
      <c r="N194" s="552"/>
      <c r="O194" s="552"/>
      <c r="P194" s="552"/>
      <c r="Q194" s="552"/>
      <c r="R194" s="552"/>
      <c r="S194" s="552"/>
      <c r="T194" s="552"/>
      <c r="U194" s="552"/>
      <c r="V194" s="552"/>
      <c r="W194" s="552"/>
      <c r="X194" s="552"/>
      <c r="Y194" s="552"/>
      <c r="Z194" s="552"/>
    </row>
    <row r="195" spans="1:26" ht="12.75" customHeight="1">
      <c r="A195" s="553"/>
      <c r="B195" s="552"/>
      <c r="C195" s="554"/>
      <c r="D195" s="552"/>
      <c r="E195" s="552"/>
      <c r="F195" s="555"/>
      <c r="G195" s="552"/>
      <c r="H195" s="552"/>
      <c r="I195" s="552"/>
      <c r="J195" s="552"/>
      <c r="K195" s="552"/>
      <c r="L195" s="552"/>
      <c r="M195" s="552"/>
      <c r="N195" s="552"/>
      <c r="O195" s="552"/>
      <c r="P195" s="552"/>
      <c r="Q195" s="552"/>
      <c r="R195" s="552"/>
      <c r="S195" s="552"/>
      <c r="T195" s="552"/>
      <c r="U195" s="552"/>
      <c r="V195" s="552"/>
      <c r="W195" s="552"/>
      <c r="X195" s="552"/>
      <c r="Y195" s="552"/>
      <c r="Z195" s="552"/>
    </row>
    <row r="196" spans="1:26" ht="12.75" customHeight="1">
      <c r="A196" s="553"/>
      <c r="B196" s="552"/>
      <c r="C196" s="554"/>
      <c r="D196" s="552"/>
      <c r="E196" s="552"/>
      <c r="F196" s="555"/>
      <c r="G196" s="552"/>
      <c r="H196" s="552"/>
      <c r="I196" s="552"/>
      <c r="J196" s="552"/>
      <c r="K196" s="552"/>
      <c r="L196" s="552"/>
      <c r="M196" s="552"/>
      <c r="N196" s="552"/>
      <c r="O196" s="552"/>
      <c r="P196" s="552"/>
      <c r="Q196" s="552"/>
      <c r="R196" s="552"/>
      <c r="S196" s="552"/>
      <c r="T196" s="552"/>
      <c r="U196" s="552"/>
      <c r="V196" s="552"/>
      <c r="W196" s="552"/>
      <c r="X196" s="552"/>
      <c r="Y196" s="552"/>
      <c r="Z196" s="552"/>
    </row>
    <row r="197" spans="1:26" ht="12.75" customHeight="1">
      <c r="A197" s="553"/>
      <c r="B197" s="552"/>
      <c r="C197" s="554"/>
      <c r="D197" s="552"/>
      <c r="E197" s="552"/>
      <c r="F197" s="555"/>
      <c r="G197" s="552"/>
      <c r="H197" s="552"/>
      <c r="I197" s="552"/>
      <c r="J197" s="552"/>
      <c r="K197" s="552"/>
      <c r="L197" s="552"/>
      <c r="M197" s="552"/>
      <c r="N197" s="552"/>
      <c r="O197" s="552"/>
      <c r="P197" s="552"/>
      <c r="Q197" s="552"/>
      <c r="R197" s="552"/>
      <c r="S197" s="552"/>
      <c r="T197" s="552"/>
      <c r="U197" s="552"/>
      <c r="V197" s="552"/>
      <c r="W197" s="552"/>
      <c r="X197" s="552"/>
      <c r="Y197" s="552"/>
      <c r="Z197" s="552"/>
    </row>
    <row r="198" spans="1:26" ht="12.75" customHeight="1">
      <c r="A198" s="553"/>
      <c r="B198" s="552"/>
      <c r="C198" s="554"/>
      <c r="D198" s="552"/>
      <c r="E198" s="552"/>
      <c r="F198" s="555"/>
      <c r="G198" s="552"/>
      <c r="H198" s="552"/>
      <c r="I198" s="552"/>
      <c r="J198" s="552"/>
      <c r="K198" s="552"/>
      <c r="L198" s="552"/>
      <c r="M198" s="552"/>
      <c r="N198" s="552"/>
      <c r="O198" s="552"/>
      <c r="P198" s="552"/>
      <c r="Q198" s="552"/>
      <c r="R198" s="552"/>
      <c r="S198" s="552"/>
      <c r="T198" s="552"/>
      <c r="U198" s="552"/>
      <c r="V198" s="552"/>
      <c r="W198" s="552"/>
      <c r="X198" s="552"/>
      <c r="Y198" s="552"/>
      <c r="Z198" s="552"/>
    </row>
    <row r="199" spans="1:26" ht="12.75" customHeight="1">
      <c r="A199" s="553"/>
      <c r="B199" s="552"/>
      <c r="C199" s="554"/>
      <c r="D199" s="552"/>
      <c r="E199" s="552"/>
      <c r="F199" s="555"/>
      <c r="G199" s="552"/>
      <c r="H199" s="552"/>
      <c r="I199" s="552"/>
      <c r="J199" s="552"/>
      <c r="K199" s="552"/>
      <c r="L199" s="552"/>
      <c r="M199" s="552"/>
      <c r="N199" s="552"/>
      <c r="O199" s="552"/>
      <c r="P199" s="552"/>
      <c r="Q199" s="552"/>
      <c r="R199" s="552"/>
      <c r="S199" s="552"/>
      <c r="T199" s="552"/>
      <c r="U199" s="552"/>
      <c r="V199" s="552"/>
      <c r="W199" s="552"/>
      <c r="X199" s="552"/>
      <c r="Y199" s="552"/>
      <c r="Z199" s="552"/>
    </row>
    <row r="200" spans="1:26" ht="12.75" customHeight="1">
      <c r="A200" s="553"/>
      <c r="B200" s="552"/>
      <c r="C200" s="554"/>
      <c r="D200" s="552"/>
      <c r="E200" s="552"/>
      <c r="F200" s="555"/>
      <c r="G200" s="552"/>
      <c r="H200" s="552"/>
      <c r="I200" s="552"/>
      <c r="J200" s="552"/>
      <c r="K200" s="552"/>
      <c r="L200" s="552"/>
      <c r="M200" s="552"/>
      <c r="N200" s="552"/>
      <c r="O200" s="552"/>
      <c r="P200" s="552"/>
      <c r="Q200" s="552"/>
      <c r="R200" s="552"/>
      <c r="S200" s="552"/>
      <c r="T200" s="552"/>
      <c r="U200" s="552"/>
      <c r="V200" s="552"/>
      <c r="W200" s="552"/>
      <c r="X200" s="552"/>
      <c r="Y200" s="552"/>
      <c r="Z200" s="552"/>
    </row>
    <row r="201" spans="1:26" ht="12.75" customHeight="1">
      <c r="A201" s="553"/>
      <c r="B201" s="552"/>
      <c r="C201" s="554"/>
      <c r="D201" s="552"/>
      <c r="E201" s="552"/>
      <c r="F201" s="555"/>
      <c r="G201" s="552"/>
      <c r="H201" s="552"/>
      <c r="I201" s="552"/>
      <c r="J201" s="552"/>
      <c r="K201" s="552"/>
      <c r="L201" s="552"/>
      <c r="M201" s="552"/>
      <c r="N201" s="552"/>
      <c r="O201" s="552"/>
      <c r="P201" s="552"/>
      <c r="Q201" s="552"/>
      <c r="R201" s="552"/>
      <c r="S201" s="552"/>
      <c r="T201" s="552"/>
      <c r="U201" s="552"/>
      <c r="V201" s="552"/>
      <c r="W201" s="552"/>
      <c r="X201" s="552"/>
      <c r="Y201" s="552"/>
      <c r="Z201" s="552"/>
    </row>
    <row r="202" spans="1:26" ht="12.75" customHeight="1">
      <c r="A202" s="553"/>
      <c r="B202" s="552"/>
      <c r="C202" s="554"/>
      <c r="D202" s="552"/>
      <c r="E202" s="552"/>
      <c r="F202" s="555"/>
      <c r="G202" s="552"/>
      <c r="H202" s="552"/>
      <c r="I202" s="552"/>
      <c r="J202" s="552"/>
      <c r="K202" s="552"/>
      <c r="L202" s="552"/>
      <c r="M202" s="552"/>
      <c r="N202" s="552"/>
      <c r="O202" s="552"/>
      <c r="P202" s="552"/>
      <c r="Q202" s="552"/>
      <c r="R202" s="552"/>
      <c r="S202" s="552"/>
      <c r="T202" s="552"/>
      <c r="U202" s="552"/>
      <c r="V202" s="552"/>
      <c r="W202" s="552"/>
      <c r="X202" s="552"/>
      <c r="Y202" s="552"/>
      <c r="Z202" s="552"/>
    </row>
    <row r="203" spans="1:26" ht="12.75" customHeight="1">
      <c r="A203" s="553"/>
      <c r="B203" s="552"/>
      <c r="C203" s="554"/>
      <c r="D203" s="552"/>
      <c r="E203" s="552"/>
      <c r="F203" s="555"/>
      <c r="G203" s="552"/>
      <c r="H203" s="552"/>
      <c r="I203" s="552"/>
      <c r="J203" s="552"/>
      <c r="K203" s="552"/>
      <c r="L203" s="552"/>
      <c r="M203" s="552"/>
      <c r="N203" s="552"/>
      <c r="O203" s="552"/>
      <c r="P203" s="552"/>
      <c r="Q203" s="552"/>
      <c r="R203" s="552"/>
      <c r="S203" s="552"/>
      <c r="T203" s="552"/>
      <c r="U203" s="552"/>
      <c r="V203" s="552"/>
      <c r="W203" s="552"/>
      <c r="X203" s="552"/>
      <c r="Y203" s="552"/>
      <c r="Z203" s="552"/>
    </row>
    <row r="204" spans="1:26" ht="12.75" customHeight="1">
      <c r="A204" s="553"/>
      <c r="B204" s="552"/>
      <c r="C204" s="554"/>
      <c r="D204" s="552"/>
      <c r="E204" s="552"/>
      <c r="F204" s="555"/>
      <c r="G204" s="552"/>
      <c r="H204" s="552"/>
      <c r="I204" s="552"/>
      <c r="J204" s="552"/>
      <c r="K204" s="552"/>
      <c r="L204" s="552"/>
      <c r="M204" s="552"/>
      <c r="N204" s="552"/>
      <c r="O204" s="552"/>
      <c r="P204" s="552"/>
      <c r="Q204" s="552"/>
      <c r="R204" s="552"/>
      <c r="S204" s="552"/>
      <c r="T204" s="552"/>
      <c r="U204" s="552"/>
      <c r="V204" s="552"/>
      <c r="W204" s="552"/>
      <c r="X204" s="552"/>
      <c r="Y204" s="552"/>
      <c r="Z204" s="552"/>
    </row>
    <row r="205" spans="1:26" ht="12.75" customHeight="1">
      <c r="A205" s="553"/>
      <c r="B205" s="552"/>
      <c r="C205" s="554"/>
      <c r="D205" s="552"/>
      <c r="E205" s="552"/>
      <c r="F205" s="555"/>
      <c r="G205" s="552"/>
      <c r="H205" s="552"/>
      <c r="I205" s="552"/>
      <c r="J205" s="552"/>
      <c r="K205" s="552"/>
      <c r="L205" s="552"/>
      <c r="M205" s="552"/>
      <c r="N205" s="552"/>
      <c r="O205" s="552"/>
      <c r="P205" s="552"/>
      <c r="Q205" s="552"/>
      <c r="R205" s="552"/>
      <c r="S205" s="552"/>
      <c r="T205" s="552"/>
      <c r="U205" s="552"/>
      <c r="V205" s="552"/>
      <c r="W205" s="552"/>
      <c r="X205" s="552"/>
      <c r="Y205" s="552"/>
      <c r="Z205" s="552"/>
    </row>
    <row r="206" spans="1:26" ht="12.75" customHeight="1">
      <c r="A206" s="553"/>
      <c r="B206" s="552"/>
      <c r="C206" s="554"/>
      <c r="D206" s="552"/>
      <c r="E206" s="552"/>
      <c r="F206" s="555"/>
      <c r="G206" s="552"/>
      <c r="H206" s="552"/>
      <c r="I206" s="552"/>
      <c r="J206" s="552"/>
      <c r="K206" s="552"/>
      <c r="L206" s="552"/>
      <c r="M206" s="552"/>
      <c r="N206" s="552"/>
      <c r="O206" s="552"/>
      <c r="P206" s="552"/>
      <c r="Q206" s="552"/>
      <c r="R206" s="552"/>
      <c r="S206" s="552"/>
      <c r="T206" s="552"/>
      <c r="U206" s="552"/>
      <c r="V206" s="552"/>
      <c r="W206" s="552"/>
      <c r="X206" s="552"/>
      <c r="Y206" s="552"/>
      <c r="Z206" s="552"/>
    </row>
    <row r="207" spans="1:26" ht="12.75" customHeight="1">
      <c r="A207" s="553"/>
      <c r="B207" s="552"/>
      <c r="C207" s="554"/>
      <c r="D207" s="552"/>
      <c r="E207" s="552"/>
      <c r="F207" s="555"/>
      <c r="G207" s="552"/>
      <c r="H207" s="552"/>
      <c r="I207" s="552"/>
      <c r="J207" s="552"/>
      <c r="K207" s="552"/>
      <c r="L207" s="552"/>
      <c r="M207" s="552"/>
      <c r="N207" s="552"/>
      <c r="O207" s="552"/>
      <c r="P207" s="552"/>
      <c r="Q207" s="552"/>
      <c r="R207" s="552"/>
      <c r="S207" s="552"/>
      <c r="T207" s="552"/>
      <c r="U207" s="552"/>
      <c r="V207" s="552"/>
      <c r="W207" s="552"/>
      <c r="X207" s="552"/>
      <c r="Y207" s="552"/>
      <c r="Z207" s="552"/>
    </row>
    <row r="208" spans="1:26" ht="12.75" customHeight="1">
      <c r="A208" s="553"/>
      <c r="B208" s="552"/>
      <c r="C208" s="554"/>
      <c r="D208" s="552"/>
      <c r="E208" s="552"/>
      <c r="F208" s="555"/>
      <c r="G208" s="552"/>
      <c r="H208" s="552"/>
      <c r="I208" s="552"/>
      <c r="J208" s="552"/>
      <c r="K208" s="552"/>
      <c r="L208" s="552"/>
      <c r="M208" s="552"/>
      <c r="N208" s="552"/>
      <c r="O208" s="552"/>
      <c r="P208" s="552"/>
      <c r="Q208" s="552"/>
      <c r="R208" s="552"/>
      <c r="S208" s="552"/>
      <c r="T208" s="552"/>
      <c r="U208" s="552"/>
      <c r="V208" s="552"/>
      <c r="W208" s="552"/>
      <c r="X208" s="552"/>
      <c r="Y208" s="552"/>
      <c r="Z208" s="552"/>
    </row>
    <row r="209" spans="1:26" ht="12.75" customHeight="1">
      <c r="A209" s="553"/>
      <c r="B209" s="552"/>
      <c r="C209" s="554"/>
      <c r="D209" s="552"/>
      <c r="E209" s="552"/>
      <c r="F209" s="555"/>
      <c r="G209" s="552"/>
      <c r="H209" s="552"/>
      <c r="I209" s="552"/>
      <c r="J209" s="552"/>
      <c r="K209" s="552"/>
      <c r="L209" s="552"/>
      <c r="M209" s="552"/>
      <c r="N209" s="552"/>
      <c r="O209" s="552"/>
      <c r="P209" s="552"/>
      <c r="Q209" s="552"/>
      <c r="R209" s="552"/>
      <c r="S209" s="552"/>
      <c r="T209" s="552"/>
      <c r="U209" s="552"/>
      <c r="V209" s="552"/>
      <c r="W209" s="552"/>
      <c r="X209" s="552"/>
      <c r="Y209" s="552"/>
      <c r="Z209" s="552"/>
    </row>
    <row r="210" spans="1:26" ht="12.75" customHeight="1">
      <c r="A210" s="553"/>
      <c r="B210" s="552"/>
      <c r="C210" s="554"/>
      <c r="D210" s="552"/>
      <c r="E210" s="552"/>
      <c r="F210" s="555"/>
      <c r="G210" s="552"/>
      <c r="H210" s="552"/>
      <c r="I210" s="552"/>
      <c r="J210" s="552"/>
      <c r="K210" s="552"/>
      <c r="L210" s="552"/>
      <c r="M210" s="552"/>
      <c r="N210" s="552"/>
      <c r="O210" s="552"/>
      <c r="P210" s="552"/>
      <c r="Q210" s="552"/>
      <c r="R210" s="552"/>
      <c r="S210" s="552"/>
      <c r="T210" s="552"/>
      <c r="U210" s="552"/>
      <c r="V210" s="552"/>
      <c r="W210" s="552"/>
      <c r="X210" s="552"/>
      <c r="Y210" s="552"/>
      <c r="Z210" s="552"/>
    </row>
    <row r="211" spans="1:26" ht="12.75" customHeight="1">
      <c r="A211" s="553"/>
      <c r="B211" s="552"/>
      <c r="C211" s="554"/>
      <c r="D211" s="552"/>
      <c r="E211" s="552"/>
      <c r="F211" s="555"/>
      <c r="G211" s="552"/>
      <c r="H211" s="552"/>
      <c r="I211" s="552"/>
      <c r="J211" s="552"/>
      <c r="K211" s="552"/>
      <c r="L211" s="552"/>
      <c r="M211" s="552"/>
      <c r="N211" s="552"/>
      <c r="O211" s="552"/>
      <c r="P211" s="552"/>
      <c r="Q211" s="552"/>
      <c r="R211" s="552"/>
      <c r="S211" s="552"/>
      <c r="T211" s="552"/>
      <c r="U211" s="552"/>
      <c r="V211" s="552"/>
      <c r="W211" s="552"/>
      <c r="X211" s="552"/>
      <c r="Y211" s="552"/>
      <c r="Z211" s="552"/>
    </row>
    <row r="212" spans="1:26" ht="12.75" customHeight="1">
      <c r="A212" s="553"/>
      <c r="B212" s="552"/>
      <c r="C212" s="554"/>
      <c r="D212" s="552"/>
      <c r="E212" s="552"/>
      <c r="F212" s="555"/>
      <c r="G212" s="552"/>
      <c r="H212" s="552"/>
      <c r="I212" s="552"/>
      <c r="J212" s="552"/>
      <c r="K212" s="552"/>
      <c r="L212" s="552"/>
      <c r="M212" s="552"/>
      <c r="N212" s="552"/>
      <c r="O212" s="552"/>
      <c r="P212" s="552"/>
      <c r="Q212" s="552"/>
      <c r="R212" s="552"/>
      <c r="S212" s="552"/>
      <c r="T212" s="552"/>
      <c r="U212" s="552"/>
      <c r="V212" s="552"/>
      <c r="W212" s="552"/>
      <c r="X212" s="552"/>
      <c r="Y212" s="552"/>
      <c r="Z212" s="552"/>
    </row>
    <row r="213" spans="1:26" ht="12.75" customHeight="1">
      <c r="A213" s="553"/>
      <c r="B213" s="552"/>
      <c r="C213" s="554"/>
      <c r="D213" s="552"/>
      <c r="E213" s="552"/>
      <c r="F213" s="555"/>
      <c r="G213" s="552"/>
      <c r="H213" s="552"/>
      <c r="I213" s="552"/>
      <c r="J213" s="552"/>
      <c r="K213" s="552"/>
      <c r="L213" s="552"/>
      <c r="M213" s="552"/>
      <c r="N213" s="552"/>
      <c r="O213" s="552"/>
      <c r="P213" s="552"/>
      <c r="Q213" s="552"/>
      <c r="R213" s="552"/>
      <c r="S213" s="552"/>
      <c r="T213" s="552"/>
      <c r="U213" s="552"/>
      <c r="V213" s="552"/>
      <c r="W213" s="552"/>
      <c r="X213" s="552"/>
      <c r="Y213" s="552"/>
      <c r="Z213" s="552"/>
    </row>
    <row r="214" spans="1:26" ht="12.75" customHeight="1">
      <c r="A214" s="553"/>
      <c r="B214" s="552"/>
      <c r="C214" s="554"/>
      <c r="D214" s="552"/>
      <c r="E214" s="552"/>
      <c r="F214" s="555"/>
      <c r="G214" s="552"/>
      <c r="H214" s="552"/>
      <c r="I214" s="552"/>
      <c r="J214" s="552"/>
      <c r="K214" s="552"/>
      <c r="L214" s="552"/>
      <c r="M214" s="552"/>
      <c r="N214" s="552"/>
      <c r="O214" s="552"/>
      <c r="P214" s="552"/>
      <c r="Q214" s="552"/>
      <c r="R214" s="552"/>
      <c r="S214" s="552"/>
      <c r="T214" s="552"/>
      <c r="U214" s="552"/>
      <c r="V214" s="552"/>
      <c r="W214" s="552"/>
      <c r="X214" s="552"/>
      <c r="Y214" s="552"/>
      <c r="Z214" s="552"/>
    </row>
    <row r="215" spans="1:26" ht="12.75" customHeight="1">
      <c r="A215" s="553"/>
      <c r="B215" s="552"/>
      <c r="C215" s="554"/>
      <c r="D215" s="552"/>
      <c r="E215" s="552"/>
      <c r="F215" s="555"/>
      <c r="G215" s="552"/>
      <c r="H215" s="552"/>
      <c r="I215" s="552"/>
      <c r="J215" s="552"/>
      <c r="K215" s="552"/>
      <c r="L215" s="552"/>
      <c r="M215" s="552"/>
      <c r="N215" s="552"/>
      <c r="O215" s="552"/>
      <c r="P215" s="552"/>
      <c r="Q215" s="552"/>
      <c r="R215" s="552"/>
      <c r="S215" s="552"/>
      <c r="T215" s="552"/>
      <c r="U215" s="552"/>
      <c r="V215" s="552"/>
      <c r="W215" s="552"/>
      <c r="X215" s="552"/>
      <c r="Y215" s="552"/>
      <c r="Z215" s="552"/>
    </row>
    <row r="216" spans="1:26" ht="12.75" customHeight="1">
      <c r="A216" s="553"/>
      <c r="B216" s="552"/>
      <c r="C216" s="554"/>
      <c r="D216" s="552"/>
      <c r="E216" s="552"/>
      <c r="F216" s="555"/>
      <c r="G216" s="552"/>
      <c r="H216" s="552"/>
      <c r="I216" s="552"/>
      <c r="J216" s="552"/>
      <c r="K216" s="552"/>
      <c r="L216" s="552"/>
      <c r="M216" s="552"/>
      <c r="N216" s="552"/>
      <c r="O216" s="552"/>
      <c r="P216" s="552"/>
      <c r="Q216" s="552"/>
      <c r="R216" s="552"/>
      <c r="S216" s="552"/>
      <c r="T216" s="552"/>
      <c r="U216" s="552"/>
      <c r="V216" s="552"/>
      <c r="W216" s="552"/>
      <c r="X216" s="552"/>
      <c r="Y216" s="552"/>
      <c r="Z216" s="552"/>
    </row>
    <row r="217" spans="1:26" ht="12.75" customHeight="1">
      <c r="A217" s="553"/>
      <c r="B217" s="552"/>
      <c r="C217" s="554"/>
      <c r="D217" s="552"/>
      <c r="E217" s="552"/>
      <c r="F217" s="555"/>
      <c r="G217" s="552"/>
      <c r="H217" s="552"/>
      <c r="I217" s="552"/>
      <c r="J217" s="552"/>
      <c r="K217" s="552"/>
      <c r="L217" s="552"/>
      <c r="M217" s="552"/>
      <c r="N217" s="552"/>
      <c r="O217" s="552"/>
      <c r="P217" s="552"/>
      <c r="Q217" s="552"/>
      <c r="R217" s="552"/>
      <c r="S217" s="552"/>
      <c r="T217" s="552"/>
      <c r="U217" s="552"/>
      <c r="V217" s="552"/>
      <c r="W217" s="552"/>
      <c r="X217" s="552"/>
      <c r="Y217" s="552"/>
      <c r="Z217" s="552"/>
    </row>
    <row r="218" spans="1:26" ht="12.75" customHeight="1">
      <c r="A218" s="553"/>
      <c r="B218" s="552"/>
      <c r="C218" s="554"/>
      <c r="D218" s="552"/>
      <c r="E218" s="552"/>
      <c r="F218" s="555"/>
      <c r="G218" s="552"/>
      <c r="H218" s="552"/>
      <c r="I218" s="552"/>
      <c r="J218" s="552"/>
      <c r="K218" s="552"/>
      <c r="L218" s="552"/>
      <c r="M218" s="552"/>
      <c r="N218" s="552"/>
      <c r="O218" s="552"/>
      <c r="P218" s="552"/>
      <c r="Q218" s="552"/>
      <c r="R218" s="552"/>
      <c r="S218" s="552"/>
      <c r="T218" s="552"/>
      <c r="U218" s="552"/>
      <c r="V218" s="552"/>
      <c r="W218" s="552"/>
      <c r="X218" s="552"/>
      <c r="Y218" s="552"/>
      <c r="Z218" s="552"/>
    </row>
    <row r="219" spans="1:26" ht="12.75" customHeight="1">
      <c r="A219" s="553"/>
      <c r="B219" s="552"/>
      <c r="C219" s="554"/>
      <c r="D219" s="552"/>
      <c r="E219" s="552"/>
      <c r="F219" s="555"/>
      <c r="G219" s="552"/>
      <c r="H219" s="552"/>
      <c r="I219" s="552"/>
      <c r="J219" s="552"/>
      <c r="K219" s="552"/>
      <c r="L219" s="552"/>
      <c r="M219" s="552"/>
      <c r="N219" s="552"/>
      <c r="O219" s="552"/>
      <c r="P219" s="552"/>
      <c r="Q219" s="552"/>
      <c r="R219" s="552"/>
      <c r="S219" s="552"/>
      <c r="T219" s="552"/>
      <c r="U219" s="552"/>
      <c r="V219" s="552"/>
      <c r="W219" s="552"/>
      <c r="X219" s="552"/>
      <c r="Y219" s="552"/>
      <c r="Z219" s="552"/>
    </row>
    <row r="220" spans="1:26" ht="12.75" customHeight="1">
      <c r="A220" s="553"/>
      <c r="B220" s="552"/>
      <c r="C220" s="554"/>
      <c r="D220" s="552"/>
      <c r="E220" s="552"/>
      <c r="F220" s="555"/>
      <c r="G220" s="552"/>
      <c r="H220" s="552"/>
      <c r="I220" s="552"/>
      <c r="J220" s="552"/>
      <c r="K220" s="552"/>
      <c r="L220" s="552"/>
      <c r="M220" s="552"/>
      <c r="N220" s="552"/>
      <c r="O220" s="552"/>
      <c r="P220" s="552"/>
      <c r="Q220" s="552"/>
      <c r="R220" s="552"/>
      <c r="S220" s="552"/>
      <c r="T220" s="552"/>
      <c r="U220" s="552"/>
      <c r="V220" s="552"/>
      <c r="W220" s="552"/>
      <c r="X220" s="552"/>
      <c r="Y220" s="552"/>
      <c r="Z220" s="552"/>
    </row>
    <row r="221" spans="1:26" ht="12.75" customHeight="1">
      <c r="A221" s="553"/>
      <c r="B221" s="552"/>
      <c r="C221" s="554"/>
      <c r="D221" s="552"/>
      <c r="E221" s="552"/>
      <c r="F221" s="555"/>
      <c r="G221" s="552"/>
      <c r="H221" s="552"/>
      <c r="I221" s="552"/>
      <c r="J221" s="552"/>
      <c r="K221" s="552"/>
      <c r="L221" s="552"/>
      <c r="M221" s="552"/>
      <c r="N221" s="552"/>
      <c r="O221" s="552"/>
      <c r="P221" s="552"/>
      <c r="Q221" s="552"/>
      <c r="R221" s="552"/>
      <c r="S221" s="552"/>
      <c r="T221" s="552"/>
      <c r="U221" s="552"/>
      <c r="V221" s="552"/>
      <c r="W221" s="552"/>
      <c r="X221" s="552"/>
      <c r="Y221" s="552"/>
      <c r="Z221" s="552"/>
    </row>
    <row r="222" spans="1:26" ht="12.75" customHeight="1">
      <c r="A222" s="553"/>
      <c r="B222" s="552"/>
      <c r="C222" s="554"/>
      <c r="D222" s="552"/>
      <c r="E222" s="552"/>
      <c r="F222" s="555"/>
      <c r="G222" s="552"/>
      <c r="H222" s="552"/>
      <c r="I222" s="552"/>
      <c r="J222" s="552"/>
      <c r="K222" s="552"/>
      <c r="L222" s="552"/>
      <c r="M222" s="552"/>
      <c r="N222" s="552"/>
      <c r="O222" s="552"/>
      <c r="P222" s="552"/>
      <c r="Q222" s="552"/>
      <c r="R222" s="552"/>
      <c r="S222" s="552"/>
      <c r="T222" s="552"/>
      <c r="U222" s="552"/>
      <c r="V222" s="552"/>
      <c r="W222" s="552"/>
      <c r="X222" s="552"/>
      <c r="Y222" s="552"/>
      <c r="Z222" s="552"/>
    </row>
    <row r="223" spans="1:26" ht="12.75" customHeight="1">
      <c r="A223" s="553"/>
      <c r="B223" s="552"/>
      <c r="C223" s="554"/>
      <c r="D223" s="552"/>
      <c r="E223" s="552"/>
      <c r="F223" s="555"/>
      <c r="G223" s="552"/>
      <c r="H223" s="552"/>
      <c r="I223" s="552"/>
      <c r="J223" s="552"/>
      <c r="K223" s="552"/>
      <c r="L223" s="552"/>
      <c r="M223" s="552"/>
      <c r="N223" s="552"/>
      <c r="O223" s="552"/>
      <c r="P223" s="552"/>
      <c r="Q223" s="552"/>
      <c r="R223" s="552"/>
      <c r="S223" s="552"/>
      <c r="T223" s="552"/>
      <c r="U223" s="552"/>
      <c r="V223" s="552"/>
      <c r="W223" s="552"/>
      <c r="X223" s="552"/>
      <c r="Y223" s="552"/>
      <c r="Z223" s="552"/>
    </row>
    <row r="224" spans="1:26" ht="12.75" customHeight="1">
      <c r="A224" s="553"/>
      <c r="B224" s="552"/>
      <c r="C224" s="554"/>
      <c r="D224" s="552"/>
      <c r="E224" s="552"/>
      <c r="F224" s="555"/>
      <c r="G224" s="552"/>
      <c r="H224" s="552"/>
      <c r="I224" s="552"/>
      <c r="J224" s="552"/>
      <c r="K224" s="552"/>
      <c r="L224" s="552"/>
      <c r="M224" s="552"/>
      <c r="N224" s="552"/>
      <c r="O224" s="552"/>
      <c r="P224" s="552"/>
      <c r="Q224" s="552"/>
      <c r="R224" s="552"/>
      <c r="S224" s="552"/>
      <c r="T224" s="552"/>
      <c r="U224" s="552"/>
      <c r="V224" s="552"/>
      <c r="W224" s="552"/>
      <c r="X224" s="552"/>
      <c r="Y224" s="552"/>
      <c r="Z224" s="552"/>
    </row>
    <row r="225" spans="1:26" ht="12.75" customHeight="1">
      <c r="A225" s="553"/>
      <c r="B225" s="552"/>
      <c r="C225" s="554"/>
      <c r="D225" s="552"/>
      <c r="E225" s="552"/>
      <c r="F225" s="555"/>
      <c r="G225" s="552"/>
      <c r="H225" s="552"/>
      <c r="I225" s="552"/>
      <c r="J225" s="552"/>
      <c r="K225" s="552"/>
      <c r="L225" s="552"/>
      <c r="M225" s="552"/>
      <c r="N225" s="552"/>
      <c r="O225" s="552"/>
      <c r="P225" s="552"/>
      <c r="Q225" s="552"/>
      <c r="R225" s="552"/>
      <c r="S225" s="552"/>
      <c r="T225" s="552"/>
      <c r="U225" s="552"/>
      <c r="V225" s="552"/>
      <c r="W225" s="552"/>
      <c r="X225" s="552"/>
      <c r="Y225" s="552"/>
      <c r="Z225" s="552"/>
    </row>
    <row r="226" spans="1:26" ht="12.75" customHeight="1">
      <c r="A226" s="553"/>
      <c r="B226" s="552"/>
      <c r="C226" s="554"/>
      <c r="D226" s="552"/>
      <c r="E226" s="552"/>
      <c r="F226" s="555"/>
      <c r="G226" s="552"/>
      <c r="H226" s="552"/>
      <c r="I226" s="552"/>
      <c r="J226" s="552"/>
      <c r="K226" s="552"/>
      <c r="L226" s="552"/>
      <c r="M226" s="552"/>
      <c r="N226" s="552"/>
      <c r="O226" s="552"/>
      <c r="P226" s="552"/>
      <c r="Q226" s="552"/>
      <c r="R226" s="552"/>
      <c r="S226" s="552"/>
      <c r="T226" s="552"/>
      <c r="U226" s="552"/>
      <c r="V226" s="552"/>
      <c r="W226" s="552"/>
      <c r="X226" s="552"/>
      <c r="Y226" s="552"/>
      <c r="Z226" s="552"/>
    </row>
    <row r="227" spans="1:26" ht="12.75" customHeight="1">
      <c r="A227" s="553"/>
      <c r="B227" s="552"/>
      <c r="C227" s="554"/>
      <c r="D227" s="552"/>
      <c r="E227" s="552"/>
      <c r="F227" s="555"/>
      <c r="G227" s="552"/>
      <c r="H227" s="552"/>
      <c r="I227" s="552"/>
      <c r="J227" s="552"/>
      <c r="K227" s="552"/>
      <c r="L227" s="552"/>
      <c r="M227" s="552"/>
      <c r="N227" s="552"/>
      <c r="O227" s="552"/>
      <c r="P227" s="552"/>
      <c r="Q227" s="552"/>
      <c r="R227" s="552"/>
      <c r="S227" s="552"/>
      <c r="T227" s="552"/>
      <c r="U227" s="552"/>
      <c r="V227" s="552"/>
      <c r="W227" s="552"/>
      <c r="X227" s="552"/>
      <c r="Y227" s="552"/>
      <c r="Z227" s="552"/>
    </row>
    <row r="228" spans="1:26" ht="12.75" customHeight="1">
      <c r="A228" s="553"/>
      <c r="B228" s="552"/>
      <c r="C228" s="554"/>
      <c r="D228" s="552"/>
      <c r="E228" s="552"/>
      <c r="F228" s="555"/>
      <c r="G228" s="552"/>
      <c r="H228" s="552"/>
      <c r="I228" s="552"/>
      <c r="J228" s="552"/>
      <c r="K228" s="552"/>
      <c r="L228" s="552"/>
      <c r="M228" s="552"/>
      <c r="N228" s="552"/>
      <c r="O228" s="552"/>
      <c r="P228" s="552"/>
      <c r="Q228" s="552"/>
      <c r="R228" s="552"/>
      <c r="S228" s="552"/>
      <c r="T228" s="552"/>
      <c r="U228" s="552"/>
      <c r="V228" s="552"/>
      <c r="W228" s="552"/>
      <c r="X228" s="552"/>
      <c r="Y228" s="552"/>
      <c r="Z228" s="552"/>
    </row>
    <row r="229" spans="1:26" ht="12.75" customHeight="1">
      <c r="A229" s="553"/>
      <c r="B229" s="552"/>
      <c r="C229" s="554"/>
      <c r="D229" s="552"/>
      <c r="E229" s="552"/>
      <c r="F229" s="555"/>
      <c r="G229" s="552"/>
      <c r="H229" s="552"/>
      <c r="I229" s="552"/>
      <c r="J229" s="552"/>
      <c r="K229" s="552"/>
      <c r="L229" s="552"/>
      <c r="M229" s="552"/>
      <c r="N229" s="552"/>
      <c r="O229" s="552"/>
      <c r="P229" s="552"/>
      <c r="Q229" s="552"/>
      <c r="R229" s="552"/>
      <c r="S229" s="552"/>
      <c r="T229" s="552"/>
      <c r="U229" s="552"/>
      <c r="V229" s="552"/>
      <c r="W229" s="552"/>
      <c r="X229" s="552"/>
      <c r="Y229" s="552"/>
      <c r="Z229" s="552"/>
    </row>
    <row r="230" spans="1:26" ht="12.75" customHeight="1">
      <c r="A230" s="553"/>
      <c r="B230" s="552"/>
      <c r="C230" s="554"/>
      <c r="D230" s="552"/>
      <c r="E230" s="552"/>
      <c r="F230" s="555"/>
      <c r="G230" s="552"/>
      <c r="H230" s="552"/>
      <c r="I230" s="552"/>
      <c r="J230" s="552"/>
      <c r="K230" s="552"/>
      <c r="L230" s="552"/>
      <c r="M230" s="552"/>
      <c r="N230" s="552"/>
      <c r="O230" s="552"/>
      <c r="P230" s="552"/>
      <c r="Q230" s="552"/>
      <c r="R230" s="552"/>
      <c r="S230" s="552"/>
      <c r="T230" s="552"/>
      <c r="U230" s="552"/>
      <c r="V230" s="552"/>
      <c r="W230" s="552"/>
      <c r="X230" s="552"/>
      <c r="Y230" s="552"/>
      <c r="Z230" s="552"/>
    </row>
    <row r="231" spans="1:26" ht="12.75" customHeight="1">
      <c r="A231" s="553"/>
      <c r="B231" s="552"/>
      <c r="C231" s="554"/>
      <c r="D231" s="552"/>
      <c r="E231" s="552"/>
      <c r="F231" s="555"/>
      <c r="G231" s="552"/>
      <c r="H231" s="552"/>
      <c r="I231" s="552"/>
      <c r="J231" s="552"/>
      <c r="K231" s="552"/>
      <c r="L231" s="552"/>
      <c r="M231" s="552"/>
      <c r="N231" s="552"/>
      <c r="O231" s="552"/>
      <c r="P231" s="552"/>
      <c r="Q231" s="552"/>
      <c r="R231" s="552"/>
      <c r="S231" s="552"/>
      <c r="T231" s="552"/>
      <c r="U231" s="552"/>
      <c r="V231" s="552"/>
      <c r="W231" s="552"/>
      <c r="X231" s="552"/>
      <c r="Y231" s="552"/>
      <c r="Z231" s="552"/>
    </row>
    <row r="232" spans="1:26" ht="12.75" customHeight="1">
      <c r="A232" s="553"/>
      <c r="B232" s="552"/>
      <c r="C232" s="554"/>
      <c r="D232" s="552"/>
      <c r="E232" s="552"/>
      <c r="F232" s="555"/>
      <c r="G232" s="552"/>
      <c r="H232" s="552"/>
      <c r="I232" s="552"/>
      <c r="J232" s="552"/>
      <c r="K232" s="552"/>
      <c r="L232" s="552"/>
      <c r="M232" s="552"/>
      <c r="N232" s="552"/>
      <c r="O232" s="552"/>
      <c r="P232" s="552"/>
      <c r="Q232" s="552"/>
      <c r="R232" s="552"/>
      <c r="S232" s="552"/>
      <c r="T232" s="552"/>
      <c r="U232" s="552"/>
      <c r="V232" s="552"/>
      <c r="W232" s="552"/>
      <c r="X232" s="552"/>
      <c r="Y232" s="552"/>
      <c r="Z232" s="552"/>
    </row>
    <row r="233" spans="1:26" ht="12.75" customHeight="1">
      <c r="A233" s="553"/>
      <c r="B233" s="552"/>
      <c r="C233" s="554"/>
      <c r="D233" s="552"/>
      <c r="E233" s="552"/>
      <c r="F233" s="555"/>
      <c r="G233" s="552"/>
      <c r="H233" s="552"/>
      <c r="I233" s="552"/>
      <c r="J233" s="552"/>
      <c r="K233" s="552"/>
      <c r="L233" s="552"/>
      <c r="M233" s="552"/>
      <c r="N233" s="552"/>
      <c r="O233" s="552"/>
      <c r="P233" s="552"/>
      <c r="Q233" s="552"/>
      <c r="R233" s="552"/>
      <c r="S233" s="552"/>
      <c r="T233" s="552"/>
      <c r="U233" s="552"/>
      <c r="V233" s="552"/>
      <c r="W233" s="552"/>
      <c r="X233" s="552"/>
      <c r="Y233" s="552"/>
      <c r="Z233" s="552"/>
    </row>
    <row r="234" spans="1:26" ht="12.75" customHeight="1">
      <c r="A234" s="553"/>
      <c r="B234" s="552"/>
      <c r="C234" s="554"/>
      <c r="D234" s="552"/>
      <c r="E234" s="552"/>
      <c r="F234" s="555"/>
      <c r="G234" s="552"/>
      <c r="H234" s="552"/>
      <c r="I234" s="552"/>
      <c r="J234" s="552"/>
      <c r="K234" s="552"/>
      <c r="L234" s="552"/>
      <c r="M234" s="552"/>
      <c r="N234" s="552"/>
      <c r="O234" s="552"/>
      <c r="P234" s="552"/>
      <c r="Q234" s="552"/>
      <c r="R234" s="552"/>
      <c r="S234" s="552"/>
      <c r="T234" s="552"/>
      <c r="U234" s="552"/>
      <c r="V234" s="552"/>
      <c r="W234" s="552"/>
      <c r="X234" s="552"/>
      <c r="Y234" s="552"/>
      <c r="Z234" s="552"/>
    </row>
    <row r="235" spans="1:26" ht="12.75" customHeight="1">
      <c r="A235" s="553"/>
      <c r="B235" s="552"/>
      <c r="C235" s="554"/>
      <c r="D235" s="552"/>
      <c r="E235" s="552"/>
      <c r="F235" s="555"/>
      <c r="G235" s="552"/>
      <c r="H235" s="552"/>
      <c r="I235" s="552"/>
      <c r="J235" s="552"/>
      <c r="K235" s="552"/>
      <c r="L235" s="552"/>
      <c r="M235" s="552"/>
      <c r="N235" s="552"/>
      <c r="O235" s="552"/>
      <c r="P235" s="552"/>
      <c r="Q235" s="552"/>
      <c r="R235" s="552"/>
      <c r="S235" s="552"/>
      <c r="T235" s="552"/>
      <c r="U235" s="552"/>
      <c r="V235" s="552"/>
      <c r="W235" s="552"/>
      <c r="X235" s="552"/>
      <c r="Y235" s="552"/>
      <c r="Z235" s="552"/>
    </row>
    <row r="236" spans="1:26" ht="12.75" customHeight="1">
      <c r="A236" s="553"/>
      <c r="B236" s="552"/>
      <c r="C236" s="554"/>
      <c r="D236" s="552"/>
      <c r="E236" s="552"/>
      <c r="F236" s="555"/>
      <c r="G236" s="552"/>
      <c r="H236" s="552"/>
      <c r="I236" s="552"/>
      <c r="J236" s="552"/>
      <c r="K236" s="552"/>
      <c r="L236" s="552"/>
      <c r="M236" s="552"/>
      <c r="N236" s="552"/>
      <c r="O236" s="552"/>
      <c r="P236" s="552"/>
      <c r="Q236" s="552"/>
      <c r="R236" s="552"/>
      <c r="S236" s="552"/>
      <c r="T236" s="552"/>
      <c r="U236" s="552"/>
      <c r="V236" s="552"/>
      <c r="W236" s="552"/>
      <c r="X236" s="552"/>
      <c r="Y236" s="552"/>
      <c r="Z236" s="552"/>
    </row>
    <row r="237" spans="1:26" ht="12.75" customHeight="1">
      <c r="A237" s="553"/>
      <c r="B237" s="552"/>
      <c r="C237" s="554"/>
      <c r="D237" s="552"/>
      <c r="E237" s="552"/>
      <c r="F237" s="555"/>
      <c r="G237" s="552"/>
      <c r="H237" s="552"/>
      <c r="I237" s="552"/>
      <c r="J237" s="552"/>
      <c r="K237" s="552"/>
      <c r="L237" s="552"/>
      <c r="M237" s="552"/>
      <c r="N237" s="552"/>
      <c r="O237" s="552"/>
      <c r="P237" s="552"/>
      <c r="Q237" s="552"/>
      <c r="R237" s="552"/>
      <c r="S237" s="552"/>
      <c r="T237" s="552"/>
      <c r="U237" s="552"/>
      <c r="V237" s="552"/>
      <c r="W237" s="552"/>
      <c r="X237" s="552"/>
      <c r="Y237" s="552"/>
      <c r="Z237" s="552"/>
    </row>
    <row r="238" spans="1:26" ht="12.75" customHeight="1">
      <c r="A238" s="553"/>
      <c r="B238" s="552"/>
      <c r="C238" s="554"/>
      <c r="D238" s="552"/>
      <c r="E238" s="552"/>
      <c r="F238" s="555"/>
      <c r="G238" s="552"/>
      <c r="H238" s="552"/>
      <c r="I238" s="552"/>
      <c r="J238" s="552"/>
      <c r="K238" s="552"/>
      <c r="L238" s="552"/>
      <c r="M238" s="552"/>
      <c r="N238" s="552"/>
      <c r="O238" s="552"/>
      <c r="P238" s="552"/>
      <c r="Q238" s="552"/>
      <c r="R238" s="552"/>
      <c r="S238" s="552"/>
      <c r="T238" s="552"/>
      <c r="U238" s="552"/>
      <c r="V238" s="552"/>
      <c r="W238" s="552"/>
      <c r="X238" s="552"/>
      <c r="Y238" s="552"/>
      <c r="Z238" s="552"/>
    </row>
    <row r="239" spans="1:26" ht="12.75" customHeight="1">
      <c r="A239" s="553"/>
      <c r="B239" s="552"/>
      <c r="C239" s="554"/>
      <c r="D239" s="552"/>
      <c r="E239" s="552"/>
      <c r="F239" s="555"/>
      <c r="G239" s="552"/>
      <c r="H239" s="552"/>
      <c r="I239" s="552"/>
      <c r="J239" s="552"/>
      <c r="K239" s="552"/>
      <c r="L239" s="552"/>
      <c r="M239" s="552"/>
      <c r="N239" s="552"/>
      <c r="O239" s="552"/>
      <c r="P239" s="552"/>
      <c r="Q239" s="552"/>
      <c r="R239" s="552"/>
      <c r="S239" s="552"/>
      <c r="T239" s="552"/>
      <c r="U239" s="552"/>
      <c r="V239" s="552"/>
      <c r="W239" s="552"/>
      <c r="X239" s="552"/>
      <c r="Y239" s="552"/>
      <c r="Z239" s="552"/>
    </row>
    <row r="240" spans="1:26" ht="12.75" customHeight="1">
      <c r="A240" s="553"/>
      <c r="B240" s="552"/>
      <c r="C240" s="554"/>
      <c r="D240" s="552"/>
      <c r="E240" s="552"/>
      <c r="F240" s="555"/>
      <c r="G240" s="552"/>
      <c r="H240" s="552"/>
      <c r="I240" s="552"/>
      <c r="J240" s="552"/>
      <c r="K240" s="552"/>
      <c r="L240" s="552"/>
      <c r="M240" s="552"/>
      <c r="N240" s="552"/>
      <c r="O240" s="552"/>
      <c r="P240" s="552"/>
      <c r="Q240" s="552"/>
      <c r="R240" s="552"/>
      <c r="S240" s="552"/>
      <c r="T240" s="552"/>
      <c r="U240" s="552"/>
      <c r="V240" s="552"/>
      <c r="W240" s="552"/>
      <c r="X240" s="552"/>
      <c r="Y240" s="552"/>
      <c r="Z240" s="552"/>
    </row>
    <row r="241" spans="1:26" ht="12.75" customHeight="1">
      <c r="A241" s="553"/>
      <c r="B241" s="552"/>
      <c r="C241" s="554"/>
      <c r="D241" s="552"/>
      <c r="E241" s="552"/>
      <c r="F241" s="555"/>
      <c r="G241" s="552"/>
      <c r="H241" s="552"/>
      <c r="I241" s="552"/>
      <c r="J241" s="552"/>
      <c r="K241" s="552"/>
      <c r="L241" s="552"/>
      <c r="M241" s="552"/>
      <c r="N241" s="552"/>
      <c r="O241" s="552"/>
      <c r="P241" s="552"/>
      <c r="Q241" s="552"/>
      <c r="R241" s="552"/>
      <c r="S241" s="552"/>
      <c r="T241" s="552"/>
      <c r="U241" s="552"/>
      <c r="V241" s="552"/>
      <c r="W241" s="552"/>
      <c r="X241" s="552"/>
      <c r="Y241" s="552"/>
      <c r="Z241" s="552"/>
    </row>
    <row r="242" spans="1:26" ht="12.75" customHeight="1">
      <c r="A242" s="553"/>
      <c r="B242" s="552"/>
      <c r="C242" s="554"/>
      <c r="D242" s="552"/>
      <c r="E242" s="552"/>
      <c r="F242" s="555"/>
      <c r="G242" s="552"/>
      <c r="H242" s="552"/>
      <c r="I242" s="552"/>
      <c r="J242" s="552"/>
      <c r="K242" s="552"/>
      <c r="L242" s="552"/>
      <c r="M242" s="552"/>
      <c r="N242" s="552"/>
      <c r="O242" s="552"/>
      <c r="P242" s="552"/>
      <c r="Q242" s="552"/>
      <c r="R242" s="552"/>
      <c r="S242" s="552"/>
      <c r="T242" s="552"/>
      <c r="U242" s="552"/>
      <c r="V242" s="552"/>
      <c r="W242" s="552"/>
      <c r="X242" s="552"/>
      <c r="Y242" s="552"/>
      <c r="Z242" s="552"/>
    </row>
    <row r="243" spans="1:26" ht="12.75" customHeight="1">
      <c r="A243" s="553"/>
      <c r="B243" s="552"/>
      <c r="C243" s="554"/>
      <c r="D243" s="552"/>
      <c r="E243" s="552"/>
      <c r="F243" s="555"/>
      <c r="G243" s="552"/>
      <c r="H243" s="552"/>
      <c r="I243" s="552"/>
      <c r="J243" s="552"/>
      <c r="K243" s="552"/>
      <c r="L243" s="552"/>
      <c r="M243" s="552"/>
      <c r="N243" s="552"/>
      <c r="O243" s="552"/>
      <c r="P243" s="552"/>
      <c r="Q243" s="552"/>
      <c r="R243" s="552"/>
      <c r="S243" s="552"/>
      <c r="T243" s="552"/>
      <c r="U243" s="552"/>
      <c r="V243" s="552"/>
      <c r="W243" s="552"/>
      <c r="X243" s="552"/>
      <c r="Y243" s="552"/>
      <c r="Z243" s="552"/>
    </row>
    <row r="244" spans="1:26" ht="12.75" customHeight="1">
      <c r="A244" s="553"/>
      <c r="B244" s="552"/>
      <c r="C244" s="554"/>
      <c r="D244" s="552"/>
      <c r="E244" s="552"/>
      <c r="F244" s="555"/>
      <c r="G244" s="552"/>
      <c r="H244" s="552"/>
      <c r="I244" s="552"/>
      <c r="J244" s="552"/>
      <c r="K244" s="552"/>
      <c r="L244" s="552"/>
      <c r="M244" s="552"/>
      <c r="N244" s="552"/>
      <c r="O244" s="552"/>
      <c r="P244" s="552"/>
      <c r="Q244" s="552"/>
      <c r="R244" s="552"/>
      <c r="S244" s="552"/>
      <c r="T244" s="552"/>
      <c r="U244" s="552"/>
      <c r="V244" s="552"/>
      <c r="W244" s="552"/>
      <c r="X244" s="552"/>
      <c r="Y244" s="552"/>
      <c r="Z244" s="552"/>
    </row>
    <row r="245" spans="1:26" ht="12.75" customHeight="1">
      <c r="A245" s="553"/>
      <c r="B245" s="552"/>
      <c r="C245" s="554"/>
      <c r="D245" s="552"/>
      <c r="E245" s="552"/>
      <c r="F245" s="555"/>
      <c r="G245" s="552"/>
      <c r="H245" s="552"/>
      <c r="I245" s="552"/>
      <c r="J245" s="552"/>
      <c r="K245" s="552"/>
      <c r="L245" s="552"/>
      <c r="M245" s="552"/>
      <c r="N245" s="552"/>
      <c r="O245" s="552"/>
      <c r="P245" s="552"/>
      <c r="Q245" s="552"/>
      <c r="R245" s="552"/>
      <c r="S245" s="552"/>
      <c r="T245" s="552"/>
      <c r="U245" s="552"/>
      <c r="V245" s="552"/>
      <c r="W245" s="552"/>
      <c r="X245" s="552"/>
      <c r="Y245" s="552"/>
      <c r="Z245" s="552"/>
    </row>
    <row r="246" spans="1:26" ht="12.75" customHeight="1">
      <c r="A246" s="553"/>
      <c r="B246" s="552"/>
      <c r="C246" s="554"/>
      <c r="D246" s="552"/>
      <c r="E246" s="552"/>
      <c r="F246" s="555"/>
      <c r="G246" s="552"/>
      <c r="H246" s="552"/>
      <c r="I246" s="552"/>
      <c r="J246" s="552"/>
      <c r="K246" s="552"/>
      <c r="L246" s="552"/>
      <c r="M246" s="552"/>
      <c r="N246" s="552"/>
      <c r="O246" s="552"/>
      <c r="P246" s="552"/>
      <c r="Q246" s="552"/>
      <c r="R246" s="552"/>
      <c r="S246" s="552"/>
      <c r="T246" s="552"/>
      <c r="U246" s="552"/>
      <c r="V246" s="552"/>
      <c r="W246" s="552"/>
      <c r="X246" s="552"/>
      <c r="Y246" s="552"/>
      <c r="Z246" s="552"/>
    </row>
    <row r="247" spans="1:26" ht="12.75" customHeight="1">
      <c r="A247" s="553"/>
      <c r="B247" s="552"/>
      <c r="C247" s="554"/>
      <c r="D247" s="552"/>
      <c r="E247" s="552"/>
      <c r="F247" s="555"/>
      <c r="G247" s="552"/>
      <c r="H247" s="552"/>
      <c r="I247" s="552"/>
      <c r="J247" s="552"/>
      <c r="K247" s="552"/>
      <c r="L247" s="552"/>
      <c r="M247" s="552"/>
      <c r="N247" s="552"/>
      <c r="O247" s="552"/>
      <c r="P247" s="552"/>
      <c r="Q247" s="552"/>
      <c r="R247" s="552"/>
      <c r="S247" s="552"/>
      <c r="T247" s="552"/>
      <c r="U247" s="552"/>
      <c r="V247" s="552"/>
      <c r="W247" s="552"/>
      <c r="X247" s="552"/>
      <c r="Y247" s="552"/>
      <c r="Z247" s="552"/>
    </row>
    <row r="248" spans="1:26" ht="12.75" customHeight="1">
      <c r="A248" s="553"/>
      <c r="B248" s="552"/>
      <c r="C248" s="554"/>
      <c r="D248" s="552"/>
      <c r="E248" s="552"/>
      <c r="F248" s="555"/>
      <c r="G248" s="552"/>
      <c r="H248" s="552"/>
      <c r="I248" s="552"/>
      <c r="J248" s="552"/>
      <c r="K248" s="552"/>
      <c r="L248" s="552"/>
      <c r="M248" s="552"/>
      <c r="N248" s="552"/>
      <c r="O248" s="552"/>
      <c r="P248" s="552"/>
      <c r="Q248" s="552"/>
      <c r="R248" s="552"/>
      <c r="S248" s="552"/>
      <c r="T248" s="552"/>
      <c r="U248" s="552"/>
      <c r="V248" s="552"/>
      <c r="W248" s="552"/>
      <c r="X248" s="552"/>
      <c r="Y248" s="552"/>
      <c r="Z248" s="552"/>
    </row>
    <row r="249" spans="1:26" ht="12.75" customHeight="1">
      <c r="A249" s="553"/>
      <c r="B249" s="552"/>
      <c r="C249" s="554"/>
      <c r="D249" s="552"/>
      <c r="E249" s="552"/>
      <c r="F249" s="555"/>
      <c r="G249" s="552"/>
      <c r="H249" s="552"/>
      <c r="I249" s="552"/>
      <c r="J249" s="552"/>
      <c r="K249" s="552"/>
      <c r="L249" s="552"/>
      <c r="M249" s="552"/>
      <c r="N249" s="552"/>
      <c r="O249" s="552"/>
      <c r="P249" s="552"/>
      <c r="Q249" s="552"/>
      <c r="R249" s="552"/>
      <c r="S249" s="552"/>
      <c r="T249" s="552"/>
      <c r="U249" s="552"/>
      <c r="V249" s="552"/>
      <c r="W249" s="552"/>
      <c r="X249" s="552"/>
      <c r="Y249" s="552"/>
      <c r="Z249" s="552"/>
    </row>
    <row r="250" spans="1:26" ht="12.75" customHeight="1">
      <c r="A250" s="553"/>
      <c r="B250" s="552"/>
      <c r="C250" s="554"/>
      <c r="D250" s="552"/>
      <c r="E250" s="552"/>
      <c r="F250" s="555"/>
      <c r="G250" s="552"/>
      <c r="H250" s="552"/>
      <c r="I250" s="552"/>
      <c r="J250" s="552"/>
      <c r="K250" s="552"/>
      <c r="L250" s="552"/>
      <c r="M250" s="552"/>
      <c r="N250" s="552"/>
      <c r="O250" s="552"/>
      <c r="P250" s="552"/>
      <c r="Q250" s="552"/>
      <c r="R250" s="552"/>
      <c r="S250" s="552"/>
      <c r="T250" s="552"/>
      <c r="U250" s="552"/>
      <c r="V250" s="552"/>
      <c r="W250" s="552"/>
      <c r="X250" s="552"/>
      <c r="Y250" s="552"/>
      <c r="Z250" s="552"/>
    </row>
    <row r="251" spans="1:26" ht="12.75" customHeight="1">
      <c r="A251" s="553"/>
      <c r="B251" s="552"/>
      <c r="C251" s="554"/>
      <c r="D251" s="552"/>
      <c r="E251" s="552"/>
      <c r="F251" s="555"/>
      <c r="G251" s="552"/>
      <c r="H251" s="552"/>
      <c r="I251" s="552"/>
      <c r="J251" s="552"/>
      <c r="K251" s="552"/>
      <c r="L251" s="552"/>
      <c r="M251" s="552"/>
      <c r="N251" s="552"/>
      <c r="O251" s="552"/>
      <c r="P251" s="552"/>
      <c r="Q251" s="552"/>
      <c r="R251" s="552"/>
      <c r="S251" s="552"/>
      <c r="T251" s="552"/>
      <c r="U251" s="552"/>
      <c r="V251" s="552"/>
      <c r="W251" s="552"/>
      <c r="X251" s="552"/>
      <c r="Y251" s="552"/>
      <c r="Z251" s="552"/>
    </row>
    <row r="252" spans="1:26" ht="12.75" customHeight="1">
      <c r="A252" s="553"/>
      <c r="B252" s="552"/>
      <c r="C252" s="554"/>
      <c r="D252" s="552"/>
      <c r="E252" s="552"/>
      <c r="F252" s="555"/>
      <c r="G252" s="552"/>
      <c r="H252" s="552"/>
      <c r="I252" s="552"/>
      <c r="J252" s="552"/>
      <c r="K252" s="552"/>
      <c r="L252" s="552"/>
      <c r="M252" s="552"/>
      <c r="N252" s="552"/>
      <c r="O252" s="552"/>
      <c r="P252" s="552"/>
      <c r="Q252" s="552"/>
      <c r="R252" s="552"/>
      <c r="S252" s="552"/>
      <c r="T252" s="552"/>
      <c r="U252" s="552"/>
      <c r="V252" s="552"/>
      <c r="W252" s="552"/>
      <c r="X252" s="552"/>
      <c r="Y252" s="552"/>
      <c r="Z252" s="552"/>
    </row>
    <row r="253" spans="1:26" ht="12.75" customHeight="1">
      <c r="A253" s="553"/>
      <c r="B253" s="552"/>
      <c r="C253" s="554"/>
      <c r="D253" s="552"/>
      <c r="E253" s="552"/>
      <c r="F253" s="555"/>
      <c r="G253" s="552"/>
      <c r="H253" s="552"/>
      <c r="I253" s="552"/>
      <c r="J253" s="552"/>
      <c r="K253" s="552"/>
      <c r="L253" s="552"/>
      <c r="M253" s="552"/>
      <c r="N253" s="552"/>
      <c r="O253" s="552"/>
      <c r="P253" s="552"/>
      <c r="Q253" s="552"/>
      <c r="R253" s="552"/>
      <c r="S253" s="552"/>
      <c r="T253" s="552"/>
      <c r="U253" s="552"/>
      <c r="V253" s="552"/>
      <c r="W253" s="552"/>
      <c r="X253" s="552"/>
      <c r="Y253" s="552"/>
      <c r="Z253" s="552"/>
    </row>
    <row r="254" spans="1:26" ht="12.75" customHeight="1">
      <c r="A254" s="553"/>
      <c r="B254" s="552"/>
      <c r="C254" s="554"/>
      <c r="D254" s="552"/>
      <c r="E254" s="552"/>
      <c r="F254" s="555"/>
      <c r="G254" s="552"/>
      <c r="H254" s="552"/>
      <c r="I254" s="552"/>
      <c r="J254" s="552"/>
      <c r="K254" s="552"/>
      <c r="L254" s="552"/>
      <c r="M254" s="552"/>
      <c r="N254" s="552"/>
      <c r="O254" s="552"/>
      <c r="P254" s="552"/>
      <c r="Q254" s="552"/>
      <c r="R254" s="552"/>
      <c r="S254" s="552"/>
      <c r="T254" s="552"/>
      <c r="U254" s="552"/>
      <c r="V254" s="552"/>
      <c r="W254" s="552"/>
      <c r="X254" s="552"/>
      <c r="Y254" s="552"/>
      <c r="Z254" s="552"/>
    </row>
    <row r="255" spans="1:26" ht="12.75" customHeight="1">
      <c r="A255" s="553"/>
      <c r="B255" s="552"/>
      <c r="C255" s="554"/>
      <c r="D255" s="552"/>
      <c r="E255" s="552"/>
      <c r="F255" s="555"/>
      <c r="G255" s="552"/>
      <c r="H255" s="552"/>
      <c r="I255" s="552"/>
      <c r="J255" s="552"/>
      <c r="K255" s="552"/>
      <c r="L255" s="552"/>
      <c r="M255" s="552"/>
      <c r="N255" s="552"/>
      <c r="O255" s="552"/>
      <c r="P255" s="552"/>
      <c r="Q255" s="552"/>
      <c r="R255" s="552"/>
      <c r="S255" s="552"/>
      <c r="T255" s="552"/>
      <c r="U255" s="552"/>
      <c r="V255" s="552"/>
      <c r="W255" s="552"/>
      <c r="X255" s="552"/>
      <c r="Y255" s="552"/>
      <c r="Z255" s="552"/>
    </row>
    <row r="256" spans="1:26" ht="12.75" customHeight="1">
      <c r="A256" s="553"/>
      <c r="B256" s="552"/>
      <c r="C256" s="554"/>
      <c r="D256" s="552"/>
      <c r="E256" s="552"/>
      <c r="F256" s="555"/>
      <c r="G256" s="552"/>
      <c r="H256" s="552"/>
      <c r="I256" s="552"/>
      <c r="J256" s="552"/>
      <c r="K256" s="552"/>
      <c r="L256" s="552"/>
      <c r="M256" s="552"/>
      <c r="N256" s="552"/>
      <c r="O256" s="552"/>
      <c r="P256" s="552"/>
      <c r="Q256" s="552"/>
      <c r="R256" s="552"/>
      <c r="S256" s="552"/>
      <c r="T256" s="552"/>
      <c r="U256" s="552"/>
      <c r="V256" s="552"/>
      <c r="W256" s="552"/>
      <c r="X256" s="552"/>
      <c r="Y256" s="552"/>
      <c r="Z256" s="552"/>
    </row>
    <row r="257" spans="1:26" ht="12.75" customHeight="1">
      <c r="A257" s="553"/>
      <c r="B257" s="552"/>
      <c r="C257" s="554"/>
      <c r="D257" s="552"/>
      <c r="E257" s="552"/>
      <c r="F257" s="555"/>
      <c r="G257" s="552"/>
      <c r="H257" s="552"/>
      <c r="I257" s="552"/>
      <c r="J257" s="552"/>
      <c r="K257" s="552"/>
      <c r="L257" s="552"/>
      <c r="M257" s="552"/>
      <c r="N257" s="552"/>
      <c r="O257" s="552"/>
      <c r="P257" s="552"/>
      <c r="Q257" s="552"/>
      <c r="R257" s="552"/>
      <c r="S257" s="552"/>
      <c r="T257" s="552"/>
      <c r="U257" s="552"/>
      <c r="V257" s="552"/>
      <c r="W257" s="552"/>
      <c r="X257" s="552"/>
      <c r="Y257" s="552"/>
      <c r="Z257" s="552"/>
    </row>
    <row r="258" spans="1:26" ht="12.75" customHeight="1">
      <c r="A258" s="553"/>
      <c r="B258" s="552"/>
      <c r="C258" s="554"/>
      <c r="D258" s="552"/>
      <c r="E258" s="552"/>
      <c r="F258" s="555"/>
      <c r="G258" s="552"/>
      <c r="H258" s="552"/>
      <c r="I258" s="552"/>
      <c r="J258" s="552"/>
      <c r="K258" s="552"/>
      <c r="L258" s="552"/>
      <c r="M258" s="552"/>
      <c r="N258" s="552"/>
      <c r="O258" s="552"/>
      <c r="P258" s="552"/>
      <c r="Q258" s="552"/>
      <c r="R258" s="552"/>
      <c r="S258" s="552"/>
      <c r="T258" s="552"/>
      <c r="U258" s="552"/>
      <c r="V258" s="552"/>
      <c r="W258" s="552"/>
      <c r="X258" s="552"/>
      <c r="Y258" s="552"/>
      <c r="Z258" s="552"/>
    </row>
    <row r="259" spans="1:26" ht="12.75" customHeight="1">
      <c r="A259" s="553"/>
      <c r="B259" s="552"/>
      <c r="C259" s="554"/>
      <c r="D259" s="552"/>
      <c r="E259" s="552"/>
      <c r="F259" s="555"/>
      <c r="G259" s="552"/>
      <c r="H259" s="552"/>
      <c r="I259" s="552"/>
      <c r="J259" s="552"/>
      <c r="K259" s="552"/>
      <c r="L259" s="552"/>
      <c r="M259" s="552"/>
      <c r="N259" s="552"/>
      <c r="O259" s="552"/>
      <c r="P259" s="552"/>
      <c r="Q259" s="552"/>
      <c r="R259" s="552"/>
      <c r="S259" s="552"/>
      <c r="T259" s="552"/>
      <c r="U259" s="552"/>
      <c r="V259" s="552"/>
      <c r="W259" s="552"/>
      <c r="X259" s="552"/>
      <c r="Y259" s="552"/>
      <c r="Z259" s="552"/>
    </row>
    <row r="260" spans="1:26" ht="12.75" customHeight="1">
      <c r="A260" s="553"/>
      <c r="B260" s="552"/>
      <c r="C260" s="554"/>
      <c r="D260" s="552"/>
      <c r="E260" s="552"/>
      <c r="F260" s="555"/>
      <c r="G260" s="552"/>
      <c r="H260" s="552"/>
      <c r="I260" s="552"/>
      <c r="J260" s="552"/>
      <c r="K260" s="552"/>
      <c r="L260" s="552"/>
      <c r="M260" s="552"/>
      <c r="N260" s="552"/>
      <c r="O260" s="552"/>
      <c r="P260" s="552"/>
      <c r="Q260" s="552"/>
      <c r="R260" s="552"/>
      <c r="S260" s="552"/>
      <c r="T260" s="552"/>
      <c r="U260" s="552"/>
      <c r="V260" s="552"/>
      <c r="W260" s="552"/>
      <c r="X260" s="552"/>
      <c r="Y260" s="552"/>
      <c r="Z260" s="552"/>
    </row>
    <row r="261" spans="1:26" ht="12.75" customHeight="1">
      <c r="A261" s="553"/>
      <c r="B261" s="552"/>
      <c r="C261" s="554"/>
      <c r="D261" s="552"/>
      <c r="E261" s="552"/>
      <c r="F261" s="555"/>
      <c r="G261" s="552"/>
      <c r="H261" s="552"/>
      <c r="I261" s="552"/>
      <c r="J261" s="552"/>
      <c r="K261" s="552"/>
      <c r="L261" s="552"/>
      <c r="M261" s="552"/>
      <c r="N261" s="552"/>
      <c r="O261" s="552"/>
      <c r="P261" s="552"/>
      <c r="Q261" s="552"/>
      <c r="R261" s="552"/>
      <c r="S261" s="552"/>
      <c r="T261" s="552"/>
      <c r="U261" s="552"/>
      <c r="V261" s="552"/>
      <c r="W261" s="552"/>
      <c r="X261" s="552"/>
      <c r="Y261" s="552"/>
      <c r="Z261" s="552"/>
    </row>
    <row r="262" spans="1:26" ht="12.75" customHeight="1">
      <c r="A262" s="553"/>
      <c r="B262" s="552"/>
      <c r="C262" s="554"/>
      <c r="D262" s="552"/>
      <c r="E262" s="552"/>
      <c r="F262" s="555"/>
      <c r="G262" s="552"/>
      <c r="H262" s="552"/>
      <c r="I262" s="552"/>
      <c r="J262" s="552"/>
      <c r="K262" s="552"/>
      <c r="L262" s="552"/>
      <c r="M262" s="552"/>
      <c r="N262" s="552"/>
      <c r="O262" s="552"/>
      <c r="P262" s="552"/>
      <c r="Q262" s="552"/>
      <c r="R262" s="552"/>
      <c r="S262" s="552"/>
      <c r="T262" s="552"/>
      <c r="U262" s="552"/>
      <c r="V262" s="552"/>
      <c r="W262" s="552"/>
      <c r="X262" s="552"/>
      <c r="Y262" s="552"/>
      <c r="Z262" s="552"/>
    </row>
    <row r="263" spans="1:26" ht="12.75" customHeight="1">
      <c r="A263" s="553"/>
      <c r="B263" s="552"/>
      <c r="C263" s="554"/>
      <c r="D263" s="552"/>
      <c r="E263" s="552"/>
      <c r="F263" s="555"/>
      <c r="G263" s="552"/>
      <c r="H263" s="552"/>
      <c r="I263" s="552"/>
      <c r="J263" s="552"/>
      <c r="K263" s="552"/>
      <c r="L263" s="552"/>
      <c r="M263" s="552"/>
      <c r="N263" s="552"/>
      <c r="O263" s="552"/>
      <c r="P263" s="552"/>
      <c r="Q263" s="552"/>
      <c r="R263" s="552"/>
      <c r="S263" s="552"/>
      <c r="T263" s="552"/>
      <c r="U263" s="552"/>
      <c r="V263" s="552"/>
      <c r="W263" s="552"/>
      <c r="X263" s="552"/>
      <c r="Y263" s="552"/>
      <c r="Z263" s="552"/>
    </row>
    <row r="264" spans="1:26" ht="12.75" customHeight="1">
      <c r="A264" s="553"/>
      <c r="B264" s="552"/>
      <c r="C264" s="554"/>
      <c r="D264" s="552"/>
      <c r="E264" s="552"/>
      <c r="F264" s="555"/>
      <c r="G264" s="552"/>
      <c r="H264" s="552"/>
      <c r="I264" s="552"/>
      <c r="J264" s="552"/>
      <c r="K264" s="552"/>
      <c r="L264" s="552"/>
      <c r="M264" s="552"/>
      <c r="N264" s="552"/>
      <c r="O264" s="552"/>
      <c r="P264" s="552"/>
      <c r="Q264" s="552"/>
      <c r="R264" s="552"/>
      <c r="S264" s="552"/>
      <c r="T264" s="552"/>
      <c r="U264" s="552"/>
      <c r="V264" s="552"/>
      <c r="W264" s="552"/>
      <c r="X264" s="552"/>
      <c r="Y264" s="552"/>
      <c r="Z264" s="552"/>
    </row>
    <row r="265" spans="1:26" ht="12.75" customHeight="1">
      <c r="A265" s="553"/>
      <c r="B265" s="552"/>
      <c r="C265" s="554"/>
      <c r="D265" s="552"/>
      <c r="E265" s="552"/>
      <c r="F265" s="555"/>
      <c r="G265" s="552"/>
      <c r="H265" s="552"/>
      <c r="I265" s="552"/>
      <c r="J265" s="552"/>
      <c r="K265" s="552"/>
      <c r="L265" s="552"/>
      <c r="M265" s="552"/>
      <c r="N265" s="552"/>
      <c r="O265" s="552"/>
      <c r="P265" s="552"/>
      <c r="Q265" s="552"/>
      <c r="R265" s="552"/>
      <c r="S265" s="552"/>
      <c r="T265" s="552"/>
      <c r="U265" s="552"/>
      <c r="V265" s="552"/>
      <c r="W265" s="552"/>
      <c r="X265" s="552"/>
      <c r="Y265" s="552"/>
      <c r="Z265" s="552"/>
    </row>
    <row r="266" spans="1:26" ht="12.75" customHeight="1">
      <c r="A266" s="553"/>
      <c r="B266" s="552"/>
      <c r="C266" s="554"/>
      <c r="D266" s="552"/>
      <c r="E266" s="552"/>
      <c r="F266" s="555"/>
      <c r="G266" s="552"/>
      <c r="H266" s="552"/>
      <c r="I266" s="552"/>
      <c r="J266" s="552"/>
      <c r="K266" s="552"/>
      <c r="L266" s="552"/>
      <c r="M266" s="552"/>
      <c r="N266" s="552"/>
      <c r="O266" s="552"/>
      <c r="P266" s="552"/>
      <c r="Q266" s="552"/>
      <c r="R266" s="552"/>
      <c r="S266" s="552"/>
      <c r="T266" s="552"/>
      <c r="U266" s="552"/>
      <c r="V266" s="552"/>
      <c r="W266" s="552"/>
      <c r="X266" s="552"/>
      <c r="Y266" s="552"/>
      <c r="Z266" s="552"/>
    </row>
    <row r="267" spans="1:26" ht="12.75" customHeight="1">
      <c r="A267" s="553"/>
      <c r="B267" s="552"/>
      <c r="C267" s="554"/>
      <c r="D267" s="552"/>
      <c r="E267" s="552"/>
      <c r="F267" s="555"/>
      <c r="G267" s="552"/>
      <c r="H267" s="552"/>
      <c r="I267" s="552"/>
      <c r="J267" s="552"/>
      <c r="K267" s="552"/>
      <c r="L267" s="552"/>
      <c r="M267" s="552"/>
      <c r="N267" s="552"/>
      <c r="O267" s="552"/>
      <c r="P267" s="552"/>
      <c r="Q267" s="552"/>
      <c r="R267" s="552"/>
      <c r="S267" s="552"/>
      <c r="T267" s="552"/>
      <c r="U267" s="552"/>
      <c r="V267" s="552"/>
      <c r="W267" s="552"/>
      <c r="X267" s="552"/>
      <c r="Y267" s="552"/>
      <c r="Z267" s="552"/>
    </row>
    <row r="268" spans="1:26" ht="12.75" customHeight="1">
      <c r="A268" s="553"/>
      <c r="B268" s="552"/>
      <c r="C268" s="554"/>
      <c r="D268" s="552"/>
      <c r="E268" s="552"/>
      <c r="F268" s="555"/>
      <c r="G268" s="552"/>
      <c r="H268" s="552"/>
      <c r="I268" s="552"/>
      <c r="J268" s="552"/>
      <c r="K268" s="552"/>
      <c r="L268" s="552"/>
      <c r="M268" s="552"/>
      <c r="N268" s="552"/>
      <c r="O268" s="552"/>
      <c r="P268" s="552"/>
      <c r="Q268" s="552"/>
      <c r="R268" s="552"/>
      <c r="S268" s="552"/>
      <c r="T268" s="552"/>
      <c r="U268" s="552"/>
      <c r="V268" s="552"/>
      <c r="W268" s="552"/>
      <c r="X268" s="552"/>
      <c r="Y268" s="552"/>
      <c r="Z268" s="552"/>
    </row>
    <row r="269" spans="1:26" ht="12.75" customHeight="1">
      <c r="A269" s="553"/>
      <c r="B269" s="552"/>
      <c r="C269" s="554"/>
      <c r="D269" s="552"/>
      <c r="E269" s="552"/>
      <c r="F269" s="555"/>
      <c r="G269" s="552"/>
      <c r="H269" s="552"/>
      <c r="I269" s="552"/>
      <c r="J269" s="552"/>
      <c r="K269" s="552"/>
      <c r="L269" s="552"/>
      <c r="M269" s="552"/>
      <c r="N269" s="552"/>
      <c r="O269" s="552"/>
      <c r="P269" s="552"/>
      <c r="Q269" s="552"/>
      <c r="R269" s="552"/>
      <c r="S269" s="552"/>
      <c r="T269" s="552"/>
      <c r="U269" s="552"/>
      <c r="V269" s="552"/>
      <c r="W269" s="552"/>
      <c r="X269" s="552"/>
      <c r="Y269" s="552"/>
      <c r="Z269" s="552"/>
    </row>
    <row r="270" spans="1:26" ht="12.75" customHeight="1">
      <c r="A270" s="553"/>
      <c r="B270" s="552"/>
      <c r="C270" s="554"/>
      <c r="D270" s="552"/>
      <c r="E270" s="552"/>
      <c r="F270" s="555"/>
      <c r="G270" s="552"/>
      <c r="H270" s="552"/>
      <c r="I270" s="552"/>
      <c r="J270" s="552"/>
      <c r="K270" s="552"/>
      <c r="L270" s="552"/>
      <c r="M270" s="552"/>
      <c r="N270" s="552"/>
      <c r="O270" s="552"/>
      <c r="P270" s="552"/>
      <c r="Q270" s="552"/>
      <c r="R270" s="552"/>
      <c r="S270" s="552"/>
      <c r="T270" s="552"/>
      <c r="U270" s="552"/>
      <c r="V270" s="552"/>
      <c r="W270" s="552"/>
      <c r="X270" s="552"/>
      <c r="Y270" s="552"/>
      <c r="Z270" s="552"/>
    </row>
    <row r="271" spans="1:26" ht="12.75" customHeight="1">
      <c r="A271" s="553"/>
      <c r="B271" s="552"/>
      <c r="C271" s="554"/>
      <c r="D271" s="552"/>
      <c r="E271" s="552"/>
      <c r="F271" s="555"/>
      <c r="G271" s="552"/>
      <c r="H271" s="552"/>
      <c r="I271" s="552"/>
      <c r="J271" s="552"/>
      <c r="K271" s="552"/>
      <c r="L271" s="552"/>
      <c r="M271" s="552"/>
      <c r="N271" s="552"/>
      <c r="O271" s="552"/>
      <c r="P271" s="552"/>
      <c r="Q271" s="552"/>
      <c r="R271" s="552"/>
      <c r="S271" s="552"/>
      <c r="T271" s="552"/>
      <c r="U271" s="552"/>
      <c r="V271" s="552"/>
      <c r="W271" s="552"/>
      <c r="X271" s="552"/>
      <c r="Y271" s="552"/>
      <c r="Z271" s="552"/>
    </row>
    <row r="272" spans="1:26" ht="12.75" customHeight="1">
      <c r="A272" s="553"/>
      <c r="B272" s="552"/>
      <c r="C272" s="554"/>
      <c r="D272" s="552"/>
      <c r="E272" s="552"/>
      <c r="F272" s="555"/>
      <c r="G272" s="552"/>
      <c r="H272" s="552"/>
      <c r="I272" s="552"/>
      <c r="J272" s="552"/>
      <c r="K272" s="552"/>
      <c r="L272" s="552"/>
      <c r="M272" s="552"/>
      <c r="N272" s="552"/>
      <c r="O272" s="552"/>
      <c r="P272" s="552"/>
      <c r="Q272" s="552"/>
      <c r="R272" s="552"/>
      <c r="S272" s="552"/>
      <c r="T272" s="552"/>
      <c r="U272" s="552"/>
      <c r="V272" s="552"/>
      <c r="W272" s="552"/>
      <c r="X272" s="552"/>
      <c r="Y272" s="552"/>
      <c r="Z272" s="552"/>
    </row>
    <row r="273" spans="1:26" ht="12.75" customHeight="1">
      <c r="A273" s="553"/>
      <c r="B273" s="552"/>
      <c r="C273" s="554"/>
      <c r="D273" s="552"/>
      <c r="E273" s="552"/>
      <c r="F273" s="555"/>
      <c r="G273" s="552"/>
      <c r="H273" s="552"/>
      <c r="I273" s="552"/>
      <c r="J273" s="552"/>
      <c r="K273" s="552"/>
      <c r="L273" s="552"/>
      <c r="M273" s="552"/>
      <c r="N273" s="552"/>
      <c r="O273" s="552"/>
      <c r="P273" s="552"/>
      <c r="Q273" s="552"/>
      <c r="R273" s="552"/>
      <c r="S273" s="552"/>
      <c r="T273" s="552"/>
      <c r="U273" s="552"/>
      <c r="V273" s="552"/>
      <c r="W273" s="552"/>
      <c r="X273" s="552"/>
      <c r="Y273" s="552"/>
      <c r="Z273" s="552"/>
    </row>
    <row r="274" spans="1:26" ht="12.75" customHeight="1">
      <c r="A274" s="553"/>
      <c r="B274" s="552"/>
      <c r="C274" s="554"/>
      <c r="D274" s="552"/>
      <c r="E274" s="552"/>
      <c r="F274" s="555"/>
      <c r="G274" s="552"/>
      <c r="H274" s="552"/>
      <c r="I274" s="552"/>
      <c r="J274" s="552"/>
      <c r="K274" s="552"/>
      <c r="L274" s="552"/>
      <c r="M274" s="552"/>
      <c r="N274" s="552"/>
      <c r="O274" s="552"/>
      <c r="P274" s="552"/>
      <c r="Q274" s="552"/>
      <c r="R274" s="552"/>
      <c r="S274" s="552"/>
      <c r="T274" s="552"/>
      <c r="U274" s="552"/>
      <c r="V274" s="552"/>
      <c r="W274" s="552"/>
      <c r="X274" s="552"/>
      <c r="Y274" s="552"/>
      <c r="Z274" s="552"/>
    </row>
    <row r="275" spans="1:26" ht="12.75" customHeight="1">
      <c r="A275" s="553"/>
      <c r="B275" s="552"/>
      <c r="C275" s="554"/>
      <c r="D275" s="552"/>
      <c r="E275" s="552"/>
      <c r="F275" s="555"/>
      <c r="G275" s="552"/>
      <c r="H275" s="552"/>
      <c r="I275" s="552"/>
      <c r="J275" s="552"/>
      <c r="K275" s="552"/>
      <c r="L275" s="552"/>
      <c r="M275" s="552"/>
      <c r="N275" s="552"/>
      <c r="O275" s="552"/>
      <c r="P275" s="552"/>
      <c r="Q275" s="552"/>
      <c r="R275" s="552"/>
      <c r="S275" s="552"/>
      <c r="T275" s="552"/>
      <c r="U275" s="552"/>
      <c r="V275" s="552"/>
      <c r="W275" s="552"/>
      <c r="X275" s="552"/>
      <c r="Y275" s="552"/>
      <c r="Z275" s="552"/>
    </row>
    <row r="276" spans="1:26" ht="12.75" customHeight="1">
      <c r="A276" s="553"/>
      <c r="B276" s="552"/>
      <c r="C276" s="554"/>
      <c r="D276" s="552"/>
      <c r="E276" s="552"/>
      <c r="F276" s="555"/>
      <c r="G276" s="552"/>
      <c r="H276" s="552"/>
      <c r="I276" s="552"/>
      <c r="J276" s="552"/>
      <c r="K276" s="552"/>
      <c r="L276" s="552"/>
      <c r="M276" s="552"/>
      <c r="N276" s="552"/>
      <c r="O276" s="552"/>
      <c r="P276" s="552"/>
      <c r="Q276" s="552"/>
      <c r="R276" s="552"/>
      <c r="S276" s="552"/>
      <c r="T276" s="552"/>
      <c r="U276" s="552"/>
      <c r="V276" s="552"/>
      <c r="W276" s="552"/>
      <c r="X276" s="552"/>
      <c r="Y276" s="552"/>
      <c r="Z276" s="552"/>
    </row>
    <row r="277" spans="1:26" ht="12.75" customHeight="1">
      <c r="A277" s="553"/>
      <c r="B277" s="552"/>
      <c r="C277" s="554"/>
      <c r="D277" s="552"/>
      <c r="E277" s="552"/>
      <c r="F277" s="555"/>
      <c r="G277" s="552"/>
      <c r="H277" s="552"/>
      <c r="I277" s="552"/>
      <c r="J277" s="552"/>
      <c r="K277" s="552"/>
      <c r="L277" s="552"/>
      <c r="M277" s="552"/>
      <c r="N277" s="552"/>
      <c r="O277" s="552"/>
      <c r="P277" s="552"/>
      <c r="Q277" s="552"/>
      <c r="R277" s="552"/>
      <c r="S277" s="552"/>
      <c r="T277" s="552"/>
      <c r="U277" s="552"/>
      <c r="V277" s="552"/>
      <c r="W277" s="552"/>
      <c r="X277" s="552"/>
      <c r="Y277" s="552"/>
      <c r="Z277" s="552"/>
    </row>
    <row r="278" spans="1:26" ht="12.75" customHeight="1">
      <c r="A278" s="553"/>
      <c r="B278" s="552"/>
      <c r="C278" s="554"/>
      <c r="D278" s="552"/>
      <c r="E278" s="552"/>
      <c r="F278" s="555"/>
      <c r="G278" s="552"/>
      <c r="H278" s="552"/>
      <c r="I278" s="552"/>
      <c r="J278" s="552"/>
      <c r="K278" s="552"/>
      <c r="L278" s="552"/>
      <c r="M278" s="552"/>
      <c r="N278" s="552"/>
      <c r="O278" s="552"/>
      <c r="P278" s="552"/>
      <c r="Q278" s="552"/>
      <c r="R278" s="552"/>
      <c r="S278" s="552"/>
      <c r="T278" s="552"/>
      <c r="U278" s="552"/>
      <c r="V278" s="552"/>
      <c r="W278" s="552"/>
      <c r="X278" s="552"/>
      <c r="Y278" s="552"/>
      <c r="Z278" s="552"/>
    </row>
    <row r="279" spans="1:26" ht="12.75" customHeight="1">
      <c r="A279" s="553"/>
      <c r="B279" s="552"/>
      <c r="C279" s="554"/>
      <c r="D279" s="552"/>
      <c r="E279" s="552"/>
      <c r="F279" s="555"/>
      <c r="G279" s="552"/>
      <c r="H279" s="552"/>
      <c r="I279" s="552"/>
      <c r="J279" s="552"/>
      <c r="K279" s="552"/>
      <c r="L279" s="552"/>
      <c r="M279" s="552"/>
      <c r="N279" s="552"/>
      <c r="O279" s="552"/>
      <c r="P279" s="552"/>
      <c r="Q279" s="552"/>
      <c r="R279" s="552"/>
      <c r="S279" s="552"/>
      <c r="T279" s="552"/>
      <c r="U279" s="552"/>
      <c r="V279" s="552"/>
      <c r="W279" s="552"/>
      <c r="X279" s="552"/>
      <c r="Y279" s="552"/>
      <c r="Z279" s="552"/>
    </row>
    <row r="280" spans="1:26" ht="12.75" customHeight="1">
      <c r="A280" s="553"/>
      <c r="B280" s="552"/>
      <c r="C280" s="554"/>
      <c r="D280" s="552"/>
      <c r="E280" s="552"/>
      <c r="F280" s="555"/>
      <c r="G280" s="552"/>
      <c r="H280" s="552"/>
      <c r="I280" s="552"/>
      <c r="J280" s="552"/>
      <c r="K280" s="552"/>
      <c r="L280" s="552"/>
      <c r="M280" s="552"/>
      <c r="N280" s="552"/>
      <c r="O280" s="552"/>
      <c r="P280" s="552"/>
      <c r="Q280" s="552"/>
      <c r="R280" s="552"/>
      <c r="S280" s="552"/>
      <c r="T280" s="552"/>
      <c r="U280" s="552"/>
      <c r="V280" s="552"/>
      <c r="W280" s="552"/>
      <c r="X280" s="552"/>
      <c r="Y280" s="552"/>
      <c r="Z280" s="552"/>
    </row>
    <row r="281" spans="1:26" ht="12.75" customHeight="1">
      <c r="A281" s="553"/>
      <c r="B281" s="552"/>
      <c r="C281" s="554"/>
      <c r="D281" s="552"/>
      <c r="E281" s="552"/>
      <c r="F281" s="555"/>
      <c r="G281" s="552"/>
      <c r="H281" s="552"/>
      <c r="I281" s="552"/>
      <c r="J281" s="552"/>
      <c r="K281" s="552"/>
      <c r="L281" s="552"/>
      <c r="M281" s="552"/>
      <c r="N281" s="552"/>
      <c r="O281" s="552"/>
      <c r="P281" s="552"/>
      <c r="Q281" s="552"/>
      <c r="R281" s="552"/>
      <c r="S281" s="552"/>
      <c r="T281" s="552"/>
      <c r="U281" s="552"/>
      <c r="V281" s="552"/>
      <c r="W281" s="552"/>
      <c r="X281" s="552"/>
      <c r="Y281" s="552"/>
      <c r="Z281" s="552"/>
    </row>
    <row r="282" spans="1:26" ht="12.75" customHeight="1">
      <c r="A282" s="553"/>
      <c r="B282" s="552"/>
      <c r="C282" s="554"/>
      <c r="D282" s="552"/>
      <c r="E282" s="552"/>
      <c r="F282" s="555"/>
      <c r="G282" s="552"/>
      <c r="H282" s="552"/>
      <c r="I282" s="552"/>
      <c r="J282" s="552"/>
      <c r="K282" s="552"/>
      <c r="L282" s="552"/>
      <c r="M282" s="552"/>
      <c r="N282" s="552"/>
      <c r="O282" s="552"/>
      <c r="P282" s="552"/>
      <c r="Q282" s="552"/>
      <c r="R282" s="552"/>
      <c r="S282" s="552"/>
      <c r="T282" s="552"/>
      <c r="U282" s="552"/>
      <c r="V282" s="552"/>
      <c r="W282" s="552"/>
      <c r="X282" s="552"/>
      <c r="Y282" s="552"/>
      <c r="Z282" s="552"/>
    </row>
    <row r="283" spans="1:26" ht="12.75" customHeight="1">
      <c r="A283" s="553"/>
      <c r="B283" s="552"/>
      <c r="C283" s="554"/>
      <c r="D283" s="552"/>
      <c r="E283" s="552"/>
      <c r="F283" s="555"/>
      <c r="G283" s="552"/>
      <c r="H283" s="552"/>
      <c r="I283" s="552"/>
      <c r="J283" s="552"/>
      <c r="K283" s="552"/>
      <c r="L283" s="552"/>
      <c r="M283" s="552"/>
      <c r="N283" s="552"/>
      <c r="O283" s="552"/>
      <c r="P283" s="552"/>
      <c r="Q283" s="552"/>
      <c r="R283" s="552"/>
      <c r="S283" s="552"/>
      <c r="T283" s="552"/>
      <c r="U283" s="552"/>
      <c r="V283" s="552"/>
      <c r="W283" s="552"/>
      <c r="X283" s="552"/>
      <c r="Y283" s="552"/>
      <c r="Z283" s="552"/>
    </row>
    <row r="284" spans="1:26" ht="12.75" customHeight="1">
      <c r="A284" s="553"/>
      <c r="B284" s="552"/>
      <c r="C284" s="554"/>
      <c r="D284" s="552"/>
      <c r="E284" s="552"/>
      <c r="F284" s="555"/>
      <c r="G284" s="552"/>
      <c r="H284" s="552"/>
      <c r="I284" s="552"/>
      <c r="J284" s="552"/>
      <c r="K284" s="552"/>
      <c r="L284" s="552"/>
      <c r="M284" s="552"/>
      <c r="N284" s="552"/>
      <c r="O284" s="552"/>
      <c r="P284" s="552"/>
      <c r="Q284" s="552"/>
      <c r="R284" s="552"/>
      <c r="S284" s="552"/>
      <c r="T284" s="552"/>
      <c r="U284" s="552"/>
      <c r="V284" s="552"/>
      <c r="W284" s="552"/>
      <c r="X284" s="552"/>
      <c r="Y284" s="552"/>
      <c r="Z284" s="552"/>
    </row>
    <row r="285" spans="1:26" ht="12.75" customHeight="1">
      <c r="A285" s="553"/>
      <c r="B285" s="552"/>
      <c r="C285" s="554"/>
      <c r="D285" s="552"/>
      <c r="E285" s="552"/>
      <c r="F285" s="555"/>
      <c r="G285" s="552"/>
      <c r="H285" s="552"/>
      <c r="I285" s="552"/>
      <c r="J285" s="552"/>
      <c r="K285" s="552"/>
      <c r="L285" s="552"/>
      <c r="M285" s="552"/>
      <c r="N285" s="552"/>
      <c r="O285" s="552"/>
      <c r="P285" s="552"/>
      <c r="Q285" s="552"/>
      <c r="R285" s="552"/>
      <c r="S285" s="552"/>
      <c r="T285" s="552"/>
      <c r="U285" s="552"/>
      <c r="V285" s="552"/>
      <c r="W285" s="552"/>
      <c r="X285" s="552"/>
      <c r="Y285" s="552"/>
      <c r="Z285" s="552"/>
    </row>
    <row r="286" spans="1:26" ht="12.75" customHeight="1">
      <c r="A286" s="553"/>
      <c r="B286" s="552"/>
      <c r="C286" s="554"/>
      <c r="D286" s="552"/>
      <c r="E286" s="552"/>
      <c r="F286" s="555"/>
      <c r="G286" s="552"/>
      <c r="H286" s="552"/>
      <c r="I286" s="552"/>
      <c r="J286" s="552"/>
      <c r="K286" s="552"/>
      <c r="L286" s="552"/>
      <c r="M286" s="552"/>
      <c r="N286" s="552"/>
      <c r="O286" s="552"/>
      <c r="P286" s="552"/>
      <c r="Q286" s="552"/>
      <c r="R286" s="552"/>
      <c r="S286" s="552"/>
      <c r="T286" s="552"/>
      <c r="U286" s="552"/>
      <c r="V286" s="552"/>
      <c r="W286" s="552"/>
      <c r="X286" s="552"/>
      <c r="Y286" s="552"/>
      <c r="Z286" s="552"/>
    </row>
    <row r="287" spans="1:26" ht="12.75" customHeight="1">
      <c r="A287" s="553"/>
      <c r="B287" s="552"/>
      <c r="C287" s="554"/>
      <c r="D287" s="552"/>
      <c r="E287" s="552"/>
      <c r="F287" s="555"/>
      <c r="G287" s="552"/>
      <c r="H287" s="552"/>
      <c r="I287" s="552"/>
      <c r="J287" s="552"/>
      <c r="K287" s="552"/>
      <c r="L287" s="552"/>
      <c r="M287" s="552"/>
      <c r="N287" s="552"/>
      <c r="O287" s="552"/>
      <c r="P287" s="552"/>
      <c r="Q287" s="552"/>
      <c r="R287" s="552"/>
      <c r="S287" s="552"/>
      <c r="T287" s="552"/>
      <c r="U287" s="552"/>
      <c r="V287" s="552"/>
      <c r="W287" s="552"/>
      <c r="X287" s="552"/>
      <c r="Y287" s="552"/>
      <c r="Z287" s="552"/>
    </row>
    <row r="288" spans="1:26" ht="12.75" customHeight="1">
      <c r="A288" s="553"/>
      <c r="B288" s="552"/>
      <c r="C288" s="554"/>
      <c r="D288" s="552"/>
      <c r="E288" s="552"/>
      <c r="F288" s="555"/>
      <c r="G288" s="552"/>
      <c r="H288" s="552"/>
      <c r="I288" s="552"/>
      <c r="J288" s="552"/>
      <c r="K288" s="552"/>
      <c r="L288" s="552"/>
      <c r="M288" s="552"/>
      <c r="N288" s="552"/>
      <c r="O288" s="552"/>
      <c r="P288" s="552"/>
      <c r="Q288" s="552"/>
      <c r="R288" s="552"/>
      <c r="S288" s="552"/>
      <c r="T288" s="552"/>
      <c r="U288" s="552"/>
      <c r="V288" s="552"/>
      <c r="W288" s="552"/>
      <c r="X288" s="552"/>
      <c r="Y288" s="552"/>
      <c r="Z288" s="552"/>
    </row>
    <row r="289" spans="1:26" ht="12.75" customHeight="1">
      <c r="A289" s="553"/>
      <c r="B289" s="552"/>
      <c r="C289" s="554"/>
      <c r="D289" s="552"/>
      <c r="E289" s="552"/>
      <c r="F289" s="555"/>
      <c r="G289" s="552"/>
      <c r="H289" s="552"/>
      <c r="I289" s="552"/>
      <c r="J289" s="552"/>
      <c r="K289" s="552"/>
      <c r="L289" s="552"/>
      <c r="M289" s="552"/>
      <c r="N289" s="552"/>
      <c r="O289" s="552"/>
      <c r="P289" s="552"/>
      <c r="Q289" s="552"/>
      <c r="R289" s="552"/>
      <c r="S289" s="552"/>
      <c r="T289" s="552"/>
      <c r="U289" s="552"/>
      <c r="V289" s="552"/>
      <c r="W289" s="552"/>
      <c r="X289" s="552"/>
      <c r="Y289" s="552"/>
      <c r="Z289" s="552"/>
    </row>
    <row r="290" spans="1:26" ht="12.75" customHeight="1">
      <c r="A290" s="553"/>
      <c r="B290" s="552"/>
      <c r="C290" s="554"/>
      <c r="D290" s="552"/>
      <c r="E290" s="552"/>
      <c r="F290" s="555"/>
      <c r="G290" s="552"/>
      <c r="H290" s="552"/>
      <c r="I290" s="552"/>
      <c r="J290" s="552"/>
      <c r="K290" s="552"/>
      <c r="L290" s="552"/>
      <c r="M290" s="552"/>
      <c r="N290" s="552"/>
      <c r="O290" s="552"/>
      <c r="P290" s="552"/>
      <c r="Q290" s="552"/>
      <c r="R290" s="552"/>
      <c r="S290" s="552"/>
      <c r="T290" s="552"/>
      <c r="U290" s="552"/>
      <c r="V290" s="552"/>
      <c r="W290" s="552"/>
      <c r="X290" s="552"/>
      <c r="Y290" s="552"/>
      <c r="Z290" s="552"/>
    </row>
    <row r="291" spans="1:26" ht="12.75" customHeight="1">
      <c r="A291" s="553"/>
      <c r="B291" s="552"/>
      <c r="C291" s="554"/>
      <c r="D291" s="552"/>
      <c r="E291" s="552"/>
      <c r="F291" s="555"/>
      <c r="G291" s="552"/>
      <c r="H291" s="552"/>
      <c r="I291" s="552"/>
      <c r="J291" s="552"/>
      <c r="K291" s="552"/>
      <c r="L291" s="552"/>
      <c r="M291" s="552"/>
      <c r="N291" s="552"/>
      <c r="O291" s="552"/>
      <c r="P291" s="552"/>
      <c r="Q291" s="552"/>
      <c r="R291" s="552"/>
      <c r="S291" s="552"/>
      <c r="T291" s="552"/>
      <c r="U291" s="552"/>
      <c r="V291" s="552"/>
      <c r="W291" s="552"/>
      <c r="X291" s="552"/>
      <c r="Y291" s="552"/>
      <c r="Z291" s="552"/>
    </row>
    <row r="292" spans="1:26" ht="12.75" customHeight="1">
      <c r="A292" s="553"/>
      <c r="B292" s="552"/>
      <c r="C292" s="554"/>
      <c r="D292" s="552"/>
      <c r="E292" s="552"/>
      <c r="F292" s="555"/>
      <c r="G292" s="552"/>
      <c r="H292" s="552"/>
      <c r="I292" s="552"/>
      <c r="J292" s="552"/>
      <c r="K292" s="552"/>
      <c r="L292" s="552"/>
      <c r="M292" s="552"/>
      <c r="N292" s="552"/>
      <c r="O292" s="552"/>
      <c r="P292" s="552"/>
      <c r="Q292" s="552"/>
      <c r="R292" s="552"/>
      <c r="S292" s="552"/>
      <c r="T292" s="552"/>
      <c r="U292" s="552"/>
      <c r="V292" s="552"/>
      <c r="W292" s="552"/>
      <c r="X292" s="552"/>
      <c r="Y292" s="552"/>
      <c r="Z292" s="552"/>
    </row>
    <row r="293" spans="1:26" ht="12.75" customHeight="1">
      <c r="A293" s="553"/>
      <c r="B293" s="552"/>
      <c r="C293" s="554"/>
      <c r="D293" s="552"/>
      <c r="E293" s="552"/>
      <c r="F293" s="555"/>
      <c r="G293" s="552"/>
      <c r="H293" s="552"/>
      <c r="I293" s="552"/>
      <c r="J293" s="552"/>
      <c r="K293" s="552"/>
      <c r="L293" s="552"/>
      <c r="M293" s="552"/>
      <c r="N293" s="552"/>
      <c r="O293" s="552"/>
      <c r="P293" s="552"/>
      <c r="Q293" s="552"/>
      <c r="R293" s="552"/>
      <c r="S293" s="552"/>
      <c r="T293" s="552"/>
      <c r="U293" s="552"/>
      <c r="V293" s="552"/>
      <c r="W293" s="552"/>
      <c r="X293" s="552"/>
      <c r="Y293" s="552"/>
      <c r="Z293" s="552"/>
    </row>
    <row r="294" spans="1:26" ht="12.75" customHeight="1">
      <c r="A294" s="553"/>
      <c r="B294" s="552"/>
      <c r="C294" s="554"/>
      <c r="D294" s="552"/>
      <c r="E294" s="552"/>
      <c r="F294" s="555"/>
      <c r="G294" s="552"/>
      <c r="H294" s="552"/>
      <c r="I294" s="552"/>
      <c r="J294" s="552"/>
      <c r="K294" s="552"/>
      <c r="L294" s="552"/>
      <c r="M294" s="552"/>
      <c r="N294" s="552"/>
      <c r="O294" s="552"/>
      <c r="P294" s="552"/>
      <c r="Q294" s="552"/>
      <c r="R294" s="552"/>
      <c r="S294" s="552"/>
      <c r="T294" s="552"/>
      <c r="U294" s="552"/>
      <c r="V294" s="552"/>
      <c r="W294" s="552"/>
      <c r="X294" s="552"/>
      <c r="Y294" s="552"/>
      <c r="Z294" s="552"/>
    </row>
    <row r="295" spans="1:26" ht="12.75" customHeight="1">
      <c r="A295" s="553"/>
      <c r="B295" s="552"/>
      <c r="C295" s="554"/>
      <c r="D295" s="552"/>
      <c r="E295" s="552"/>
      <c r="F295" s="555"/>
      <c r="G295" s="552"/>
      <c r="H295" s="552"/>
      <c r="I295" s="552"/>
      <c r="J295" s="552"/>
      <c r="K295" s="552"/>
      <c r="L295" s="552"/>
      <c r="M295" s="552"/>
      <c r="N295" s="552"/>
      <c r="O295" s="552"/>
      <c r="P295" s="552"/>
      <c r="Q295" s="552"/>
      <c r="R295" s="552"/>
      <c r="S295" s="552"/>
      <c r="T295" s="552"/>
      <c r="U295" s="552"/>
      <c r="V295" s="552"/>
      <c r="W295" s="552"/>
      <c r="X295" s="552"/>
      <c r="Y295" s="552"/>
      <c r="Z295" s="552"/>
    </row>
    <row r="296" spans="1:26" ht="12.75" customHeight="1">
      <c r="A296" s="553"/>
      <c r="B296" s="552"/>
      <c r="C296" s="554"/>
      <c r="D296" s="552"/>
      <c r="E296" s="552"/>
      <c r="F296" s="555"/>
      <c r="G296" s="552"/>
      <c r="H296" s="552"/>
      <c r="I296" s="552"/>
      <c r="J296" s="552"/>
      <c r="K296" s="552"/>
      <c r="L296" s="552"/>
      <c r="M296" s="552"/>
      <c r="N296" s="552"/>
      <c r="O296" s="552"/>
      <c r="P296" s="552"/>
      <c r="Q296" s="552"/>
      <c r="R296" s="552"/>
      <c r="S296" s="552"/>
      <c r="T296" s="552"/>
      <c r="U296" s="552"/>
      <c r="V296" s="552"/>
      <c r="W296" s="552"/>
      <c r="X296" s="552"/>
      <c r="Y296" s="552"/>
      <c r="Z296" s="552"/>
    </row>
    <row r="297" spans="1:26" ht="12.75" customHeight="1">
      <c r="A297" s="553"/>
      <c r="B297" s="552"/>
      <c r="C297" s="554"/>
      <c r="D297" s="552"/>
      <c r="E297" s="552"/>
      <c r="F297" s="555"/>
      <c r="G297" s="552"/>
      <c r="H297" s="552"/>
      <c r="I297" s="552"/>
      <c r="J297" s="552"/>
      <c r="K297" s="552"/>
      <c r="L297" s="552"/>
      <c r="M297" s="552"/>
      <c r="N297" s="552"/>
      <c r="O297" s="552"/>
      <c r="P297" s="552"/>
      <c r="Q297" s="552"/>
      <c r="R297" s="552"/>
      <c r="S297" s="552"/>
      <c r="T297" s="552"/>
      <c r="U297" s="552"/>
      <c r="V297" s="552"/>
      <c r="W297" s="552"/>
      <c r="X297" s="552"/>
      <c r="Y297" s="552"/>
      <c r="Z297" s="552"/>
    </row>
    <row r="298" spans="1:26" ht="12.75" customHeight="1">
      <c r="A298" s="553"/>
      <c r="B298" s="552"/>
      <c r="C298" s="554"/>
      <c r="D298" s="552"/>
      <c r="E298" s="552"/>
      <c r="F298" s="555"/>
      <c r="G298" s="552"/>
      <c r="H298" s="552"/>
      <c r="I298" s="552"/>
      <c r="J298" s="552"/>
      <c r="K298" s="552"/>
      <c r="L298" s="552"/>
      <c r="M298" s="552"/>
      <c r="N298" s="552"/>
      <c r="O298" s="552"/>
      <c r="P298" s="552"/>
      <c r="Q298" s="552"/>
      <c r="R298" s="552"/>
      <c r="S298" s="552"/>
      <c r="T298" s="552"/>
      <c r="U298" s="552"/>
      <c r="V298" s="552"/>
      <c r="W298" s="552"/>
      <c r="X298" s="552"/>
      <c r="Y298" s="552"/>
      <c r="Z298" s="552"/>
    </row>
    <row r="299" spans="1:26" ht="12.75" customHeight="1">
      <c r="A299" s="553"/>
      <c r="B299" s="552"/>
      <c r="C299" s="554"/>
      <c r="D299" s="552"/>
      <c r="E299" s="552"/>
      <c r="F299" s="555"/>
      <c r="G299" s="552"/>
      <c r="H299" s="552"/>
      <c r="I299" s="552"/>
      <c r="J299" s="552"/>
      <c r="K299" s="552"/>
      <c r="L299" s="552"/>
      <c r="M299" s="552"/>
      <c r="N299" s="552"/>
      <c r="O299" s="552"/>
      <c r="P299" s="552"/>
      <c r="Q299" s="552"/>
      <c r="R299" s="552"/>
      <c r="S299" s="552"/>
      <c r="T299" s="552"/>
      <c r="U299" s="552"/>
      <c r="V299" s="552"/>
      <c r="W299" s="552"/>
      <c r="X299" s="552"/>
      <c r="Y299" s="552"/>
      <c r="Z299" s="552"/>
    </row>
    <row r="300" spans="1:26" ht="12.75" customHeight="1">
      <c r="A300" s="553"/>
      <c r="B300" s="552"/>
      <c r="C300" s="554"/>
      <c r="D300" s="552"/>
      <c r="E300" s="552"/>
      <c r="F300" s="555"/>
      <c r="G300" s="552"/>
      <c r="H300" s="552"/>
      <c r="I300" s="552"/>
      <c r="J300" s="552"/>
      <c r="K300" s="552"/>
      <c r="L300" s="552"/>
      <c r="M300" s="552"/>
      <c r="N300" s="552"/>
      <c r="O300" s="552"/>
      <c r="P300" s="552"/>
      <c r="Q300" s="552"/>
      <c r="R300" s="552"/>
      <c r="S300" s="552"/>
      <c r="T300" s="552"/>
      <c r="U300" s="552"/>
      <c r="V300" s="552"/>
      <c r="W300" s="552"/>
      <c r="X300" s="552"/>
      <c r="Y300" s="552"/>
      <c r="Z300" s="552"/>
    </row>
    <row r="301" spans="1:26" ht="12.75" customHeight="1">
      <c r="A301" s="553"/>
      <c r="B301" s="552"/>
      <c r="C301" s="554"/>
      <c r="D301" s="552"/>
      <c r="E301" s="552"/>
      <c r="F301" s="555"/>
      <c r="G301" s="552"/>
      <c r="H301" s="552"/>
      <c r="I301" s="552"/>
      <c r="J301" s="552"/>
      <c r="K301" s="552"/>
      <c r="L301" s="552"/>
      <c r="M301" s="552"/>
      <c r="N301" s="552"/>
      <c r="O301" s="552"/>
      <c r="P301" s="552"/>
      <c r="Q301" s="552"/>
      <c r="R301" s="552"/>
      <c r="S301" s="552"/>
      <c r="T301" s="552"/>
      <c r="U301" s="552"/>
      <c r="V301" s="552"/>
      <c r="W301" s="552"/>
      <c r="X301" s="552"/>
      <c r="Y301" s="552"/>
      <c r="Z301" s="552"/>
    </row>
    <row r="302" spans="1:26" ht="12.75" customHeight="1">
      <c r="A302" s="553"/>
      <c r="B302" s="552"/>
      <c r="C302" s="554"/>
      <c r="D302" s="552"/>
      <c r="E302" s="552"/>
      <c r="F302" s="555"/>
      <c r="G302" s="552"/>
      <c r="H302" s="552"/>
      <c r="I302" s="552"/>
      <c r="J302" s="552"/>
      <c r="K302" s="552"/>
      <c r="L302" s="552"/>
      <c r="M302" s="552"/>
      <c r="N302" s="552"/>
      <c r="O302" s="552"/>
      <c r="P302" s="552"/>
      <c r="Q302" s="552"/>
      <c r="R302" s="552"/>
      <c r="S302" s="552"/>
      <c r="T302" s="552"/>
      <c r="U302" s="552"/>
      <c r="V302" s="552"/>
      <c r="W302" s="552"/>
      <c r="X302" s="552"/>
      <c r="Y302" s="552"/>
      <c r="Z302" s="552"/>
    </row>
    <row r="303" spans="1:26" ht="12.75" customHeight="1">
      <c r="A303" s="553"/>
      <c r="B303" s="552"/>
      <c r="C303" s="554"/>
      <c r="D303" s="552"/>
      <c r="E303" s="552"/>
      <c r="F303" s="555"/>
      <c r="G303" s="552"/>
      <c r="H303" s="552"/>
      <c r="I303" s="552"/>
      <c r="J303" s="552"/>
      <c r="K303" s="552"/>
      <c r="L303" s="552"/>
      <c r="M303" s="552"/>
      <c r="N303" s="552"/>
      <c r="O303" s="552"/>
      <c r="P303" s="552"/>
      <c r="Q303" s="552"/>
      <c r="R303" s="552"/>
      <c r="S303" s="552"/>
      <c r="T303" s="552"/>
      <c r="U303" s="552"/>
      <c r="V303" s="552"/>
      <c r="W303" s="552"/>
      <c r="X303" s="552"/>
      <c r="Y303" s="552"/>
      <c r="Z303" s="552"/>
    </row>
    <row r="304" spans="1:26" ht="12.75" customHeight="1">
      <c r="A304" s="553"/>
      <c r="B304" s="552"/>
      <c r="C304" s="554"/>
      <c r="D304" s="552"/>
      <c r="E304" s="552"/>
      <c r="F304" s="555"/>
      <c r="G304" s="552"/>
      <c r="H304" s="552"/>
      <c r="I304" s="552"/>
      <c r="J304" s="552"/>
      <c r="K304" s="552"/>
      <c r="L304" s="552"/>
      <c r="M304" s="552"/>
      <c r="N304" s="552"/>
      <c r="O304" s="552"/>
      <c r="P304" s="552"/>
      <c r="Q304" s="552"/>
      <c r="R304" s="552"/>
      <c r="S304" s="552"/>
      <c r="T304" s="552"/>
      <c r="U304" s="552"/>
      <c r="V304" s="552"/>
      <c r="W304" s="552"/>
      <c r="X304" s="552"/>
      <c r="Y304" s="552"/>
      <c r="Z304" s="552"/>
    </row>
    <row r="305" spans="1:26" ht="12.75" customHeight="1">
      <c r="A305" s="553"/>
      <c r="B305" s="552"/>
      <c r="C305" s="554"/>
      <c r="D305" s="552"/>
      <c r="E305" s="552"/>
      <c r="F305" s="555"/>
      <c r="G305" s="552"/>
      <c r="H305" s="552"/>
      <c r="I305" s="552"/>
      <c r="J305" s="552"/>
      <c r="K305" s="552"/>
      <c r="L305" s="552"/>
      <c r="M305" s="552"/>
      <c r="N305" s="552"/>
      <c r="O305" s="552"/>
      <c r="P305" s="552"/>
      <c r="Q305" s="552"/>
      <c r="R305" s="552"/>
      <c r="S305" s="552"/>
      <c r="T305" s="552"/>
      <c r="U305" s="552"/>
      <c r="V305" s="552"/>
      <c r="W305" s="552"/>
      <c r="X305" s="552"/>
      <c r="Y305" s="552"/>
      <c r="Z305" s="552"/>
    </row>
    <row r="306" spans="1:26" ht="12.75" customHeight="1">
      <c r="A306" s="553"/>
      <c r="B306" s="552"/>
      <c r="C306" s="554"/>
      <c r="D306" s="552"/>
      <c r="E306" s="552"/>
      <c r="F306" s="555"/>
      <c r="G306" s="552"/>
      <c r="H306" s="552"/>
      <c r="I306" s="552"/>
      <c r="J306" s="552"/>
      <c r="K306" s="552"/>
      <c r="L306" s="552"/>
      <c r="M306" s="552"/>
      <c r="N306" s="552"/>
      <c r="O306" s="552"/>
      <c r="P306" s="552"/>
      <c r="Q306" s="552"/>
      <c r="R306" s="552"/>
      <c r="S306" s="552"/>
      <c r="T306" s="552"/>
      <c r="U306" s="552"/>
      <c r="V306" s="552"/>
      <c r="W306" s="552"/>
      <c r="X306" s="552"/>
      <c r="Y306" s="552"/>
      <c r="Z306" s="552"/>
    </row>
    <row r="307" spans="1:26" ht="12.75" customHeight="1">
      <c r="A307" s="553"/>
      <c r="B307" s="552"/>
      <c r="C307" s="554"/>
      <c r="D307" s="552"/>
      <c r="E307" s="552"/>
      <c r="F307" s="555"/>
      <c r="G307" s="552"/>
      <c r="H307" s="552"/>
      <c r="I307" s="552"/>
      <c r="J307" s="552"/>
      <c r="K307" s="552"/>
      <c r="L307" s="552"/>
      <c r="M307" s="552"/>
      <c r="N307" s="552"/>
      <c r="O307" s="552"/>
      <c r="P307" s="552"/>
      <c r="Q307" s="552"/>
      <c r="R307" s="552"/>
      <c r="S307" s="552"/>
      <c r="T307" s="552"/>
      <c r="U307" s="552"/>
      <c r="V307" s="552"/>
      <c r="W307" s="552"/>
      <c r="X307" s="552"/>
      <c r="Y307" s="552"/>
      <c r="Z307" s="552"/>
    </row>
    <row r="308" spans="1:26" ht="12.75" customHeight="1">
      <c r="A308" s="553"/>
      <c r="B308" s="552"/>
      <c r="C308" s="554"/>
      <c r="D308" s="552"/>
      <c r="E308" s="552"/>
      <c r="F308" s="555"/>
      <c r="G308" s="552"/>
      <c r="H308" s="552"/>
      <c r="I308" s="552"/>
      <c r="J308" s="552"/>
      <c r="K308" s="552"/>
      <c r="L308" s="552"/>
      <c r="M308" s="552"/>
      <c r="N308" s="552"/>
      <c r="O308" s="552"/>
      <c r="P308" s="552"/>
      <c r="Q308" s="552"/>
      <c r="R308" s="552"/>
      <c r="S308" s="552"/>
      <c r="T308" s="552"/>
      <c r="U308" s="552"/>
      <c r="V308" s="552"/>
      <c r="W308" s="552"/>
      <c r="X308" s="552"/>
      <c r="Y308" s="552"/>
      <c r="Z308" s="552"/>
    </row>
    <row r="309" spans="1:26" ht="12.75" customHeight="1">
      <c r="A309" s="553"/>
      <c r="B309" s="552"/>
      <c r="C309" s="554"/>
      <c r="D309" s="552"/>
      <c r="E309" s="552"/>
      <c r="F309" s="555"/>
      <c r="G309" s="552"/>
      <c r="H309" s="552"/>
      <c r="I309" s="552"/>
      <c r="J309" s="552"/>
      <c r="K309" s="552"/>
      <c r="L309" s="552"/>
      <c r="M309" s="552"/>
      <c r="N309" s="552"/>
      <c r="O309" s="552"/>
      <c r="P309" s="552"/>
      <c r="Q309" s="552"/>
      <c r="R309" s="552"/>
      <c r="S309" s="552"/>
      <c r="T309" s="552"/>
      <c r="U309" s="552"/>
      <c r="V309" s="552"/>
      <c r="W309" s="552"/>
      <c r="X309" s="552"/>
      <c r="Y309" s="552"/>
      <c r="Z309" s="552"/>
    </row>
    <row r="310" spans="1:26" ht="12.75" customHeight="1">
      <c r="A310" s="553"/>
      <c r="B310" s="552"/>
      <c r="C310" s="554"/>
      <c r="D310" s="552"/>
      <c r="E310" s="552"/>
      <c r="F310" s="555"/>
      <c r="G310" s="552"/>
      <c r="H310" s="552"/>
      <c r="I310" s="552"/>
      <c r="J310" s="552"/>
      <c r="K310" s="552"/>
      <c r="L310" s="552"/>
      <c r="M310" s="552"/>
      <c r="N310" s="552"/>
      <c r="O310" s="552"/>
      <c r="P310" s="552"/>
      <c r="Q310" s="552"/>
      <c r="R310" s="552"/>
      <c r="S310" s="552"/>
      <c r="T310" s="552"/>
      <c r="U310" s="552"/>
      <c r="V310" s="552"/>
      <c r="W310" s="552"/>
      <c r="X310" s="552"/>
      <c r="Y310" s="552"/>
      <c r="Z310" s="552"/>
    </row>
    <row r="311" spans="1:26" ht="12.75" customHeight="1">
      <c r="A311" s="553"/>
      <c r="B311" s="552"/>
      <c r="C311" s="554"/>
      <c r="D311" s="552"/>
      <c r="E311" s="552"/>
      <c r="F311" s="555"/>
      <c r="G311" s="552"/>
      <c r="H311" s="552"/>
      <c r="I311" s="552"/>
      <c r="J311" s="552"/>
      <c r="K311" s="552"/>
      <c r="L311" s="552"/>
      <c r="M311" s="552"/>
      <c r="N311" s="552"/>
      <c r="O311" s="552"/>
      <c r="P311" s="552"/>
      <c r="Q311" s="552"/>
      <c r="R311" s="552"/>
      <c r="S311" s="552"/>
      <c r="T311" s="552"/>
      <c r="U311" s="552"/>
      <c r="V311" s="552"/>
      <c r="W311" s="552"/>
      <c r="X311" s="552"/>
      <c r="Y311" s="552"/>
      <c r="Z311" s="552"/>
    </row>
    <row r="312" spans="1:26" ht="12.75" customHeight="1">
      <c r="A312" s="553"/>
      <c r="B312" s="552"/>
      <c r="C312" s="554"/>
      <c r="D312" s="552"/>
      <c r="E312" s="552"/>
      <c r="F312" s="555"/>
      <c r="G312" s="552"/>
      <c r="H312" s="552"/>
      <c r="I312" s="552"/>
      <c r="J312" s="552"/>
      <c r="K312" s="552"/>
      <c r="L312" s="552"/>
      <c r="M312" s="552"/>
      <c r="N312" s="552"/>
      <c r="O312" s="552"/>
      <c r="P312" s="552"/>
      <c r="Q312" s="552"/>
      <c r="R312" s="552"/>
      <c r="S312" s="552"/>
      <c r="T312" s="552"/>
      <c r="U312" s="552"/>
      <c r="V312" s="552"/>
      <c r="W312" s="552"/>
      <c r="X312" s="552"/>
      <c r="Y312" s="552"/>
      <c r="Z312" s="552"/>
    </row>
    <row r="313" spans="1:26" ht="12.75" customHeight="1">
      <c r="A313" s="553"/>
      <c r="B313" s="552"/>
      <c r="C313" s="554"/>
      <c r="D313" s="552"/>
      <c r="E313" s="552"/>
      <c r="F313" s="555"/>
      <c r="G313" s="552"/>
      <c r="H313" s="552"/>
      <c r="I313" s="552"/>
      <c r="J313" s="552"/>
      <c r="K313" s="552"/>
      <c r="L313" s="552"/>
      <c r="M313" s="552"/>
      <c r="N313" s="552"/>
      <c r="O313" s="552"/>
      <c r="P313" s="552"/>
      <c r="Q313" s="552"/>
      <c r="R313" s="552"/>
      <c r="S313" s="552"/>
      <c r="T313" s="552"/>
      <c r="U313" s="552"/>
      <c r="V313" s="552"/>
      <c r="W313" s="552"/>
      <c r="X313" s="552"/>
      <c r="Y313" s="552"/>
      <c r="Z313" s="552"/>
    </row>
    <row r="314" spans="1:26" ht="12.75" customHeight="1">
      <c r="A314" s="553"/>
      <c r="B314" s="552"/>
      <c r="C314" s="554"/>
      <c r="D314" s="552"/>
      <c r="E314" s="552"/>
      <c r="F314" s="555"/>
      <c r="G314" s="552"/>
      <c r="H314" s="552"/>
      <c r="I314" s="552"/>
      <c r="J314" s="552"/>
      <c r="K314" s="552"/>
      <c r="L314" s="552"/>
      <c r="M314" s="552"/>
      <c r="N314" s="552"/>
      <c r="O314" s="552"/>
      <c r="P314" s="552"/>
      <c r="Q314" s="552"/>
      <c r="R314" s="552"/>
      <c r="S314" s="552"/>
      <c r="T314" s="552"/>
      <c r="U314" s="552"/>
      <c r="V314" s="552"/>
      <c r="W314" s="552"/>
      <c r="X314" s="552"/>
      <c r="Y314" s="552"/>
      <c r="Z314" s="552"/>
    </row>
    <row r="315" spans="1:26" ht="12.75" customHeight="1">
      <c r="A315" s="553"/>
      <c r="B315" s="552"/>
      <c r="C315" s="554"/>
      <c r="D315" s="552"/>
      <c r="E315" s="552"/>
      <c r="F315" s="555"/>
      <c r="G315" s="552"/>
      <c r="H315" s="552"/>
      <c r="I315" s="552"/>
      <c r="J315" s="552"/>
      <c r="K315" s="552"/>
      <c r="L315" s="552"/>
      <c r="M315" s="552"/>
      <c r="N315" s="552"/>
      <c r="O315" s="552"/>
      <c r="P315" s="552"/>
      <c r="Q315" s="552"/>
      <c r="R315" s="552"/>
      <c r="S315" s="552"/>
      <c r="T315" s="552"/>
      <c r="U315" s="552"/>
      <c r="V315" s="552"/>
      <c r="W315" s="552"/>
      <c r="X315" s="552"/>
      <c r="Y315" s="552"/>
      <c r="Z315" s="552"/>
    </row>
    <row r="316" spans="1:26" ht="12.75" customHeight="1">
      <c r="A316" s="553"/>
      <c r="B316" s="552"/>
      <c r="C316" s="554"/>
      <c r="D316" s="552"/>
      <c r="E316" s="552"/>
      <c r="F316" s="555"/>
      <c r="G316" s="552"/>
      <c r="H316" s="552"/>
      <c r="I316" s="552"/>
      <c r="J316" s="552"/>
      <c r="K316" s="552"/>
      <c r="L316" s="552"/>
      <c r="M316" s="552"/>
      <c r="N316" s="552"/>
      <c r="O316" s="552"/>
      <c r="P316" s="552"/>
      <c r="Q316" s="552"/>
      <c r="R316" s="552"/>
      <c r="S316" s="552"/>
      <c r="T316" s="552"/>
      <c r="U316" s="552"/>
      <c r="V316" s="552"/>
      <c r="W316" s="552"/>
      <c r="X316" s="552"/>
      <c r="Y316" s="552"/>
      <c r="Z316" s="552"/>
    </row>
    <row r="317" spans="1:26" ht="12.75" customHeight="1">
      <c r="A317" s="553"/>
      <c r="B317" s="552"/>
      <c r="C317" s="554"/>
      <c r="D317" s="552"/>
      <c r="E317" s="552"/>
      <c r="F317" s="555"/>
      <c r="G317" s="552"/>
      <c r="H317" s="552"/>
      <c r="I317" s="552"/>
      <c r="J317" s="552"/>
      <c r="K317" s="552"/>
      <c r="L317" s="552"/>
      <c r="M317" s="552"/>
      <c r="N317" s="552"/>
      <c r="O317" s="552"/>
      <c r="P317" s="552"/>
      <c r="Q317" s="552"/>
      <c r="R317" s="552"/>
      <c r="S317" s="552"/>
      <c r="T317" s="552"/>
      <c r="U317" s="552"/>
      <c r="V317" s="552"/>
      <c r="W317" s="552"/>
      <c r="X317" s="552"/>
      <c r="Y317" s="552"/>
      <c r="Z317" s="552"/>
    </row>
    <row r="318" spans="1:26" ht="12.75" customHeight="1">
      <c r="A318" s="553"/>
      <c r="B318" s="552"/>
      <c r="C318" s="554"/>
      <c r="D318" s="552"/>
      <c r="E318" s="552"/>
      <c r="F318" s="555"/>
      <c r="G318" s="552"/>
      <c r="H318" s="552"/>
      <c r="I318" s="552"/>
      <c r="J318" s="552"/>
      <c r="K318" s="552"/>
      <c r="L318" s="552"/>
      <c r="M318" s="552"/>
      <c r="N318" s="552"/>
      <c r="O318" s="552"/>
      <c r="P318" s="552"/>
      <c r="Q318" s="552"/>
      <c r="R318" s="552"/>
      <c r="S318" s="552"/>
      <c r="T318" s="552"/>
      <c r="U318" s="552"/>
      <c r="V318" s="552"/>
      <c r="W318" s="552"/>
      <c r="X318" s="552"/>
      <c r="Y318" s="552"/>
      <c r="Z318" s="552"/>
    </row>
    <row r="319" spans="1:26" ht="12.75" customHeight="1">
      <c r="A319" s="553"/>
      <c r="B319" s="552"/>
      <c r="C319" s="554"/>
      <c r="D319" s="552"/>
      <c r="E319" s="552"/>
      <c r="F319" s="555"/>
      <c r="G319" s="552"/>
      <c r="H319" s="552"/>
      <c r="I319" s="552"/>
      <c r="J319" s="552"/>
      <c r="K319" s="552"/>
      <c r="L319" s="552"/>
      <c r="M319" s="552"/>
      <c r="N319" s="552"/>
      <c r="O319" s="552"/>
      <c r="P319" s="552"/>
      <c r="Q319" s="552"/>
      <c r="R319" s="552"/>
      <c r="S319" s="552"/>
      <c r="T319" s="552"/>
      <c r="U319" s="552"/>
      <c r="V319" s="552"/>
      <c r="W319" s="552"/>
      <c r="X319" s="552"/>
      <c r="Y319" s="552"/>
      <c r="Z319" s="552"/>
    </row>
    <row r="320" spans="1:26" ht="12.75" customHeight="1">
      <c r="A320" s="553"/>
      <c r="B320" s="552"/>
      <c r="C320" s="554"/>
      <c r="D320" s="552"/>
      <c r="E320" s="552"/>
      <c r="F320" s="555"/>
      <c r="G320" s="552"/>
      <c r="H320" s="552"/>
      <c r="I320" s="552"/>
      <c r="J320" s="552"/>
      <c r="K320" s="552"/>
      <c r="L320" s="552"/>
      <c r="M320" s="552"/>
      <c r="N320" s="552"/>
      <c r="O320" s="552"/>
      <c r="P320" s="552"/>
      <c r="Q320" s="552"/>
      <c r="R320" s="552"/>
      <c r="S320" s="552"/>
      <c r="T320" s="552"/>
      <c r="U320" s="552"/>
      <c r="V320" s="552"/>
      <c r="W320" s="552"/>
      <c r="X320" s="552"/>
      <c r="Y320" s="552"/>
      <c r="Z320" s="552"/>
    </row>
    <row r="321" spans="1:26" ht="12.75" customHeight="1">
      <c r="A321" s="553"/>
      <c r="B321" s="552"/>
      <c r="C321" s="554"/>
      <c r="D321" s="552"/>
      <c r="E321" s="552"/>
      <c r="F321" s="555"/>
      <c r="G321" s="552"/>
      <c r="H321" s="552"/>
      <c r="I321" s="552"/>
      <c r="J321" s="552"/>
      <c r="K321" s="552"/>
      <c r="L321" s="552"/>
      <c r="M321" s="552"/>
      <c r="N321" s="552"/>
      <c r="O321" s="552"/>
      <c r="P321" s="552"/>
      <c r="Q321" s="552"/>
      <c r="R321" s="552"/>
      <c r="S321" s="552"/>
      <c r="T321" s="552"/>
      <c r="U321" s="552"/>
      <c r="V321" s="552"/>
      <c r="W321" s="552"/>
      <c r="X321" s="552"/>
      <c r="Y321" s="552"/>
      <c r="Z321" s="552"/>
    </row>
    <row r="322" spans="1:26" ht="12.75" customHeight="1">
      <c r="A322" s="553"/>
      <c r="B322" s="552"/>
      <c r="C322" s="554"/>
      <c r="D322" s="552"/>
      <c r="E322" s="552"/>
      <c r="F322" s="555"/>
      <c r="G322" s="552"/>
      <c r="H322" s="552"/>
      <c r="I322" s="552"/>
      <c r="J322" s="552"/>
      <c r="K322" s="552"/>
      <c r="L322" s="552"/>
      <c r="M322" s="552"/>
      <c r="N322" s="552"/>
      <c r="O322" s="552"/>
      <c r="P322" s="552"/>
      <c r="Q322" s="552"/>
      <c r="R322" s="552"/>
      <c r="S322" s="552"/>
      <c r="T322" s="552"/>
      <c r="U322" s="552"/>
      <c r="V322" s="552"/>
      <c r="W322" s="552"/>
      <c r="X322" s="552"/>
      <c r="Y322" s="552"/>
      <c r="Z322" s="552"/>
    </row>
    <row r="323" spans="1:26" ht="12.75" customHeight="1">
      <c r="A323" s="553"/>
      <c r="B323" s="552"/>
      <c r="C323" s="554"/>
      <c r="D323" s="552"/>
      <c r="E323" s="552"/>
      <c r="F323" s="555"/>
      <c r="G323" s="552"/>
      <c r="H323" s="552"/>
      <c r="I323" s="552"/>
      <c r="J323" s="552"/>
      <c r="K323" s="552"/>
      <c r="L323" s="552"/>
      <c r="M323" s="552"/>
      <c r="N323" s="552"/>
      <c r="O323" s="552"/>
      <c r="P323" s="552"/>
      <c r="Q323" s="552"/>
      <c r="R323" s="552"/>
      <c r="S323" s="552"/>
      <c r="T323" s="552"/>
      <c r="U323" s="552"/>
      <c r="V323" s="552"/>
      <c r="W323" s="552"/>
      <c r="X323" s="552"/>
      <c r="Y323" s="552"/>
      <c r="Z323" s="552"/>
    </row>
    <row r="324" spans="1:26" ht="12.75" customHeight="1">
      <c r="A324" s="553"/>
      <c r="B324" s="552"/>
      <c r="C324" s="554"/>
      <c r="D324" s="552"/>
      <c r="E324" s="552"/>
      <c r="F324" s="555"/>
      <c r="G324" s="552"/>
      <c r="H324" s="552"/>
      <c r="I324" s="552"/>
      <c r="J324" s="552"/>
      <c r="K324" s="552"/>
      <c r="L324" s="552"/>
      <c r="M324" s="552"/>
      <c r="N324" s="552"/>
      <c r="O324" s="552"/>
      <c r="P324" s="552"/>
      <c r="Q324" s="552"/>
      <c r="R324" s="552"/>
      <c r="S324" s="552"/>
      <c r="T324" s="552"/>
      <c r="U324" s="552"/>
      <c r="V324" s="552"/>
      <c r="W324" s="552"/>
      <c r="X324" s="552"/>
      <c r="Y324" s="552"/>
      <c r="Z324" s="552"/>
    </row>
    <row r="325" spans="1:26" ht="12.75" customHeight="1">
      <c r="A325" s="553"/>
      <c r="B325" s="552"/>
      <c r="C325" s="554"/>
      <c r="D325" s="552"/>
      <c r="E325" s="552"/>
      <c r="F325" s="555"/>
      <c r="G325" s="552"/>
      <c r="H325" s="552"/>
      <c r="I325" s="552"/>
      <c r="J325" s="552"/>
      <c r="K325" s="552"/>
      <c r="L325" s="552"/>
      <c r="M325" s="552"/>
      <c r="N325" s="552"/>
      <c r="O325" s="552"/>
      <c r="P325" s="552"/>
      <c r="Q325" s="552"/>
      <c r="R325" s="552"/>
      <c r="S325" s="552"/>
      <c r="T325" s="552"/>
      <c r="U325" s="552"/>
      <c r="V325" s="552"/>
      <c r="W325" s="552"/>
      <c r="X325" s="552"/>
      <c r="Y325" s="552"/>
      <c r="Z325" s="552"/>
    </row>
    <row r="326" spans="1:26" ht="12.75" customHeight="1">
      <c r="A326" s="553"/>
      <c r="B326" s="552"/>
      <c r="C326" s="554"/>
      <c r="D326" s="552"/>
      <c r="E326" s="552"/>
      <c r="F326" s="555"/>
      <c r="G326" s="552"/>
      <c r="H326" s="552"/>
      <c r="I326" s="552"/>
      <c r="J326" s="552"/>
      <c r="K326" s="552"/>
      <c r="L326" s="552"/>
      <c r="M326" s="552"/>
      <c r="N326" s="552"/>
      <c r="O326" s="552"/>
      <c r="P326" s="552"/>
      <c r="Q326" s="552"/>
      <c r="R326" s="552"/>
      <c r="S326" s="552"/>
      <c r="T326" s="552"/>
      <c r="U326" s="552"/>
      <c r="V326" s="552"/>
      <c r="W326" s="552"/>
      <c r="X326" s="552"/>
      <c r="Y326" s="552"/>
      <c r="Z326" s="552"/>
    </row>
    <row r="327" spans="1:26" ht="12.75" customHeight="1">
      <c r="A327" s="553"/>
      <c r="B327" s="552"/>
      <c r="C327" s="554"/>
      <c r="D327" s="552"/>
      <c r="E327" s="552"/>
      <c r="F327" s="555"/>
      <c r="G327" s="552"/>
      <c r="H327" s="552"/>
      <c r="I327" s="552"/>
      <c r="J327" s="552"/>
      <c r="K327" s="552"/>
      <c r="L327" s="552"/>
      <c r="M327" s="552"/>
      <c r="N327" s="552"/>
      <c r="O327" s="552"/>
      <c r="P327" s="552"/>
      <c r="Q327" s="552"/>
      <c r="R327" s="552"/>
      <c r="S327" s="552"/>
      <c r="T327" s="552"/>
      <c r="U327" s="552"/>
      <c r="V327" s="552"/>
      <c r="W327" s="552"/>
      <c r="X327" s="552"/>
      <c r="Y327" s="552"/>
      <c r="Z327" s="552"/>
    </row>
    <row r="328" spans="1:26" ht="12.75" customHeight="1">
      <c r="A328" s="553"/>
      <c r="B328" s="552"/>
      <c r="C328" s="554"/>
      <c r="D328" s="552"/>
      <c r="E328" s="552"/>
      <c r="F328" s="555"/>
      <c r="G328" s="552"/>
      <c r="H328" s="552"/>
      <c r="I328" s="552"/>
      <c r="J328" s="552"/>
      <c r="K328" s="552"/>
      <c r="L328" s="552"/>
      <c r="M328" s="552"/>
      <c r="N328" s="552"/>
      <c r="O328" s="552"/>
      <c r="P328" s="552"/>
      <c r="Q328" s="552"/>
      <c r="R328" s="552"/>
      <c r="S328" s="552"/>
      <c r="T328" s="552"/>
      <c r="U328" s="552"/>
      <c r="V328" s="552"/>
      <c r="W328" s="552"/>
      <c r="X328" s="552"/>
      <c r="Y328" s="552"/>
      <c r="Z328" s="552"/>
    </row>
    <row r="329" spans="1:26" ht="12.75" customHeight="1">
      <c r="A329" s="553"/>
      <c r="B329" s="552"/>
      <c r="C329" s="554"/>
      <c r="D329" s="552"/>
      <c r="E329" s="552"/>
      <c r="F329" s="555"/>
      <c r="G329" s="552"/>
      <c r="H329" s="552"/>
      <c r="I329" s="552"/>
      <c r="J329" s="552"/>
      <c r="K329" s="552"/>
      <c r="L329" s="552"/>
      <c r="M329" s="552"/>
      <c r="N329" s="552"/>
      <c r="O329" s="552"/>
      <c r="P329" s="552"/>
      <c r="Q329" s="552"/>
      <c r="R329" s="552"/>
      <c r="S329" s="552"/>
      <c r="T329" s="552"/>
      <c r="U329" s="552"/>
      <c r="V329" s="552"/>
      <c r="W329" s="552"/>
      <c r="X329" s="552"/>
      <c r="Y329" s="552"/>
      <c r="Z329" s="552"/>
    </row>
    <row r="330" spans="1:26" ht="12.75" customHeight="1">
      <c r="A330" s="553"/>
      <c r="B330" s="552"/>
      <c r="C330" s="554"/>
      <c r="D330" s="552"/>
      <c r="E330" s="552"/>
      <c r="F330" s="555"/>
      <c r="G330" s="552"/>
      <c r="H330" s="552"/>
      <c r="I330" s="552"/>
      <c r="J330" s="552"/>
      <c r="K330" s="552"/>
      <c r="L330" s="552"/>
      <c r="M330" s="552"/>
      <c r="N330" s="552"/>
      <c r="O330" s="552"/>
      <c r="P330" s="552"/>
      <c r="Q330" s="552"/>
      <c r="R330" s="552"/>
      <c r="S330" s="552"/>
      <c r="T330" s="552"/>
      <c r="U330" s="552"/>
      <c r="V330" s="552"/>
      <c r="W330" s="552"/>
      <c r="X330" s="552"/>
      <c r="Y330" s="552"/>
      <c r="Z330" s="552"/>
    </row>
    <row r="331" spans="1:26" ht="12.75" customHeight="1">
      <c r="A331" s="553"/>
      <c r="B331" s="552"/>
      <c r="C331" s="554"/>
      <c r="D331" s="552"/>
      <c r="E331" s="552"/>
      <c r="F331" s="555"/>
      <c r="G331" s="552"/>
      <c r="H331" s="552"/>
      <c r="I331" s="552"/>
      <c r="J331" s="552"/>
      <c r="K331" s="552"/>
      <c r="L331" s="552"/>
      <c r="M331" s="552"/>
      <c r="N331" s="552"/>
      <c r="O331" s="552"/>
      <c r="P331" s="552"/>
      <c r="Q331" s="552"/>
      <c r="R331" s="552"/>
      <c r="S331" s="552"/>
      <c r="T331" s="552"/>
      <c r="U331" s="552"/>
      <c r="V331" s="552"/>
      <c r="W331" s="552"/>
      <c r="X331" s="552"/>
      <c r="Y331" s="552"/>
      <c r="Z331" s="552"/>
    </row>
    <row r="332" spans="1:26" ht="12.75" customHeight="1">
      <c r="A332" s="553"/>
      <c r="B332" s="552"/>
      <c r="C332" s="554"/>
      <c r="D332" s="552"/>
      <c r="E332" s="552"/>
      <c r="F332" s="555"/>
      <c r="G332" s="552"/>
      <c r="H332" s="552"/>
      <c r="I332" s="552"/>
      <c r="J332" s="552"/>
      <c r="K332" s="552"/>
      <c r="L332" s="552"/>
      <c r="M332" s="552"/>
      <c r="N332" s="552"/>
      <c r="O332" s="552"/>
      <c r="P332" s="552"/>
      <c r="Q332" s="552"/>
      <c r="R332" s="552"/>
      <c r="S332" s="552"/>
      <c r="T332" s="552"/>
      <c r="U332" s="552"/>
      <c r="V332" s="552"/>
      <c r="W332" s="552"/>
      <c r="X332" s="552"/>
      <c r="Y332" s="552"/>
      <c r="Z332" s="552"/>
    </row>
    <row r="333" spans="1:26" ht="12.75" customHeight="1">
      <c r="A333" s="553"/>
      <c r="B333" s="552"/>
      <c r="C333" s="554"/>
      <c r="D333" s="552"/>
      <c r="E333" s="552"/>
      <c r="F333" s="555"/>
      <c r="G333" s="552"/>
      <c r="H333" s="552"/>
      <c r="I333" s="552"/>
      <c r="J333" s="552"/>
      <c r="K333" s="552"/>
      <c r="L333" s="552"/>
      <c r="M333" s="552"/>
      <c r="N333" s="552"/>
      <c r="O333" s="552"/>
      <c r="P333" s="552"/>
      <c r="Q333" s="552"/>
      <c r="R333" s="552"/>
      <c r="S333" s="552"/>
      <c r="T333" s="552"/>
      <c r="U333" s="552"/>
      <c r="V333" s="552"/>
      <c r="W333" s="552"/>
      <c r="X333" s="552"/>
      <c r="Y333" s="552"/>
      <c r="Z333" s="552"/>
    </row>
    <row r="334" spans="1:26" ht="12.75" customHeight="1">
      <c r="A334" s="553"/>
      <c r="B334" s="552"/>
      <c r="C334" s="554"/>
      <c r="D334" s="552"/>
      <c r="E334" s="552"/>
      <c r="F334" s="555"/>
      <c r="G334" s="552"/>
      <c r="H334" s="552"/>
      <c r="I334" s="552"/>
      <c r="J334" s="552"/>
      <c r="K334" s="552"/>
      <c r="L334" s="552"/>
      <c r="M334" s="552"/>
      <c r="N334" s="552"/>
      <c r="O334" s="552"/>
      <c r="P334" s="552"/>
      <c r="Q334" s="552"/>
      <c r="R334" s="552"/>
      <c r="S334" s="552"/>
      <c r="T334" s="552"/>
      <c r="U334" s="552"/>
      <c r="V334" s="552"/>
      <c r="W334" s="552"/>
      <c r="X334" s="552"/>
      <c r="Y334" s="552"/>
      <c r="Z334" s="552"/>
    </row>
    <row r="335" spans="1:26" ht="12.75" customHeight="1">
      <c r="A335" s="553"/>
      <c r="B335" s="552"/>
      <c r="C335" s="554"/>
      <c r="D335" s="552"/>
      <c r="E335" s="552"/>
      <c r="F335" s="555"/>
      <c r="G335" s="552"/>
      <c r="H335" s="552"/>
      <c r="I335" s="552"/>
      <c r="J335" s="552"/>
      <c r="K335" s="552"/>
      <c r="L335" s="552"/>
      <c r="M335" s="552"/>
      <c r="N335" s="552"/>
      <c r="O335" s="552"/>
      <c r="P335" s="552"/>
      <c r="Q335" s="552"/>
      <c r="R335" s="552"/>
      <c r="S335" s="552"/>
      <c r="T335" s="552"/>
      <c r="U335" s="552"/>
      <c r="V335" s="552"/>
      <c r="W335" s="552"/>
      <c r="X335" s="552"/>
      <c r="Y335" s="552"/>
      <c r="Z335" s="552"/>
    </row>
    <row r="336" spans="1:26" ht="12.75" customHeight="1">
      <c r="A336" s="553"/>
      <c r="B336" s="552"/>
      <c r="C336" s="554"/>
      <c r="D336" s="552"/>
      <c r="E336" s="552"/>
      <c r="F336" s="555"/>
      <c r="G336" s="552"/>
      <c r="H336" s="552"/>
      <c r="I336" s="552"/>
      <c r="J336" s="552"/>
      <c r="K336" s="552"/>
      <c r="L336" s="552"/>
      <c r="M336" s="552"/>
      <c r="N336" s="552"/>
      <c r="O336" s="552"/>
      <c r="P336" s="552"/>
      <c r="Q336" s="552"/>
      <c r="R336" s="552"/>
      <c r="S336" s="552"/>
      <c r="T336" s="552"/>
      <c r="U336" s="552"/>
      <c r="V336" s="552"/>
      <c r="W336" s="552"/>
      <c r="X336" s="552"/>
      <c r="Y336" s="552"/>
      <c r="Z336" s="552"/>
    </row>
    <row r="337" spans="1:26" ht="12.75" customHeight="1">
      <c r="A337" s="553"/>
      <c r="B337" s="552"/>
      <c r="C337" s="554"/>
      <c r="D337" s="552"/>
      <c r="E337" s="552"/>
      <c r="F337" s="555"/>
      <c r="G337" s="552"/>
      <c r="H337" s="552"/>
      <c r="I337" s="552"/>
      <c r="J337" s="552"/>
      <c r="K337" s="552"/>
      <c r="L337" s="552"/>
      <c r="M337" s="552"/>
      <c r="N337" s="552"/>
      <c r="O337" s="552"/>
      <c r="P337" s="552"/>
      <c r="Q337" s="552"/>
      <c r="R337" s="552"/>
      <c r="S337" s="552"/>
      <c r="T337" s="552"/>
      <c r="U337" s="552"/>
      <c r="V337" s="552"/>
      <c r="W337" s="552"/>
      <c r="X337" s="552"/>
      <c r="Y337" s="552"/>
      <c r="Z337" s="552"/>
    </row>
    <row r="338" spans="1:26" ht="12.75" customHeight="1">
      <c r="A338" s="553"/>
      <c r="B338" s="552"/>
      <c r="C338" s="554"/>
      <c r="D338" s="552"/>
      <c r="E338" s="552"/>
      <c r="F338" s="555"/>
      <c r="G338" s="552"/>
      <c r="H338" s="552"/>
      <c r="I338" s="552"/>
      <c r="J338" s="552"/>
      <c r="K338" s="552"/>
      <c r="L338" s="552"/>
      <c r="M338" s="552"/>
      <c r="N338" s="552"/>
      <c r="O338" s="552"/>
      <c r="P338" s="552"/>
      <c r="Q338" s="552"/>
      <c r="R338" s="552"/>
      <c r="S338" s="552"/>
      <c r="T338" s="552"/>
      <c r="U338" s="552"/>
      <c r="V338" s="552"/>
      <c r="W338" s="552"/>
      <c r="X338" s="552"/>
      <c r="Y338" s="552"/>
      <c r="Z338" s="552"/>
    </row>
    <row r="339" spans="1:26" ht="12.75" customHeight="1">
      <c r="A339" s="553"/>
      <c r="B339" s="552"/>
      <c r="C339" s="554"/>
      <c r="D339" s="552"/>
      <c r="E339" s="552"/>
      <c r="F339" s="555"/>
      <c r="G339" s="552"/>
      <c r="H339" s="552"/>
      <c r="I339" s="552"/>
      <c r="J339" s="552"/>
      <c r="K339" s="552"/>
      <c r="L339" s="552"/>
      <c r="M339" s="552"/>
      <c r="N339" s="552"/>
      <c r="O339" s="552"/>
      <c r="P339" s="552"/>
      <c r="Q339" s="552"/>
      <c r="R339" s="552"/>
      <c r="S339" s="552"/>
      <c r="T339" s="552"/>
      <c r="U339" s="552"/>
      <c r="V339" s="552"/>
      <c r="W339" s="552"/>
      <c r="X339" s="552"/>
      <c r="Y339" s="552"/>
      <c r="Z339" s="552"/>
    </row>
    <row r="340" spans="1:26" ht="12.75" customHeight="1">
      <c r="A340" s="553"/>
      <c r="B340" s="552"/>
      <c r="C340" s="554"/>
      <c r="D340" s="552"/>
      <c r="E340" s="552"/>
      <c r="F340" s="555"/>
      <c r="G340" s="552"/>
      <c r="H340" s="552"/>
      <c r="I340" s="552"/>
      <c r="J340" s="552"/>
      <c r="K340" s="552"/>
      <c r="L340" s="552"/>
      <c r="M340" s="552"/>
      <c r="N340" s="552"/>
      <c r="O340" s="552"/>
      <c r="P340" s="552"/>
      <c r="Q340" s="552"/>
      <c r="R340" s="552"/>
      <c r="S340" s="552"/>
      <c r="T340" s="552"/>
      <c r="U340" s="552"/>
      <c r="V340" s="552"/>
      <c r="W340" s="552"/>
      <c r="X340" s="552"/>
      <c r="Y340" s="552"/>
      <c r="Z340" s="552"/>
    </row>
    <row r="341" spans="1:26" ht="12.75" customHeight="1">
      <c r="A341" s="553"/>
      <c r="B341" s="552"/>
      <c r="C341" s="554"/>
      <c r="D341" s="552"/>
      <c r="E341" s="552"/>
      <c r="F341" s="555"/>
      <c r="G341" s="552"/>
      <c r="H341" s="552"/>
      <c r="I341" s="552"/>
      <c r="J341" s="552"/>
      <c r="K341" s="552"/>
      <c r="L341" s="552"/>
      <c r="M341" s="552"/>
      <c r="N341" s="552"/>
      <c r="O341" s="552"/>
      <c r="P341" s="552"/>
      <c r="Q341" s="552"/>
      <c r="R341" s="552"/>
      <c r="S341" s="552"/>
      <c r="T341" s="552"/>
      <c r="U341" s="552"/>
      <c r="V341" s="552"/>
      <c r="W341" s="552"/>
      <c r="X341" s="552"/>
      <c r="Y341" s="552"/>
      <c r="Z341" s="552"/>
    </row>
    <row r="342" spans="1:26" ht="12.75" customHeight="1">
      <c r="A342" s="553"/>
      <c r="B342" s="552"/>
      <c r="C342" s="554"/>
      <c r="D342" s="552"/>
      <c r="E342" s="552"/>
      <c r="F342" s="555"/>
      <c r="G342" s="552"/>
      <c r="H342" s="552"/>
      <c r="I342" s="552"/>
      <c r="J342" s="552"/>
      <c r="K342" s="552"/>
      <c r="L342" s="552"/>
      <c r="M342" s="552"/>
      <c r="N342" s="552"/>
      <c r="O342" s="552"/>
      <c r="P342" s="552"/>
      <c r="Q342" s="552"/>
      <c r="R342" s="552"/>
      <c r="S342" s="552"/>
      <c r="T342" s="552"/>
      <c r="U342" s="552"/>
      <c r="V342" s="552"/>
      <c r="W342" s="552"/>
      <c r="X342" s="552"/>
      <c r="Y342" s="552"/>
      <c r="Z342" s="552"/>
    </row>
    <row r="343" spans="1:26" ht="12.75" customHeight="1">
      <c r="A343" s="553"/>
      <c r="B343" s="552"/>
      <c r="C343" s="554"/>
      <c r="D343" s="552"/>
      <c r="E343" s="552"/>
      <c r="F343" s="555"/>
      <c r="G343" s="552"/>
      <c r="H343" s="552"/>
      <c r="I343" s="552"/>
      <c r="J343" s="552"/>
      <c r="K343" s="552"/>
      <c r="L343" s="552"/>
      <c r="M343" s="552"/>
      <c r="N343" s="552"/>
      <c r="O343" s="552"/>
      <c r="P343" s="552"/>
      <c r="Q343" s="552"/>
      <c r="R343" s="552"/>
      <c r="S343" s="552"/>
      <c r="T343" s="552"/>
      <c r="U343" s="552"/>
      <c r="V343" s="552"/>
      <c r="W343" s="552"/>
      <c r="X343" s="552"/>
      <c r="Y343" s="552"/>
      <c r="Z343" s="552"/>
    </row>
    <row r="344" spans="1:26" ht="12.75" customHeight="1">
      <c r="A344" s="553"/>
      <c r="B344" s="552"/>
      <c r="C344" s="554"/>
      <c r="D344" s="552"/>
      <c r="E344" s="552"/>
      <c r="F344" s="555"/>
      <c r="G344" s="552"/>
      <c r="H344" s="552"/>
      <c r="I344" s="552"/>
      <c r="J344" s="552"/>
      <c r="K344" s="552"/>
      <c r="L344" s="552"/>
      <c r="M344" s="552"/>
      <c r="N344" s="552"/>
      <c r="O344" s="552"/>
      <c r="P344" s="552"/>
      <c r="Q344" s="552"/>
      <c r="R344" s="552"/>
      <c r="S344" s="552"/>
      <c r="T344" s="552"/>
      <c r="U344" s="552"/>
      <c r="V344" s="552"/>
      <c r="W344" s="552"/>
      <c r="X344" s="552"/>
      <c r="Y344" s="552"/>
      <c r="Z344" s="552"/>
    </row>
    <row r="345" spans="1:26" ht="12.75" customHeight="1">
      <c r="A345" s="553"/>
      <c r="B345" s="552"/>
      <c r="C345" s="554"/>
      <c r="D345" s="552"/>
      <c r="E345" s="552"/>
      <c r="F345" s="555"/>
      <c r="G345" s="552"/>
      <c r="H345" s="552"/>
      <c r="I345" s="552"/>
      <c r="J345" s="552"/>
      <c r="K345" s="552"/>
      <c r="L345" s="552"/>
      <c r="M345" s="552"/>
      <c r="N345" s="552"/>
      <c r="O345" s="552"/>
      <c r="P345" s="552"/>
      <c r="Q345" s="552"/>
      <c r="R345" s="552"/>
      <c r="S345" s="552"/>
      <c r="T345" s="552"/>
      <c r="U345" s="552"/>
      <c r="V345" s="552"/>
      <c r="W345" s="552"/>
      <c r="X345" s="552"/>
      <c r="Y345" s="552"/>
      <c r="Z345" s="552"/>
    </row>
    <row r="346" spans="1:26" ht="12.75" customHeight="1">
      <c r="A346" s="553"/>
      <c r="B346" s="552"/>
      <c r="C346" s="554"/>
      <c r="D346" s="552"/>
      <c r="E346" s="552"/>
      <c r="F346" s="555"/>
      <c r="G346" s="552"/>
      <c r="H346" s="552"/>
      <c r="I346" s="552"/>
      <c r="J346" s="552"/>
      <c r="K346" s="552"/>
      <c r="L346" s="552"/>
      <c r="M346" s="552"/>
      <c r="N346" s="552"/>
      <c r="O346" s="552"/>
      <c r="P346" s="552"/>
      <c r="Q346" s="552"/>
      <c r="R346" s="552"/>
      <c r="S346" s="552"/>
      <c r="T346" s="552"/>
      <c r="U346" s="552"/>
      <c r="V346" s="552"/>
      <c r="W346" s="552"/>
      <c r="X346" s="552"/>
      <c r="Y346" s="552"/>
      <c r="Z346" s="552"/>
    </row>
    <row r="347" spans="1:26" ht="12.75" customHeight="1">
      <c r="A347" s="553"/>
      <c r="B347" s="552"/>
      <c r="C347" s="554"/>
      <c r="D347" s="552"/>
      <c r="E347" s="552"/>
      <c r="F347" s="555"/>
      <c r="G347" s="552"/>
      <c r="H347" s="552"/>
      <c r="I347" s="552"/>
      <c r="J347" s="552"/>
      <c r="K347" s="552"/>
      <c r="L347" s="552"/>
      <c r="M347" s="552"/>
      <c r="N347" s="552"/>
      <c r="O347" s="552"/>
      <c r="P347" s="552"/>
      <c r="Q347" s="552"/>
      <c r="R347" s="552"/>
      <c r="S347" s="552"/>
      <c r="T347" s="552"/>
      <c r="U347" s="552"/>
      <c r="V347" s="552"/>
      <c r="W347" s="552"/>
      <c r="X347" s="552"/>
      <c r="Y347" s="552"/>
      <c r="Z347" s="552"/>
    </row>
    <row r="348" spans="1:26" ht="12.75" customHeight="1">
      <c r="A348" s="553"/>
      <c r="B348" s="552"/>
      <c r="C348" s="554"/>
      <c r="D348" s="552"/>
      <c r="E348" s="552"/>
      <c r="F348" s="555"/>
      <c r="G348" s="552"/>
      <c r="H348" s="552"/>
      <c r="I348" s="552"/>
      <c r="J348" s="552"/>
      <c r="K348" s="552"/>
      <c r="L348" s="552"/>
      <c r="M348" s="552"/>
      <c r="N348" s="552"/>
      <c r="O348" s="552"/>
      <c r="P348" s="552"/>
      <c r="Q348" s="552"/>
      <c r="R348" s="552"/>
      <c r="S348" s="552"/>
      <c r="T348" s="552"/>
      <c r="U348" s="552"/>
      <c r="V348" s="552"/>
      <c r="W348" s="552"/>
      <c r="X348" s="552"/>
      <c r="Y348" s="552"/>
      <c r="Z348" s="552"/>
    </row>
    <row r="349" spans="1:26" ht="12.75" customHeight="1">
      <c r="A349" s="553"/>
      <c r="B349" s="552"/>
      <c r="C349" s="554"/>
      <c r="D349" s="552"/>
      <c r="E349" s="552"/>
      <c r="F349" s="555"/>
      <c r="G349" s="552"/>
      <c r="H349" s="552"/>
      <c r="I349" s="552"/>
      <c r="J349" s="552"/>
      <c r="K349" s="552"/>
      <c r="L349" s="552"/>
      <c r="M349" s="552"/>
      <c r="N349" s="552"/>
      <c r="O349" s="552"/>
      <c r="P349" s="552"/>
      <c r="Q349" s="552"/>
      <c r="R349" s="552"/>
      <c r="S349" s="552"/>
      <c r="T349" s="552"/>
      <c r="U349" s="552"/>
      <c r="V349" s="552"/>
      <c r="W349" s="552"/>
      <c r="X349" s="552"/>
      <c r="Y349" s="552"/>
      <c r="Z349" s="552"/>
    </row>
    <row r="350" spans="1:26" ht="12.75" customHeight="1">
      <c r="A350" s="553"/>
      <c r="B350" s="552"/>
      <c r="C350" s="554"/>
      <c r="D350" s="552"/>
      <c r="E350" s="552"/>
      <c r="F350" s="555"/>
      <c r="G350" s="552"/>
      <c r="H350" s="552"/>
      <c r="I350" s="552"/>
      <c r="J350" s="552"/>
      <c r="K350" s="552"/>
      <c r="L350" s="552"/>
      <c r="M350" s="552"/>
      <c r="N350" s="552"/>
      <c r="O350" s="552"/>
      <c r="P350" s="552"/>
      <c r="Q350" s="552"/>
      <c r="R350" s="552"/>
      <c r="S350" s="552"/>
      <c r="T350" s="552"/>
      <c r="U350" s="552"/>
      <c r="V350" s="552"/>
      <c r="W350" s="552"/>
      <c r="X350" s="552"/>
      <c r="Y350" s="552"/>
      <c r="Z350" s="552"/>
    </row>
    <row r="351" spans="1:26" ht="12.75" customHeight="1">
      <c r="A351" s="553"/>
      <c r="B351" s="552"/>
      <c r="C351" s="554"/>
      <c r="D351" s="552"/>
      <c r="E351" s="552"/>
      <c r="F351" s="555"/>
      <c r="G351" s="552"/>
      <c r="H351" s="552"/>
      <c r="I351" s="552"/>
      <c r="J351" s="552"/>
      <c r="K351" s="552"/>
      <c r="L351" s="552"/>
      <c r="M351" s="552"/>
      <c r="N351" s="552"/>
      <c r="O351" s="552"/>
      <c r="P351" s="552"/>
      <c r="Q351" s="552"/>
      <c r="R351" s="552"/>
      <c r="S351" s="552"/>
      <c r="T351" s="552"/>
      <c r="U351" s="552"/>
      <c r="V351" s="552"/>
      <c r="W351" s="552"/>
      <c r="X351" s="552"/>
      <c r="Y351" s="552"/>
      <c r="Z351" s="552"/>
    </row>
    <row r="352" spans="1:26" ht="12.75" customHeight="1">
      <c r="A352" s="553"/>
      <c r="B352" s="552"/>
      <c r="C352" s="554"/>
      <c r="D352" s="552"/>
      <c r="E352" s="552"/>
      <c r="F352" s="555"/>
      <c r="G352" s="552"/>
      <c r="H352" s="552"/>
      <c r="I352" s="552"/>
      <c r="J352" s="552"/>
      <c r="K352" s="552"/>
      <c r="L352" s="552"/>
      <c r="M352" s="552"/>
      <c r="N352" s="552"/>
      <c r="O352" s="552"/>
      <c r="P352" s="552"/>
      <c r="Q352" s="552"/>
      <c r="R352" s="552"/>
      <c r="S352" s="552"/>
      <c r="T352" s="552"/>
      <c r="U352" s="552"/>
      <c r="V352" s="552"/>
      <c r="W352" s="552"/>
      <c r="X352" s="552"/>
      <c r="Y352" s="552"/>
      <c r="Z352" s="552"/>
    </row>
    <row r="353" spans="1:26" ht="12.75" customHeight="1">
      <c r="A353" s="553"/>
      <c r="B353" s="552"/>
      <c r="C353" s="554"/>
      <c r="D353" s="552"/>
      <c r="E353" s="552"/>
      <c r="F353" s="555"/>
      <c r="G353" s="552"/>
      <c r="H353" s="552"/>
      <c r="I353" s="552"/>
      <c r="J353" s="552"/>
      <c r="K353" s="552"/>
      <c r="L353" s="552"/>
      <c r="M353" s="552"/>
      <c r="N353" s="552"/>
      <c r="O353" s="552"/>
      <c r="P353" s="552"/>
      <c r="Q353" s="552"/>
      <c r="R353" s="552"/>
      <c r="S353" s="552"/>
      <c r="T353" s="552"/>
      <c r="U353" s="552"/>
      <c r="V353" s="552"/>
      <c r="W353" s="552"/>
      <c r="X353" s="552"/>
      <c r="Y353" s="552"/>
      <c r="Z353" s="552"/>
    </row>
    <row r="354" spans="1:26" ht="12.75" customHeight="1">
      <c r="A354" s="553"/>
      <c r="B354" s="552"/>
      <c r="C354" s="554"/>
      <c r="D354" s="552"/>
      <c r="E354" s="552"/>
      <c r="F354" s="555"/>
      <c r="G354" s="552"/>
      <c r="H354" s="552"/>
      <c r="I354" s="552"/>
      <c r="J354" s="552"/>
      <c r="K354" s="552"/>
      <c r="L354" s="552"/>
      <c r="M354" s="552"/>
      <c r="N354" s="552"/>
      <c r="O354" s="552"/>
      <c r="P354" s="552"/>
      <c r="Q354" s="552"/>
      <c r="R354" s="552"/>
      <c r="S354" s="552"/>
      <c r="T354" s="552"/>
      <c r="U354" s="552"/>
      <c r="V354" s="552"/>
      <c r="W354" s="552"/>
      <c r="X354" s="552"/>
      <c r="Y354" s="552"/>
      <c r="Z354" s="552"/>
    </row>
    <row r="355" spans="1:26" ht="12.75" customHeight="1">
      <c r="A355" s="553"/>
      <c r="B355" s="552"/>
      <c r="C355" s="554"/>
      <c r="D355" s="552"/>
      <c r="E355" s="552"/>
      <c r="F355" s="555"/>
      <c r="G355" s="552"/>
      <c r="H355" s="552"/>
      <c r="I355" s="552"/>
      <c r="J355" s="552"/>
      <c r="K355" s="552"/>
      <c r="L355" s="552"/>
      <c r="M355" s="552"/>
      <c r="N355" s="552"/>
      <c r="O355" s="552"/>
      <c r="P355" s="552"/>
      <c r="Q355" s="552"/>
      <c r="R355" s="552"/>
      <c r="S355" s="552"/>
      <c r="T355" s="552"/>
      <c r="U355" s="552"/>
      <c r="V355" s="552"/>
      <c r="W355" s="552"/>
      <c r="X355" s="552"/>
      <c r="Y355" s="552"/>
      <c r="Z355" s="552"/>
    </row>
    <row r="356" spans="1:26" ht="12.75" customHeight="1">
      <c r="A356" s="553"/>
      <c r="B356" s="552"/>
      <c r="C356" s="554"/>
      <c r="D356" s="552"/>
      <c r="E356" s="552"/>
      <c r="F356" s="555"/>
      <c r="G356" s="552"/>
      <c r="H356" s="552"/>
      <c r="I356" s="552"/>
      <c r="J356" s="552"/>
      <c r="K356" s="552"/>
      <c r="L356" s="552"/>
      <c r="M356" s="552"/>
      <c r="N356" s="552"/>
      <c r="O356" s="552"/>
      <c r="P356" s="552"/>
      <c r="Q356" s="552"/>
      <c r="R356" s="552"/>
      <c r="S356" s="552"/>
      <c r="T356" s="552"/>
      <c r="U356" s="552"/>
      <c r="V356" s="552"/>
      <c r="W356" s="552"/>
      <c r="X356" s="552"/>
      <c r="Y356" s="552"/>
      <c r="Z356" s="552"/>
    </row>
    <row r="357" spans="1:26" ht="12.75" customHeight="1">
      <c r="A357" s="553"/>
      <c r="B357" s="552"/>
      <c r="C357" s="554"/>
      <c r="D357" s="552"/>
      <c r="E357" s="552"/>
      <c r="F357" s="555"/>
      <c r="G357" s="552"/>
      <c r="H357" s="552"/>
      <c r="I357" s="552"/>
      <c r="J357" s="552"/>
      <c r="K357" s="552"/>
      <c r="L357" s="552"/>
      <c r="M357" s="552"/>
      <c r="N357" s="552"/>
      <c r="O357" s="552"/>
      <c r="P357" s="552"/>
      <c r="Q357" s="552"/>
      <c r="R357" s="552"/>
      <c r="S357" s="552"/>
      <c r="T357" s="552"/>
      <c r="U357" s="552"/>
      <c r="V357" s="552"/>
      <c r="W357" s="552"/>
      <c r="X357" s="552"/>
      <c r="Y357" s="552"/>
      <c r="Z357" s="552"/>
    </row>
    <row r="358" spans="1:26" ht="12.75" customHeight="1">
      <c r="A358" s="553"/>
      <c r="B358" s="552"/>
      <c r="C358" s="554"/>
      <c r="D358" s="552"/>
      <c r="E358" s="552"/>
      <c r="F358" s="555"/>
      <c r="G358" s="552"/>
      <c r="H358" s="552"/>
      <c r="I358" s="552"/>
      <c r="J358" s="552"/>
      <c r="K358" s="552"/>
      <c r="L358" s="552"/>
      <c r="M358" s="552"/>
      <c r="N358" s="552"/>
      <c r="O358" s="552"/>
      <c r="P358" s="552"/>
      <c r="Q358" s="552"/>
      <c r="R358" s="552"/>
      <c r="S358" s="552"/>
      <c r="T358" s="552"/>
      <c r="U358" s="552"/>
      <c r="V358" s="552"/>
      <c r="W358" s="552"/>
      <c r="X358" s="552"/>
      <c r="Y358" s="552"/>
      <c r="Z358" s="552"/>
    </row>
    <row r="359" spans="1:26" ht="12.75" customHeight="1">
      <c r="A359" s="553"/>
      <c r="B359" s="552"/>
      <c r="C359" s="554"/>
      <c r="D359" s="552"/>
      <c r="E359" s="552"/>
      <c r="F359" s="555"/>
      <c r="G359" s="552"/>
      <c r="H359" s="552"/>
      <c r="I359" s="552"/>
      <c r="J359" s="552"/>
      <c r="K359" s="552"/>
      <c r="L359" s="552"/>
      <c r="M359" s="552"/>
      <c r="N359" s="552"/>
      <c r="O359" s="552"/>
      <c r="P359" s="552"/>
      <c r="Q359" s="552"/>
      <c r="R359" s="552"/>
      <c r="S359" s="552"/>
      <c r="T359" s="552"/>
      <c r="U359" s="552"/>
      <c r="V359" s="552"/>
      <c r="W359" s="552"/>
      <c r="X359" s="552"/>
      <c r="Y359" s="552"/>
      <c r="Z359" s="552"/>
    </row>
    <row r="360" spans="1:26" ht="12.75" customHeight="1">
      <c r="A360" s="553"/>
      <c r="B360" s="552"/>
      <c r="C360" s="554"/>
      <c r="D360" s="552"/>
      <c r="E360" s="552"/>
      <c r="F360" s="555"/>
      <c r="G360" s="552"/>
      <c r="H360" s="552"/>
      <c r="I360" s="552"/>
      <c r="J360" s="552"/>
      <c r="K360" s="552"/>
      <c r="L360" s="552"/>
      <c r="M360" s="552"/>
      <c r="N360" s="552"/>
      <c r="O360" s="552"/>
      <c r="P360" s="552"/>
      <c r="Q360" s="552"/>
      <c r="R360" s="552"/>
      <c r="S360" s="552"/>
      <c r="T360" s="552"/>
      <c r="U360" s="552"/>
      <c r="V360" s="552"/>
      <c r="W360" s="552"/>
      <c r="X360" s="552"/>
      <c r="Y360" s="552"/>
      <c r="Z360" s="552"/>
    </row>
    <row r="361" spans="1:26" ht="12.75" customHeight="1">
      <c r="A361" s="553"/>
      <c r="B361" s="552"/>
      <c r="C361" s="554"/>
      <c r="D361" s="552"/>
      <c r="E361" s="552"/>
      <c r="F361" s="555"/>
      <c r="G361" s="552"/>
      <c r="H361" s="552"/>
      <c r="I361" s="552"/>
      <c r="J361" s="552"/>
      <c r="K361" s="552"/>
      <c r="L361" s="552"/>
      <c r="M361" s="552"/>
      <c r="N361" s="552"/>
      <c r="O361" s="552"/>
      <c r="P361" s="552"/>
      <c r="Q361" s="552"/>
      <c r="R361" s="552"/>
      <c r="S361" s="552"/>
      <c r="T361" s="552"/>
      <c r="U361" s="552"/>
      <c r="V361" s="552"/>
      <c r="W361" s="552"/>
      <c r="X361" s="552"/>
      <c r="Y361" s="552"/>
      <c r="Z361" s="552"/>
    </row>
    <row r="362" spans="1:26" ht="12.75" customHeight="1">
      <c r="A362" s="553"/>
      <c r="B362" s="552"/>
      <c r="C362" s="554"/>
      <c r="D362" s="552"/>
      <c r="E362" s="552"/>
      <c r="F362" s="555"/>
      <c r="G362" s="552"/>
      <c r="H362" s="552"/>
      <c r="I362" s="552"/>
      <c r="J362" s="552"/>
      <c r="K362" s="552"/>
      <c r="L362" s="552"/>
      <c r="M362" s="552"/>
      <c r="N362" s="552"/>
      <c r="O362" s="552"/>
      <c r="P362" s="552"/>
      <c r="Q362" s="552"/>
      <c r="R362" s="552"/>
      <c r="S362" s="552"/>
      <c r="T362" s="552"/>
      <c r="U362" s="552"/>
      <c r="V362" s="552"/>
      <c r="W362" s="552"/>
      <c r="X362" s="552"/>
      <c r="Y362" s="552"/>
      <c r="Z362" s="552"/>
    </row>
    <row r="363" spans="1:26" ht="12.75" customHeight="1">
      <c r="A363" s="553"/>
      <c r="B363" s="552"/>
      <c r="C363" s="554"/>
      <c r="D363" s="552"/>
      <c r="E363" s="552"/>
      <c r="F363" s="555"/>
      <c r="G363" s="552"/>
      <c r="H363" s="552"/>
      <c r="I363" s="552"/>
      <c r="J363" s="552"/>
      <c r="K363" s="552"/>
      <c r="L363" s="552"/>
      <c r="M363" s="552"/>
      <c r="N363" s="552"/>
      <c r="O363" s="552"/>
      <c r="P363" s="552"/>
      <c r="Q363" s="552"/>
      <c r="R363" s="552"/>
      <c r="S363" s="552"/>
      <c r="T363" s="552"/>
      <c r="U363" s="552"/>
      <c r="V363" s="552"/>
      <c r="W363" s="552"/>
      <c r="X363" s="552"/>
      <c r="Y363" s="552"/>
      <c r="Z363" s="552"/>
    </row>
    <row r="364" spans="1:26" ht="12.75" customHeight="1">
      <c r="A364" s="553"/>
      <c r="B364" s="552"/>
      <c r="C364" s="554"/>
      <c r="D364" s="552"/>
      <c r="E364" s="552"/>
      <c r="F364" s="555"/>
      <c r="G364" s="552"/>
      <c r="H364" s="552"/>
      <c r="I364" s="552"/>
      <c r="J364" s="552"/>
      <c r="K364" s="552"/>
      <c r="L364" s="552"/>
      <c r="M364" s="552"/>
      <c r="N364" s="552"/>
      <c r="O364" s="552"/>
      <c r="P364" s="552"/>
      <c r="Q364" s="552"/>
      <c r="R364" s="552"/>
      <c r="S364" s="552"/>
      <c r="T364" s="552"/>
      <c r="U364" s="552"/>
      <c r="V364" s="552"/>
      <c r="W364" s="552"/>
      <c r="X364" s="552"/>
      <c r="Y364" s="552"/>
      <c r="Z364" s="552"/>
    </row>
    <row r="365" spans="1:26" ht="12.75" customHeight="1">
      <c r="A365" s="553"/>
      <c r="B365" s="552"/>
      <c r="C365" s="554"/>
      <c r="D365" s="552"/>
      <c r="E365" s="552"/>
      <c r="F365" s="555"/>
      <c r="G365" s="552"/>
      <c r="H365" s="552"/>
      <c r="I365" s="552"/>
      <c r="J365" s="552"/>
      <c r="K365" s="552"/>
      <c r="L365" s="552"/>
      <c r="M365" s="552"/>
      <c r="N365" s="552"/>
      <c r="O365" s="552"/>
      <c r="P365" s="552"/>
      <c r="Q365" s="552"/>
      <c r="R365" s="552"/>
      <c r="S365" s="552"/>
      <c r="T365" s="552"/>
      <c r="U365" s="552"/>
      <c r="V365" s="552"/>
      <c r="W365" s="552"/>
      <c r="X365" s="552"/>
      <c r="Y365" s="552"/>
      <c r="Z365" s="552"/>
    </row>
    <row r="366" spans="1:26" ht="12.75" customHeight="1">
      <c r="A366" s="553"/>
      <c r="B366" s="552"/>
      <c r="C366" s="554"/>
      <c r="D366" s="552"/>
      <c r="E366" s="552"/>
      <c r="F366" s="555"/>
      <c r="G366" s="552"/>
      <c r="H366" s="552"/>
      <c r="I366" s="552"/>
      <c r="J366" s="552"/>
      <c r="K366" s="552"/>
      <c r="L366" s="552"/>
      <c r="M366" s="552"/>
      <c r="N366" s="552"/>
      <c r="O366" s="552"/>
      <c r="P366" s="552"/>
      <c r="Q366" s="552"/>
      <c r="R366" s="552"/>
      <c r="S366" s="552"/>
      <c r="T366" s="552"/>
      <c r="U366" s="552"/>
      <c r="V366" s="552"/>
      <c r="W366" s="552"/>
      <c r="X366" s="552"/>
      <c r="Y366" s="552"/>
      <c r="Z366" s="552"/>
    </row>
    <row r="367" spans="1:26" ht="12.75" customHeight="1">
      <c r="A367" s="553"/>
      <c r="B367" s="552"/>
      <c r="C367" s="554"/>
      <c r="D367" s="552"/>
      <c r="E367" s="552"/>
      <c r="F367" s="555"/>
      <c r="G367" s="552"/>
      <c r="H367" s="552"/>
      <c r="I367" s="552"/>
      <c r="J367" s="552"/>
      <c r="K367" s="552"/>
      <c r="L367" s="552"/>
      <c r="M367" s="552"/>
      <c r="N367" s="552"/>
      <c r="O367" s="552"/>
      <c r="P367" s="552"/>
      <c r="Q367" s="552"/>
      <c r="R367" s="552"/>
      <c r="S367" s="552"/>
      <c r="T367" s="552"/>
      <c r="U367" s="552"/>
      <c r="V367" s="552"/>
      <c r="W367" s="552"/>
      <c r="X367" s="552"/>
      <c r="Y367" s="552"/>
      <c r="Z367" s="552"/>
    </row>
    <row r="368" spans="1:26" ht="12.75" customHeight="1">
      <c r="A368" s="553"/>
      <c r="B368" s="552"/>
      <c r="C368" s="554"/>
      <c r="D368" s="552"/>
      <c r="E368" s="552"/>
      <c r="F368" s="555"/>
      <c r="G368" s="552"/>
      <c r="H368" s="552"/>
      <c r="I368" s="552"/>
      <c r="J368" s="552"/>
      <c r="K368" s="552"/>
      <c r="L368" s="552"/>
      <c r="M368" s="552"/>
      <c r="N368" s="552"/>
      <c r="O368" s="552"/>
      <c r="P368" s="552"/>
      <c r="Q368" s="552"/>
      <c r="R368" s="552"/>
      <c r="S368" s="552"/>
      <c r="T368" s="552"/>
      <c r="U368" s="552"/>
      <c r="V368" s="552"/>
      <c r="W368" s="552"/>
      <c r="X368" s="552"/>
      <c r="Y368" s="552"/>
      <c r="Z368" s="552"/>
    </row>
    <row r="369" spans="1:26" ht="12.75" customHeight="1">
      <c r="A369" s="553"/>
      <c r="B369" s="552"/>
      <c r="C369" s="554"/>
      <c r="D369" s="552"/>
      <c r="E369" s="552"/>
      <c r="F369" s="555"/>
      <c r="G369" s="552"/>
      <c r="H369" s="552"/>
      <c r="I369" s="552"/>
      <c r="J369" s="552"/>
      <c r="K369" s="552"/>
      <c r="L369" s="552"/>
      <c r="M369" s="552"/>
      <c r="N369" s="552"/>
      <c r="O369" s="552"/>
      <c r="P369" s="552"/>
      <c r="Q369" s="552"/>
      <c r="R369" s="552"/>
      <c r="S369" s="552"/>
      <c r="T369" s="552"/>
      <c r="U369" s="552"/>
      <c r="V369" s="552"/>
      <c r="W369" s="552"/>
      <c r="X369" s="552"/>
      <c r="Y369" s="552"/>
      <c r="Z369" s="552"/>
    </row>
    <row r="370" spans="1:26" ht="12.75" customHeight="1">
      <c r="A370" s="553"/>
      <c r="B370" s="552"/>
      <c r="C370" s="554"/>
      <c r="D370" s="552"/>
      <c r="E370" s="552"/>
      <c r="F370" s="555"/>
      <c r="G370" s="552"/>
      <c r="H370" s="552"/>
      <c r="I370" s="552"/>
      <c r="J370" s="552"/>
      <c r="K370" s="552"/>
      <c r="L370" s="552"/>
      <c r="M370" s="552"/>
      <c r="N370" s="552"/>
      <c r="O370" s="552"/>
      <c r="P370" s="552"/>
      <c r="Q370" s="552"/>
      <c r="R370" s="552"/>
      <c r="S370" s="552"/>
      <c r="T370" s="552"/>
      <c r="U370" s="552"/>
      <c r="V370" s="552"/>
      <c r="W370" s="552"/>
      <c r="X370" s="552"/>
      <c r="Y370" s="552"/>
      <c r="Z370" s="552"/>
    </row>
    <row r="371" spans="1:26" ht="12.75" customHeight="1">
      <c r="A371" s="553"/>
      <c r="B371" s="552"/>
      <c r="C371" s="554"/>
      <c r="D371" s="552"/>
      <c r="E371" s="552"/>
      <c r="F371" s="555"/>
      <c r="G371" s="552"/>
      <c r="H371" s="552"/>
      <c r="I371" s="552"/>
      <c r="J371" s="552"/>
      <c r="K371" s="552"/>
      <c r="L371" s="552"/>
      <c r="M371" s="552"/>
      <c r="N371" s="552"/>
      <c r="O371" s="552"/>
      <c r="P371" s="552"/>
      <c r="Q371" s="552"/>
      <c r="R371" s="552"/>
      <c r="S371" s="552"/>
      <c r="T371" s="552"/>
      <c r="U371" s="552"/>
      <c r="V371" s="552"/>
      <c r="W371" s="552"/>
      <c r="X371" s="552"/>
      <c r="Y371" s="552"/>
      <c r="Z371" s="552"/>
    </row>
    <row r="372" spans="1:26" ht="12.75" customHeight="1">
      <c r="A372" s="553"/>
      <c r="B372" s="552"/>
      <c r="C372" s="554"/>
      <c r="D372" s="552"/>
      <c r="E372" s="552"/>
      <c r="F372" s="555"/>
      <c r="G372" s="552"/>
      <c r="H372" s="552"/>
      <c r="I372" s="552"/>
      <c r="J372" s="552"/>
      <c r="K372" s="552"/>
      <c r="L372" s="552"/>
      <c r="M372" s="552"/>
      <c r="N372" s="552"/>
      <c r="O372" s="552"/>
      <c r="P372" s="552"/>
      <c r="Q372" s="552"/>
      <c r="R372" s="552"/>
      <c r="S372" s="552"/>
      <c r="T372" s="552"/>
      <c r="U372" s="552"/>
      <c r="V372" s="552"/>
      <c r="W372" s="552"/>
      <c r="X372" s="552"/>
      <c r="Y372" s="552"/>
      <c r="Z372" s="552"/>
    </row>
    <row r="373" spans="1:26" ht="12.75" customHeight="1">
      <c r="A373" s="553"/>
      <c r="B373" s="552"/>
      <c r="C373" s="554"/>
      <c r="D373" s="552"/>
      <c r="E373" s="552"/>
      <c r="F373" s="555"/>
      <c r="G373" s="552"/>
      <c r="H373" s="552"/>
      <c r="I373" s="552"/>
      <c r="J373" s="552"/>
      <c r="K373" s="552"/>
      <c r="L373" s="552"/>
      <c r="M373" s="552"/>
      <c r="N373" s="552"/>
      <c r="O373" s="552"/>
      <c r="P373" s="552"/>
      <c r="Q373" s="552"/>
      <c r="R373" s="552"/>
      <c r="S373" s="552"/>
      <c r="T373" s="552"/>
      <c r="U373" s="552"/>
      <c r="V373" s="552"/>
      <c r="W373" s="552"/>
      <c r="X373" s="552"/>
      <c r="Y373" s="552"/>
      <c r="Z373" s="552"/>
    </row>
    <row r="374" spans="1:26" ht="12.75" customHeight="1">
      <c r="A374" s="553"/>
      <c r="B374" s="552"/>
      <c r="C374" s="554"/>
      <c r="D374" s="552"/>
      <c r="E374" s="552"/>
      <c r="F374" s="555"/>
      <c r="G374" s="552"/>
      <c r="H374" s="552"/>
      <c r="I374" s="552"/>
      <c r="J374" s="552"/>
      <c r="K374" s="552"/>
      <c r="L374" s="552"/>
      <c r="M374" s="552"/>
      <c r="N374" s="552"/>
      <c r="O374" s="552"/>
      <c r="P374" s="552"/>
      <c r="Q374" s="552"/>
      <c r="R374" s="552"/>
      <c r="S374" s="552"/>
      <c r="T374" s="552"/>
      <c r="U374" s="552"/>
      <c r="V374" s="552"/>
      <c r="W374" s="552"/>
      <c r="X374" s="552"/>
      <c r="Y374" s="552"/>
      <c r="Z374" s="552"/>
    </row>
    <row r="375" spans="1:26" ht="12.75" customHeight="1">
      <c r="A375" s="553"/>
      <c r="B375" s="552"/>
      <c r="C375" s="554"/>
      <c r="D375" s="552"/>
      <c r="E375" s="552"/>
      <c r="F375" s="555"/>
      <c r="G375" s="552"/>
      <c r="H375" s="552"/>
      <c r="I375" s="552"/>
      <c r="J375" s="552"/>
      <c r="K375" s="552"/>
      <c r="L375" s="552"/>
      <c r="M375" s="552"/>
      <c r="N375" s="552"/>
      <c r="O375" s="552"/>
      <c r="P375" s="552"/>
      <c r="Q375" s="552"/>
      <c r="R375" s="552"/>
      <c r="S375" s="552"/>
      <c r="T375" s="552"/>
      <c r="U375" s="552"/>
      <c r="V375" s="552"/>
      <c r="W375" s="552"/>
      <c r="X375" s="552"/>
      <c r="Y375" s="552"/>
      <c r="Z375" s="552"/>
    </row>
    <row r="376" spans="1:26" ht="12.75" customHeight="1">
      <c r="A376" s="553"/>
      <c r="B376" s="552"/>
      <c r="C376" s="554"/>
      <c r="D376" s="552"/>
      <c r="E376" s="552"/>
      <c r="F376" s="555"/>
      <c r="G376" s="552"/>
      <c r="H376" s="552"/>
      <c r="I376" s="552"/>
      <c r="J376" s="552"/>
      <c r="K376" s="552"/>
      <c r="L376" s="552"/>
      <c r="M376" s="552"/>
      <c r="N376" s="552"/>
      <c r="O376" s="552"/>
      <c r="P376" s="552"/>
      <c r="Q376" s="552"/>
      <c r="R376" s="552"/>
      <c r="S376" s="552"/>
      <c r="T376" s="552"/>
      <c r="U376" s="552"/>
      <c r="V376" s="552"/>
      <c r="W376" s="552"/>
      <c r="X376" s="552"/>
      <c r="Y376" s="552"/>
      <c r="Z376" s="552"/>
    </row>
    <row r="377" spans="1:26" ht="12.75" customHeight="1">
      <c r="A377" s="553"/>
      <c r="B377" s="552"/>
      <c r="C377" s="554"/>
      <c r="D377" s="552"/>
      <c r="E377" s="552"/>
      <c r="F377" s="555"/>
      <c r="G377" s="552"/>
      <c r="H377" s="552"/>
      <c r="I377" s="552"/>
      <c r="J377" s="552"/>
      <c r="K377" s="552"/>
      <c r="L377" s="552"/>
      <c r="M377" s="552"/>
      <c r="N377" s="552"/>
      <c r="O377" s="552"/>
      <c r="P377" s="552"/>
      <c r="Q377" s="552"/>
      <c r="R377" s="552"/>
      <c r="S377" s="552"/>
      <c r="T377" s="552"/>
      <c r="U377" s="552"/>
      <c r="V377" s="552"/>
      <c r="W377" s="552"/>
      <c r="X377" s="552"/>
      <c r="Y377" s="552"/>
      <c r="Z377" s="552"/>
    </row>
    <row r="378" spans="1:26" ht="12.75" customHeight="1">
      <c r="A378" s="553"/>
      <c r="B378" s="552"/>
      <c r="C378" s="554"/>
      <c r="D378" s="552"/>
      <c r="E378" s="552"/>
      <c r="F378" s="555"/>
      <c r="G378" s="552"/>
      <c r="H378" s="552"/>
      <c r="I378" s="552"/>
      <c r="J378" s="552"/>
      <c r="K378" s="552"/>
      <c r="L378" s="552"/>
      <c r="M378" s="552"/>
      <c r="N378" s="552"/>
      <c r="O378" s="552"/>
      <c r="P378" s="552"/>
      <c r="Q378" s="552"/>
      <c r="R378" s="552"/>
      <c r="S378" s="552"/>
      <c r="T378" s="552"/>
      <c r="U378" s="552"/>
      <c r="V378" s="552"/>
      <c r="W378" s="552"/>
      <c r="X378" s="552"/>
      <c r="Y378" s="552"/>
      <c r="Z378" s="552"/>
    </row>
    <row r="379" spans="1:26" ht="12.75" customHeight="1">
      <c r="A379" s="553"/>
      <c r="B379" s="552"/>
      <c r="C379" s="554"/>
      <c r="D379" s="552"/>
      <c r="E379" s="552"/>
      <c r="F379" s="555"/>
      <c r="G379" s="552"/>
      <c r="H379" s="552"/>
      <c r="I379" s="552"/>
      <c r="J379" s="552"/>
      <c r="K379" s="552"/>
      <c r="L379" s="552"/>
      <c r="M379" s="552"/>
      <c r="N379" s="552"/>
      <c r="O379" s="552"/>
      <c r="P379" s="552"/>
      <c r="Q379" s="552"/>
      <c r="R379" s="552"/>
      <c r="S379" s="552"/>
      <c r="T379" s="552"/>
      <c r="U379" s="552"/>
      <c r="V379" s="552"/>
      <c r="W379" s="552"/>
      <c r="X379" s="552"/>
      <c r="Y379" s="552"/>
      <c r="Z379" s="552"/>
    </row>
    <row r="380" spans="1:26" ht="12.75" customHeight="1">
      <c r="A380" s="553"/>
      <c r="B380" s="552"/>
      <c r="C380" s="554"/>
      <c r="D380" s="552"/>
      <c r="E380" s="552"/>
      <c r="F380" s="555"/>
      <c r="G380" s="552"/>
      <c r="H380" s="552"/>
      <c r="I380" s="552"/>
      <c r="J380" s="552"/>
      <c r="K380" s="552"/>
      <c r="L380" s="552"/>
      <c r="M380" s="552"/>
      <c r="N380" s="552"/>
      <c r="O380" s="552"/>
      <c r="P380" s="552"/>
      <c r="Q380" s="552"/>
      <c r="R380" s="552"/>
      <c r="S380" s="552"/>
      <c r="T380" s="552"/>
      <c r="U380" s="552"/>
      <c r="V380" s="552"/>
      <c r="W380" s="552"/>
      <c r="X380" s="552"/>
      <c r="Y380" s="552"/>
      <c r="Z380" s="552"/>
    </row>
    <row r="381" spans="1:26" ht="12.75" customHeight="1">
      <c r="A381" s="553"/>
      <c r="B381" s="552"/>
      <c r="C381" s="554"/>
      <c r="D381" s="552"/>
      <c r="E381" s="552"/>
      <c r="F381" s="555"/>
      <c r="G381" s="552"/>
      <c r="H381" s="552"/>
      <c r="I381" s="552"/>
      <c r="J381" s="552"/>
      <c r="K381" s="552"/>
      <c r="L381" s="552"/>
      <c r="M381" s="552"/>
      <c r="N381" s="552"/>
      <c r="O381" s="552"/>
      <c r="P381" s="552"/>
      <c r="Q381" s="552"/>
      <c r="R381" s="552"/>
      <c r="S381" s="552"/>
      <c r="T381" s="552"/>
      <c r="U381" s="552"/>
      <c r="V381" s="552"/>
      <c r="W381" s="552"/>
      <c r="X381" s="552"/>
      <c r="Y381" s="552"/>
      <c r="Z381" s="552"/>
    </row>
    <row r="382" spans="1:26" ht="12.75" customHeight="1">
      <c r="A382" s="553"/>
      <c r="B382" s="552"/>
      <c r="C382" s="554"/>
      <c r="D382" s="552"/>
      <c r="E382" s="552"/>
      <c r="F382" s="555"/>
      <c r="G382" s="552"/>
      <c r="H382" s="552"/>
      <c r="I382" s="552"/>
      <c r="J382" s="552"/>
      <c r="K382" s="552"/>
      <c r="L382" s="552"/>
      <c r="M382" s="552"/>
      <c r="N382" s="552"/>
      <c r="O382" s="552"/>
      <c r="P382" s="552"/>
      <c r="Q382" s="552"/>
      <c r="R382" s="552"/>
      <c r="S382" s="552"/>
      <c r="T382" s="552"/>
      <c r="U382" s="552"/>
      <c r="V382" s="552"/>
      <c r="W382" s="552"/>
      <c r="X382" s="552"/>
      <c r="Y382" s="552"/>
      <c r="Z382" s="552"/>
    </row>
    <row r="383" spans="1:26" ht="12.75" customHeight="1">
      <c r="A383" s="553"/>
      <c r="B383" s="552"/>
      <c r="C383" s="554"/>
      <c r="D383" s="552"/>
      <c r="E383" s="552"/>
      <c r="F383" s="555"/>
      <c r="G383" s="552"/>
      <c r="H383" s="552"/>
      <c r="I383" s="552"/>
      <c r="J383" s="552"/>
      <c r="K383" s="552"/>
      <c r="L383" s="552"/>
      <c r="M383" s="552"/>
      <c r="N383" s="552"/>
      <c r="O383" s="552"/>
      <c r="P383" s="552"/>
      <c r="Q383" s="552"/>
      <c r="R383" s="552"/>
      <c r="S383" s="552"/>
      <c r="T383" s="552"/>
      <c r="U383" s="552"/>
      <c r="V383" s="552"/>
      <c r="W383" s="552"/>
      <c r="X383" s="552"/>
      <c r="Y383" s="552"/>
      <c r="Z383" s="552"/>
    </row>
    <row r="384" spans="1:26" ht="12.75" customHeight="1">
      <c r="A384" s="553"/>
      <c r="B384" s="552"/>
      <c r="C384" s="554"/>
      <c r="D384" s="552"/>
      <c r="E384" s="552"/>
      <c r="F384" s="555"/>
      <c r="G384" s="552"/>
      <c r="H384" s="552"/>
      <c r="I384" s="552"/>
      <c r="J384" s="552"/>
      <c r="K384" s="552"/>
      <c r="L384" s="552"/>
      <c r="M384" s="552"/>
      <c r="N384" s="552"/>
      <c r="O384" s="552"/>
      <c r="P384" s="552"/>
      <c r="Q384" s="552"/>
      <c r="R384" s="552"/>
      <c r="S384" s="552"/>
      <c r="T384" s="552"/>
      <c r="U384" s="552"/>
      <c r="V384" s="552"/>
      <c r="W384" s="552"/>
      <c r="X384" s="552"/>
      <c r="Y384" s="552"/>
      <c r="Z384" s="552"/>
    </row>
    <row r="385" spans="1:26" ht="12.75" customHeight="1">
      <c r="A385" s="553"/>
      <c r="B385" s="552"/>
      <c r="C385" s="554"/>
      <c r="D385" s="552"/>
      <c r="E385" s="552"/>
      <c r="F385" s="555"/>
      <c r="G385" s="552"/>
      <c r="H385" s="552"/>
      <c r="I385" s="552"/>
      <c r="J385" s="552"/>
      <c r="K385" s="552"/>
      <c r="L385" s="552"/>
      <c r="M385" s="552"/>
      <c r="N385" s="552"/>
      <c r="O385" s="552"/>
      <c r="P385" s="552"/>
      <c r="Q385" s="552"/>
      <c r="R385" s="552"/>
      <c r="S385" s="552"/>
      <c r="T385" s="552"/>
      <c r="U385" s="552"/>
      <c r="V385" s="552"/>
      <c r="W385" s="552"/>
      <c r="X385" s="552"/>
      <c r="Y385" s="552"/>
      <c r="Z385" s="552"/>
    </row>
    <row r="386" spans="1:26" ht="12.75" customHeight="1">
      <c r="A386" s="553"/>
      <c r="B386" s="552"/>
      <c r="C386" s="554"/>
      <c r="D386" s="552"/>
      <c r="E386" s="552"/>
      <c r="F386" s="555"/>
      <c r="G386" s="552"/>
      <c r="H386" s="552"/>
      <c r="I386" s="552"/>
      <c r="J386" s="552"/>
      <c r="K386" s="552"/>
      <c r="L386" s="552"/>
      <c r="M386" s="552"/>
      <c r="N386" s="552"/>
      <c r="O386" s="552"/>
      <c r="P386" s="552"/>
      <c r="Q386" s="552"/>
      <c r="R386" s="552"/>
      <c r="S386" s="552"/>
      <c r="T386" s="552"/>
      <c r="U386" s="552"/>
      <c r="V386" s="552"/>
      <c r="W386" s="552"/>
      <c r="X386" s="552"/>
      <c r="Y386" s="552"/>
      <c r="Z386" s="552"/>
    </row>
    <row r="387" spans="1:26" ht="12.75" customHeight="1">
      <c r="A387" s="553"/>
      <c r="B387" s="552"/>
      <c r="C387" s="554"/>
      <c r="D387" s="552"/>
      <c r="E387" s="552"/>
      <c r="F387" s="555"/>
      <c r="G387" s="552"/>
      <c r="H387" s="552"/>
      <c r="I387" s="552"/>
      <c r="J387" s="552"/>
      <c r="K387" s="552"/>
      <c r="L387" s="552"/>
      <c r="M387" s="552"/>
      <c r="N387" s="552"/>
      <c r="O387" s="552"/>
      <c r="P387" s="552"/>
      <c r="Q387" s="552"/>
      <c r="R387" s="552"/>
      <c r="S387" s="552"/>
      <c r="T387" s="552"/>
      <c r="U387" s="552"/>
      <c r="V387" s="552"/>
      <c r="W387" s="552"/>
      <c r="X387" s="552"/>
      <c r="Y387" s="552"/>
      <c r="Z387" s="552"/>
    </row>
    <row r="388" spans="1:26" ht="12.75" customHeight="1">
      <c r="A388" s="553"/>
      <c r="B388" s="552"/>
      <c r="C388" s="554"/>
      <c r="D388" s="552"/>
      <c r="E388" s="552"/>
      <c r="F388" s="555"/>
      <c r="G388" s="552"/>
      <c r="H388" s="552"/>
      <c r="I388" s="552"/>
      <c r="J388" s="552"/>
      <c r="K388" s="552"/>
      <c r="L388" s="552"/>
      <c r="M388" s="552"/>
      <c r="N388" s="552"/>
      <c r="O388" s="552"/>
      <c r="P388" s="552"/>
      <c r="Q388" s="552"/>
      <c r="R388" s="552"/>
      <c r="S388" s="552"/>
      <c r="T388" s="552"/>
      <c r="U388" s="552"/>
      <c r="V388" s="552"/>
      <c r="W388" s="552"/>
      <c r="X388" s="552"/>
      <c r="Y388" s="552"/>
      <c r="Z388" s="552"/>
    </row>
    <row r="389" spans="1:26" ht="12.75" customHeight="1">
      <c r="A389" s="553"/>
      <c r="B389" s="552"/>
      <c r="C389" s="554"/>
      <c r="D389" s="552"/>
      <c r="E389" s="552"/>
      <c r="F389" s="555"/>
      <c r="G389" s="552"/>
      <c r="H389" s="552"/>
      <c r="I389" s="552"/>
      <c r="J389" s="552"/>
      <c r="K389" s="552"/>
      <c r="L389" s="552"/>
      <c r="M389" s="552"/>
      <c r="N389" s="552"/>
      <c r="O389" s="552"/>
      <c r="P389" s="552"/>
      <c r="Q389" s="552"/>
      <c r="R389" s="552"/>
      <c r="S389" s="552"/>
      <c r="T389" s="552"/>
      <c r="U389" s="552"/>
      <c r="V389" s="552"/>
      <c r="W389" s="552"/>
      <c r="X389" s="552"/>
      <c r="Y389" s="552"/>
      <c r="Z389" s="552"/>
    </row>
    <row r="390" spans="1:26" ht="12.75" customHeight="1">
      <c r="A390" s="553"/>
      <c r="B390" s="552"/>
      <c r="C390" s="554"/>
      <c r="D390" s="552"/>
      <c r="E390" s="552"/>
      <c r="F390" s="555"/>
      <c r="G390" s="552"/>
      <c r="H390" s="552"/>
      <c r="I390" s="552"/>
      <c r="J390" s="552"/>
      <c r="K390" s="552"/>
      <c r="L390" s="552"/>
      <c r="M390" s="552"/>
      <c r="N390" s="552"/>
      <c r="O390" s="552"/>
      <c r="P390" s="552"/>
      <c r="Q390" s="552"/>
      <c r="R390" s="552"/>
      <c r="S390" s="552"/>
      <c r="T390" s="552"/>
      <c r="U390" s="552"/>
      <c r="V390" s="552"/>
      <c r="W390" s="552"/>
      <c r="X390" s="552"/>
      <c r="Y390" s="552"/>
      <c r="Z390" s="552"/>
    </row>
    <row r="391" spans="1:26" ht="12.75" customHeight="1">
      <c r="A391" s="553"/>
      <c r="B391" s="552"/>
      <c r="C391" s="554"/>
      <c r="D391" s="552"/>
      <c r="E391" s="552"/>
      <c r="F391" s="555"/>
      <c r="G391" s="552"/>
      <c r="H391" s="552"/>
      <c r="I391" s="552"/>
      <c r="J391" s="552"/>
      <c r="K391" s="552"/>
      <c r="L391" s="552"/>
      <c r="M391" s="552"/>
      <c r="N391" s="552"/>
      <c r="O391" s="552"/>
      <c r="P391" s="552"/>
      <c r="Q391" s="552"/>
      <c r="R391" s="552"/>
      <c r="S391" s="552"/>
      <c r="T391" s="552"/>
      <c r="U391" s="552"/>
      <c r="V391" s="552"/>
      <c r="W391" s="552"/>
      <c r="X391" s="552"/>
      <c r="Y391" s="552"/>
      <c r="Z391" s="552"/>
    </row>
    <row r="392" spans="1:26" ht="12.75" customHeight="1">
      <c r="A392" s="553"/>
      <c r="B392" s="552"/>
      <c r="C392" s="554"/>
      <c r="D392" s="552"/>
      <c r="E392" s="552"/>
      <c r="F392" s="555"/>
      <c r="G392" s="552"/>
      <c r="H392" s="552"/>
      <c r="I392" s="552"/>
      <c r="J392" s="552"/>
      <c r="K392" s="552"/>
      <c r="L392" s="552"/>
      <c r="M392" s="552"/>
      <c r="N392" s="552"/>
      <c r="O392" s="552"/>
      <c r="P392" s="552"/>
      <c r="Q392" s="552"/>
      <c r="R392" s="552"/>
      <c r="S392" s="552"/>
      <c r="T392" s="552"/>
      <c r="U392" s="552"/>
      <c r="V392" s="552"/>
      <c r="W392" s="552"/>
      <c r="X392" s="552"/>
      <c r="Y392" s="552"/>
      <c r="Z392" s="552"/>
    </row>
    <row r="393" spans="1:26" ht="12.75" customHeight="1">
      <c r="A393" s="553"/>
      <c r="B393" s="552"/>
      <c r="C393" s="554"/>
      <c r="D393" s="552"/>
      <c r="E393" s="552"/>
      <c r="F393" s="555"/>
      <c r="G393" s="552"/>
      <c r="H393" s="552"/>
      <c r="I393" s="552"/>
      <c r="J393" s="552"/>
      <c r="K393" s="552"/>
      <c r="L393" s="552"/>
      <c r="M393" s="552"/>
      <c r="N393" s="552"/>
      <c r="O393" s="552"/>
      <c r="P393" s="552"/>
      <c r="Q393" s="552"/>
      <c r="R393" s="552"/>
      <c r="S393" s="552"/>
      <c r="T393" s="552"/>
      <c r="U393" s="552"/>
      <c r="V393" s="552"/>
      <c r="W393" s="552"/>
      <c r="X393" s="552"/>
      <c r="Y393" s="552"/>
      <c r="Z393" s="552"/>
    </row>
    <row r="394" spans="1:26" ht="12.75" customHeight="1">
      <c r="A394" s="553"/>
      <c r="B394" s="552"/>
      <c r="C394" s="554"/>
      <c r="D394" s="552"/>
      <c r="E394" s="552"/>
      <c r="F394" s="555"/>
      <c r="G394" s="552"/>
      <c r="H394" s="552"/>
      <c r="I394" s="552"/>
      <c r="J394" s="552"/>
      <c r="K394" s="552"/>
      <c r="L394" s="552"/>
      <c r="M394" s="552"/>
      <c r="N394" s="552"/>
      <c r="O394" s="552"/>
      <c r="P394" s="552"/>
      <c r="Q394" s="552"/>
      <c r="R394" s="552"/>
      <c r="S394" s="552"/>
      <c r="T394" s="552"/>
      <c r="U394" s="552"/>
      <c r="V394" s="552"/>
      <c r="W394" s="552"/>
      <c r="X394" s="552"/>
      <c r="Y394" s="552"/>
      <c r="Z394" s="552"/>
    </row>
    <row r="395" spans="1:26" ht="12.75" customHeight="1">
      <c r="A395" s="553"/>
      <c r="B395" s="552"/>
      <c r="C395" s="554"/>
      <c r="D395" s="552"/>
      <c r="E395" s="552"/>
      <c r="F395" s="555"/>
      <c r="G395" s="552"/>
      <c r="H395" s="552"/>
      <c r="I395" s="552"/>
      <c r="J395" s="552"/>
      <c r="K395" s="552"/>
      <c r="L395" s="552"/>
      <c r="M395" s="552"/>
      <c r="N395" s="552"/>
      <c r="O395" s="552"/>
      <c r="P395" s="552"/>
      <c r="Q395" s="552"/>
      <c r="R395" s="552"/>
      <c r="S395" s="552"/>
      <c r="T395" s="552"/>
      <c r="U395" s="552"/>
      <c r="V395" s="552"/>
      <c r="W395" s="552"/>
      <c r="X395" s="552"/>
      <c r="Y395" s="552"/>
      <c r="Z395" s="552"/>
    </row>
    <row r="396" spans="1:26" ht="12.75" customHeight="1">
      <c r="A396" s="553"/>
      <c r="B396" s="552"/>
      <c r="C396" s="554"/>
      <c r="D396" s="552"/>
      <c r="E396" s="552"/>
      <c r="F396" s="555"/>
      <c r="G396" s="552"/>
      <c r="H396" s="552"/>
      <c r="I396" s="552"/>
      <c r="J396" s="552"/>
      <c r="K396" s="552"/>
      <c r="L396" s="552"/>
      <c r="M396" s="552"/>
      <c r="N396" s="552"/>
      <c r="O396" s="552"/>
      <c r="P396" s="552"/>
      <c r="Q396" s="552"/>
      <c r="R396" s="552"/>
      <c r="S396" s="552"/>
      <c r="T396" s="552"/>
      <c r="U396" s="552"/>
      <c r="V396" s="552"/>
      <c r="W396" s="552"/>
      <c r="X396" s="552"/>
      <c r="Y396" s="552"/>
      <c r="Z396" s="552"/>
    </row>
    <row r="397" spans="1:26" ht="12.75" customHeight="1">
      <c r="A397" s="553"/>
      <c r="B397" s="552"/>
      <c r="C397" s="554"/>
      <c r="D397" s="552"/>
      <c r="E397" s="552"/>
      <c r="F397" s="555"/>
      <c r="G397" s="552"/>
      <c r="H397" s="552"/>
      <c r="I397" s="552"/>
      <c r="J397" s="552"/>
      <c r="K397" s="552"/>
      <c r="L397" s="552"/>
      <c r="M397" s="552"/>
      <c r="N397" s="552"/>
      <c r="O397" s="552"/>
      <c r="P397" s="552"/>
      <c r="Q397" s="552"/>
      <c r="R397" s="552"/>
      <c r="S397" s="552"/>
      <c r="T397" s="552"/>
      <c r="U397" s="552"/>
      <c r="V397" s="552"/>
      <c r="W397" s="552"/>
      <c r="X397" s="552"/>
      <c r="Y397" s="552"/>
      <c r="Z397" s="552"/>
    </row>
    <row r="398" spans="1:26" ht="12.75" customHeight="1">
      <c r="A398" s="553"/>
      <c r="B398" s="552"/>
      <c r="C398" s="554"/>
      <c r="D398" s="552"/>
      <c r="E398" s="552"/>
      <c r="F398" s="555"/>
      <c r="G398" s="552"/>
      <c r="H398" s="552"/>
      <c r="I398" s="552"/>
      <c r="J398" s="552"/>
      <c r="K398" s="552"/>
      <c r="L398" s="552"/>
      <c r="M398" s="552"/>
      <c r="N398" s="552"/>
      <c r="O398" s="552"/>
      <c r="P398" s="552"/>
      <c r="Q398" s="552"/>
      <c r="R398" s="552"/>
      <c r="S398" s="552"/>
      <c r="T398" s="552"/>
      <c r="U398" s="552"/>
      <c r="V398" s="552"/>
      <c r="W398" s="552"/>
      <c r="X398" s="552"/>
      <c r="Y398" s="552"/>
      <c r="Z398" s="552"/>
    </row>
    <row r="399" spans="1:26" ht="12.75" customHeight="1">
      <c r="A399" s="553"/>
      <c r="B399" s="552"/>
      <c r="C399" s="554"/>
      <c r="D399" s="552"/>
      <c r="E399" s="552"/>
      <c r="F399" s="555"/>
      <c r="G399" s="552"/>
      <c r="H399" s="552"/>
      <c r="I399" s="552"/>
      <c r="J399" s="552"/>
      <c r="K399" s="552"/>
      <c r="L399" s="552"/>
      <c r="M399" s="552"/>
      <c r="N399" s="552"/>
      <c r="O399" s="552"/>
      <c r="P399" s="552"/>
      <c r="Q399" s="552"/>
      <c r="R399" s="552"/>
      <c r="S399" s="552"/>
      <c r="T399" s="552"/>
      <c r="U399" s="552"/>
      <c r="V399" s="552"/>
      <c r="W399" s="552"/>
      <c r="X399" s="552"/>
      <c r="Y399" s="552"/>
      <c r="Z399" s="552"/>
    </row>
    <row r="400" spans="1:26" ht="12.75" customHeight="1">
      <c r="A400" s="553"/>
      <c r="B400" s="552"/>
      <c r="C400" s="554"/>
      <c r="D400" s="552"/>
      <c r="E400" s="552"/>
      <c r="F400" s="555"/>
      <c r="G400" s="552"/>
      <c r="H400" s="552"/>
      <c r="I400" s="552"/>
      <c r="J400" s="552"/>
      <c r="K400" s="552"/>
      <c r="L400" s="552"/>
      <c r="M400" s="552"/>
      <c r="N400" s="552"/>
      <c r="O400" s="552"/>
      <c r="P400" s="552"/>
      <c r="Q400" s="552"/>
      <c r="R400" s="552"/>
      <c r="S400" s="552"/>
      <c r="T400" s="552"/>
      <c r="U400" s="552"/>
      <c r="V400" s="552"/>
      <c r="W400" s="552"/>
      <c r="X400" s="552"/>
      <c r="Y400" s="552"/>
      <c r="Z400" s="552"/>
    </row>
    <row r="401" spans="1:26" ht="12.75" customHeight="1">
      <c r="A401" s="553"/>
      <c r="B401" s="552"/>
      <c r="C401" s="554"/>
      <c r="D401" s="552"/>
      <c r="E401" s="552"/>
      <c r="F401" s="555"/>
      <c r="G401" s="552"/>
      <c r="H401" s="552"/>
      <c r="I401" s="552"/>
      <c r="J401" s="552"/>
      <c r="K401" s="552"/>
      <c r="L401" s="552"/>
      <c r="M401" s="552"/>
      <c r="N401" s="552"/>
      <c r="O401" s="552"/>
      <c r="P401" s="552"/>
      <c r="Q401" s="552"/>
      <c r="R401" s="552"/>
      <c r="S401" s="552"/>
      <c r="T401" s="552"/>
      <c r="U401" s="552"/>
      <c r="V401" s="552"/>
      <c r="W401" s="552"/>
      <c r="X401" s="552"/>
      <c r="Y401" s="552"/>
      <c r="Z401" s="552"/>
    </row>
    <row r="402" spans="1:26" ht="12.75" customHeight="1">
      <c r="A402" s="553"/>
      <c r="B402" s="552"/>
      <c r="C402" s="554"/>
      <c r="D402" s="552"/>
      <c r="E402" s="552"/>
      <c r="F402" s="555"/>
      <c r="G402" s="552"/>
      <c r="H402" s="552"/>
      <c r="I402" s="552"/>
      <c r="J402" s="552"/>
      <c r="K402" s="552"/>
      <c r="L402" s="552"/>
      <c r="M402" s="552"/>
      <c r="N402" s="552"/>
      <c r="O402" s="552"/>
      <c r="P402" s="552"/>
      <c r="Q402" s="552"/>
      <c r="R402" s="552"/>
      <c r="S402" s="552"/>
      <c r="T402" s="552"/>
      <c r="U402" s="552"/>
      <c r="V402" s="552"/>
      <c r="W402" s="552"/>
      <c r="X402" s="552"/>
      <c r="Y402" s="552"/>
      <c r="Z402" s="552"/>
    </row>
    <row r="403" spans="1:26" ht="12.75" customHeight="1">
      <c r="A403" s="553"/>
      <c r="B403" s="552"/>
      <c r="C403" s="554"/>
      <c r="D403" s="552"/>
      <c r="E403" s="552"/>
      <c r="F403" s="555"/>
      <c r="G403" s="552"/>
      <c r="H403" s="552"/>
      <c r="I403" s="552"/>
      <c r="J403" s="552"/>
      <c r="K403" s="552"/>
      <c r="L403" s="552"/>
      <c r="M403" s="552"/>
      <c r="N403" s="552"/>
      <c r="O403" s="552"/>
      <c r="P403" s="552"/>
      <c r="Q403" s="552"/>
      <c r="R403" s="552"/>
      <c r="S403" s="552"/>
      <c r="T403" s="552"/>
      <c r="U403" s="552"/>
      <c r="V403" s="552"/>
      <c r="W403" s="552"/>
      <c r="X403" s="552"/>
      <c r="Y403" s="552"/>
      <c r="Z403" s="552"/>
    </row>
    <row r="404" spans="1:26" ht="12.75" customHeight="1">
      <c r="A404" s="553"/>
      <c r="B404" s="552"/>
      <c r="C404" s="554"/>
      <c r="D404" s="552"/>
      <c r="E404" s="552"/>
      <c r="F404" s="555"/>
      <c r="G404" s="552"/>
      <c r="H404" s="552"/>
      <c r="I404" s="552"/>
      <c r="J404" s="552"/>
      <c r="K404" s="552"/>
      <c r="L404" s="552"/>
      <c r="M404" s="552"/>
      <c r="N404" s="552"/>
      <c r="O404" s="552"/>
      <c r="P404" s="552"/>
      <c r="Q404" s="552"/>
      <c r="R404" s="552"/>
      <c r="S404" s="552"/>
      <c r="T404" s="552"/>
      <c r="U404" s="552"/>
      <c r="V404" s="552"/>
      <c r="W404" s="552"/>
      <c r="X404" s="552"/>
      <c r="Y404" s="552"/>
      <c r="Z404" s="552"/>
    </row>
    <row r="405" spans="1:26" ht="12.75" customHeight="1">
      <c r="A405" s="553"/>
      <c r="B405" s="552"/>
      <c r="C405" s="554"/>
      <c r="D405" s="552"/>
      <c r="E405" s="552"/>
      <c r="F405" s="555"/>
      <c r="G405" s="552"/>
      <c r="H405" s="552"/>
      <c r="I405" s="552"/>
      <c r="J405" s="552"/>
      <c r="K405" s="552"/>
      <c r="L405" s="552"/>
      <c r="M405" s="552"/>
      <c r="N405" s="552"/>
      <c r="O405" s="552"/>
      <c r="P405" s="552"/>
      <c r="Q405" s="552"/>
      <c r="R405" s="552"/>
      <c r="S405" s="552"/>
      <c r="T405" s="552"/>
      <c r="U405" s="552"/>
      <c r="V405" s="552"/>
      <c r="W405" s="552"/>
      <c r="X405" s="552"/>
      <c r="Y405" s="552"/>
      <c r="Z405" s="552"/>
    </row>
    <row r="406" spans="1:26" ht="12.75" customHeight="1">
      <c r="A406" s="553"/>
      <c r="B406" s="552"/>
      <c r="C406" s="554"/>
      <c r="D406" s="552"/>
      <c r="E406" s="552"/>
      <c r="F406" s="555"/>
      <c r="G406" s="552"/>
      <c r="H406" s="552"/>
      <c r="I406" s="552"/>
      <c r="J406" s="552"/>
      <c r="K406" s="552"/>
      <c r="L406" s="552"/>
      <c r="M406" s="552"/>
      <c r="N406" s="552"/>
      <c r="O406" s="552"/>
      <c r="P406" s="552"/>
      <c r="Q406" s="552"/>
      <c r="R406" s="552"/>
      <c r="S406" s="552"/>
      <c r="T406" s="552"/>
      <c r="U406" s="552"/>
      <c r="V406" s="552"/>
      <c r="W406" s="552"/>
      <c r="X406" s="552"/>
      <c r="Y406" s="552"/>
      <c r="Z406" s="552"/>
    </row>
    <row r="407" spans="1:26" ht="12.75" customHeight="1">
      <c r="A407" s="553"/>
      <c r="B407" s="552"/>
      <c r="C407" s="554"/>
      <c r="D407" s="552"/>
      <c r="E407" s="552"/>
      <c r="F407" s="555"/>
      <c r="G407" s="552"/>
      <c r="H407" s="552"/>
      <c r="I407" s="552"/>
      <c r="J407" s="552"/>
      <c r="K407" s="552"/>
      <c r="L407" s="552"/>
      <c r="M407" s="552"/>
      <c r="N407" s="552"/>
      <c r="O407" s="552"/>
      <c r="P407" s="552"/>
      <c r="Q407" s="552"/>
      <c r="R407" s="552"/>
      <c r="S407" s="552"/>
      <c r="T407" s="552"/>
      <c r="U407" s="552"/>
      <c r="V407" s="552"/>
      <c r="W407" s="552"/>
      <c r="X407" s="552"/>
      <c r="Y407" s="552"/>
      <c r="Z407" s="552"/>
    </row>
    <row r="408" spans="1:26" ht="12.75" customHeight="1">
      <c r="A408" s="553"/>
      <c r="B408" s="552"/>
      <c r="C408" s="554"/>
      <c r="D408" s="552"/>
      <c r="E408" s="552"/>
      <c r="F408" s="555"/>
      <c r="G408" s="552"/>
      <c r="H408" s="552"/>
      <c r="I408" s="552"/>
      <c r="J408" s="552"/>
      <c r="K408" s="552"/>
      <c r="L408" s="552"/>
      <c r="M408" s="552"/>
      <c r="N408" s="552"/>
      <c r="O408" s="552"/>
      <c r="P408" s="552"/>
      <c r="Q408" s="552"/>
      <c r="R408" s="552"/>
      <c r="S408" s="552"/>
      <c r="T408" s="552"/>
      <c r="U408" s="552"/>
      <c r="V408" s="552"/>
      <c r="W408" s="552"/>
      <c r="X408" s="552"/>
      <c r="Y408" s="552"/>
      <c r="Z408" s="552"/>
    </row>
    <row r="409" spans="1:26" ht="12.75" customHeight="1">
      <c r="A409" s="553"/>
      <c r="B409" s="552"/>
      <c r="C409" s="554"/>
      <c r="D409" s="552"/>
      <c r="E409" s="552"/>
      <c r="F409" s="555"/>
      <c r="G409" s="552"/>
      <c r="H409" s="552"/>
      <c r="I409" s="552"/>
      <c r="J409" s="552"/>
      <c r="K409" s="552"/>
      <c r="L409" s="552"/>
      <c r="M409" s="552"/>
      <c r="N409" s="552"/>
      <c r="O409" s="552"/>
      <c r="P409" s="552"/>
      <c r="Q409" s="552"/>
      <c r="R409" s="552"/>
      <c r="S409" s="552"/>
      <c r="T409" s="552"/>
      <c r="U409" s="552"/>
      <c r="V409" s="552"/>
      <c r="W409" s="552"/>
      <c r="X409" s="552"/>
      <c r="Y409" s="552"/>
      <c r="Z409" s="552"/>
    </row>
    <row r="410" spans="1:26" ht="12.75" customHeight="1">
      <c r="A410" s="553"/>
      <c r="B410" s="552"/>
      <c r="C410" s="554"/>
      <c r="D410" s="552"/>
      <c r="E410" s="552"/>
      <c r="F410" s="555"/>
      <c r="G410" s="552"/>
      <c r="H410" s="552"/>
      <c r="I410" s="552"/>
      <c r="J410" s="552"/>
      <c r="K410" s="552"/>
      <c r="L410" s="552"/>
      <c r="M410" s="552"/>
      <c r="N410" s="552"/>
      <c r="O410" s="552"/>
      <c r="P410" s="552"/>
      <c r="Q410" s="552"/>
      <c r="R410" s="552"/>
      <c r="S410" s="552"/>
      <c r="T410" s="552"/>
      <c r="U410" s="552"/>
      <c r="V410" s="552"/>
      <c r="W410" s="552"/>
      <c r="X410" s="552"/>
      <c r="Y410" s="552"/>
      <c r="Z410" s="552"/>
    </row>
    <row r="411" spans="1:26" ht="12.75" customHeight="1">
      <c r="A411" s="553"/>
      <c r="B411" s="552"/>
      <c r="C411" s="554"/>
      <c r="D411" s="552"/>
      <c r="E411" s="552"/>
      <c r="F411" s="555"/>
      <c r="G411" s="552"/>
      <c r="H411" s="552"/>
      <c r="I411" s="552"/>
      <c r="J411" s="552"/>
      <c r="K411" s="552"/>
      <c r="L411" s="552"/>
      <c r="M411" s="552"/>
      <c r="N411" s="552"/>
      <c r="O411" s="552"/>
      <c r="P411" s="552"/>
      <c r="Q411" s="552"/>
      <c r="R411" s="552"/>
      <c r="S411" s="552"/>
      <c r="T411" s="552"/>
      <c r="U411" s="552"/>
      <c r="V411" s="552"/>
      <c r="W411" s="552"/>
      <c r="X411" s="552"/>
      <c r="Y411" s="552"/>
      <c r="Z411" s="552"/>
    </row>
    <row r="412" spans="1:26" ht="12.75" customHeight="1">
      <c r="A412" s="553"/>
      <c r="B412" s="552"/>
      <c r="C412" s="554"/>
      <c r="D412" s="552"/>
      <c r="E412" s="552"/>
      <c r="F412" s="555"/>
      <c r="G412" s="552"/>
      <c r="H412" s="552"/>
      <c r="I412" s="552"/>
      <c r="J412" s="552"/>
      <c r="K412" s="552"/>
      <c r="L412" s="552"/>
      <c r="M412" s="552"/>
      <c r="N412" s="552"/>
      <c r="O412" s="552"/>
      <c r="P412" s="552"/>
      <c r="Q412" s="552"/>
      <c r="R412" s="552"/>
      <c r="S412" s="552"/>
      <c r="T412" s="552"/>
      <c r="U412" s="552"/>
      <c r="V412" s="552"/>
      <c r="W412" s="552"/>
      <c r="X412" s="552"/>
      <c r="Y412" s="552"/>
      <c r="Z412" s="552"/>
    </row>
    <row r="413" spans="1:26" ht="12.75" customHeight="1">
      <c r="A413" s="553"/>
      <c r="B413" s="552"/>
      <c r="C413" s="554"/>
      <c r="D413" s="552"/>
      <c r="E413" s="552"/>
      <c r="F413" s="555"/>
      <c r="G413" s="552"/>
      <c r="H413" s="552"/>
      <c r="I413" s="552"/>
      <c r="J413" s="552"/>
      <c r="K413" s="552"/>
      <c r="L413" s="552"/>
      <c r="M413" s="552"/>
      <c r="N413" s="552"/>
      <c r="O413" s="552"/>
      <c r="P413" s="552"/>
      <c r="Q413" s="552"/>
      <c r="R413" s="552"/>
      <c r="S413" s="552"/>
      <c r="T413" s="552"/>
      <c r="U413" s="552"/>
      <c r="V413" s="552"/>
      <c r="W413" s="552"/>
      <c r="X413" s="552"/>
      <c r="Y413" s="552"/>
      <c r="Z413" s="552"/>
    </row>
    <row r="414" spans="1:26" ht="12.75" customHeight="1">
      <c r="A414" s="553"/>
      <c r="B414" s="552"/>
      <c r="C414" s="554"/>
      <c r="D414" s="552"/>
      <c r="E414" s="552"/>
      <c r="F414" s="555"/>
      <c r="G414" s="552"/>
      <c r="H414" s="552"/>
      <c r="I414" s="552"/>
      <c r="J414" s="552"/>
      <c r="K414" s="552"/>
      <c r="L414" s="552"/>
      <c r="M414" s="552"/>
      <c r="N414" s="552"/>
      <c r="O414" s="552"/>
      <c r="P414" s="552"/>
      <c r="Q414" s="552"/>
      <c r="R414" s="552"/>
      <c r="S414" s="552"/>
      <c r="T414" s="552"/>
      <c r="U414" s="552"/>
      <c r="V414" s="552"/>
      <c r="W414" s="552"/>
      <c r="X414" s="552"/>
      <c r="Y414" s="552"/>
      <c r="Z414" s="552"/>
    </row>
    <row r="415" spans="1:26" ht="12.75" customHeight="1">
      <c r="A415" s="553"/>
      <c r="B415" s="552"/>
      <c r="C415" s="554"/>
      <c r="D415" s="552"/>
      <c r="E415" s="552"/>
      <c r="F415" s="555"/>
      <c r="G415" s="552"/>
      <c r="H415" s="552"/>
      <c r="I415" s="552"/>
      <c r="J415" s="552"/>
      <c r="K415" s="552"/>
      <c r="L415" s="552"/>
      <c r="M415" s="552"/>
      <c r="N415" s="552"/>
      <c r="O415" s="552"/>
      <c r="P415" s="552"/>
      <c r="Q415" s="552"/>
      <c r="R415" s="552"/>
      <c r="S415" s="552"/>
      <c r="T415" s="552"/>
      <c r="U415" s="552"/>
      <c r="V415" s="552"/>
      <c r="W415" s="552"/>
      <c r="X415" s="552"/>
      <c r="Y415" s="552"/>
      <c r="Z415" s="552"/>
    </row>
    <row r="416" spans="1:26" ht="12.75" customHeight="1">
      <c r="A416" s="553"/>
      <c r="B416" s="552"/>
      <c r="C416" s="554"/>
      <c r="D416" s="552"/>
      <c r="E416" s="552"/>
      <c r="F416" s="555"/>
      <c r="G416" s="552"/>
      <c r="H416" s="552"/>
      <c r="I416" s="552"/>
      <c r="J416" s="552"/>
      <c r="K416" s="552"/>
      <c r="L416" s="552"/>
      <c r="M416" s="552"/>
      <c r="N416" s="552"/>
      <c r="O416" s="552"/>
      <c r="P416" s="552"/>
      <c r="Q416" s="552"/>
      <c r="R416" s="552"/>
      <c r="S416" s="552"/>
      <c r="T416" s="552"/>
      <c r="U416" s="552"/>
      <c r="V416" s="552"/>
      <c r="W416" s="552"/>
      <c r="X416" s="552"/>
      <c r="Y416" s="552"/>
      <c r="Z416" s="552"/>
    </row>
    <row r="417" spans="1:26" ht="12.75" customHeight="1">
      <c r="A417" s="553"/>
      <c r="B417" s="552"/>
      <c r="C417" s="554"/>
      <c r="D417" s="552"/>
      <c r="E417" s="552"/>
      <c r="F417" s="555"/>
      <c r="G417" s="552"/>
      <c r="H417" s="552"/>
      <c r="I417" s="552"/>
      <c r="J417" s="552"/>
      <c r="K417" s="552"/>
      <c r="L417" s="552"/>
      <c r="M417" s="552"/>
      <c r="N417" s="552"/>
      <c r="O417" s="552"/>
      <c r="P417" s="552"/>
      <c r="Q417" s="552"/>
      <c r="R417" s="552"/>
      <c r="S417" s="552"/>
      <c r="T417" s="552"/>
      <c r="U417" s="552"/>
      <c r="V417" s="552"/>
      <c r="W417" s="552"/>
      <c r="X417" s="552"/>
      <c r="Y417" s="552"/>
      <c r="Z417" s="552"/>
    </row>
    <row r="418" spans="1:26" ht="12.75" customHeight="1">
      <c r="A418" s="553"/>
      <c r="B418" s="552"/>
      <c r="C418" s="554"/>
      <c r="D418" s="552"/>
      <c r="E418" s="552"/>
      <c r="F418" s="555"/>
      <c r="G418" s="552"/>
      <c r="H418" s="552"/>
      <c r="I418" s="552"/>
      <c r="J418" s="552"/>
      <c r="K418" s="552"/>
      <c r="L418" s="552"/>
      <c r="M418" s="552"/>
      <c r="N418" s="552"/>
      <c r="O418" s="552"/>
      <c r="P418" s="552"/>
      <c r="Q418" s="552"/>
      <c r="R418" s="552"/>
      <c r="S418" s="552"/>
      <c r="T418" s="552"/>
      <c r="U418" s="552"/>
      <c r="V418" s="552"/>
      <c r="W418" s="552"/>
      <c r="X418" s="552"/>
      <c r="Y418" s="552"/>
      <c r="Z418" s="552"/>
    </row>
    <row r="419" spans="1:26" ht="12.75" customHeight="1">
      <c r="A419" s="553"/>
      <c r="B419" s="552"/>
      <c r="C419" s="554"/>
      <c r="D419" s="552"/>
      <c r="E419" s="552"/>
      <c r="F419" s="555"/>
      <c r="G419" s="552"/>
      <c r="H419" s="552"/>
      <c r="I419" s="552"/>
      <c r="J419" s="552"/>
      <c r="K419" s="552"/>
      <c r="L419" s="552"/>
      <c r="M419" s="552"/>
      <c r="N419" s="552"/>
      <c r="O419" s="552"/>
      <c r="P419" s="552"/>
      <c r="Q419" s="552"/>
      <c r="R419" s="552"/>
      <c r="S419" s="552"/>
      <c r="T419" s="552"/>
      <c r="U419" s="552"/>
      <c r="V419" s="552"/>
      <c r="W419" s="552"/>
      <c r="X419" s="552"/>
      <c r="Y419" s="552"/>
      <c r="Z419" s="552"/>
    </row>
    <row r="420" spans="1:26" ht="12.75" customHeight="1">
      <c r="A420" s="553"/>
      <c r="B420" s="552"/>
      <c r="C420" s="554"/>
      <c r="D420" s="552"/>
      <c r="E420" s="552"/>
      <c r="F420" s="555"/>
      <c r="G420" s="552"/>
      <c r="H420" s="552"/>
      <c r="I420" s="552"/>
      <c r="J420" s="552"/>
      <c r="K420" s="552"/>
      <c r="L420" s="552"/>
      <c r="M420" s="552"/>
      <c r="N420" s="552"/>
      <c r="O420" s="552"/>
      <c r="P420" s="552"/>
      <c r="Q420" s="552"/>
      <c r="R420" s="552"/>
      <c r="S420" s="552"/>
      <c r="T420" s="552"/>
      <c r="U420" s="552"/>
      <c r="V420" s="552"/>
      <c r="W420" s="552"/>
      <c r="X420" s="552"/>
      <c r="Y420" s="552"/>
      <c r="Z420" s="552"/>
    </row>
    <row r="421" spans="1:26" ht="12.75" customHeight="1">
      <c r="A421" s="553"/>
      <c r="B421" s="552"/>
      <c r="C421" s="554"/>
      <c r="D421" s="552"/>
      <c r="E421" s="552"/>
      <c r="F421" s="555"/>
      <c r="G421" s="552"/>
      <c r="H421" s="552"/>
      <c r="I421" s="552"/>
      <c r="J421" s="552"/>
      <c r="K421" s="552"/>
      <c r="L421" s="552"/>
      <c r="M421" s="552"/>
      <c r="N421" s="552"/>
      <c r="O421" s="552"/>
      <c r="P421" s="552"/>
      <c r="Q421" s="552"/>
      <c r="R421" s="552"/>
      <c r="S421" s="552"/>
      <c r="T421" s="552"/>
      <c r="U421" s="552"/>
      <c r="V421" s="552"/>
      <c r="W421" s="552"/>
      <c r="X421" s="552"/>
      <c r="Y421" s="552"/>
      <c r="Z421" s="552"/>
    </row>
    <row r="422" spans="1:26" ht="12.75" customHeight="1">
      <c r="A422" s="553"/>
      <c r="B422" s="552"/>
      <c r="C422" s="554"/>
      <c r="D422" s="552"/>
      <c r="E422" s="552"/>
      <c r="F422" s="555"/>
      <c r="G422" s="552"/>
      <c r="H422" s="552"/>
      <c r="I422" s="552"/>
      <c r="J422" s="552"/>
      <c r="K422" s="552"/>
      <c r="L422" s="552"/>
      <c r="M422" s="552"/>
      <c r="N422" s="552"/>
      <c r="O422" s="552"/>
      <c r="P422" s="552"/>
      <c r="Q422" s="552"/>
      <c r="R422" s="552"/>
      <c r="S422" s="552"/>
      <c r="T422" s="552"/>
      <c r="U422" s="552"/>
      <c r="V422" s="552"/>
      <c r="W422" s="552"/>
      <c r="X422" s="552"/>
      <c r="Y422" s="552"/>
      <c r="Z422" s="552"/>
    </row>
    <row r="423" spans="1:26" ht="12.75" customHeight="1">
      <c r="A423" s="553"/>
      <c r="B423" s="552"/>
      <c r="C423" s="554"/>
      <c r="D423" s="552"/>
      <c r="E423" s="552"/>
      <c r="F423" s="555"/>
      <c r="G423" s="552"/>
      <c r="H423" s="552"/>
      <c r="I423" s="552"/>
      <c r="J423" s="552"/>
      <c r="K423" s="552"/>
      <c r="L423" s="552"/>
      <c r="M423" s="552"/>
      <c r="N423" s="552"/>
      <c r="O423" s="552"/>
      <c r="P423" s="552"/>
      <c r="Q423" s="552"/>
      <c r="R423" s="552"/>
      <c r="S423" s="552"/>
      <c r="T423" s="552"/>
      <c r="U423" s="552"/>
      <c r="V423" s="552"/>
      <c r="W423" s="552"/>
      <c r="X423" s="552"/>
      <c r="Y423" s="552"/>
      <c r="Z423" s="552"/>
    </row>
    <row r="424" spans="1:26" ht="12.75" customHeight="1">
      <c r="A424" s="553"/>
      <c r="B424" s="552"/>
      <c r="C424" s="554"/>
      <c r="D424" s="552"/>
      <c r="E424" s="552"/>
      <c r="F424" s="555"/>
      <c r="G424" s="552"/>
      <c r="H424" s="552"/>
      <c r="I424" s="552"/>
      <c r="J424" s="552"/>
      <c r="K424" s="552"/>
      <c r="L424" s="552"/>
      <c r="M424" s="552"/>
      <c r="N424" s="552"/>
      <c r="O424" s="552"/>
      <c r="P424" s="552"/>
      <c r="Q424" s="552"/>
      <c r="R424" s="552"/>
      <c r="S424" s="552"/>
      <c r="T424" s="552"/>
      <c r="U424" s="552"/>
      <c r="V424" s="552"/>
      <c r="W424" s="552"/>
      <c r="X424" s="552"/>
      <c r="Y424" s="552"/>
      <c r="Z424" s="552"/>
    </row>
    <row r="425" spans="1:26" ht="12.75" customHeight="1">
      <c r="A425" s="553"/>
      <c r="B425" s="552"/>
      <c r="C425" s="554"/>
      <c r="D425" s="552"/>
      <c r="E425" s="552"/>
      <c r="F425" s="555"/>
      <c r="G425" s="552"/>
      <c r="H425" s="552"/>
      <c r="I425" s="552"/>
      <c r="J425" s="552"/>
      <c r="K425" s="552"/>
      <c r="L425" s="552"/>
      <c r="M425" s="552"/>
      <c r="N425" s="552"/>
      <c r="O425" s="552"/>
      <c r="P425" s="552"/>
      <c r="Q425" s="552"/>
      <c r="R425" s="552"/>
      <c r="S425" s="552"/>
      <c r="T425" s="552"/>
      <c r="U425" s="552"/>
      <c r="V425" s="552"/>
      <c r="W425" s="552"/>
      <c r="X425" s="552"/>
      <c r="Y425" s="552"/>
      <c r="Z425" s="552"/>
    </row>
    <row r="426" spans="1:26" ht="12.75" customHeight="1">
      <c r="A426" s="553"/>
      <c r="B426" s="552"/>
      <c r="C426" s="554"/>
      <c r="D426" s="552"/>
      <c r="E426" s="552"/>
      <c r="F426" s="555"/>
      <c r="G426" s="552"/>
      <c r="H426" s="552"/>
      <c r="I426" s="552"/>
      <c r="J426" s="552"/>
      <c r="K426" s="552"/>
      <c r="L426" s="552"/>
      <c r="M426" s="552"/>
      <c r="N426" s="552"/>
      <c r="O426" s="552"/>
      <c r="P426" s="552"/>
      <c r="Q426" s="552"/>
      <c r="R426" s="552"/>
      <c r="S426" s="552"/>
      <c r="T426" s="552"/>
      <c r="U426" s="552"/>
      <c r="V426" s="552"/>
      <c r="W426" s="552"/>
      <c r="X426" s="552"/>
      <c r="Y426" s="552"/>
      <c r="Z426" s="552"/>
    </row>
    <row r="427" spans="1:26" ht="12.75" customHeight="1">
      <c r="A427" s="553"/>
      <c r="B427" s="552"/>
      <c r="C427" s="554"/>
      <c r="D427" s="552"/>
      <c r="E427" s="552"/>
      <c r="F427" s="555"/>
      <c r="G427" s="552"/>
      <c r="H427" s="552"/>
      <c r="I427" s="552"/>
      <c r="J427" s="552"/>
      <c r="K427" s="552"/>
      <c r="L427" s="552"/>
      <c r="M427" s="552"/>
      <c r="N427" s="552"/>
      <c r="O427" s="552"/>
      <c r="P427" s="552"/>
      <c r="Q427" s="552"/>
      <c r="R427" s="552"/>
      <c r="S427" s="552"/>
      <c r="T427" s="552"/>
      <c r="U427" s="552"/>
      <c r="V427" s="552"/>
      <c r="W427" s="552"/>
      <c r="X427" s="552"/>
      <c r="Y427" s="552"/>
      <c r="Z427" s="552"/>
    </row>
    <row r="428" spans="1:26" ht="12.75" customHeight="1">
      <c r="A428" s="553"/>
      <c r="B428" s="552"/>
      <c r="C428" s="554"/>
      <c r="D428" s="552"/>
      <c r="E428" s="552"/>
      <c r="F428" s="555"/>
      <c r="G428" s="552"/>
      <c r="H428" s="552"/>
      <c r="I428" s="552"/>
      <c r="J428" s="552"/>
      <c r="K428" s="552"/>
      <c r="L428" s="552"/>
      <c r="M428" s="552"/>
      <c r="N428" s="552"/>
      <c r="O428" s="552"/>
      <c r="P428" s="552"/>
      <c r="Q428" s="552"/>
      <c r="R428" s="552"/>
      <c r="S428" s="552"/>
      <c r="T428" s="552"/>
      <c r="U428" s="552"/>
      <c r="V428" s="552"/>
      <c r="W428" s="552"/>
      <c r="X428" s="552"/>
      <c r="Y428" s="552"/>
      <c r="Z428" s="552"/>
    </row>
    <row r="429" spans="1:26" ht="12.75" customHeight="1">
      <c r="A429" s="553"/>
      <c r="B429" s="552"/>
      <c r="C429" s="554"/>
      <c r="D429" s="552"/>
      <c r="E429" s="552"/>
      <c r="F429" s="555"/>
      <c r="G429" s="552"/>
      <c r="H429" s="552"/>
      <c r="I429" s="552"/>
      <c r="J429" s="552"/>
      <c r="K429" s="552"/>
      <c r="L429" s="552"/>
      <c r="M429" s="552"/>
      <c r="N429" s="552"/>
      <c r="O429" s="552"/>
      <c r="P429" s="552"/>
      <c r="Q429" s="552"/>
      <c r="R429" s="552"/>
      <c r="S429" s="552"/>
      <c r="T429" s="552"/>
      <c r="U429" s="552"/>
      <c r="V429" s="552"/>
      <c r="W429" s="552"/>
      <c r="X429" s="552"/>
      <c r="Y429" s="552"/>
      <c r="Z429" s="552"/>
    </row>
    <row r="430" spans="1:26" ht="12.75" customHeight="1">
      <c r="A430" s="553"/>
      <c r="B430" s="552"/>
      <c r="C430" s="554"/>
      <c r="D430" s="552"/>
      <c r="E430" s="552"/>
      <c r="F430" s="555"/>
      <c r="G430" s="552"/>
      <c r="H430" s="552"/>
      <c r="I430" s="552"/>
      <c r="J430" s="552"/>
      <c r="K430" s="552"/>
      <c r="L430" s="552"/>
      <c r="M430" s="552"/>
      <c r="N430" s="552"/>
      <c r="O430" s="552"/>
      <c r="P430" s="552"/>
      <c r="Q430" s="552"/>
      <c r="R430" s="552"/>
      <c r="S430" s="552"/>
      <c r="T430" s="552"/>
      <c r="U430" s="552"/>
      <c r="V430" s="552"/>
      <c r="W430" s="552"/>
      <c r="X430" s="552"/>
      <c r="Y430" s="552"/>
      <c r="Z430" s="552"/>
    </row>
    <row r="431" spans="1:26" ht="12.75" customHeight="1">
      <c r="A431" s="553"/>
      <c r="B431" s="552"/>
      <c r="C431" s="554"/>
      <c r="D431" s="552"/>
      <c r="E431" s="552"/>
      <c r="F431" s="555"/>
      <c r="G431" s="552"/>
      <c r="H431" s="552"/>
      <c r="I431" s="552"/>
      <c r="J431" s="552"/>
      <c r="K431" s="552"/>
      <c r="L431" s="552"/>
      <c r="M431" s="552"/>
      <c r="N431" s="552"/>
      <c r="O431" s="552"/>
      <c r="P431" s="552"/>
      <c r="Q431" s="552"/>
      <c r="R431" s="552"/>
      <c r="S431" s="552"/>
      <c r="T431" s="552"/>
      <c r="U431" s="552"/>
      <c r="V431" s="552"/>
      <c r="W431" s="552"/>
      <c r="X431" s="552"/>
      <c r="Y431" s="552"/>
      <c r="Z431" s="552"/>
    </row>
    <row r="432" spans="1:26" ht="12.75" customHeight="1">
      <c r="A432" s="553"/>
      <c r="B432" s="552"/>
      <c r="C432" s="554"/>
      <c r="D432" s="552"/>
      <c r="E432" s="552"/>
      <c r="F432" s="555"/>
      <c r="G432" s="552"/>
      <c r="H432" s="552"/>
      <c r="I432" s="552"/>
      <c r="J432" s="552"/>
      <c r="K432" s="552"/>
      <c r="L432" s="552"/>
      <c r="M432" s="552"/>
      <c r="N432" s="552"/>
      <c r="O432" s="552"/>
      <c r="P432" s="552"/>
      <c r="Q432" s="552"/>
      <c r="R432" s="552"/>
      <c r="S432" s="552"/>
      <c r="T432" s="552"/>
      <c r="U432" s="552"/>
      <c r="V432" s="552"/>
      <c r="W432" s="552"/>
      <c r="X432" s="552"/>
      <c r="Y432" s="552"/>
      <c r="Z432" s="552"/>
    </row>
    <row r="433" spans="1:26" ht="12.75" customHeight="1">
      <c r="A433" s="553"/>
      <c r="B433" s="552"/>
      <c r="C433" s="554"/>
      <c r="D433" s="552"/>
      <c r="E433" s="552"/>
      <c r="F433" s="555"/>
      <c r="G433" s="552"/>
      <c r="H433" s="552"/>
      <c r="I433" s="552"/>
      <c r="J433" s="552"/>
      <c r="K433" s="552"/>
      <c r="L433" s="552"/>
      <c r="M433" s="552"/>
      <c r="N433" s="552"/>
      <c r="O433" s="552"/>
      <c r="P433" s="552"/>
      <c r="Q433" s="552"/>
      <c r="R433" s="552"/>
      <c r="S433" s="552"/>
      <c r="T433" s="552"/>
      <c r="U433" s="552"/>
      <c r="V433" s="552"/>
      <c r="W433" s="552"/>
      <c r="X433" s="552"/>
      <c r="Y433" s="552"/>
      <c r="Z433" s="552"/>
    </row>
    <row r="434" spans="1:26" ht="12.75" customHeight="1">
      <c r="A434" s="553"/>
      <c r="B434" s="552"/>
      <c r="C434" s="554"/>
      <c r="D434" s="552"/>
      <c r="E434" s="552"/>
      <c r="F434" s="555"/>
      <c r="G434" s="552"/>
      <c r="H434" s="552"/>
      <c r="I434" s="552"/>
      <c r="J434" s="552"/>
      <c r="K434" s="552"/>
      <c r="L434" s="552"/>
      <c r="M434" s="552"/>
      <c r="N434" s="552"/>
      <c r="O434" s="552"/>
      <c r="P434" s="552"/>
      <c r="Q434" s="552"/>
      <c r="R434" s="552"/>
      <c r="S434" s="552"/>
      <c r="T434" s="552"/>
      <c r="U434" s="552"/>
      <c r="V434" s="552"/>
      <c r="W434" s="552"/>
      <c r="X434" s="552"/>
      <c r="Y434" s="552"/>
      <c r="Z434" s="552"/>
    </row>
    <row r="435" spans="1:26" ht="12.75" customHeight="1">
      <c r="A435" s="553"/>
      <c r="B435" s="552"/>
      <c r="C435" s="554"/>
      <c r="D435" s="552"/>
      <c r="E435" s="552"/>
      <c r="F435" s="555"/>
      <c r="G435" s="552"/>
      <c r="H435" s="552"/>
      <c r="I435" s="552"/>
      <c r="J435" s="552"/>
      <c r="K435" s="552"/>
      <c r="L435" s="552"/>
      <c r="M435" s="552"/>
      <c r="N435" s="552"/>
      <c r="O435" s="552"/>
      <c r="P435" s="552"/>
      <c r="Q435" s="552"/>
      <c r="R435" s="552"/>
      <c r="S435" s="552"/>
      <c r="T435" s="552"/>
      <c r="U435" s="552"/>
      <c r="V435" s="552"/>
      <c r="W435" s="552"/>
      <c r="X435" s="552"/>
      <c r="Y435" s="552"/>
      <c r="Z435" s="552"/>
    </row>
    <row r="436" spans="1:26" ht="12.75" customHeight="1">
      <c r="A436" s="553"/>
      <c r="B436" s="552"/>
      <c r="C436" s="554"/>
      <c r="D436" s="552"/>
      <c r="E436" s="552"/>
      <c r="F436" s="555"/>
      <c r="G436" s="552"/>
      <c r="H436" s="552"/>
      <c r="I436" s="552"/>
      <c r="J436" s="552"/>
      <c r="K436" s="552"/>
      <c r="L436" s="552"/>
      <c r="M436" s="552"/>
      <c r="N436" s="552"/>
      <c r="O436" s="552"/>
      <c r="P436" s="552"/>
      <c r="Q436" s="552"/>
      <c r="R436" s="552"/>
      <c r="S436" s="552"/>
      <c r="T436" s="552"/>
      <c r="U436" s="552"/>
      <c r="V436" s="552"/>
      <c r="W436" s="552"/>
      <c r="X436" s="552"/>
      <c r="Y436" s="552"/>
      <c r="Z436" s="552"/>
    </row>
    <row r="437" spans="1:26" ht="12.75" customHeight="1">
      <c r="A437" s="553"/>
      <c r="B437" s="552"/>
      <c r="C437" s="554"/>
      <c r="D437" s="552"/>
      <c r="E437" s="552"/>
      <c r="F437" s="555"/>
      <c r="G437" s="552"/>
      <c r="H437" s="552"/>
      <c r="I437" s="552"/>
      <c r="J437" s="552"/>
      <c r="K437" s="552"/>
      <c r="L437" s="552"/>
      <c r="M437" s="552"/>
      <c r="N437" s="552"/>
      <c r="O437" s="552"/>
      <c r="P437" s="552"/>
      <c r="Q437" s="552"/>
      <c r="R437" s="552"/>
      <c r="S437" s="552"/>
      <c r="T437" s="552"/>
      <c r="U437" s="552"/>
      <c r="V437" s="552"/>
      <c r="W437" s="552"/>
      <c r="X437" s="552"/>
      <c r="Y437" s="552"/>
      <c r="Z437" s="552"/>
    </row>
    <row r="438" spans="1:26" ht="12.75" customHeight="1">
      <c r="A438" s="553"/>
      <c r="B438" s="552"/>
      <c r="C438" s="554"/>
      <c r="D438" s="552"/>
      <c r="E438" s="552"/>
      <c r="F438" s="555"/>
      <c r="G438" s="552"/>
      <c r="H438" s="552"/>
      <c r="I438" s="552"/>
      <c r="J438" s="552"/>
      <c r="K438" s="552"/>
      <c r="L438" s="552"/>
      <c r="M438" s="552"/>
      <c r="N438" s="552"/>
      <c r="O438" s="552"/>
      <c r="P438" s="552"/>
      <c r="Q438" s="552"/>
      <c r="R438" s="552"/>
      <c r="S438" s="552"/>
      <c r="T438" s="552"/>
      <c r="U438" s="552"/>
      <c r="V438" s="552"/>
      <c r="W438" s="552"/>
      <c r="X438" s="552"/>
      <c r="Y438" s="552"/>
      <c r="Z438" s="552"/>
    </row>
    <row r="439" spans="1:26" ht="12.75" customHeight="1">
      <c r="A439" s="553"/>
      <c r="B439" s="552"/>
      <c r="C439" s="554"/>
      <c r="D439" s="552"/>
      <c r="E439" s="552"/>
      <c r="F439" s="555"/>
      <c r="G439" s="552"/>
      <c r="H439" s="552"/>
      <c r="I439" s="552"/>
      <c r="J439" s="552"/>
      <c r="K439" s="552"/>
      <c r="L439" s="552"/>
      <c r="M439" s="552"/>
      <c r="N439" s="552"/>
      <c r="O439" s="552"/>
      <c r="P439" s="552"/>
      <c r="Q439" s="552"/>
      <c r="R439" s="552"/>
      <c r="S439" s="552"/>
      <c r="T439" s="552"/>
      <c r="U439" s="552"/>
      <c r="V439" s="552"/>
      <c r="W439" s="552"/>
      <c r="X439" s="552"/>
      <c r="Y439" s="552"/>
      <c r="Z439" s="552"/>
    </row>
    <row r="440" spans="1:26" ht="12.75" customHeight="1">
      <c r="A440" s="553"/>
      <c r="B440" s="552"/>
      <c r="C440" s="554"/>
      <c r="D440" s="552"/>
      <c r="E440" s="552"/>
      <c r="F440" s="555"/>
      <c r="G440" s="552"/>
      <c r="H440" s="552"/>
      <c r="I440" s="552"/>
      <c r="J440" s="552"/>
      <c r="K440" s="552"/>
      <c r="L440" s="552"/>
      <c r="M440" s="552"/>
      <c r="N440" s="552"/>
      <c r="O440" s="552"/>
      <c r="P440" s="552"/>
      <c r="Q440" s="552"/>
      <c r="R440" s="552"/>
      <c r="S440" s="552"/>
      <c r="T440" s="552"/>
      <c r="U440" s="552"/>
      <c r="V440" s="552"/>
      <c r="W440" s="552"/>
      <c r="X440" s="552"/>
      <c r="Y440" s="552"/>
      <c r="Z440" s="552"/>
    </row>
    <row r="441" spans="1:26" ht="12.75" customHeight="1">
      <c r="A441" s="553"/>
      <c r="B441" s="552"/>
      <c r="C441" s="554"/>
      <c r="D441" s="552"/>
      <c r="E441" s="552"/>
      <c r="F441" s="555"/>
      <c r="G441" s="552"/>
      <c r="H441" s="552"/>
      <c r="I441" s="552"/>
      <c r="J441" s="552"/>
      <c r="K441" s="552"/>
      <c r="L441" s="552"/>
      <c r="M441" s="552"/>
      <c r="N441" s="552"/>
      <c r="O441" s="552"/>
      <c r="P441" s="552"/>
      <c r="Q441" s="552"/>
      <c r="R441" s="552"/>
      <c r="S441" s="552"/>
      <c r="T441" s="552"/>
      <c r="U441" s="552"/>
      <c r="V441" s="552"/>
      <c r="W441" s="552"/>
      <c r="X441" s="552"/>
      <c r="Y441" s="552"/>
      <c r="Z441" s="552"/>
    </row>
    <row r="442" spans="1:26" ht="12.75" customHeight="1">
      <c r="A442" s="553"/>
      <c r="B442" s="552"/>
      <c r="C442" s="554"/>
      <c r="D442" s="552"/>
      <c r="E442" s="552"/>
      <c r="F442" s="555"/>
      <c r="G442" s="552"/>
      <c r="H442" s="552"/>
      <c r="I442" s="552"/>
      <c r="J442" s="552"/>
      <c r="K442" s="552"/>
      <c r="L442" s="552"/>
      <c r="M442" s="552"/>
      <c r="N442" s="552"/>
      <c r="O442" s="552"/>
      <c r="P442" s="552"/>
      <c r="Q442" s="552"/>
      <c r="R442" s="552"/>
      <c r="S442" s="552"/>
      <c r="T442" s="552"/>
      <c r="U442" s="552"/>
      <c r="V442" s="552"/>
      <c r="W442" s="552"/>
      <c r="X442" s="552"/>
      <c r="Y442" s="552"/>
      <c r="Z442" s="552"/>
    </row>
    <row r="443" spans="1:26" ht="12.75" customHeight="1">
      <c r="A443" s="553"/>
      <c r="B443" s="552"/>
      <c r="C443" s="554"/>
      <c r="D443" s="552"/>
      <c r="E443" s="552"/>
      <c r="F443" s="555"/>
      <c r="G443" s="552"/>
      <c r="H443" s="552"/>
      <c r="I443" s="552"/>
      <c r="J443" s="552"/>
      <c r="K443" s="552"/>
      <c r="L443" s="552"/>
      <c r="M443" s="552"/>
      <c r="N443" s="552"/>
      <c r="O443" s="552"/>
      <c r="P443" s="552"/>
      <c r="Q443" s="552"/>
      <c r="R443" s="552"/>
      <c r="S443" s="552"/>
      <c r="T443" s="552"/>
      <c r="U443" s="552"/>
      <c r="V443" s="552"/>
      <c r="W443" s="552"/>
      <c r="X443" s="552"/>
      <c r="Y443" s="552"/>
      <c r="Z443" s="552"/>
    </row>
    <row r="444" spans="1:26" ht="12.75" customHeight="1">
      <c r="A444" s="553"/>
      <c r="B444" s="552"/>
      <c r="C444" s="554"/>
      <c r="D444" s="552"/>
      <c r="E444" s="552"/>
      <c r="F444" s="555"/>
      <c r="G444" s="552"/>
      <c r="H444" s="552"/>
      <c r="I444" s="552"/>
      <c r="J444" s="552"/>
      <c r="K444" s="552"/>
      <c r="L444" s="552"/>
      <c r="M444" s="552"/>
      <c r="N444" s="552"/>
      <c r="O444" s="552"/>
      <c r="P444" s="552"/>
      <c r="Q444" s="552"/>
      <c r="R444" s="552"/>
      <c r="S444" s="552"/>
      <c r="T444" s="552"/>
      <c r="U444" s="552"/>
      <c r="V444" s="552"/>
      <c r="W444" s="552"/>
      <c r="X444" s="552"/>
      <c r="Y444" s="552"/>
      <c r="Z444" s="552"/>
    </row>
    <row r="445" spans="1:26" ht="12.75" customHeight="1">
      <c r="A445" s="553"/>
      <c r="B445" s="552"/>
      <c r="C445" s="554"/>
      <c r="D445" s="552"/>
      <c r="E445" s="552"/>
      <c r="F445" s="555"/>
      <c r="G445" s="552"/>
      <c r="H445" s="552"/>
      <c r="I445" s="552"/>
      <c r="J445" s="552"/>
      <c r="K445" s="552"/>
      <c r="L445" s="552"/>
      <c r="M445" s="552"/>
      <c r="N445" s="552"/>
      <c r="O445" s="552"/>
      <c r="P445" s="552"/>
      <c r="Q445" s="552"/>
      <c r="R445" s="552"/>
      <c r="S445" s="552"/>
      <c r="T445" s="552"/>
      <c r="U445" s="552"/>
      <c r="V445" s="552"/>
      <c r="W445" s="552"/>
      <c r="X445" s="552"/>
      <c r="Y445" s="552"/>
      <c r="Z445" s="552"/>
    </row>
    <row r="446" spans="1:26" ht="12.75" customHeight="1">
      <c r="A446" s="553"/>
      <c r="B446" s="552"/>
      <c r="C446" s="554"/>
      <c r="D446" s="552"/>
      <c r="E446" s="552"/>
      <c r="F446" s="555"/>
      <c r="G446" s="552"/>
      <c r="H446" s="552"/>
      <c r="I446" s="552"/>
      <c r="J446" s="552"/>
      <c r="K446" s="552"/>
      <c r="L446" s="552"/>
      <c r="M446" s="552"/>
      <c r="N446" s="552"/>
      <c r="O446" s="552"/>
      <c r="P446" s="552"/>
      <c r="Q446" s="552"/>
      <c r="R446" s="552"/>
      <c r="S446" s="552"/>
      <c r="T446" s="552"/>
      <c r="U446" s="552"/>
      <c r="V446" s="552"/>
      <c r="W446" s="552"/>
      <c r="X446" s="552"/>
      <c r="Y446" s="552"/>
      <c r="Z446" s="552"/>
    </row>
    <row r="447" spans="1:26" ht="12.75" customHeight="1">
      <c r="A447" s="553"/>
      <c r="B447" s="552"/>
      <c r="C447" s="554"/>
      <c r="D447" s="552"/>
      <c r="E447" s="552"/>
      <c r="F447" s="555"/>
      <c r="G447" s="552"/>
      <c r="H447" s="552"/>
      <c r="I447" s="552"/>
      <c r="J447" s="552"/>
      <c r="K447" s="552"/>
      <c r="L447" s="552"/>
      <c r="M447" s="552"/>
      <c r="N447" s="552"/>
      <c r="O447" s="552"/>
      <c r="P447" s="552"/>
      <c r="Q447" s="552"/>
      <c r="R447" s="552"/>
      <c r="S447" s="552"/>
      <c r="T447" s="552"/>
      <c r="U447" s="552"/>
      <c r="V447" s="552"/>
      <c r="W447" s="552"/>
      <c r="X447" s="552"/>
      <c r="Y447" s="552"/>
      <c r="Z447" s="552"/>
    </row>
    <row r="448" spans="1:26" ht="12.75" customHeight="1">
      <c r="A448" s="553"/>
      <c r="B448" s="552"/>
      <c r="C448" s="554"/>
      <c r="D448" s="552"/>
      <c r="E448" s="552"/>
      <c r="F448" s="555"/>
      <c r="G448" s="552"/>
      <c r="H448" s="552"/>
      <c r="I448" s="552"/>
      <c r="J448" s="552"/>
      <c r="K448" s="552"/>
      <c r="L448" s="552"/>
      <c r="M448" s="552"/>
      <c r="N448" s="552"/>
      <c r="O448" s="552"/>
      <c r="P448" s="552"/>
      <c r="Q448" s="552"/>
      <c r="R448" s="552"/>
      <c r="S448" s="552"/>
      <c r="T448" s="552"/>
      <c r="U448" s="552"/>
      <c r="V448" s="552"/>
      <c r="W448" s="552"/>
      <c r="X448" s="552"/>
      <c r="Y448" s="552"/>
      <c r="Z448" s="552"/>
    </row>
    <row r="449" spans="1:26" ht="12.75" customHeight="1">
      <c r="A449" s="553"/>
      <c r="B449" s="552"/>
      <c r="C449" s="554"/>
      <c r="D449" s="552"/>
      <c r="E449" s="552"/>
      <c r="F449" s="555"/>
      <c r="G449" s="552"/>
      <c r="H449" s="552"/>
      <c r="I449" s="552"/>
      <c r="J449" s="552"/>
      <c r="K449" s="552"/>
      <c r="L449" s="552"/>
      <c r="M449" s="552"/>
      <c r="N449" s="552"/>
      <c r="O449" s="552"/>
      <c r="P449" s="552"/>
      <c r="Q449" s="552"/>
      <c r="R449" s="552"/>
      <c r="S449" s="552"/>
      <c r="T449" s="552"/>
      <c r="U449" s="552"/>
      <c r="V449" s="552"/>
      <c r="W449" s="552"/>
      <c r="X449" s="552"/>
      <c r="Y449" s="552"/>
      <c r="Z449" s="552"/>
    </row>
    <row r="450" spans="1:26" ht="12.75" customHeight="1">
      <c r="A450" s="553"/>
      <c r="B450" s="552"/>
      <c r="C450" s="554"/>
      <c r="D450" s="552"/>
      <c r="E450" s="552"/>
      <c r="F450" s="555"/>
      <c r="G450" s="552"/>
      <c r="H450" s="552"/>
      <c r="I450" s="552"/>
      <c r="J450" s="552"/>
      <c r="K450" s="552"/>
      <c r="L450" s="552"/>
      <c r="M450" s="552"/>
      <c r="N450" s="552"/>
      <c r="O450" s="552"/>
      <c r="P450" s="552"/>
      <c r="Q450" s="552"/>
      <c r="R450" s="552"/>
      <c r="S450" s="552"/>
      <c r="T450" s="552"/>
      <c r="U450" s="552"/>
      <c r="V450" s="552"/>
      <c r="W450" s="552"/>
      <c r="X450" s="552"/>
      <c r="Y450" s="552"/>
      <c r="Z450" s="552"/>
    </row>
    <row r="451" spans="1:26" ht="12.75" customHeight="1">
      <c r="A451" s="553"/>
      <c r="B451" s="552"/>
      <c r="C451" s="554"/>
      <c r="D451" s="552"/>
      <c r="E451" s="552"/>
      <c r="F451" s="555"/>
      <c r="G451" s="552"/>
      <c r="H451" s="552"/>
      <c r="I451" s="552"/>
      <c r="J451" s="552"/>
      <c r="K451" s="552"/>
      <c r="L451" s="552"/>
      <c r="M451" s="552"/>
      <c r="N451" s="552"/>
      <c r="O451" s="552"/>
      <c r="P451" s="552"/>
      <c r="Q451" s="552"/>
      <c r="R451" s="552"/>
      <c r="S451" s="552"/>
      <c r="T451" s="552"/>
      <c r="U451" s="552"/>
      <c r="V451" s="552"/>
      <c r="W451" s="552"/>
      <c r="X451" s="552"/>
      <c r="Y451" s="552"/>
      <c r="Z451" s="552"/>
    </row>
    <row r="452" spans="1:26" ht="12.75" customHeight="1">
      <c r="A452" s="553"/>
      <c r="B452" s="552"/>
      <c r="C452" s="554"/>
      <c r="D452" s="552"/>
      <c r="E452" s="552"/>
      <c r="F452" s="555"/>
      <c r="G452" s="552"/>
      <c r="H452" s="552"/>
      <c r="I452" s="552"/>
      <c r="J452" s="552"/>
      <c r="K452" s="552"/>
      <c r="L452" s="552"/>
      <c r="M452" s="552"/>
      <c r="N452" s="552"/>
      <c r="O452" s="552"/>
      <c r="P452" s="552"/>
      <c r="Q452" s="552"/>
      <c r="R452" s="552"/>
      <c r="S452" s="552"/>
      <c r="T452" s="552"/>
      <c r="U452" s="552"/>
      <c r="V452" s="552"/>
      <c r="W452" s="552"/>
      <c r="X452" s="552"/>
      <c r="Y452" s="552"/>
      <c r="Z452" s="552"/>
    </row>
    <row r="453" spans="1:26" ht="12.75" customHeight="1">
      <c r="A453" s="553"/>
      <c r="B453" s="552"/>
      <c r="C453" s="554"/>
      <c r="D453" s="552"/>
      <c r="E453" s="552"/>
      <c r="F453" s="555"/>
      <c r="G453" s="552"/>
      <c r="H453" s="552"/>
      <c r="I453" s="552"/>
      <c r="J453" s="552"/>
      <c r="K453" s="552"/>
      <c r="L453" s="552"/>
      <c r="M453" s="552"/>
      <c r="N453" s="552"/>
      <c r="O453" s="552"/>
      <c r="P453" s="552"/>
      <c r="Q453" s="552"/>
      <c r="R453" s="552"/>
      <c r="S453" s="552"/>
      <c r="T453" s="552"/>
      <c r="U453" s="552"/>
      <c r="V453" s="552"/>
      <c r="W453" s="552"/>
      <c r="X453" s="552"/>
      <c r="Y453" s="552"/>
      <c r="Z453" s="552"/>
    </row>
    <row r="454" spans="1:26" ht="12.75" customHeight="1">
      <c r="A454" s="553"/>
      <c r="B454" s="552"/>
      <c r="C454" s="554"/>
      <c r="D454" s="552"/>
      <c r="E454" s="552"/>
      <c r="F454" s="555"/>
      <c r="G454" s="552"/>
      <c r="H454" s="552"/>
      <c r="I454" s="552"/>
      <c r="J454" s="552"/>
      <c r="K454" s="552"/>
      <c r="L454" s="552"/>
      <c r="M454" s="552"/>
      <c r="N454" s="552"/>
      <c r="O454" s="552"/>
      <c r="P454" s="552"/>
      <c r="Q454" s="552"/>
      <c r="R454" s="552"/>
      <c r="S454" s="552"/>
      <c r="T454" s="552"/>
      <c r="U454" s="552"/>
      <c r="V454" s="552"/>
      <c r="W454" s="552"/>
      <c r="X454" s="552"/>
      <c r="Y454" s="552"/>
      <c r="Z454" s="552"/>
    </row>
    <row r="455" spans="1:26" ht="12.75" customHeight="1">
      <c r="A455" s="553"/>
      <c r="B455" s="552"/>
      <c r="C455" s="554"/>
      <c r="D455" s="552"/>
      <c r="E455" s="552"/>
      <c r="F455" s="555"/>
      <c r="G455" s="552"/>
      <c r="H455" s="552"/>
      <c r="I455" s="552"/>
      <c r="J455" s="552"/>
      <c r="K455" s="552"/>
      <c r="L455" s="552"/>
      <c r="M455" s="552"/>
      <c r="N455" s="552"/>
      <c r="O455" s="552"/>
      <c r="P455" s="552"/>
      <c r="Q455" s="552"/>
      <c r="R455" s="552"/>
      <c r="S455" s="552"/>
      <c r="T455" s="552"/>
      <c r="U455" s="552"/>
      <c r="V455" s="552"/>
      <c r="W455" s="552"/>
      <c r="X455" s="552"/>
      <c r="Y455" s="552"/>
      <c r="Z455" s="552"/>
    </row>
    <row r="456" spans="1:26" ht="12.75" customHeight="1">
      <c r="A456" s="553"/>
      <c r="B456" s="552"/>
      <c r="C456" s="554"/>
      <c r="D456" s="552"/>
      <c r="E456" s="552"/>
      <c r="F456" s="555"/>
      <c r="G456" s="552"/>
      <c r="H456" s="552"/>
      <c r="I456" s="552"/>
      <c r="J456" s="552"/>
      <c r="K456" s="552"/>
      <c r="L456" s="552"/>
      <c r="M456" s="552"/>
      <c r="N456" s="552"/>
      <c r="O456" s="552"/>
      <c r="P456" s="552"/>
      <c r="Q456" s="552"/>
      <c r="R456" s="552"/>
      <c r="S456" s="552"/>
      <c r="T456" s="552"/>
      <c r="U456" s="552"/>
      <c r="V456" s="552"/>
      <c r="W456" s="552"/>
      <c r="X456" s="552"/>
      <c r="Y456" s="552"/>
      <c r="Z456" s="552"/>
    </row>
    <row r="457" spans="1:26" ht="12.75" customHeight="1">
      <c r="A457" s="553"/>
      <c r="B457" s="552"/>
      <c r="C457" s="554"/>
      <c r="D457" s="552"/>
      <c r="E457" s="552"/>
      <c r="F457" s="555"/>
      <c r="G457" s="552"/>
      <c r="H457" s="552"/>
      <c r="I457" s="552"/>
      <c r="J457" s="552"/>
      <c r="K457" s="552"/>
      <c r="L457" s="552"/>
      <c r="M457" s="552"/>
      <c r="N457" s="552"/>
      <c r="O457" s="552"/>
      <c r="P457" s="552"/>
      <c r="Q457" s="552"/>
      <c r="R457" s="552"/>
      <c r="S457" s="552"/>
      <c r="T457" s="552"/>
      <c r="U457" s="552"/>
      <c r="V457" s="552"/>
      <c r="W457" s="552"/>
      <c r="X457" s="552"/>
      <c r="Y457" s="552"/>
      <c r="Z457" s="552"/>
    </row>
    <row r="458" spans="1:26" ht="12.75" customHeight="1">
      <c r="A458" s="553"/>
      <c r="B458" s="552"/>
      <c r="C458" s="554"/>
      <c r="D458" s="552"/>
      <c r="E458" s="552"/>
      <c r="F458" s="555"/>
      <c r="G458" s="552"/>
      <c r="H458" s="552"/>
      <c r="I458" s="552"/>
      <c r="J458" s="552"/>
      <c r="K458" s="552"/>
      <c r="L458" s="552"/>
      <c r="M458" s="552"/>
      <c r="N458" s="552"/>
      <c r="O458" s="552"/>
      <c r="P458" s="552"/>
      <c r="Q458" s="552"/>
      <c r="R458" s="552"/>
      <c r="S458" s="552"/>
      <c r="T458" s="552"/>
      <c r="U458" s="552"/>
      <c r="V458" s="552"/>
      <c r="W458" s="552"/>
      <c r="X458" s="552"/>
      <c r="Y458" s="552"/>
      <c r="Z458" s="552"/>
    </row>
    <row r="459" spans="1:26" ht="12.75" customHeight="1">
      <c r="A459" s="553"/>
      <c r="B459" s="552"/>
      <c r="C459" s="554"/>
      <c r="D459" s="552"/>
      <c r="E459" s="552"/>
      <c r="F459" s="555"/>
      <c r="G459" s="552"/>
      <c r="H459" s="552"/>
      <c r="I459" s="552"/>
      <c r="J459" s="552"/>
      <c r="K459" s="552"/>
      <c r="L459" s="552"/>
      <c r="M459" s="552"/>
      <c r="N459" s="552"/>
      <c r="O459" s="552"/>
      <c r="P459" s="552"/>
      <c r="Q459" s="552"/>
      <c r="R459" s="552"/>
      <c r="S459" s="552"/>
      <c r="T459" s="552"/>
      <c r="U459" s="552"/>
      <c r="V459" s="552"/>
      <c r="W459" s="552"/>
      <c r="X459" s="552"/>
      <c r="Y459" s="552"/>
      <c r="Z459" s="552"/>
    </row>
    <row r="460" spans="1:26" ht="12.75" customHeight="1">
      <c r="A460" s="553"/>
      <c r="B460" s="552"/>
      <c r="C460" s="554"/>
      <c r="D460" s="552"/>
      <c r="E460" s="552"/>
      <c r="F460" s="555"/>
      <c r="G460" s="552"/>
      <c r="H460" s="552"/>
      <c r="I460" s="552"/>
      <c r="J460" s="552"/>
      <c r="K460" s="552"/>
      <c r="L460" s="552"/>
      <c r="M460" s="552"/>
      <c r="N460" s="552"/>
      <c r="O460" s="552"/>
      <c r="P460" s="552"/>
      <c r="Q460" s="552"/>
      <c r="R460" s="552"/>
      <c r="S460" s="552"/>
      <c r="T460" s="552"/>
      <c r="U460" s="552"/>
      <c r="V460" s="552"/>
      <c r="W460" s="552"/>
      <c r="X460" s="552"/>
      <c r="Y460" s="552"/>
      <c r="Z460" s="552"/>
    </row>
    <row r="461" spans="1:26" ht="12.75" customHeight="1">
      <c r="A461" s="553"/>
      <c r="B461" s="552"/>
      <c r="C461" s="554"/>
      <c r="D461" s="552"/>
      <c r="E461" s="552"/>
      <c r="F461" s="555"/>
      <c r="G461" s="552"/>
      <c r="H461" s="552"/>
      <c r="I461" s="552"/>
      <c r="J461" s="552"/>
      <c r="K461" s="552"/>
      <c r="L461" s="552"/>
      <c r="M461" s="552"/>
      <c r="N461" s="552"/>
      <c r="O461" s="552"/>
      <c r="P461" s="552"/>
      <c r="Q461" s="552"/>
      <c r="R461" s="552"/>
      <c r="S461" s="552"/>
      <c r="T461" s="552"/>
      <c r="U461" s="552"/>
      <c r="V461" s="552"/>
      <c r="W461" s="552"/>
      <c r="X461" s="552"/>
      <c r="Y461" s="552"/>
      <c r="Z461" s="552"/>
    </row>
    <row r="462" spans="1:26" ht="12.75" customHeight="1">
      <c r="A462" s="553"/>
      <c r="B462" s="552"/>
      <c r="C462" s="554"/>
      <c r="D462" s="552"/>
      <c r="E462" s="552"/>
      <c r="F462" s="555"/>
      <c r="G462" s="552"/>
      <c r="H462" s="552"/>
      <c r="I462" s="552"/>
      <c r="J462" s="552"/>
      <c r="K462" s="552"/>
      <c r="L462" s="552"/>
      <c r="M462" s="552"/>
      <c r="N462" s="552"/>
      <c r="O462" s="552"/>
      <c r="P462" s="552"/>
      <c r="Q462" s="552"/>
      <c r="R462" s="552"/>
      <c r="S462" s="552"/>
      <c r="T462" s="552"/>
      <c r="U462" s="552"/>
      <c r="V462" s="552"/>
      <c r="W462" s="552"/>
      <c r="X462" s="552"/>
      <c r="Y462" s="552"/>
      <c r="Z462" s="552"/>
    </row>
    <row r="463" spans="1:26" ht="12.75" customHeight="1">
      <c r="A463" s="553"/>
      <c r="B463" s="552"/>
      <c r="C463" s="554"/>
      <c r="D463" s="552"/>
      <c r="E463" s="552"/>
      <c r="F463" s="555"/>
      <c r="G463" s="552"/>
      <c r="H463" s="552"/>
      <c r="I463" s="552"/>
      <c r="J463" s="552"/>
      <c r="K463" s="552"/>
      <c r="L463" s="552"/>
      <c r="M463" s="552"/>
      <c r="N463" s="552"/>
      <c r="O463" s="552"/>
      <c r="P463" s="552"/>
      <c r="Q463" s="552"/>
      <c r="R463" s="552"/>
      <c r="S463" s="552"/>
      <c r="T463" s="552"/>
      <c r="U463" s="552"/>
      <c r="V463" s="552"/>
      <c r="W463" s="552"/>
      <c r="X463" s="552"/>
      <c r="Y463" s="552"/>
      <c r="Z463" s="552"/>
    </row>
    <row r="464" spans="1:26" ht="12.75" customHeight="1">
      <c r="A464" s="553"/>
      <c r="B464" s="552"/>
      <c r="C464" s="554"/>
      <c r="D464" s="552"/>
      <c r="E464" s="552"/>
      <c r="F464" s="555"/>
      <c r="G464" s="552"/>
      <c r="H464" s="552"/>
      <c r="I464" s="552"/>
      <c r="J464" s="552"/>
      <c r="K464" s="552"/>
      <c r="L464" s="552"/>
      <c r="M464" s="552"/>
      <c r="N464" s="552"/>
      <c r="O464" s="552"/>
      <c r="P464" s="552"/>
      <c r="Q464" s="552"/>
      <c r="R464" s="552"/>
      <c r="S464" s="552"/>
      <c r="T464" s="552"/>
      <c r="U464" s="552"/>
      <c r="V464" s="552"/>
      <c r="W464" s="552"/>
      <c r="X464" s="552"/>
      <c r="Y464" s="552"/>
      <c r="Z464" s="552"/>
    </row>
    <row r="465" spans="1:26" ht="12.75" customHeight="1">
      <c r="A465" s="553"/>
      <c r="B465" s="552"/>
      <c r="C465" s="554"/>
      <c r="D465" s="552"/>
      <c r="E465" s="552"/>
      <c r="F465" s="555"/>
      <c r="G465" s="552"/>
      <c r="H465" s="552"/>
      <c r="I465" s="552"/>
      <c r="J465" s="552"/>
      <c r="K465" s="552"/>
      <c r="L465" s="552"/>
      <c r="M465" s="552"/>
      <c r="N465" s="552"/>
      <c r="O465" s="552"/>
      <c r="P465" s="552"/>
      <c r="Q465" s="552"/>
      <c r="R465" s="552"/>
      <c r="S465" s="552"/>
      <c r="T465" s="552"/>
      <c r="U465" s="552"/>
      <c r="V465" s="552"/>
      <c r="W465" s="552"/>
      <c r="X465" s="552"/>
      <c r="Y465" s="552"/>
      <c r="Z465" s="552"/>
    </row>
    <row r="466" spans="1:26" ht="12.75" customHeight="1">
      <c r="A466" s="553"/>
      <c r="B466" s="552"/>
      <c r="C466" s="554"/>
      <c r="D466" s="552"/>
      <c r="E466" s="552"/>
      <c r="F466" s="555"/>
      <c r="G466" s="552"/>
      <c r="H466" s="552"/>
      <c r="I466" s="552"/>
      <c r="J466" s="552"/>
      <c r="K466" s="552"/>
      <c r="L466" s="552"/>
      <c r="M466" s="552"/>
      <c r="N466" s="552"/>
      <c r="O466" s="552"/>
      <c r="P466" s="552"/>
      <c r="Q466" s="552"/>
      <c r="R466" s="552"/>
      <c r="S466" s="552"/>
      <c r="T466" s="552"/>
      <c r="U466" s="552"/>
      <c r="V466" s="552"/>
      <c r="W466" s="552"/>
      <c r="X466" s="552"/>
      <c r="Y466" s="552"/>
      <c r="Z466" s="552"/>
    </row>
    <row r="467" spans="1:26" ht="12.75" customHeight="1">
      <c r="A467" s="553"/>
      <c r="B467" s="552"/>
      <c r="C467" s="554"/>
      <c r="D467" s="552"/>
      <c r="E467" s="552"/>
      <c r="F467" s="555"/>
      <c r="G467" s="552"/>
      <c r="H467" s="552"/>
      <c r="I467" s="552"/>
      <c r="J467" s="552"/>
      <c r="K467" s="552"/>
      <c r="L467" s="552"/>
      <c r="M467" s="552"/>
      <c r="N467" s="552"/>
      <c r="O467" s="552"/>
      <c r="P467" s="552"/>
      <c r="Q467" s="552"/>
      <c r="R467" s="552"/>
      <c r="S467" s="552"/>
      <c r="T467" s="552"/>
      <c r="U467" s="552"/>
      <c r="V467" s="552"/>
      <c r="W467" s="552"/>
      <c r="X467" s="552"/>
      <c r="Y467" s="552"/>
      <c r="Z467" s="552"/>
    </row>
    <row r="468" spans="1:26" ht="12.75" customHeight="1">
      <c r="A468" s="553"/>
      <c r="B468" s="552"/>
      <c r="C468" s="554"/>
      <c r="D468" s="552"/>
      <c r="E468" s="552"/>
      <c r="F468" s="555"/>
      <c r="G468" s="552"/>
      <c r="H468" s="552"/>
      <c r="I468" s="552"/>
      <c r="J468" s="552"/>
      <c r="K468" s="552"/>
      <c r="L468" s="552"/>
      <c r="M468" s="552"/>
      <c r="N468" s="552"/>
      <c r="O468" s="552"/>
      <c r="P468" s="552"/>
      <c r="Q468" s="552"/>
      <c r="R468" s="552"/>
      <c r="S468" s="552"/>
      <c r="T468" s="552"/>
      <c r="U468" s="552"/>
      <c r="V468" s="552"/>
      <c r="W468" s="552"/>
      <c r="X468" s="552"/>
      <c r="Y468" s="552"/>
      <c r="Z468" s="552"/>
    </row>
    <row r="469" spans="1:26" ht="12.75" customHeight="1">
      <c r="A469" s="553"/>
      <c r="B469" s="552"/>
      <c r="C469" s="554"/>
      <c r="D469" s="552"/>
      <c r="E469" s="552"/>
      <c r="F469" s="555"/>
      <c r="G469" s="552"/>
      <c r="H469" s="552"/>
      <c r="I469" s="552"/>
      <c r="J469" s="552"/>
      <c r="K469" s="552"/>
      <c r="L469" s="552"/>
      <c r="M469" s="552"/>
      <c r="N469" s="552"/>
      <c r="O469" s="552"/>
      <c r="P469" s="552"/>
      <c r="Q469" s="552"/>
      <c r="R469" s="552"/>
      <c r="S469" s="552"/>
      <c r="T469" s="552"/>
      <c r="U469" s="552"/>
      <c r="V469" s="552"/>
      <c r="W469" s="552"/>
      <c r="X469" s="552"/>
      <c r="Y469" s="552"/>
      <c r="Z469" s="552"/>
    </row>
    <row r="470" spans="1:26" ht="12.75" customHeight="1">
      <c r="A470" s="553"/>
      <c r="B470" s="552"/>
      <c r="C470" s="554"/>
      <c r="D470" s="552"/>
      <c r="E470" s="552"/>
      <c r="F470" s="555"/>
      <c r="G470" s="552"/>
      <c r="H470" s="552"/>
      <c r="I470" s="552"/>
      <c r="J470" s="552"/>
      <c r="K470" s="552"/>
      <c r="L470" s="552"/>
      <c r="M470" s="552"/>
      <c r="N470" s="552"/>
      <c r="O470" s="552"/>
      <c r="P470" s="552"/>
      <c r="Q470" s="552"/>
      <c r="R470" s="552"/>
      <c r="S470" s="552"/>
      <c r="T470" s="552"/>
      <c r="U470" s="552"/>
      <c r="V470" s="552"/>
      <c r="W470" s="552"/>
      <c r="X470" s="552"/>
      <c r="Y470" s="552"/>
      <c r="Z470" s="552"/>
    </row>
    <row r="471" spans="1:26" ht="12.75" customHeight="1">
      <c r="A471" s="553"/>
      <c r="B471" s="552"/>
      <c r="C471" s="554"/>
      <c r="D471" s="552"/>
      <c r="E471" s="552"/>
      <c r="F471" s="555"/>
      <c r="G471" s="552"/>
      <c r="H471" s="552"/>
      <c r="I471" s="552"/>
      <c r="J471" s="552"/>
      <c r="K471" s="552"/>
      <c r="L471" s="552"/>
      <c r="M471" s="552"/>
      <c r="N471" s="552"/>
      <c r="O471" s="552"/>
      <c r="P471" s="552"/>
      <c r="Q471" s="552"/>
      <c r="R471" s="552"/>
      <c r="S471" s="552"/>
      <c r="T471" s="552"/>
      <c r="U471" s="552"/>
      <c r="V471" s="552"/>
      <c r="W471" s="552"/>
      <c r="X471" s="552"/>
      <c r="Y471" s="552"/>
      <c r="Z471" s="552"/>
    </row>
    <row r="472" spans="1:26" ht="12.75" customHeight="1">
      <c r="A472" s="553"/>
      <c r="B472" s="552"/>
      <c r="C472" s="554"/>
      <c r="D472" s="552"/>
      <c r="E472" s="552"/>
      <c r="F472" s="555"/>
      <c r="G472" s="552"/>
      <c r="H472" s="552"/>
      <c r="I472" s="552"/>
      <c r="J472" s="552"/>
      <c r="K472" s="552"/>
      <c r="L472" s="552"/>
      <c r="M472" s="552"/>
      <c r="N472" s="552"/>
      <c r="O472" s="552"/>
      <c r="P472" s="552"/>
      <c r="Q472" s="552"/>
      <c r="R472" s="552"/>
      <c r="S472" s="552"/>
      <c r="T472" s="552"/>
      <c r="U472" s="552"/>
      <c r="V472" s="552"/>
      <c r="W472" s="552"/>
      <c r="X472" s="552"/>
      <c r="Y472" s="552"/>
      <c r="Z472" s="552"/>
    </row>
    <row r="473" spans="1:26" ht="12.75" customHeight="1">
      <c r="A473" s="553"/>
      <c r="B473" s="552"/>
      <c r="C473" s="554"/>
      <c r="D473" s="552"/>
      <c r="E473" s="552"/>
      <c r="F473" s="555"/>
      <c r="G473" s="552"/>
      <c r="H473" s="552"/>
      <c r="I473" s="552"/>
      <c r="J473" s="552"/>
      <c r="K473" s="552"/>
      <c r="L473" s="552"/>
      <c r="M473" s="552"/>
      <c r="N473" s="552"/>
      <c r="O473" s="552"/>
      <c r="P473" s="552"/>
      <c r="Q473" s="552"/>
      <c r="R473" s="552"/>
      <c r="S473" s="552"/>
      <c r="T473" s="552"/>
      <c r="U473" s="552"/>
      <c r="V473" s="552"/>
      <c r="W473" s="552"/>
      <c r="X473" s="552"/>
      <c r="Y473" s="552"/>
      <c r="Z473" s="552"/>
    </row>
    <row r="474" spans="1:26" ht="12.75" customHeight="1">
      <c r="A474" s="553"/>
      <c r="B474" s="552"/>
      <c r="C474" s="554"/>
      <c r="D474" s="552"/>
      <c r="E474" s="552"/>
      <c r="F474" s="555"/>
      <c r="G474" s="552"/>
      <c r="H474" s="552"/>
      <c r="I474" s="552"/>
      <c r="J474" s="552"/>
      <c r="K474" s="552"/>
      <c r="L474" s="552"/>
      <c r="M474" s="552"/>
      <c r="N474" s="552"/>
      <c r="O474" s="552"/>
      <c r="P474" s="552"/>
      <c r="Q474" s="552"/>
      <c r="R474" s="552"/>
      <c r="S474" s="552"/>
      <c r="T474" s="552"/>
      <c r="U474" s="552"/>
      <c r="V474" s="552"/>
      <c r="W474" s="552"/>
      <c r="X474" s="552"/>
      <c r="Y474" s="552"/>
      <c r="Z474" s="552"/>
    </row>
    <row r="475" spans="1:26" ht="12.75" customHeight="1">
      <c r="A475" s="553"/>
      <c r="B475" s="552"/>
      <c r="C475" s="554"/>
      <c r="D475" s="552"/>
      <c r="E475" s="552"/>
      <c r="F475" s="555"/>
      <c r="G475" s="552"/>
      <c r="H475" s="552"/>
      <c r="I475" s="552"/>
      <c r="J475" s="552"/>
      <c r="K475" s="552"/>
      <c r="L475" s="552"/>
      <c r="M475" s="552"/>
      <c r="N475" s="552"/>
      <c r="O475" s="552"/>
      <c r="P475" s="552"/>
      <c r="Q475" s="552"/>
      <c r="R475" s="552"/>
      <c r="S475" s="552"/>
      <c r="T475" s="552"/>
      <c r="U475" s="552"/>
      <c r="V475" s="552"/>
      <c r="W475" s="552"/>
      <c r="X475" s="552"/>
      <c r="Y475" s="552"/>
      <c r="Z475" s="552"/>
    </row>
    <row r="476" spans="1:26" ht="12.75" customHeight="1">
      <c r="A476" s="553"/>
      <c r="B476" s="552"/>
      <c r="C476" s="554"/>
      <c r="D476" s="552"/>
      <c r="E476" s="552"/>
      <c r="F476" s="555"/>
      <c r="G476" s="552"/>
      <c r="H476" s="552"/>
      <c r="I476" s="552"/>
      <c r="J476" s="552"/>
      <c r="K476" s="552"/>
      <c r="L476" s="552"/>
      <c r="M476" s="552"/>
      <c r="N476" s="552"/>
      <c r="O476" s="552"/>
      <c r="P476" s="552"/>
      <c r="Q476" s="552"/>
      <c r="R476" s="552"/>
      <c r="S476" s="552"/>
      <c r="T476" s="552"/>
      <c r="U476" s="552"/>
      <c r="V476" s="552"/>
      <c r="W476" s="552"/>
      <c r="X476" s="552"/>
      <c r="Y476" s="552"/>
      <c r="Z476" s="552"/>
    </row>
    <row r="477" spans="1:26" ht="12.75" customHeight="1">
      <c r="A477" s="553"/>
      <c r="B477" s="552"/>
      <c r="C477" s="554"/>
      <c r="D477" s="552"/>
      <c r="E477" s="552"/>
      <c r="F477" s="555"/>
      <c r="G477" s="552"/>
      <c r="H477" s="552"/>
      <c r="I477" s="552"/>
      <c r="J477" s="552"/>
      <c r="K477" s="552"/>
      <c r="L477" s="552"/>
      <c r="M477" s="552"/>
      <c r="N477" s="552"/>
      <c r="O477" s="552"/>
      <c r="P477" s="552"/>
      <c r="Q477" s="552"/>
      <c r="R477" s="552"/>
      <c r="S477" s="552"/>
      <c r="T477" s="552"/>
      <c r="U477" s="552"/>
      <c r="V477" s="552"/>
      <c r="W477" s="552"/>
      <c r="X477" s="552"/>
      <c r="Y477" s="552"/>
      <c r="Z477" s="552"/>
    </row>
    <row r="478" spans="1:26" ht="12.75" customHeight="1">
      <c r="A478" s="553"/>
      <c r="B478" s="552"/>
      <c r="C478" s="554"/>
      <c r="D478" s="552"/>
      <c r="E478" s="552"/>
      <c r="F478" s="555"/>
      <c r="G478" s="552"/>
      <c r="H478" s="552"/>
      <c r="I478" s="552"/>
      <c r="J478" s="552"/>
      <c r="K478" s="552"/>
      <c r="L478" s="552"/>
      <c r="M478" s="552"/>
      <c r="N478" s="552"/>
      <c r="O478" s="552"/>
      <c r="P478" s="552"/>
      <c r="Q478" s="552"/>
      <c r="R478" s="552"/>
      <c r="S478" s="552"/>
      <c r="T478" s="552"/>
      <c r="U478" s="552"/>
      <c r="V478" s="552"/>
      <c r="W478" s="552"/>
      <c r="X478" s="552"/>
      <c r="Y478" s="552"/>
      <c r="Z478" s="552"/>
    </row>
    <row r="479" spans="1:26" ht="12.75" customHeight="1">
      <c r="A479" s="553"/>
      <c r="B479" s="552"/>
      <c r="C479" s="554"/>
      <c r="D479" s="552"/>
      <c r="E479" s="552"/>
      <c r="F479" s="555"/>
      <c r="G479" s="552"/>
      <c r="H479" s="552"/>
      <c r="I479" s="552"/>
      <c r="J479" s="552"/>
      <c r="K479" s="552"/>
      <c r="L479" s="552"/>
      <c r="M479" s="552"/>
      <c r="N479" s="552"/>
      <c r="O479" s="552"/>
      <c r="P479" s="552"/>
      <c r="Q479" s="552"/>
      <c r="R479" s="552"/>
      <c r="S479" s="552"/>
      <c r="T479" s="552"/>
      <c r="U479" s="552"/>
      <c r="V479" s="552"/>
      <c r="W479" s="552"/>
      <c r="X479" s="552"/>
      <c r="Y479" s="552"/>
      <c r="Z479" s="552"/>
    </row>
    <row r="480" spans="1:26" ht="12.75" customHeight="1">
      <c r="A480" s="553"/>
      <c r="B480" s="552"/>
      <c r="C480" s="554"/>
      <c r="D480" s="552"/>
      <c r="E480" s="552"/>
      <c r="F480" s="555"/>
      <c r="G480" s="552"/>
      <c r="H480" s="552"/>
      <c r="I480" s="552"/>
      <c r="J480" s="552"/>
      <c r="K480" s="552"/>
      <c r="L480" s="552"/>
      <c r="M480" s="552"/>
      <c r="N480" s="552"/>
      <c r="O480" s="552"/>
      <c r="P480" s="552"/>
      <c r="Q480" s="552"/>
      <c r="R480" s="552"/>
      <c r="S480" s="552"/>
      <c r="T480" s="552"/>
      <c r="U480" s="552"/>
      <c r="V480" s="552"/>
      <c r="W480" s="552"/>
      <c r="X480" s="552"/>
      <c r="Y480" s="552"/>
      <c r="Z480" s="552"/>
    </row>
    <row r="481" spans="1:26" ht="12.75" customHeight="1">
      <c r="A481" s="553"/>
      <c r="B481" s="552"/>
      <c r="C481" s="554"/>
      <c r="D481" s="552"/>
      <c r="E481" s="552"/>
      <c r="F481" s="555"/>
      <c r="G481" s="552"/>
      <c r="H481" s="552"/>
      <c r="I481" s="552"/>
      <c r="J481" s="552"/>
      <c r="K481" s="552"/>
      <c r="L481" s="552"/>
      <c r="M481" s="552"/>
      <c r="N481" s="552"/>
      <c r="O481" s="552"/>
      <c r="P481" s="552"/>
      <c r="Q481" s="552"/>
      <c r="R481" s="552"/>
      <c r="S481" s="552"/>
      <c r="T481" s="552"/>
      <c r="U481" s="552"/>
      <c r="V481" s="552"/>
      <c r="W481" s="552"/>
      <c r="X481" s="552"/>
      <c r="Y481" s="552"/>
      <c r="Z481" s="552"/>
    </row>
    <row r="482" spans="1:26" ht="12.75" customHeight="1">
      <c r="A482" s="553"/>
      <c r="B482" s="552"/>
      <c r="C482" s="554"/>
      <c r="D482" s="552"/>
      <c r="E482" s="552"/>
      <c r="F482" s="555"/>
      <c r="G482" s="552"/>
      <c r="H482" s="552"/>
      <c r="I482" s="552"/>
      <c r="J482" s="552"/>
      <c r="K482" s="552"/>
      <c r="L482" s="552"/>
      <c r="M482" s="552"/>
      <c r="N482" s="552"/>
      <c r="O482" s="552"/>
      <c r="P482" s="552"/>
      <c r="Q482" s="552"/>
      <c r="R482" s="552"/>
      <c r="S482" s="552"/>
      <c r="T482" s="552"/>
      <c r="U482" s="552"/>
      <c r="V482" s="552"/>
      <c r="W482" s="552"/>
      <c r="X482" s="552"/>
      <c r="Y482" s="552"/>
      <c r="Z482" s="552"/>
    </row>
    <row r="483" spans="1:26" ht="12.75" customHeight="1">
      <c r="A483" s="553"/>
      <c r="B483" s="552"/>
      <c r="C483" s="554"/>
      <c r="D483" s="552"/>
      <c r="E483" s="552"/>
      <c r="F483" s="555"/>
      <c r="G483" s="552"/>
      <c r="H483" s="552"/>
      <c r="I483" s="552"/>
      <c r="J483" s="552"/>
      <c r="K483" s="552"/>
      <c r="L483" s="552"/>
      <c r="M483" s="552"/>
      <c r="N483" s="552"/>
      <c r="O483" s="552"/>
      <c r="P483" s="552"/>
      <c r="Q483" s="552"/>
      <c r="R483" s="552"/>
      <c r="S483" s="552"/>
      <c r="T483" s="552"/>
      <c r="U483" s="552"/>
      <c r="V483" s="552"/>
      <c r="W483" s="552"/>
      <c r="X483" s="552"/>
      <c r="Y483" s="552"/>
      <c r="Z483" s="552"/>
    </row>
    <row r="484" spans="1:26" ht="12.75" customHeight="1">
      <c r="A484" s="553"/>
      <c r="B484" s="552"/>
      <c r="C484" s="554"/>
      <c r="D484" s="552"/>
      <c r="E484" s="552"/>
      <c r="F484" s="555"/>
      <c r="G484" s="552"/>
      <c r="H484" s="552"/>
      <c r="I484" s="552"/>
      <c r="J484" s="552"/>
      <c r="K484" s="552"/>
      <c r="L484" s="552"/>
      <c r="M484" s="552"/>
      <c r="N484" s="552"/>
      <c r="O484" s="552"/>
      <c r="P484" s="552"/>
      <c r="Q484" s="552"/>
      <c r="R484" s="552"/>
      <c r="S484" s="552"/>
      <c r="T484" s="552"/>
      <c r="U484" s="552"/>
      <c r="V484" s="552"/>
      <c r="W484" s="552"/>
      <c r="X484" s="552"/>
      <c r="Y484" s="552"/>
      <c r="Z484" s="552"/>
    </row>
    <row r="485" spans="1:26" ht="12.75" customHeight="1">
      <c r="A485" s="553"/>
      <c r="B485" s="552"/>
      <c r="C485" s="554"/>
      <c r="D485" s="552"/>
      <c r="E485" s="552"/>
      <c r="F485" s="555"/>
      <c r="G485" s="552"/>
      <c r="H485" s="552"/>
      <c r="I485" s="552"/>
      <c r="J485" s="552"/>
      <c r="K485" s="552"/>
      <c r="L485" s="552"/>
      <c r="M485" s="552"/>
      <c r="N485" s="552"/>
      <c r="O485" s="552"/>
      <c r="P485" s="552"/>
      <c r="Q485" s="552"/>
      <c r="R485" s="552"/>
      <c r="S485" s="552"/>
      <c r="T485" s="552"/>
      <c r="U485" s="552"/>
      <c r="V485" s="552"/>
      <c r="W485" s="552"/>
      <c r="X485" s="552"/>
      <c r="Y485" s="552"/>
      <c r="Z485" s="552"/>
    </row>
    <row r="486" spans="1:26" ht="12.75" customHeight="1">
      <c r="A486" s="553"/>
      <c r="B486" s="552"/>
      <c r="C486" s="554"/>
      <c r="D486" s="552"/>
      <c r="E486" s="552"/>
      <c r="F486" s="555"/>
      <c r="G486" s="552"/>
      <c r="H486" s="552"/>
      <c r="I486" s="552"/>
      <c r="J486" s="552"/>
      <c r="K486" s="552"/>
      <c r="L486" s="552"/>
      <c r="M486" s="552"/>
      <c r="N486" s="552"/>
      <c r="O486" s="552"/>
      <c r="P486" s="552"/>
      <c r="Q486" s="552"/>
      <c r="R486" s="552"/>
      <c r="S486" s="552"/>
      <c r="T486" s="552"/>
      <c r="U486" s="552"/>
      <c r="V486" s="552"/>
      <c r="W486" s="552"/>
      <c r="X486" s="552"/>
      <c r="Y486" s="552"/>
      <c r="Z486" s="552"/>
    </row>
    <row r="487" spans="1:26" ht="12.75" customHeight="1">
      <c r="A487" s="553"/>
      <c r="B487" s="552"/>
      <c r="C487" s="554"/>
      <c r="D487" s="552"/>
      <c r="E487" s="552"/>
      <c r="F487" s="555"/>
      <c r="G487" s="552"/>
      <c r="H487" s="552"/>
      <c r="I487" s="552"/>
      <c r="J487" s="552"/>
      <c r="K487" s="552"/>
      <c r="L487" s="552"/>
      <c r="M487" s="552"/>
      <c r="N487" s="552"/>
      <c r="O487" s="552"/>
      <c r="P487" s="552"/>
      <c r="Q487" s="552"/>
      <c r="R487" s="552"/>
      <c r="S487" s="552"/>
      <c r="T487" s="552"/>
      <c r="U487" s="552"/>
      <c r="V487" s="552"/>
      <c r="W487" s="552"/>
      <c r="X487" s="552"/>
      <c r="Y487" s="552"/>
      <c r="Z487" s="552"/>
    </row>
    <row r="488" spans="1:26" ht="12.75" customHeight="1">
      <c r="A488" s="553"/>
      <c r="B488" s="552"/>
      <c r="C488" s="554"/>
      <c r="D488" s="552"/>
      <c r="E488" s="552"/>
      <c r="F488" s="555"/>
      <c r="G488" s="552"/>
      <c r="H488" s="552"/>
      <c r="I488" s="552"/>
      <c r="J488" s="552"/>
      <c r="K488" s="552"/>
      <c r="L488" s="552"/>
      <c r="M488" s="552"/>
      <c r="N488" s="552"/>
      <c r="O488" s="552"/>
      <c r="P488" s="552"/>
      <c r="Q488" s="552"/>
      <c r="R488" s="552"/>
      <c r="S488" s="552"/>
      <c r="T488" s="552"/>
      <c r="U488" s="552"/>
      <c r="V488" s="552"/>
      <c r="W488" s="552"/>
      <c r="X488" s="552"/>
      <c r="Y488" s="552"/>
      <c r="Z488" s="552"/>
    </row>
    <row r="489" spans="1:26" ht="12.75" customHeight="1">
      <c r="A489" s="553"/>
      <c r="B489" s="552"/>
      <c r="C489" s="554"/>
      <c r="D489" s="552"/>
      <c r="E489" s="552"/>
      <c r="F489" s="555"/>
      <c r="G489" s="552"/>
      <c r="H489" s="552"/>
      <c r="I489" s="552"/>
      <c r="J489" s="552"/>
      <c r="K489" s="552"/>
      <c r="L489" s="552"/>
      <c r="M489" s="552"/>
      <c r="N489" s="552"/>
      <c r="O489" s="552"/>
      <c r="P489" s="552"/>
      <c r="Q489" s="552"/>
      <c r="R489" s="552"/>
      <c r="S489" s="552"/>
      <c r="T489" s="552"/>
      <c r="U489" s="552"/>
      <c r="V489" s="552"/>
      <c r="W489" s="552"/>
      <c r="X489" s="552"/>
      <c r="Y489" s="552"/>
      <c r="Z489" s="552"/>
    </row>
    <row r="490" spans="1:26" ht="12.75" customHeight="1">
      <c r="A490" s="553"/>
      <c r="B490" s="552"/>
      <c r="C490" s="554"/>
      <c r="D490" s="552"/>
      <c r="E490" s="552"/>
      <c r="F490" s="555"/>
      <c r="G490" s="552"/>
      <c r="H490" s="552"/>
      <c r="I490" s="552"/>
      <c r="J490" s="552"/>
      <c r="K490" s="552"/>
      <c r="L490" s="552"/>
      <c r="M490" s="552"/>
      <c r="N490" s="552"/>
      <c r="O490" s="552"/>
      <c r="P490" s="552"/>
      <c r="Q490" s="552"/>
      <c r="R490" s="552"/>
      <c r="S490" s="552"/>
      <c r="T490" s="552"/>
      <c r="U490" s="552"/>
      <c r="V490" s="552"/>
      <c r="W490" s="552"/>
      <c r="X490" s="552"/>
      <c r="Y490" s="552"/>
      <c r="Z490" s="552"/>
    </row>
    <row r="491" spans="1:26" ht="12.75" customHeight="1">
      <c r="A491" s="553"/>
      <c r="B491" s="552"/>
      <c r="C491" s="554"/>
      <c r="D491" s="552"/>
      <c r="E491" s="552"/>
      <c r="F491" s="555"/>
      <c r="G491" s="552"/>
      <c r="H491" s="552"/>
      <c r="I491" s="552"/>
      <c r="J491" s="552"/>
      <c r="K491" s="552"/>
      <c r="L491" s="552"/>
      <c r="M491" s="552"/>
      <c r="N491" s="552"/>
      <c r="O491" s="552"/>
      <c r="P491" s="552"/>
      <c r="Q491" s="552"/>
      <c r="R491" s="552"/>
      <c r="S491" s="552"/>
      <c r="T491" s="552"/>
      <c r="U491" s="552"/>
      <c r="V491" s="552"/>
      <c r="W491" s="552"/>
      <c r="X491" s="552"/>
      <c r="Y491" s="552"/>
      <c r="Z491" s="552"/>
    </row>
    <row r="492" spans="1:26" ht="12.75" customHeight="1">
      <c r="A492" s="553"/>
      <c r="B492" s="552"/>
      <c r="C492" s="554"/>
      <c r="D492" s="552"/>
      <c r="E492" s="552"/>
      <c r="F492" s="555"/>
      <c r="G492" s="552"/>
      <c r="H492" s="552"/>
      <c r="I492" s="552"/>
      <c r="J492" s="552"/>
      <c r="K492" s="552"/>
      <c r="L492" s="552"/>
      <c r="M492" s="552"/>
      <c r="N492" s="552"/>
      <c r="O492" s="552"/>
      <c r="P492" s="552"/>
      <c r="Q492" s="552"/>
      <c r="R492" s="552"/>
      <c r="S492" s="552"/>
      <c r="T492" s="552"/>
      <c r="U492" s="552"/>
      <c r="V492" s="552"/>
      <c r="W492" s="552"/>
      <c r="X492" s="552"/>
      <c r="Y492" s="552"/>
      <c r="Z492" s="552"/>
    </row>
    <row r="493" spans="1:26" ht="12.75" customHeight="1">
      <c r="A493" s="553"/>
      <c r="B493" s="552"/>
      <c r="C493" s="554"/>
      <c r="D493" s="552"/>
      <c r="E493" s="552"/>
      <c r="F493" s="555"/>
      <c r="G493" s="552"/>
      <c r="H493" s="552"/>
      <c r="I493" s="552"/>
      <c r="J493" s="552"/>
      <c r="K493" s="552"/>
      <c r="L493" s="552"/>
      <c r="M493" s="552"/>
      <c r="N493" s="552"/>
      <c r="O493" s="552"/>
      <c r="P493" s="552"/>
      <c r="Q493" s="552"/>
      <c r="R493" s="552"/>
      <c r="S493" s="552"/>
      <c r="T493" s="552"/>
      <c r="U493" s="552"/>
      <c r="V493" s="552"/>
      <c r="W493" s="552"/>
      <c r="X493" s="552"/>
      <c r="Y493" s="552"/>
      <c r="Z493" s="552"/>
    </row>
    <row r="494" spans="1:26" ht="12.75" customHeight="1">
      <c r="A494" s="553"/>
      <c r="B494" s="552"/>
      <c r="C494" s="554"/>
      <c r="D494" s="552"/>
      <c r="E494" s="552"/>
      <c r="F494" s="555"/>
      <c r="G494" s="552"/>
      <c r="H494" s="552"/>
      <c r="I494" s="552"/>
      <c r="J494" s="552"/>
      <c r="K494" s="552"/>
      <c r="L494" s="552"/>
      <c r="M494" s="552"/>
      <c r="N494" s="552"/>
      <c r="O494" s="552"/>
      <c r="P494" s="552"/>
      <c r="Q494" s="552"/>
      <c r="R494" s="552"/>
      <c r="S494" s="552"/>
      <c r="T494" s="552"/>
      <c r="U494" s="552"/>
      <c r="V494" s="552"/>
      <c r="W494" s="552"/>
      <c r="X494" s="552"/>
      <c r="Y494" s="552"/>
      <c r="Z494" s="552"/>
    </row>
    <row r="495" spans="1:26" ht="12.75" customHeight="1">
      <c r="A495" s="553"/>
      <c r="B495" s="552"/>
      <c r="C495" s="554"/>
      <c r="D495" s="552"/>
      <c r="E495" s="552"/>
      <c r="F495" s="555"/>
      <c r="G495" s="552"/>
      <c r="H495" s="552"/>
      <c r="I495" s="552"/>
      <c r="J495" s="552"/>
      <c r="K495" s="552"/>
      <c r="L495" s="552"/>
      <c r="M495" s="552"/>
      <c r="N495" s="552"/>
      <c r="O495" s="552"/>
      <c r="P495" s="552"/>
      <c r="Q495" s="552"/>
      <c r="R495" s="552"/>
      <c r="S495" s="552"/>
      <c r="T495" s="552"/>
      <c r="U495" s="552"/>
      <c r="V495" s="552"/>
      <c r="W495" s="552"/>
      <c r="X495" s="552"/>
      <c r="Y495" s="552"/>
      <c r="Z495" s="552"/>
    </row>
    <row r="496" spans="1:26" ht="12.75" customHeight="1">
      <c r="A496" s="553"/>
      <c r="B496" s="552"/>
      <c r="C496" s="554"/>
      <c r="D496" s="552"/>
      <c r="E496" s="552"/>
      <c r="F496" s="555"/>
      <c r="G496" s="552"/>
      <c r="H496" s="552"/>
      <c r="I496" s="552"/>
      <c r="J496" s="552"/>
      <c r="K496" s="552"/>
      <c r="L496" s="552"/>
      <c r="M496" s="552"/>
      <c r="N496" s="552"/>
      <c r="O496" s="552"/>
      <c r="P496" s="552"/>
      <c r="Q496" s="552"/>
      <c r="R496" s="552"/>
      <c r="S496" s="552"/>
      <c r="T496" s="552"/>
      <c r="U496" s="552"/>
      <c r="V496" s="552"/>
      <c r="W496" s="552"/>
      <c r="X496" s="552"/>
      <c r="Y496" s="552"/>
      <c r="Z496" s="552"/>
    </row>
    <row r="497" spans="1:26" ht="12.75" customHeight="1">
      <c r="A497" s="553"/>
      <c r="B497" s="552"/>
      <c r="C497" s="554"/>
      <c r="D497" s="552"/>
      <c r="E497" s="552"/>
      <c r="F497" s="555"/>
      <c r="G497" s="552"/>
      <c r="H497" s="552"/>
      <c r="I497" s="552"/>
      <c r="J497" s="552"/>
      <c r="K497" s="552"/>
      <c r="L497" s="552"/>
      <c r="M497" s="552"/>
      <c r="N497" s="552"/>
      <c r="O497" s="552"/>
      <c r="P497" s="552"/>
      <c r="Q497" s="552"/>
      <c r="R497" s="552"/>
      <c r="S497" s="552"/>
      <c r="T497" s="552"/>
      <c r="U497" s="552"/>
      <c r="V497" s="552"/>
      <c r="W497" s="552"/>
      <c r="X497" s="552"/>
      <c r="Y497" s="552"/>
      <c r="Z497" s="552"/>
    </row>
    <row r="498" spans="1:26" ht="12.75" customHeight="1">
      <c r="A498" s="553"/>
      <c r="B498" s="552"/>
      <c r="C498" s="554"/>
      <c r="D498" s="552"/>
      <c r="E498" s="552"/>
      <c r="F498" s="555"/>
      <c r="G498" s="552"/>
      <c r="H498" s="552"/>
      <c r="I498" s="552"/>
      <c r="J498" s="552"/>
      <c r="K498" s="552"/>
      <c r="L498" s="552"/>
      <c r="M498" s="552"/>
      <c r="N498" s="552"/>
      <c r="O498" s="552"/>
      <c r="P498" s="552"/>
      <c r="Q498" s="552"/>
      <c r="R498" s="552"/>
      <c r="S498" s="552"/>
      <c r="T498" s="552"/>
      <c r="U498" s="552"/>
      <c r="V498" s="552"/>
      <c r="W498" s="552"/>
      <c r="X498" s="552"/>
      <c r="Y498" s="552"/>
      <c r="Z498" s="552"/>
    </row>
    <row r="499" spans="1:26" ht="12.75" customHeight="1">
      <c r="A499" s="553"/>
      <c r="B499" s="552"/>
      <c r="C499" s="554"/>
      <c r="D499" s="552"/>
      <c r="E499" s="552"/>
      <c r="F499" s="555"/>
      <c r="G499" s="552"/>
      <c r="H499" s="552"/>
      <c r="I499" s="552"/>
      <c r="J499" s="552"/>
      <c r="K499" s="552"/>
      <c r="L499" s="552"/>
      <c r="M499" s="552"/>
      <c r="N499" s="552"/>
      <c r="O499" s="552"/>
      <c r="P499" s="552"/>
      <c r="Q499" s="552"/>
      <c r="R499" s="552"/>
      <c r="S499" s="552"/>
      <c r="T499" s="552"/>
      <c r="U499" s="552"/>
      <c r="V499" s="552"/>
      <c r="W499" s="552"/>
      <c r="X499" s="552"/>
      <c r="Y499" s="552"/>
      <c r="Z499" s="552"/>
    </row>
    <row r="500" spans="1:26" ht="12.75" customHeight="1">
      <c r="A500" s="553"/>
      <c r="B500" s="552"/>
      <c r="C500" s="554"/>
      <c r="D500" s="552"/>
      <c r="E500" s="552"/>
      <c r="F500" s="555"/>
      <c r="G500" s="552"/>
      <c r="H500" s="552"/>
      <c r="I500" s="552"/>
      <c r="J500" s="552"/>
      <c r="K500" s="552"/>
      <c r="L500" s="552"/>
      <c r="M500" s="552"/>
      <c r="N500" s="552"/>
      <c r="O500" s="552"/>
      <c r="P500" s="552"/>
      <c r="Q500" s="552"/>
      <c r="R500" s="552"/>
      <c r="S500" s="552"/>
      <c r="T500" s="552"/>
      <c r="U500" s="552"/>
      <c r="V500" s="552"/>
      <c r="W500" s="552"/>
      <c r="X500" s="552"/>
      <c r="Y500" s="552"/>
      <c r="Z500" s="552"/>
    </row>
    <row r="501" spans="1:26" ht="12.75" customHeight="1">
      <c r="A501" s="553"/>
      <c r="B501" s="552"/>
      <c r="C501" s="554"/>
      <c r="D501" s="552"/>
      <c r="E501" s="552"/>
      <c r="F501" s="555"/>
      <c r="G501" s="552"/>
      <c r="H501" s="552"/>
      <c r="I501" s="552"/>
      <c r="J501" s="552"/>
      <c r="K501" s="552"/>
      <c r="L501" s="552"/>
      <c r="M501" s="552"/>
      <c r="N501" s="552"/>
      <c r="O501" s="552"/>
      <c r="P501" s="552"/>
      <c r="Q501" s="552"/>
      <c r="R501" s="552"/>
      <c r="S501" s="552"/>
      <c r="T501" s="552"/>
      <c r="U501" s="552"/>
      <c r="V501" s="552"/>
      <c r="W501" s="552"/>
      <c r="X501" s="552"/>
      <c r="Y501" s="552"/>
      <c r="Z501" s="552"/>
    </row>
    <row r="502" spans="1:26" ht="12.75" customHeight="1">
      <c r="A502" s="553"/>
      <c r="B502" s="552"/>
      <c r="C502" s="554"/>
      <c r="D502" s="552"/>
      <c r="E502" s="552"/>
      <c r="F502" s="555"/>
      <c r="G502" s="552"/>
      <c r="H502" s="552"/>
      <c r="I502" s="552"/>
      <c r="J502" s="552"/>
      <c r="K502" s="552"/>
      <c r="L502" s="552"/>
      <c r="M502" s="552"/>
      <c r="N502" s="552"/>
      <c r="O502" s="552"/>
      <c r="P502" s="552"/>
      <c r="Q502" s="552"/>
      <c r="R502" s="552"/>
      <c r="S502" s="552"/>
      <c r="T502" s="552"/>
      <c r="U502" s="552"/>
      <c r="V502" s="552"/>
      <c r="W502" s="552"/>
      <c r="X502" s="552"/>
      <c r="Y502" s="552"/>
      <c r="Z502" s="552"/>
    </row>
    <row r="503" spans="1:26" ht="12.75" customHeight="1">
      <c r="A503" s="553"/>
      <c r="B503" s="552"/>
      <c r="C503" s="554"/>
      <c r="D503" s="552"/>
      <c r="E503" s="552"/>
      <c r="F503" s="555"/>
      <c r="G503" s="552"/>
      <c r="H503" s="552"/>
      <c r="I503" s="552"/>
      <c r="J503" s="552"/>
      <c r="K503" s="552"/>
      <c r="L503" s="552"/>
      <c r="M503" s="552"/>
      <c r="N503" s="552"/>
      <c r="O503" s="552"/>
      <c r="P503" s="552"/>
      <c r="Q503" s="552"/>
      <c r="R503" s="552"/>
      <c r="S503" s="552"/>
      <c r="T503" s="552"/>
      <c r="U503" s="552"/>
      <c r="V503" s="552"/>
      <c r="W503" s="552"/>
      <c r="X503" s="552"/>
      <c r="Y503" s="552"/>
      <c r="Z503" s="552"/>
    </row>
    <row r="504" spans="1:26" ht="12.75" customHeight="1">
      <c r="A504" s="553"/>
      <c r="B504" s="552"/>
      <c r="C504" s="554"/>
      <c r="D504" s="552"/>
      <c r="E504" s="552"/>
      <c r="F504" s="555"/>
      <c r="G504" s="552"/>
      <c r="H504" s="552"/>
      <c r="I504" s="552"/>
      <c r="J504" s="552"/>
      <c r="K504" s="552"/>
      <c r="L504" s="552"/>
      <c r="M504" s="552"/>
      <c r="N504" s="552"/>
      <c r="O504" s="552"/>
      <c r="P504" s="552"/>
      <c r="Q504" s="552"/>
      <c r="R504" s="552"/>
      <c r="S504" s="552"/>
      <c r="T504" s="552"/>
      <c r="U504" s="552"/>
      <c r="V504" s="552"/>
      <c r="W504" s="552"/>
      <c r="X504" s="552"/>
      <c r="Y504" s="552"/>
      <c r="Z504" s="552"/>
    </row>
    <row r="505" spans="1:26" ht="12.75" customHeight="1">
      <c r="A505" s="553"/>
      <c r="B505" s="552"/>
      <c r="C505" s="554"/>
      <c r="D505" s="552"/>
      <c r="E505" s="552"/>
      <c r="F505" s="555"/>
      <c r="G505" s="552"/>
      <c r="H505" s="552"/>
      <c r="I505" s="552"/>
      <c r="J505" s="552"/>
      <c r="K505" s="552"/>
      <c r="L505" s="552"/>
      <c r="M505" s="552"/>
      <c r="N505" s="552"/>
      <c r="O505" s="552"/>
      <c r="P505" s="552"/>
      <c r="Q505" s="552"/>
      <c r="R505" s="552"/>
      <c r="S505" s="552"/>
      <c r="T505" s="552"/>
      <c r="U505" s="552"/>
      <c r="V505" s="552"/>
      <c r="W505" s="552"/>
      <c r="X505" s="552"/>
      <c r="Y505" s="552"/>
      <c r="Z505" s="552"/>
    </row>
    <row r="506" spans="1:26" ht="12.75" customHeight="1">
      <c r="A506" s="553"/>
      <c r="B506" s="552"/>
      <c r="C506" s="554"/>
      <c r="D506" s="552"/>
      <c r="E506" s="552"/>
      <c r="F506" s="555"/>
      <c r="G506" s="552"/>
      <c r="H506" s="552"/>
      <c r="I506" s="552"/>
      <c r="J506" s="552"/>
      <c r="K506" s="552"/>
      <c r="L506" s="552"/>
      <c r="M506" s="552"/>
      <c r="N506" s="552"/>
      <c r="O506" s="552"/>
      <c r="P506" s="552"/>
      <c r="Q506" s="552"/>
      <c r="R506" s="552"/>
      <c r="S506" s="552"/>
      <c r="T506" s="552"/>
      <c r="U506" s="552"/>
      <c r="V506" s="552"/>
      <c r="W506" s="552"/>
      <c r="X506" s="552"/>
      <c r="Y506" s="552"/>
      <c r="Z506" s="552"/>
    </row>
    <row r="507" spans="1:26" ht="12.75" customHeight="1">
      <c r="A507" s="553"/>
      <c r="B507" s="552"/>
      <c r="C507" s="554"/>
      <c r="D507" s="552"/>
      <c r="E507" s="552"/>
      <c r="F507" s="555"/>
      <c r="G507" s="552"/>
      <c r="H507" s="552"/>
      <c r="I507" s="552"/>
      <c r="J507" s="552"/>
      <c r="K507" s="552"/>
      <c r="L507" s="552"/>
      <c r="M507" s="552"/>
      <c r="N507" s="552"/>
      <c r="O507" s="552"/>
      <c r="P507" s="552"/>
      <c r="Q507" s="552"/>
      <c r="R507" s="552"/>
      <c r="S507" s="552"/>
      <c r="T507" s="552"/>
      <c r="U507" s="552"/>
      <c r="V507" s="552"/>
      <c r="W507" s="552"/>
      <c r="X507" s="552"/>
      <c r="Y507" s="552"/>
      <c r="Z507" s="552"/>
    </row>
    <row r="508" spans="1:26" ht="12.75" customHeight="1">
      <c r="A508" s="553"/>
      <c r="B508" s="552"/>
      <c r="C508" s="554"/>
      <c r="D508" s="552"/>
      <c r="E508" s="552"/>
      <c r="F508" s="555"/>
      <c r="G508" s="552"/>
      <c r="H508" s="552"/>
      <c r="I508" s="552"/>
      <c r="J508" s="552"/>
      <c r="K508" s="552"/>
      <c r="L508" s="552"/>
      <c r="M508" s="552"/>
      <c r="N508" s="552"/>
      <c r="O508" s="552"/>
      <c r="P508" s="552"/>
      <c r="Q508" s="552"/>
      <c r="R508" s="552"/>
      <c r="S508" s="552"/>
      <c r="T508" s="552"/>
      <c r="U508" s="552"/>
      <c r="V508" s="552"/>
      <c r="W508" s="552"/>
      <c r="X508" s="552"/>
      <c r="Y508" s="552"/>
      <c r="Z508" s="552"/>
    </row>
    <row r="509" spans="1:26" ht="12.75" customHeight="1">
      <c r="A509" s="553"/>
      <c r="B509" s="552"/>
      <c r="C509" s="554"/>
      <c r="D509" s="552"/>
      <c r="E509" s="552"/>
      <c r="F509" s="555"/>
      <c r="G509" s="552"/>
      <c r="H509" s="552"/>
      <c r="I509" s="552"/>
      <c r="J509" s="552"/>
      <c r="K509" s="552"/>
      <c r="L509" s="552"/>
      <c r="M509" s="552"/>
      <c r="N509" s="552"/>
      <c r="O509" s="552"/>
      <c r="P509" s="552"/>
      <c r="Q509" s="552"/>
      <c r="R509" s="552"/>
      <c r="S509" s="552"/>
      <c r="T509" s="552"/>
      <c r="U509" s="552"/>
      <c r="V509" s="552"/>
      <c r="W509" s="552"/>
      <c r="X509" s="552"/>
      <c r="Y509" s="552"/>
      <c r="Z509" s="552"/>
    </row>
    <row r="510" spans="1:26" ht="12.75" customHeight="1">
      <c r="A510" s="553"/>
      <c r="B510" s="552"/>
      <c r="C510" s="554"/>
      <c r="D510" s="552"/>
      <c r="E510" s="552"/>
      <c r="F510" s="555"/>
      <c r="G510" s="552"/>
      <c r="H510" s="552"/>
      <c r="I510" s="552"/>
      <c r="J510" s="552"/>
      <c r="K510" s="552"/>
      <c r="L510" s="552"/>
      <c r="M510" s="552"/>
      <c r="N510" s="552"/>
      <c r="O510" s="552"/>
      <c r="P510" s="552"/>
      <c r="Q510" s="552"/>
      <c r="R510" s="552"/>
      <c r="S510" s="552"/>
      <c r="T510" s="552"/>
      <c r="U510" s="552"/>
      <c r="V510" s="552"/>
      <c r="W510" s="552"/>
      <c r="X510" s="552"/>
      <c r="Y510" s="552"/>
      <c r="Z510" s="552"/>
    </row>
    <row r="511" spans="1:26" ht="12.75" customHeight="1">
      <c r="A511" s="553"/>
      <c r="B511" s="552"/>
      <c r="C511" s="554"/>
      <c r="D511" s="552"/>
      <c r="E511" s="552"/>
      <c r="F511" s="555"/>
      <c r="G511" s="552"/>
      <c r="H511" s="552"/>
      <c r="I511" s="552"/>
      <c r="J511" s="552"/>
      <c r="K511" s="552"/>
      <c r="L511" s="552"/>
      <c r="M511" s="552"/>
      <c r="N511" s="552"/>
      <c r="O511" s="552"/>
      <c r="P511" s="552"/>
      <c r="Q511" s="552"/>
      <c r="R511" s="552"/>
      <c r="S511" s="552"/>
      <c r="T511" s="552"/>
      <c r="U511" s="552"/>
      <c r="V511" s="552"/>
      <c r="W511" s="552"/>
      <c r="X511" s="552"/>
      <c r="Y511" s="552"/>
      <c r="Z511" s="552"/>
    </row>
    <row r="512" spans="1:26" ht="12.75" customHeight="1">
      <c r="A512" s="553"/>
      <c r="B512" s="552"/>
      <c r="C512" s="554"/>
      <c r="D512" s="552"/>
      <c r="E512" s="552"/>
      <c r="F512" s="555"/>
      <c r="G512" s="552"/>
      <c r="H512" s="552"/>
      <c r="I512" s="552"/>
      <c r="J512" s="552"/>
      <c r="K512" s="552"/>
      <c r="L512" s="552"/>
      <c r="M512" s="552"/>
      <c r="N512" s="552"/>
      <c r="O512" s="552"/>
      <c r="P512" s="552"/>
      <c r="Q512" s="552"/>
      <c r="R512" s="552"/>
      <c r="S512" s="552"/>
      <c r="T512" s="552"/>
      <c r="U512" s="552"/>
      <c r="V512" s="552"/>
      <c r="W512" s="552"/>
      <c r="X512" s="552"/>
      <c r="Y512" s="552"/>
      <c r="Z512" s="552"/>
    </row>
    <row r="513" spans="1:26" ht="12.75" customHeight="1">
      <c r="A513" s="553"/>
      <c r="B513" s="552"/>
      <c r="C513" s="554"/>
      <c r="D513" s="552"/>
      <c r="E513" s="552"/>
      <c r="F513" s="555"/>
      <c r="G513" s="552"/>
      <c r="H513" s="552"/>
      <c r="I513" s="552"/>
      <c r="J513" s="552"/>
      <c r="K513" s="552"/>
      <c r="L513" s="552"/>
      <c r="M513" s="552"/>
      <c r="N513" s="552"/>
      <c r="O513" s="552"/>
      <c r="P513" s="552"/>
      <c r="Q513" s="552"/>
      <c r="R513" s="552"/>
      <c r="S513" s="552"/>
      <c r="T513" s="552"/>
      <c r="U513" s="552"/>
      <c r="V513" s="552"/>
      <c r="W513" s="552"/>
      <c r="X513" s="552"/>
      <c r="Y513" s="552"/>
      <c r="Z513" s="552"/>
    </row>
    <row r="514" spans="1:26" ht="12.75" customHeight="1">
      <c r="A514" s="553"/>
      <c r="B514" s="552"/>
      <c r="C514" s="554"/>
      <c r="D514" s="552"/>
      <c r="E514" s="552"/>
      <c r="F514" s="555"/>
      <c r="G514" s="552"/>
      <c r="H514" s="552"/>
      <c r="I514" s="552"/>
      <c r="J514" s="552"/>
      <c r="K514" s="552"/>
      <c r="L514" s="552"/>
      <c r="M514" s="552"/>
      <c r="N514" s="552"/>
      <c r="O514" s="552"/>
      <c r="P514" s="552"/>
      <c r="Q514" s="552"/>
      <c r="R514" s="552"/>
      <c r="S514" s="552"/>
      <c r="T514" s="552"/>
      <c r="U514" s="552"/>
      <c r="V514" s="552"/>
      <c r="W514" s="552"/>
      <c r="X514" s="552"/>
      <c r="Y514" s="552"/>
      <c r="Z514" s="552"/>
    </row>
    <row r="515" spans="1:26" ht="12.75" customHeight="1">
      <c r="A515" s="553"/>
      <c r="B515" s="552"/>
      <c r="C515" s="554"/>
      <c r="D515" s="552"/>
      <c r="E515" s="552"/>
      <c r="F515" s="555"/>
      <c r="G515" s="552"/>
      <c r="H515" s="552"/>
      <c r="I515" s="552"/>
      <c r="J515" s="552"/>
      <c r="K515" s="552"/>
      <c r="L515" s="552"/>
      <c r="M515" s="552"/>
      <c r="N515" s="552"/>
      <c r="O515" s="552"/>
      <c r="P515" s="552"/>
      <c r="Q515" s="552"/>
      <c r="R515" s="552"/>
      <c r="S515" s="552"/>
      <c r="T515" s="552"/>
      <c r="U515" s="552"/>
      <c r="V515" s="552"/>
      <c r="W515" s="552"/>
      <c r="X515" s="552"/>
      <c r="Y515" s="552"/>
      <c r="Z515" s="552"/>
    </row>
    <row r="516" spans="1:26" ht="12.75" customHeight="1">
      <c r="A516" s="553"/>
      <c r="B516" s="552"/>
      <c r="C516" s="554"/>
      <c r="D516" s="552"/>
      <c r="E516" s="552"/>
      <c r="F516" s="555"/>
      <c r="G516" s="552"/>
      <c r="H516" s="552"/>
      <c r="I516" s="552"/>
      <c r="J516" s="552"/>
      <c r="K516" s="552"/>
      <c r="L516" s="552"/>
      <c r="M516" s="552"/>
      <c r="N516" s="552"/>
      <c r="O516" s="552"/>
      <c r="P516" s="552"/>
      <c r="Q516" s="552"/>
      <c r="R516" s="552"/>
      <c r="S516" s="552"/>
      <c r="T516" s="552"/>
      <c r="U516" s="552"/>
      <c r="V516" s="552"/>
      <c r="W516" s="552"/>
      <c r="X516" s="552"/>
      <c r="Y516" s="552"/>
      <c r="Z516" s="552"/>
    </row>
    <row r="517" spans="1:26" ht="12.75" customHeight="1">
      <c r="A517" s="553"/>
      <c r="B517" s="552"/>
      <c r="C517" s="554"/>
      <c r="D517" s="552"/>
      <c r="E517" s="552"/>
      <c r="F517" s="555"/>
      <c r="G517" s="552"/>
      <c r="H517" s="552"/>
      <c r="I517" s="552"/>
      <c r="J517" s="552"/>
      <c r="K517" s="552"/>
      <c r="L517" s="552"/>
      <c r="M517" s="552"/>
      <c r="N517" s="552"/>
      <c r="O517" s="552"/>
      <c r="P517" s="552"/>
      <c r="Q517" s="552"/>
      <c r="R517" s="552"/>
      <c r="S517" s="552"/>
      <c r="T517" s="552"/>
      <c r="U517" s="552"/>
      <c r="V517" s="552"/>
      <c r="W517" s="552"/>
      <c r="X517" s="552"/>
      <c r="Y517" s="552"/>
      <c r="Z517" s="552"/>
    </row>
    <row r="518" spans="1:26" ht="12.75" customHeight="1">
      <c r="A518" s="553"/>
      <c r="B518" s="552"/>
      <c r="C518" s="554"/>
      <c r="D518" s="552"/>
      <c r="E518" s="552"/>
      <c r="F518" s="555"/>
      <c r="G518" s="552"/>
      <c r="H518" s="552"/>
      <c r="I518" s="552"/>
      <c r="J518" s="552"/>
      <c r="K518" s="552"/>
      <c r="L518" s="552"/>
      <c r="M518" s="552"/>
      <c r="N518" s="552"/>
      <c r="O518" s="552"/>
      <c r="P518" s="552"/>
      <c r="Q518" s="552"/>
      <c r="R518" s="552"/>
      <c r="S518" s="552"/>
      <c r="T518" s="552"/>
      <c r="U518" s="552"/>
      <c r="V518" s="552"/>
      <c r="W518" s="552"/>
      <c r="X518" s="552"/>
      <c r="Y518" s="552"/>
      <c r="Z518" s="552"/>
    </row>
    <row r="519" spans="1:26" ht="12.75" customHeight="1">
      <c r="A519" s="553"/>
      <c r="B519" s="552"/>
      <c r="C519" s="554"/>
      <c r="D519" s="552"/>
      <c r="E519" s="552"/>
      <c r="F519" s="555"/>
      <c r="G519" s="552"/>
      <c r="H519" s="552"/>
      <c r="I519" s="552"/>
      <c r="J519" s="552"/>
      <c r="K519" s="552"/>
      <c r="L519" s="552"/>
      <c r="M519" s="552"/>
      <c r="N519" s="552"/>
      <c r="O519" s="552"/>
      <c r="P519" s="552"/>
      <c r="Q519" s="552"/>
      <c r="R519" s="552"/>
      <c r="S519" s="552"/>
      <c r="T519" s="552"/>
      <c r="U519" s="552"/>
      <c r="V519" s="552"/>
      <c r="W519" s="552"/>
      <c r="X519" s="552"/>
      <c r="Y519" s="552"/>
      <c r="Z519" s="552"/>
    </row>
    <row r="520" spans="1:26" ht="12.75" customHeight="1">
      <c r="A520" s="553"/>
      <c r="B520" s="552"/>
      <c r="C520" s="554"/>
      <c r="D520" s="552"/>
      <c r="E520" s="552"/>
      <c r="F520" s="555"/>
      <c r="G520" s="552"/>
      <c r="H520" s="552"/>
      <c r="I520" s="552"/>
      <c r="J520" s="552"/>
      <c r="K520" s="552"/>
      <c r="L520" s="552"/>
      <c r="M520" s="552"/>
      <c r="N520" s="552"/>
      <c r="O520" s="552"/>
      <c r="P520" s="552"/>
      <c r="Q520" s="552"/>
      <c r="R520" s="552"/>
      <c r="S520" s="552"/>
      <c r="T520" s="552"/>
      <c r="U520" s="552"/>
      <c r="V520" s="552"/>
      <c r="W520" s="552"/>
      <c r="X520" s="552"/>
      <c r="Y520" s="552"/>
      <c r="Z520" s="552"/>
    </row>
    <row r="521" spans="1:26" ht="12.75" customHeight="1">
      <c r="A521" s="553"/>
      <c r="B521" s="552"/>
      <c r="C521" s="554"/>
      <c r="D521" s="552"/>
      <c r="E521" s="552"/>
      <c r="F521" s="555"/>
      <c r="G521" s="552"/>
      <c r="H521" s="552"/>
      <c r="I521" s="552"/>
      <c r="J521" s="552"/>
      <c r="K521" s="552"/>
      <c r="L521" s="552"/>
      <c r="M521" s="552"/>
      <c r="N521" s="552"/>
      <c r="O521" s="552"/>
      <c r="P521" s="552"/>
      <c r="Q521" s="552"/>
      <c r="R521" s="552"/>
      <c r="S521" s="552"/>
      <c r="T521" s="552"/>
      <c r="U521" s="552"/>
      <c r="V521" s="552"/>
      <c r="W521" s="552"/>
      <c r="X521" s="552"/>
      <c r="Y521" s="552"/>
      <c r="Z521" s="552"/>
    </row>
    <row r="522" spans="1:26" ht="12.75" customHeight="1">
      <c r="A522" s="553"/>
      <c r="B522" s="552"/>
      <c r="C522" s="554"/>
      <c r="D522" s="552"/>
      <c r="E522" s="552"/>
      <c r="F522" s="555"/>
      <c r="G522" s="552"/>
      <c r="H522" s="552"/>
      <c r="I522" s="552"/>
      <c r="J522" s="552"/>
      <c r="K522" s="552"/>
      <c r="L522" s="552"/>
      <c r="M522" s="552"/>
      <c r="N522" s="552"/>
      <c r="O522" s="552"/>
      <c r="P522" s="552"/>
      <c r="Q522" s="552"/>
      <c r="R522" s="552"/>
      <c r="S522" s="552"/>
      <c r="T522" s="552"/>
      <c r="U522" s="552"/>
      <c r="V522" s="552"/>
      <c r="W522" s="552"/>
      <c r="X522" s="552"/>
      <c r="Y522" s="552"/>
      <c r="Z522" s="552"/>
    </row>
    <row r="523" spans="1:26" ht="12.75" customHeight="1">
      <c r="A523" s="553"/>
      <c r="B523" s="552"/>
      <c r="C523" s="554"/>
      <c r="D523" s="552"/>
      <c r="E523" s="552"/>
      <c r="F523" s="555"/>
      <c r="G523" s="552"/>
      <c r="H523" s="552"/>
      <c r="I523" s="552"/>
      <c r="J523" s="552"/>
      <c r="K523" s="552"/>
      <c r="L523" s="552"/>
      <c r="M523" s="552"/>
      <c r="N523" s="552"/>
      <c r="O523" s="552"/>
      <c r="P523" s="552"/>
      <c r="Q523" s="552"/>
      <c r="R523" s="552"/>
      <c r="S523" s="552"/>
      <c r="T523" s="552"/>
      <c r="U523" s="552"/>
      <c r="V523" s="552"/>
      <c r="W523" s="552"/>
      <c r="X523" s="552"/>
      <c r="Y523" s="552"/>
      <c r="Z523" s="552"/>
    </row>
    <row r="524" spans="1:26" ht="12.75" customHeight="1">
      <c r="A524" s="553"/>
      <c r="B524" s="552"/>
      <c r="C524" s="554"/>
      <c r="D524" s="552"/>
      <c r="E524" s="552"/>
      <c r="F524" s="555"/>
      <c r="G524" s="552"/>
      <c r="H524" s="552"/>
      <c r="I524" s="552"/>
      <c r="J524" s="552"/>
      <c r="K524" s="552"/>
      <c r="L524" s="552"/>
      <c r="M524" s="552"/>
      <c r="N524" s="552"/>
      <c r="O524" s="552"/>
      <c r="P524" s="552"/>
      <c r="Q524" s="552"/>
      <c r="R524" s="552"/>
      <c r="S524" s="552"/>
      <c r="T524" s="552"/>
      <c r="U524" s="552"/>
      <c r="V524" s="552"/>
      <c r="W524" s="552"/>
      <c r="X524" s="552"/>
      <c r="Y524" s="552"/>
      <c r="Z524" s="552"/>
    </row>
    <row r="525" spans="1:26" ht="12.75" customHeight="1">
      <c r="A525" s="553"/>
      <c r="B525" s="552"/>
      <c r="C525" s="554"/>
      <c r="D525" s="552"/>
      <c r="E525" s="552"/>
      <c r="F525" s="555"/>
      <c r="G525" s="552"/>
      <c r="H525" s="552"/>
      <c r="I525" s="552"/>
      <c r="J525" s="552"/>
      <c r="K525" s="552"/>
      <c r="L525" s="552"/>
      <c r="M525" s="552"/>
      <c r="N525" s="552"/>
      <c r="O525" s="552"/>
      <c r="P525" s="552"/>
      <c r="Q525" s="552"/>
      <c r="R525" s="552"/>
      <c r="S525" s="552"/>
      <c r="T525" s="552"/>
      <c r="U525" s="552"/>
      <c r="V525" s="552"/>
      <c r="W525" s="552"/>
      <c r="X525" s="552"/>
      <c r="Y525" s="552"/>
      <c r="Z525" s="552"/>
    </row>
    <row r="526" spans="1:26" ht="12.75" customHeight="1">
      <c r="A526" s="553"/>
      <c r="B526" s="552"/>
      <c r="C526" s="554"/>
      <c r="D526" s="552"/>
      <c r="E526" s="552"/>
      <c r="F526" s="555"/>
      <c r="G526" s="552"/>
      <c r="H526" s="552"/>
      <c r="I526" s="552"/>
      <c r="J526" s="552"/>
      <c r="K526" s="552"/>
      <c r="L526" s="552"/>
      <c r="M526" s="552"/>
      <c r="N526" s="552"/>
      <c r="O526" s="552"/>
      <c r="P526" s="552"/>
      <c r="Q526" s="552"/>
      <c r="R526" s="552"/>
      <c r="S526" s="552"/>
      <c r="T526" s="552"/>
      <c r="U526" s="552"/>
      <c r="V526" s="552"/>
      <c r="W526" s="552"/>
      <c r="X526" s="552"/>
      <c r="Y526" s="552"/>
      <c r="Z526" s="552"/>
    </row>
    <row r="527" spans="1:26" ht="12.75" customHeight="1">
      <c r="A527" s="553"/>
      <c r="B527" s="552"/>
      <c r="C527" s="554"/>
      <c r="D527" s="552"/>
      <c r="E527" s="552"/>
      <c r="F527" s="555"/>
      <c r="G527" s="552"/>
      <c r="H527" s="552"/>
      <c r="I527" s="552"/>
      <c r="J527" s="552"/>
      <c r="K527" s="552"/>
      <c r="L527" s="552"/>
      <c r="M527" s="552"/>
      <c r="N527" s="552"/>
      <c r="O527" s="552"/>
      <c r="P527" s="552"/>
      <c r="Q527" s="552"/>
      <c r="R527" s="552"/>
      <c r="S527" s="552"/>
      <c r="T527" s="552"/>
      <c r="U527" s="552"/>
      <c r="V527" s="552"/>
      <c r="W527" s="552"/>
      <c r="X527" s="552"/>
      <c r="Y527" s="552"/>
      <c r="Z527" s="552"/>
    </row>
    <row r="528" spans="1:26" ht="12.75" customHeight="1">
      <c r="A528" s="553"/>
      <c r="B528" s="552"/>
      <c r="C528" s="554"/>
      <c r="D528" s="552"/>
      <c r="E528" s="552"/>
      <c r="F528" s="555"/>
      <c r="G528" s="552"/>
      <c r="H528" s="552"/>
      <c r="I528" s="552"/>
      <c r="J528" s="552"/>
      <c r="K528" s="552"/>
      <c r="L528" s="552"/>
      <c r="M528" s="552"/>
      <c r="N528" s="552"/>
      <c r="O528" s="552"/>
      <c r="P528" s="552"/>
      <c r="Q528" s="552"/>
      <c r="R528" s="552"/>
      <c r="S528" s="552"/>
      <c r="T528" s="552"/>
      <c r="U528" s="552"/>
      <c r="V528" s="552"/>
      <c r="W528" s="552"/>
      <c r="X528" s="552"/>
      <c r="Y528" s="552"/>
      <c r="Z528" s="552"/>
    </row>
    <row r="529" spans="1:26" ht="12.75" customHeight="1">
      <c r="A529" s="553"/>
      <c r="B529" s="552"/>
      <c r="C529" s="554"/>
      <c r="D529" s="552"/>
      <c r="E529" s="552"/>
      <c r="F529" s="555"/>
      <c r="G529" s="552"/>
      <c r="H529" s="552"/>
      <c r="I529" s="552"/>
      <c r="J529" s="552"/>
      <c r="K529" s="552"/>
      <c r="L529" s="552"/>
      <c r="M529" s="552"/>
      <c r="N529" s="552"/>
      <c r="O529" s="552"/>
      <c r="P529" s="552"/>
      <c r="Q529" s="552"/>
      <c r="R529" s="552"/>
      <c r="S529" s="552"/>
      <c r="T529" s="552"/>
      <c r="U529" s="552"/>
      <c r="V529" s="552"/>
      <c r="W529" s="552"/>
      <c r="X529" s="552"/>
      <c r="Y529" s="552"/>
      <c r="Z529" s="552"/>
    </row>
    <row r="530" spans="1:26" ht="12.75" customHeight="1">
      <c r="A530" s="553"/>
      <c r="B530" s="552"/>
      <c r="C530" s="554"/>
      <c r="D530" s="552"/>
      <c r="E530" s="552"/>
      <c r="F530" s="555"/>
      <c r="G530" s="552"/>
      <c r="H530" s="552"/>
      <c r="I530" s="552"/>
      <c r="J530" s="552"/>
      <c r="K530" s="552"/>
      <c r="L530" s="552"/>
      <c r="M530" s="552"/>
      <c r="N530" s="552"/>
      <c r="O530" s="552"/>
      <c r="P530" s="552"/>
      <c r="Q530" s="552"/>
      <c r="R530" s="552"/>
      <c r="S530" s="552"/>
      <c r="T530" s="552"/>
      <c r="U530" s="552"/>
      <c r="V530" s="552"/>
      <c r="W530" s="552"/>
      <c r="X530" s="552"/>
      <c r="Y530" s="552"/>
      <c r="Z530" s="552"/>
    </row>
    <row r="531" spans="1:26" ht="12.75" customHeight="1">
      <c r="A531" s="553"/>
      <c r="B531" s="552"/>
      <c r="C531" s="554"/>
      <c r="D531" s="552"/>
      <c r="E531" s="552"/>
      <c r="F531" s="555"/>
      <c r="G531" s="552"/>
      <c r="H531" s="552"/>
      <c r="I531" s="552"/>
      <c r="J531" s="552"/>
      <c r="K531" s="552"/>
      <c r="L531" s="552"/>
      <c r="M531" s="552"/>
      <c r="N531" s="552"/>
      <c r="O531" s="552"/>
      <c r="P531" s="552"/>
      <c r="Q531" s="552"/>
      <c r="R531" s="552"/>
      <c r="S531" s="552"/>
      <c r="T531" s="552"/>
      <c r="U531" s="552"/>
      <c r="V531" s="552"/>
      <c r="W531" s="552"/>
      <c r="X531" s="552"/>
      <c r="Y531" s="552"/>
      <c r="Z531" s="552"/>
    </row>
    <row r="532" spans="1:26" ht="12.75" customHeight="1">
      <c r="A532" s="553"/>
      <c r="B532" s="552"/>
      <c r="C532" s="554"/>
      <c r="D532" s="552"/>
      <c r="E532" s="552"/>
      <c r="F532" s="555"/>
      <c r="G532" s="552"/>
      <c r="H532" s="552"/>
      <c r="I532" s="552"/>
      <c r="J532" s="552"/>
      <c r="K532" s="552"/>
      <c r="L532" s="552"/>
      <c r="M532" s="552"/>
      <c r="N532" s="552"/>
      <c r="O532" s="552"/>
      <c r="P532" s="552"/>
      <c r="Q532" s="552"/>
      <c r="R532" s="552"/>
      <c r="S532" s="552"/>
      <c r="T532" s="552"/>
      <c r="U532" s="552"/>
      <c r="V532" s="552"/>
      <c r="W532" s="552"/>
      <c r="X532" s="552"/>
      <c r="Y532" s="552"/>
      <c r="Z532" s="552"/>
    </row>
    <row r="533" spans="1:26" ht="12.75" customHeight="1">
      <c r="A533" s="553"/>
      <c r="B533" s="552"/>
      <c r="C533" s="554"/>
      <c r="D533" s="552"/>
      <c r="E533" s="552"/>
      <c r="F533" s="555"/>
      <c r="G533" s="552"/>
      <c r="H533" s="552"/>
      <c r="I533" s="552"/>
      <c r="J533" s="552"/>
      <c r="K533" s="552"/>
      <c r="L533" s="552"/>
      <c r="M533" s="552"/>
      <c r="N533" s="552"/>
      <c r="O533" s="552"/>
      <c r="P533" s="552"/>
      <c r="Q533" s="552"/>
      <c r="R533" s="552"/>
      <c r="S533" s="552"/>
      <c r="T533" s="552"/>
      <c r="U533" s="552"/>
      <c r="V533" s="552"/>
      <c r="W533" s="552"/>
      <c r="X533" s="552"/>
      <c r="Y533" s="552"/>
      <c r="Z533" s="552"/>
    </row>
    <row r="534" spans="1:26" ht="12.75" customHeight="1">
      <c r="A534" s="553"/>
      <c r="B534" s="552"/>
      <c r="C534" s="554"/>
      <c r="D534" s="552"/>
      <c r="E534" s="552"/>
      <c r="F534" s="555"/>
      <c r="G534" s="552"/>
      <c r="H534" s="552"/>
      <c r="I534" s="552"/>
      <c r="J534" s="552"/>
      <c r="K534" s="552"/>
      <c r="L534" s="552"/>
      <c r="M534" s="552"/>
      <c r="N534" s="552"/>
      <c r="O534" s="552"/>
      <c r="P534" s="552"/>
      <c r="Q534" s="552"/>
      <c r="R534" s="552"/>
      <c r="S534" s="552"/>
      <c r="T534" s="552"/>
      <c r="U534" s="552"/>
      <c r="V534" s="552"/>
      <c r="W534" s="552"/>
      <c r="X534" s="552"/>
      <c r="Y534" s="552"/>
      <c r="Z534" s="552"/>
    </row>
    <row r="535" spans="1:26" ht="12.75" customHeight="1">
      <c r="A535" s="553"/>
      <c r="B535" s="552"/>
      <c r="C535" s="554"/>
      <c r="D535" s="552"/>
      <c r="E535" s="552"/>
      <c r="F535" s="555"/>
      <c r="G535" s="552"/>
      <c r="H535" s="552"/>
      <c r="I535" s="552"/>
      <c r="J535" s="552"/>
      <c r="K535" s="552"/>
      <c r="L535" s="552"/>
      <c r="M535" s="552"/>
      <c r="N535" s="552"/>
      <c r="O535" s="552"/>
      <c r="P535" s="552"/>
      <c r="Q535" s="552"/>
      <c r="R535" s="552"/>
      <c r="S535" s="552"/>
      <c r="T535" s="552"/>
      <c r="U535" s="552"/>
      <c r="V535" s="552"/>
      <c r="W535" s="552"/>
      <c r="X535" s="552"/>
      <c r="Y535" s="552"/>
      <c r="Z535" s="552"/>
    </row>
    <row r="536" spans="1:26" ht="12.75" customHeight="1">
      <c r="A536" s="553"/>
      <c r="B536" s="552"/>
      <c r="C536" s="554"/>
      <c r="D536" s="552"/>
      <c r="E536" s="552"/>
      <c r="F536" s="555"/>
      <c r="G536" s="552"/>
      <c r="H536" s="552"/>
      <c r="I536" s="552"/>
      <c r="J536" s="552"/>
      <c r="K536" s="552"/>
      <c r="L536" s="552"/>
      <c r="M536" s="552"/>
      <c r="N536" s="552"/>
      <c r="O536" s="552"/>
      <c r="P536" s="552"/>
      <c r="Q536" s="552"/>
      <c r="R536" s="552"/>
      <c r="S536" s="552"/>
      <c r="T536" s="552"/>
      <c r="U536" s="552"/>
      <c r="V536" s="552"/>
      <c r="W536" s="552"/>
      <c r="X536" s="552"/>
      <c r="Y536" s="552"/>
      <c r="Z536" s="552"/>
    </row>
    <row r="537" spans="1:26" ht="12.75" customHeight="1">
      <c r="A537" s="553"/>
      <c r="B537" s="552"/>
      <c r="C537" s="554"/>
      <c r="D537" s="552"/>
      <c r="E537" s="552"/>
      <c r="F537" s="555"/>
      <c r="G537" s="552"/>
      <c r="H537" s="552"/>
      <c r="I537" s="552"/>
      <c r="J537" s="552"/>
      <c r="K537" s="552"/>
      <c r="L537" s="552"/>
      <c r="M537" s="552"/>
      <c r="N537" s="552"/>
      <c r="O537" s="552"/>
      <c r="P537" s="552"/>
      <c r="Q537" s="552"/>
      <c r="R537" s="552"/>
      <c r="S537" s="552"/>
      <c r="T537" s="552"/>
      <c r="U537" s="552"/>
      <c r="V537" s="552"/>
      <c r="W537" s="552"/>
      <c r="X537" s="552"/>
      <c r="Y537" s="552"/>
      <c r="Z537" s="552"/>
    </row>
    <row r="538" spans="1:26" ht="12.75" customHeight="1">
      <c r="A538" s="553"/>
      <c r="B538" s="552"/>
      <c r="C538" s="554"/>
      <c r="D538" s="552"/>
      <c r="E538" s="552"/>
      <c r="F538" s="555"/>
      <c r="G538" s="552"/>
      <c r="H538" s="552"/>
      <c r="I538" s="552"/>
      <c r="J538" s="552"/>
      <c r="K538" s="552"/>
      <c r="L538" s="552"/>
      <c r="M538" s="552"/>
      <c r="N538" s="552"/>
      <c r="O538" s="552"/>
      <c r="P538" s="552"/>
      <c r="Q538" s="552"/>
      <c r="R538" s="552"/>
      <c r="S538" s="552"/>
      <c r="T538" s="552"/>
      <c r="U538" s="552"/>
      <c r="V538" s="552"/>
      <c r="W538" s="552"/>
      <c r="X538" s="552"/>
      <c r="Y538" s="552"/>
      <c r="Z538" s="552"/>
    </row>
    <row r="539" spans="1:26" ht="12.75" customHeight="1">
      <c r="A539" s="553"/>
      <c r="B539" s="552"/>
      <c r="C539" s="554"/>
      <c r="D539" s="552"/>
      <c r="E539" s="552"/>
      <c r="F539" s="555"/>
      <c r="G539" s="552"/>
      <c r="H539" s="552"/>
      <c r="I539" s="552"/>
      <c r="J539" s="552"/>
      <c r="K539" s="552"/>
      <c r="L539" s="552"/>
      <c r="M539" s="552"/>
      <c r="N539" s="552"/>
      <c r="O539" s="552"/>
      <c r="P539" s="552"/>
      <c r="Q539" s="552"/>
      <c r="R539" s="552"/>
      <c r="S539" s="552"/>
      <c r="T539" s="552"/>
      <c r="U539" s="552"/>
      <c r="V539" s="552"/>
      <c r="W539" s="552"/>
      <c r="X539" s="552"/>
      <c r="Y539" s="552"/>
      <c r="Z539" s="552"/>
    </row>
    <row r="540" spans="1:26" ht="12.75" customHeight="1">
      <c r="A540" s="553"/>
      <c r="B540" s="552"/>
      <c r="C540" s="554"/>
      <c r="D540" s="552"/>
      <c r="E540" s="552"/>
      <c r="F540" s="555"/>
      <c r="G540" s="552"/>
      <c r="H540" s="552"/>
      <c r="I540" s="552"/>
      <c r="J540" s="552"/>
      <c r="K540" s="552"/>
      <c r="L540" s="552"/>
      <c r="M540" s="552"/>
      <c r="N540" s="552"/>
      <c r="O540" s="552"/>
      <c r="P540" s="552"/>
      <c r="Q540" s="552"/>
      <c r="R540" s="552"/>
      <c r="S540" s="552"/>
      <c r="T540" s="552"/>
      <c r="U540" s="552"/>
      <c r="V540" s="552"/>
      <c r="W540" s="552"/>
      <c r="X540" s="552"/>
      <c r="Y540" s="552"/>
      <c r="Z540" s="552"/>
    </row>
    <row r="541" spans="1:26" ht="12.75" customHeight="1">
      <c r="A541" s="553"/>
      <c r="B541" s="552"/>
      <c r="C541" s="554"/>
      <c r="D541" s="552"/>
      <c r="E541" s="552"/>
      <c r="F541" s="555"/>
      <c r="G541" s="552"/>
      <c r="H541" s="552"/>
      <c r="I541" s="552"/>
      <c r="J541" s="552"/>
      <c r="K541" s="552"/>
      <c r="L541" s="552"/>
      <c r="M541" s="552"/>
      <c r="N541" s="552"/>
      <c r="O541" s="552"/>
      <c r="P541" s="552"/>
      <c r="Q541" s="552"/>
      <c r="R541" s="552"/>
      <c r="S541" s="552"/>
      <c r="T541" s="552"/>
      <c r="U541" s="552"/>
      <c r="V541" s="552"/>
      <c r="W541" s="552"/>
      <c r="X541" s="552"/>
      <c r="Y541" s="552"/>
      <c r="Z541" s="552"/>
    </row>
    <row r="542" spans="1:26" ht="12.75" customHeight="1">
      <c r="A542" s="553"/>
      <c r="B542" s="552"/>
      <c r="C542" s="554"/>
      <c r="D542" s="552"/>
      <c r="E542" s="552"/>
      <c r="F542" s="555"/>
      <c r="G542" s="552"/>
      <c r="H542" s="552"/>
      <c r="I542" s="552"/>
      <c r="J542" s="552"/>
      <c r="K542" s="552"/>
      <c r="L542" s="552"/>
      <c r="M542" s="552"/>
      <c r="N542" s="552"/>
      <c r="O542" s="552"/>
      <c r="P542" s="552"/>
      <c r="Q542" s="552"/>
      <c r="R542" s="552"/>
      <c r="S542" s="552"/>
      <c r="T542" s="552"/>
      <c r="U542" s="552"/>
      <c r="V542" s="552"/>
      <c r="W542" s="552"/>
      <c r="X542" s="552"/>
      <c r="Y542" s="552"/>
      <c r="Z542" s="552"/>
    </row>
    <row r="543" spans="1:26" ht="12.75" customHeight="1">
      <c r="A543" s="553"/>
      <c r="B543" s="552"/>
      <c r="C543" s="554"/>
      <c r="D543" s="552"/>
      <c r="E543" s="552"/>
      <c r="F543" s="555"/>
      <c r="G543" s="552"/>
      <c r="H543" s="552"/>
      <c r="I543" s="552"/>
      <c r="J543" s="552"/>
      <c r="K543" s="552"/>
      <c r="L543" s="552"/>
      <c r="M543" s="552"/>
      <c r="N543" s="552"/>
      <c r="O543" s="552"/>
      <c r="P543" s="552"/>
      <c r="Q543" s="552"/>
      <c r="R543" s="552"/>
      <c r="S543" s="552"/>
      <c r="T543" s="552"/>
      <c r="U543" s="552"/>
      <c r="V543" s="552"/>
      <c r="W543" s="552"/>
      <c r="X543" s="552"/>
      <c r="Y543" s="552"/>
      <c r="Z543" s="552"/>
    </row>
    <row r="544" spans="1:26" ht="12.75" customHeight="1">
      <c r="A544" s="553"/>
      <c r="B544" s="552"/>
      <c r="C544" s="554"/>
      <c r="D544" s="552"/>
      <c r="E544" s="552"/>
      <c r="F544" s="555"/>
      <c r="G544" s="552"/>
      <c r="H544" s="552"/>
      <c r="I544" s="552"/>
      <c r="J544" s="552"/>
      <c r="K544" s="552"/>
      <c r="L544" s="552"/>
      <c r="M544" s="552"/>
      <c r="N544" s="552"/>
      <c r="O544" s="552"/>
      <c r="P544" s="552"/>
      <c r="Q544" s="552"/>
      <c r="R544" s="552"/>
      <c r="S544" s="552"/>
      <c r="T544" s="552"/>
      <c r="U544" s="552"/>
      <c r="V544" s="552"/>
      <c r="W544" s="552"/>
      <c r="X544" s="552"/>
      <c r="Y544" s="552"/>
      <c r="Z544" s="552"/>
    </row>
    <row r="545" spans="1:26" ht="12.75" customHeight="1">
      <c r="A545" s="553"/>
      <c r="B545" s="552"/>
      <c r="C545" s="554"/>
      <c r="D545" s="552"/>
      <c r="E545" s="552"/>
      <c r="F545" s="555"/>
      <c r="G545" s="552"/>
      <c r="H545" s="552"/>
      <c r="I545" s="552"/>
      <c r="J545" s="552"/>
      <c r="K545" s="552"/>
      <c r="L545" s="552"/>
      <c r="M545" s="552"/>
      <c r="N545" s="552"/>
      <c r="O545" s="552"/>
      <c r="P545" s="552"/>
      <c r="Q545" s="552"/>
      <c r="R545" s="552"/>
      <c r="S545" s="552"/>
      <c r="T545" s="552"/>
      <c r="U545" s="552"/>
      <c r="V545" s="552"/>
      <c r="W545" s="552"/>
      <c r="X545" s="552"/>
      <c r="Y545" s="552"/>
      <c r="Z545" s="552"/>
    </row>
    <row r="546" spans="1:26" ht="12.75" customHeight="1">
      <c r="A546" s="553"/>
      <c r="B546" s="552"/>
      <c r="C546" s="554"/>
      <c r="D546" s="552"/>
      <c r="E546" s="552"/>
      <c r="F546" s="555"/>
      <c r="G546" s="552"/>
      <c r="H546" s="552"/>
      <c r="I546" s="552"/>
      <c r="J546" s="552"/>
      <c r="K546" s="552"/>
      <c r="L546" s="552"/>
      <c r="M546" s="552"/>
      <c r="N546" s="552"/>
      <c r="O546" s="552"/>
      <c r="P546" s="552"/>
      <c r="Q546" s="552"/>
      <c r="R546" s="552"/>
      <c r="S546" s="552"/>
      <c r="T546" s="552"/>
      <c r="U546" s="552"/>
      <c r="V546" s="552"/>
      <c r="W546" s="552"/>
      <c r="X546" s="552"/>
      <c r="Y546" s="552"/>
      <c r="Z546" s="552"/>
    </row>
    <row r="547" spans="1:26" ht="12.75" customHeight="1">
      <c r="A547" s="553"/>
      <c r="B547" s="552"/>
      <c r="C547" s="554"/>
      <c r="D547" s="552"/>
      <c r="E547" s="552"/>
      <c r="F547" s="555"/>
      <c r="G547" s="552"/>
      <c r="H547" s="552"/>
      <c r="I547" s="552"/>
      <c r="J547" s="552"/>
      <c r="K547" s="552"/>
      <c r="L547" s="552"/>
      <c r="M547" s="552"/>
      <c r="N547" s="552"/>
      <c r="O547" s="552"/>
      <c r="P547" s="552"/>
      <c r="Q547" s="552"/>
      <c r="R547" s="552"/>
      <c r="S547" s="552"/>
      <c r="T547" s="552"/>
      <c r="U547" s="552"/>
      <c r="V547" s="552"/>
      <c r="W547" s="552"/>
      <c r="X547" s="552"/>
      <c r="Y547" s="552"/>
      <c r="Z547" s="552"/>
    </row>
    <row r="548" spans="1:26" ht="12.75" customHeight="1">
      <c r="A548" s="553"/>
      <c r="B548" s="552"/>
      <c r="C548" s="554"/>
      <c r="D548" s="552"/>
      <c r="E548" s="552"/>
      <c r="F548" s="555"/>
      <c r="G548" s="552"/>
      <c r="H548" s="552"/>
      <c r="I548" s="552"/>
      <c r="J548" s="552"/>
      <c r="K548" s="552"/>
      <c r="L548" s="552"/>
      <c r="M548" s="552"/>
      <c r="N548" s="552"/>
      <c r="O548" s="552"/>
      <c r="P548" s="552"/>
      <c r="Q548" s="552"/>
      <c r="R548" s="552"/>
      <c r="S548" s="552"/>
      <c r="T548" s="552"/>
      <c r="U548" s="552"/>
      <c r="V548" s="552"/>
      <c r="W548" s="552"/>
      <c r="X548" s="552"/>
      <c r="Y548" s="552"/>
      <c r="Z548" s="552"/>
    </row>
    <row r="549" spans="1:26" ht="12.75" customHeight="1">
      <c r="A549" s="553"/>
      <c r="B549" s="552"/>
      <c r="C549" s="554"/>
      <c r="D549" s="552"/>
      <c r="E549" s="552"/>
      <c r="F549" s="555"/>
      <c r="G549" s="552"/>
      <c r="H549" s="552"/>
      <c r="I549" s="552"/>
      <c r="J549" s="552"/>
      <c r="K549" s="552"/>
      <c r="L549" s="552"/>
      <c r="M549" s="552"/>
      <c r="N549" s="552"/>
      <c r="O549" s="552"/>
      <c r="P549" s="552"/>
      <c r="Q549" s="552"/>
      <c r="R549" s="552"/>
      <c r="S549" s="552"/>
      <c r="T549" s="552"/>
      <c r="U549" s="552"/>
      <c r="V549" s="552"/>
      <c r="W549" s="552"/>
      <c r="X549" s="552"/>
      <c r="Y549" s="552"/>
      <c r="Z549" s="552"/>
    </row>
    <row r="550" spans="1:26" ht="12.75" customHeight="1">
      <c r="A550" s="553"/>
      <c r="B550" s="552"/>
      <c r="C550" s="554"/>
      <c r="D550" s="552"/>
      <c r="E550" s="552"/>
      <c r="F550" s="555"/>
      <c r="G550" s="552"/>
      <c r="H550" s="552"/>
      <c r="I550" s="552"/>
      <c r="J550" s="552"/>
      <c r="K550" s="552"/>
      <c r="L550" s="552"/>
      <c r="M550" s="552"/>
      <c r="N550" s="552"/>
      <c r="O550" s="552"/>
      <c r="P550" s="552"/>
      <c r="Q550" s="552"/>
      <c r="R550" s="552"/>
      <c r="S550" s="552"/>
      <c r="T550" s="552"/>
      <c r="U550" s="552"/>
      <c r="V550" s="552"/>
      <c r="W550" s="552"/>
      <c r="X550" s="552"/>
      <c r="Y550" s="552"/>
      <c r="Z550" s="552"/>
    </row>
    <row r="551" spans="1:26" ht="12.75" customHeight="1">
      <c r="A551" s="553"/>
      <c r="B551" s="552"/>
      <c r="C551" s="554"/>
      <c r="D551" s="552"/>
      <c r="E551" s="552"/>
      <c r="F551" s="555"/>
      <c r="G551" s="552"/>
      <c r="H551" s="552"/>
      <c r="I551" s="552"/>
      <c r="J551" s="552"/>
      <c r="K551" s="552"/>
      <c r="L551" s="552"/>
      <c r="M551" s="552"/>
      <c r="N551" s="552"/>
      <c r="O551" s="552"/>
      <c r="P551" s="552"/>
      <c r="Q551" s="552"/>
      <c r="R551" s="552"/>
      <c r="S551" s="552"/>
      <c r="T551" s="552"/>
      <c r="U551" s="552"/>
      <c r="V551" s="552"/>
      <c r="W551" s="552"/>
      <c r="X551" s="552"/>
      <c r="Y551" s="552"/>
      <c r="Z551" s="552"/>
    </row>
    <row r="552" spans="1:26" ht="12.75" customHeight="1">
      <c r="A552" s="553"/>
      <c r="B552" s="552"/>
      <c r="C552" s="554"/>
      <c r="D552" s="552"/>
      <c r="E552" s="552"/>
      <c r="F552" s="555"/>
      <c r="G552" s="552"/>
      <c r="H552" s="552"/>
      <c r="I552" s="552"/>
      <c r="J552" s="552"/>
      <c r="K552" s="552"/>
      <c r="L552" s="552"/>
      <c r="M552" s="552"/>
      <c r="N552" s="552"/>
      <c r="O552" s="552"/>
      <c r="P552" s="552"/>
      <c r="Q552" s="552"/>
      <c r="R552" s="552"/>
      <c r="S552" s="552"/>
      <c r="T552" s="552"/>
      <c r="U552" s="552"/>
      <c r="V552" s="552"/>
      <c r="W552" s="552"/>
      <c r="X552" s="552"/>
      <c r="Y552" s="552"/>
      <c r="Z552" s="552"/>
    </row>
    <row r="553" spans="1:26" ht="12.75" customHeight="1">
      <c r="A553" s="553"/>
      <c r="B553" s="552"/>
      <c r="C553" s="554"/>
      <c r="D553" s="552"/>
      <c r="E553" s="552"/>
      <c r="F553" s="555"/>
      <c r="G553" s="552"/>
      <c r="H553" s="552"/>
      <c r="I553" s="552"/>
      <c r="J553" s="552"/>
      <c r="K553" s="552"/>
      <c r="L553" s="552"/>
      <c r="M553" s="552"/>
      <c r="N553" s="552"/>
      <c r="O553" s="552"/>
      <c r="P553" s="552"/>
      <c r="Q553" s="552"/>
      <c r="R553" s="552"/>
      <c r="S553" s="552"/>
      <c r="T553" s="552"/>
      <c r="U553" s="552"/>
      <c r="V553" s="552"/>
      <c r="W553" s="552"/>
      <c r="X553" s="552"/>
      <c r="Y553" s="552"/>
      <c r="Z553" s="552"/>
    </row>
    <row r="554" spans="1:26" ht="12.75" customHeight="1">
      <c r="A554" s="553"/>
      <c r="B554" s="552"/>
      <c r="C554" s="554"/>
      <c r="D554" s="552"/>
      <c r="E554" s="552"/>
      <c r="F554" s="555"/>
      <c r="G554" s="552"/>
      <c r="H554" s="552"/>
      <c r="I554" s="552"/>
      <c r="J554" s="552"/>
      <c r="K554" s="552"/>
      <c r="L554" s="552"/>
      <c r="M554" s="552"/>
      <c r="N554" s="552"/>
      <c r="O554" s="552"/>
      <c r="P554" s="552"/>
      <c r="Q554" s="552"/>
      <c r="R554" s="552"/>
      <c r="S554" s="552"/>
      <c r="T554" s="552"/>
      <c r="U554" s="552"/>
      <c r="V554" s="552"/>
      <c r="W554" s="552"/>
      <c r="X554" s="552"/>
      <c r="Y554" s="552"/>
      <c r="Z554" s="552"/>
    </row>
    <row r="555" spans="1:26" ht="12.75" customHeight="1">
      <c r="A555" s="553"/>
      <c r="B555" s="552"/>
      <c r="C555" s="554"/>
      <c r="D555" s="552"/>
      <c r="E555" s="552"/>
      <c r="F555" s="555"/>
      <c r="G555" s="552"/>
      <c r="H555" s="552"/>
      <c r="I555" s="552"/>
      <c r="J555" s="552"/>
      <c r="K555" s="552"/>
      <c r="L555" s="552"/>
      <c r="M555" s="552"/>
      <c r="N555" s="552"/>
      <c r="O555" s="552"/>
      <c r="P555" s="552"/>
      <c r="Q555" s="552"/>
      <c r="R555" s="552"/>
      <c r="S555" s="552"/>
      <c r="T555" s="552"/>
      <c r="U555" s="552"/>
      <c r="V555" s="552"/>
      <c r="W555" s="552"/>
      <c r="X555" s="552"/>
      <c r="Y555" s="552"/>
      <c r="Z555" s="552"/>
    </row>
    <row r="556" spans="1:26" ht="12.75" customHeight="1">
      <c r="A556" s="553"/>
      <c r="B556" s="552"/>
      <c r="C556" s="554"/>
      <c r="D556" s="552"/>
      <c r="E556" s="552"/>
      <c r="F556" s="555"/>
      <c r="G556" s="552"/>
      <c r="H556" s="552"/>
      <c r="I556" s="552"/>
      <c r="J556" s="552"/>
      <c r="K556" s="552"/>
      <c r="L556" s="552"/>
      <c r="M556" s="552"/>
      <c r="N556" s="552"/>
      <c r="O556" s="552"/>
      <c r="P556" s="552"/>
      <c r="Q556" s="552"/>
      <c r="R556" s="552"/>
      <c r="S556" s="552"/>
      <c r="T556" s="552"/>
      <c r="U556" s="552"/>
      <c r="V556" s="552"/>
      <c r="W556" s="552"/>
      <c r="X556" s="552"/>
      <c r="Y556" s="552"/>
      <c r="Z556" s="552"/>
    </row>
    <row r="557" spans="1:26" ht="12.75" customHeight="1">
      <c r="A557" s="553"/>
      <c r="B557" s="552"/>
      <c r="C557" s="554"/>
      <c r="D557" s="552"/>
      <c r="E557" s="552"/>
      <c r="F557" s="555"/>
      <c r="G557" s="552"/>
      <c r="H557" s="552"/>
      <c r="I557" s="552"/>
      <c r="J557" s="552"/>
      <c r="K557" s="552"/>
      <c r="L557" s="552"/>
      <c r="M557" s="552"/>
      <c r="N557" s="552"/>
      <c r="O557" s="552"/>
      <c r="P557" s="552"/>
      <c r="Q557" s="552"/>
      <c r="R557" s="552"/>
      <c r="S557" s="552"/>
      <c r="T557" s="552"/>
      <c r="U557" s="552"/>
      <c r="V557" s="552"/>
      <c r="W557" s="552"/>
      <c r="X557" s="552"/>
      <c r="Y557" s="552"/>
      <c r="Z557" s="552"/>
    </row>
    <row r="558" spans="1:26" ht="12.75" customHeight="1">
      <c r="A558" s="553"/>
      <c r="B558" s="552"/>
      <c r="C558" s="554"/>
      <c r="D558" s="552"/>
      <c r="E558" s="552"/>
      <c r="F558" s="555"/>
      <c r="G558" s="552"/>
      <c r="H558" s="552"/>
      <c r="I558" s="552"/>
      <c r="J558" s="552"/>
      <c r="K558" s="552"/>
      <c r="L558" s="552"/>
      <c r="M558" s="552"/>
      <c r="N558" s="552"/>
      <c r="O558" s="552"/>
      <c r="P558" s="552"/>
      <c r="Q558" s="552"/>
      <c r="R558" s="552"/>
      <c r="S558" s="552"/>
      <c r="T558" s="552"/>
      <c r="U558" s="552"/>
      <c r="V558" s="552"/>
      <c r="W558" s="552"/>
      <c r="X558" s="552"/>
      <c r="Y558" s="552"/>
      <c r="Z558" s="552"/>
    </row>
    <row r="559" spans="1:26" ht="12.75" customHeight="1">
      <c r="A559" s="553"/>
      <c r="B559" s="552"/>
      <c r="C559" s="554"/>
      <c r="D559" s="552"/>
      <c r="E559" s="552"/>
      <c r="F559" s="555"/>
      <c r="G559" s="552"/>
      <c r="H559" s="552"/>
      <c r="I559" s="552"/>
      <c r="J559" s="552"/>
      <c r="K559" s="552"/>
      <c r="L559" s="552"/>
      <c r="M559" s="552"/>
      <c r="N559" s="552"/>
      <c r="O559" s="552"/>
      <c r="P559" s="552"/>
      <c r="Q559" s="552"/>
      <c r="R559" s="552"/>
      <c r="S559" s="552"/>
      <c r="T559" s="552"/>
      <c r="U559" s="552"/>
      <c r="V559" s="552"/>
      <c r="W559" s="552"/>
      <c r="X559" s="552"/>
      <c r="Y559" s="552"/>
      <c r="Z559" s="552"/>
    </row>
    <row r="560" spans="1:26" ht="12.75" customHeight="1">
      <c r="A560" s="553"/>
      <c r="B560" s="552"/>
      <c r="C560" s="554"/>
      <c r="D560" s="552"/>
      <c r="E560" s="552"/>
      <c r="F560" s="555"/>
      <c r="G560" s="552"/>
      <c r="H560" s="552"/>
      <c r="I560" s="552"/>
      <c r="J560" s="552"/>
      <c r="K560" s="552"/>
      <c r="L560" s="552"/>
      <c r="M560" s="552"/>
      <c r="N560" s="552"/>
      <c r="O560" s="552"/>
      <c r="P560" s="552"/>
      <c r="Q560" s="552"/>
      <c r="R560" s="552"/>
      <c r="S560" s="552"/>
      <c r="T560" s="552"/>
      <c r="U560" s="552"/>
      <c r="V560" s="552"/>
      <c r="W560" s="552"/>
      <c r="X560" s="552"/>
      <c r="Y560" s="552"/>
      <c r="Z560" s="552"/>
    </row>
    <row r="561" spans="1:26" ht="12.75" customHeight="1">
      <c r="A561" s="553"/>
      <c r="B561" s="552"/>
      <c r="C561" s="554"/>
      <c r="D561" s="552"/>
      <c r="E561" s="552"/>
      <c r="F561" s="555"/>
      <c r="G561" s="552"/>
      <c r="H561" s="552"/>
      <c r="I561" s="552"/>
      <c r="J561" s="552"/>
      <c r="K561" s="552"/>
      <c r="L561" s="552"/>
      <c r="M561" s="552"/>
      <c r="N561" s="552"/>
      <c r="O561" s="552"/>
      <c r="P561" s="552"/>
      <c r="Q561" s="552"/>
      <c r="R561" s="552"/>
      <c r="S561" s="552"/>
      <c r="T561" s="552"/>
      <c r="U561" s="552"/>
      <c r="V561" s="552"/>
      <c r="W561" s="552"/>
      <c r="X561" s="552"/>
      <c r="Y561" s="552"/>
      <c r="Z561" s="552"/>
    </row>
    <row r="562" spans="1:26" ht="12.75" customHeight="1">
      <c r="A562" s="553"/>
      <c r="B562" s="552"/>
      <c r="C562" s="554"/>
      <c r="D562" s="552"/>
      <c r="E562" s="552"/>
      <c r="F562" s="555"/>
      <c r="G562" s="552"/>
      <c r="H562" s="552"/>
      <c r="I562" s="552"/>
      <c r="J562" s="552"/>
      <c r="K562" s="552"/>
      <c r="L562" s="552"/>
      <c r="M562" s="552"/>
      <c r="N562" s="552"/>
      <c r="O562" s="552"/>
      <c r="P562" s="552"/>
      <c r="Q562" s="552"/>
      <c r="R562" s="552"/>
      <c r="S562" s="552"/>
      <c r="T562" s="552"/>
      <c r="U562" s="552"/>
      <c r="V562" s="552"/>
      <c r="W562" s="552"/>
      <c r="X562" s="552"/>
      <c r="Y562" s="552"/>
      <c r="Z562" s="552"/>
    </row>
    <row r="563" spans="1:26" ht="12.75" customHeight="1">
      <c r="A563" s="553"/>
      <c r="B563" s="552"/>
      <c r="C563" s="554"/>
      <c r="D563" s="552"/>
      <c r="E563" s="552"/>
      <c r="F563" s="555"/>
      <c r="G563" s="552"/>
      <c r="H563" s="552"/>
      <c r="I563" s="552"/>
      <c r="J563" s="552"/>
      <c r="K563" s="552"/>
      <c r="L563" s="552"/>
      <c r="M563" s="552"/>
      <c r="N563" s="552"/>
      <c r="O563" s="552"/>
      <c r="P563" s="552"/>
      <c r="Q563" s="552"/>
      <c r="R563" s="552"/>
      <c r="S563" s="552"/>
      <c r="T563" s="552"/>
      <c r="U563" s="552"/>
      <c r="V563" s="552"/>
      <c r="W563" s="552"/>
      <c r="X563" s="552"/>
      <c r="Y563" s="552"/>
      <c r="Z563" s="552"/>
    </row>
    <row r="564" spans="1:26" ht="12.75" customHeight="1">
      <c r="A564" s="553"/>
      <c r="B564" s="552"/>
      <c r="C564" s="554"/>
      <c r="D564" s="552"/>
      <c r="E564" s="552"/>
      <c r="F564" s="555"/>
      <c r="G564" s="552"/>
      <c r="H564" s="552"/>
      <c r="I564" s="552"/>
      <c r="J564" s="552"/>
      <c r="K564" s="552"/>
      <c r="L564" s="552"/>
      <c r="M564" s="552"/>
      <c r="N564" s="552"/>
      <c r="O564" s="552"/>
      <c r="P564" s="552"/>
      <c r="Q564" s="552"/>
      <c r="R564" s="552"/>
      <c r="S564" s="552"/>
      <c r="T564" s="552"/>
      <c r="U564" s="552"/>
      <c r="V564" s="552"/>
      <c r="W564" s="552"/>
      <c r="X564" s="552"/>
      <c r="Y564" s="552"/>
      <c r="Z564" s="552"/>
    </row>
    <row r="565" spans="1:26" ht="12.75" customHeight="1">
      <c r="A565" s="553"/>
      <c r="B565" s="552"/>
      <c r="C565" s="554"/>
      <c r="D565" s="552"/>
      <c r="E565" s="552"/>
      <c r="F565" s="555"/>
      <c r="G565" s="552"/>
      <c r="H565" s="552"/>
      <c r="I565" s="552"/>
      <c r="J565" s="552"/>
      <c r="K565" s="552"/>
      <c r="L565" s="552"/>
      <c r="M565" s="552"/>
      <c r="N565" s="552"/>
      <c r="O565" s="552"/>
      <c r="P565" s="552"/>
      <c r="Q565" s="552"/>
      <c r="R565" s="552"/>
      <c r="S565" s="552"/>
      <c r="T565" s="552"/>
      <c r="U565" s="552"/>
      <c r="V565" s="552"/>
      <c r="W565" s="552"/>
      <c r="X565" s="552"/>
      <c r="Y565" s="552"/>
      <c r="Z565" s="552"/>
    </row>
    <row r="566" spans="1:26" ht="12.75" customHeight="1">
      <c r="A566" s="553"/>
      <c r="B566" s="552"/>
      <c r="C566" s="554"/>
      <c r="D566" s="552"/>
      <c r="E566" s="552"/>
      <c r="F566" s="555"/>
      <c r="G566" s="552"/>
      <c r="H566" s="552"/>
      <c r="I566" s="552"/>
      <c r="J566" s="552"/>
      <c r="K566" s="552"/>
      <c r="L566" s="552"/>
      <c r="M566" s="552"/>
      <c r="N566" s="552"/>
      <c r="O566" s="552"/>
      <c r="P566" s="552"/>
      <c r="Q566" s="552"/>
      <c r="R566" s="552"/>
      <c r="S566" s="552"/>
      <c r="T566" s="552"/>
      <c r="U566" s="552"/>
      <c r="V566" s="552"/>
      <c r="W566" s="552"/>
      <c r="X566" s="552"/>
      <c r="Y566" s="552"/>
      <c r="Z566" s="552"/>
    </row>
    <row r="567" spans="1:26" ht="12.75" customHeight="1">
      <c r="A567" s="553"/>
      <c r="B567" s="552"/>
      <c r="C567" s="554"/>
      <c r="D567" s="552"/>
      <c r="E567" s="552"/>
      <c r="F567" s="555"/>
      <c r="G567" s="552"/>
      <c r="H567" s="552"/>
      <c r="I567" s="552"/>
      <c r="J567" s="552"/>
      <c r="K567" s="552"/>
      <c r="L567" s="552"/>
      <c r="M567" s="552"/>
      <c r="N567" s="552"/>
      <c r="O567" s="552"/>
      <c r="P567" s="552"/>
      <c r="Q567" s="552"/>
      <c r="R567" s="552"/>
      <c r="S567" s="552"/>
      <c r="T567" s="552"/>
      <c r="U567" s="552"/>
      <c r="V567" s="552"/>
      <c r="W567" s="552"/>
      <c r="X567" s="552"/>
      <c r="Y567" s="552"/>
      <c r="Z567" s="552"/>
    </row>
    <row r="568" spans="1:26" ht="12.75" customHeight="1">
      <c r="A568" s="553"/>
      <c r="B568" s="552"/>
      <c r="C568" s="554"/>
      <c r="D568" s="552"/>
      <c r="E568" s="552"/>
      <c r="F568" s="555"/>
      <c r="G568" s="552"/>
      <c r="H568" s="552"/>
      <c r="I568" s="552"/>
      <c r="J568" s="552"/>
      <c r="K568" s="552"/>
      <c r="L568" s="552"/>
      <c r="M568" s="552"/>
      <c r="N568" s="552"/>
      <c r="O568" s="552"/>
      <c r="P568" s="552"/>
      <c r="Q568" s="552"/>
      <c r="R568" s="552"/>
      <c r="S568" s="552"/>
      <c r="T568" s="552"/>
      <c r="U568" s="552"/>
      <c r="V568" s="552"/>
      <c r="W568" s="552"/>
      <c r="X568" s="552"/>
      <c r="Y568" s="552"/>
      <c r="Z568" s="552"/>
    </row>
    <row r="569" spans="1:26" ht="12.75" customHeight="1">
      <c r="A569" s="553"/>
      <c r="B569" s="552"/>
      <c r="C569" s="554"/>
      <c r="D569" s="552"/>
      <c r="E569" s="552"/>
      <c r="F569" s="555"/>
      <c r="G569" s="552"/>
      <c r="H569" s="552"/>
      <c r="I569" s="552"/>
      <c r="J569" s="552"/>
      <c r="K569" s="552"/>
      <c r="L569" s="552"/>
      <c r="M569" s="552"/>
      <c r="N569" s="552"/>
      <c r="O569" s="552"/>
      <c r="P569" s="552"/>
      <c r="Q569" s="552"/>
      <c r="R569" s="552"/>
      <c r="S569" s="552"/>
      <c r="T569" s="552"/>
      <c r="U569" s="552"/>
      <c r="V569" s="552"/>
      <c r="W569" s="552"/>
      <c r="X569" s="552"/>
      <c r="Y569" s="552"/>
      <c r="Z569" s="552"/>
    </row>
    <row r="570" spans="1:26" ht="12.75" customHeight="1">
      <c r="A570" s="553"/>
      <c r="B570" s="552"/>
      <c r="C570" s="554"/>
      <c r="D570" s="552"/>
      <c r="E570" s="552"/>
      <c r="F570" s="555"/>
      <c r="G570" s="552"/>
      <c r="H570" s="552"/>
      <c r="I570" s="552"/>
      <c r="J570" s="552"/>
      <c r="K570" s="552"/>
      <c r="L570" s="552"/>
      <c r="M570" s="552"/>
      <c r="N570" s="552"/>
      <c r="O570" s="552"/>
      <c r="P570" s="552"/>
      <c r="Q570" s="552"/>
      <c r="R570" s="552"/>
      <c r="S570" s="552"/>
      <c r="T570" s="552"/>
      <c r="U570" s="552"/>
      <c r="V570" s="552"/>
      <c r="W570" s="552"/>
      <c r="X570" s="552"/>
      <c r="Y570" s="552"/>
      <c r="Z570" s="552"/>
    </row>
    <row r="571" spans="1:26" ht="12.75" customHeight="1">
      <c r="A571" s="553"/>
      <c r="B571" s="552"/>
      <c r="C571" s="554"/>
      <c r="D571" s="552"/>
      <c r="E571" s="552"/>
      <c r="F571" s="555"/>
      <c r="G571" s="552"/>
      <c r="H571" s="552"/>
      <c r="I571" s="552"/>
      <c r="J571" s="552"/>
      <c r="K571" s="552"/>
      <c r="L571" s="552"/>
      <c r="M571" s="552"/>
      <c r="N571" s="552"/>
      <c r="O571" s="552"/>
      <c r="P571" s="552"/>
      <c r="Q571" s="552"/>
      <c r="R571" s="552"/>
      <c r="S571" s="552"/>
      <c r="T571" s="552"/>
      <c r="U571" s="552"/>
      <c r="V571" s="552"/>
      <c r="W571" s="552"/>
      <c r="X571" s="552"/>
      <c r="Y571" s="552"/>
      <c r="Z571" s="552"/>
    </row>
    <row r="572" spans="1:26" ht="12.75" customHeight="1">
      <c r="A572" s="553"/>
      <c r="B572" s="552"/>
      <c r="C572" s="554"/>
      <c r="D572" s="552"/>
      <c r="E572" s="552"/>
      <c r="F572" s="555"/>
      <c r="G572" s="552"/>
      <c r="H572" s="552"/>
      <c r="I572" s="552"/>
      <c r="J572" s="552"/>
      <c r="K572" s="552"/>
      <c r="L572" s="552"/>
      <c r="M572" s="552"/>
      <c r="N572" s="552"/>
      <c r="O572" s="552"/>
      <c r="P572" s="552"/>
      <c r="Q572" s="552"/>
      <c r="R572" s="552"/>
      <c r="S572" s="552"/>
      <c r="T572" s="552"/>
      <c r="U572" s="552"/>
      <c r="V572" s="552"/>
      <c r="W572" s="552"/>
      <c r="X572" s="552"/>
      <c r="Y572" s="552"/>
      <c r="Z572" s="552"/>
    </row>
    <row r="573" spans="1:26" ht="12.75" customHeight="1">
      <c r="A573" s="553"/>
      <c r="B573" s="552"/>
      <c r="C573" s="554"/>
      <c r="D573" s="552"/>
      <c r="E573" s="552"/>
      <c r="F573" s="555"/>
      <c r="G573" s="552"/>
      <c r="H573" s="552"/>
      <c r="I573" s="552"/>
      <c r="J573" s="552"/>
      <c r="K573" s="552"/>
      <c r="L573" s="552"/>
      <c r="M573" s="552"/>
      <c r="N573" s="552"/>
      <c r="O573" s="552"/>
      <c r="P573" s="552"/>
      <c r="Q573" s="552"/>
      <c r="R573" s="552"/>
      <c r="S573" s="552"/>
      <c r="T573" s="552"/>
      <c r="U573" s="552"/>
      <c r="V573" s="552"/>
      <c r="W573" s="552"/>
      <c r="X573" s="552"/>
      <c r="Y573" s="552"/>
      <c r="Z573" s="552"/>
    </row>
    <row r="574" spans="1:26" ht="12.75" customHeight="1">
      <c r="A574" s="553"/>
      <c r="B574" s="552"/>
      <c r="C574" s="554"/>
      <c r="D574" s="552"/>
      <c r="E574" s="552"/>
      <c r="F574" s="555"/>
      <c r="G574" s="552"/>
      <c r="H574" s="552"/>
      <c r="I574" s="552"/>
      <c r="J574" s="552"/>
      <c r="K574" s="552"/>
      <c r="L574" s="552"/>
      <c r="M574" s="552"/>
      <c r="N574" s="552"/>
      <c r="O574" s="552"/>
      <c r="P574" s="552"/>
      <c r="Q574" s="552"/>
      <c r="R574" s="552"/>
      <c r="S574" s="552"/>
      <c r="T574" s="552"/>
      <c r="U574" s="552"/>
      <c r="V574" s="552"/>
      <c r="W574" s="552"/>
      <c r="X574" s="552"/>
      <c r="Y574" s="552"/>
      <c r="Z574" s="552"/>
    </row>
    <row r="575" spans="1:26" ht="12.75" customHeight="1">
      <c r="A575" s="553"/>
      <c r="B575" s="552"/>
      <c r="C575" s="554"/>
      <c r="D575" s="552"/>
      <c r="E575" s="552"/>
      <c r="F575" s="555"/>
      <c r="G575" s="552"/>
      <c r="H575" s="552"/>
      <c r="I575" s="552"/>
      <c r="J575" s="552"/>
      <c r="K575" s="552"/>
      <c r="L575" s="552"/>
      <c r="M575" s="552"/>
      <c r="N575" s="552"/>
      <c r="O575" s="552"/>
      <c r="P575" s="552"/>
      <c r="Q575" s="552"/>
      <c r="R575" s="552"/>
      <c r="S575" s="552"/>
      <c r="T575" s="552"/>
      <c r="U575" s="552"/>
      <c r="V575" s="552"/>
      <c r="W575" s="552"/>
      <c r="X575" s="552"/>
      <c r="Y575" s="552"/>
      <c r="Z575" s="552"/>
    </row>
    <row r="576" spans="1:26" ht="12.75" customHeight="1">
      <c r="A576" s="553"/>
      <c r="B576" s="552"/>
      <c r="C576" s="554"/>
      <c r="D576" s="552"/>
      <c r="E576" s="552"/>
      <c r="F576" s="555"/>
      <c r="G576" s="552"/>
      <c r="H576" s="552"/>
      <c r="I576" s="552"/>
      <c r="J576" s="552"/>
      <c r="K576" s="552"/>
      <c r="L576" s="552"/>
      <c r="M576" s="552"/>
      <c r="N576" s="552"/>
      <c r="O576" s="552"/>
      <c r="P576" s="552"/>
      <c r="Q576" s="552"/>
      <c r="R576" s="552"/>
      <c r="S576" s="552"/>
      <c r="T576" s="552"/>
      <c r="U576" s="552"/>
      <c r="V576" s="552"/>
      <c r="W576" s="552"/>
      <c r="X576" s="552"/>
      <c r="Y576" s="552"/>
      <c r="Z576" s="552"/>
    </row>
    <row r="577" spans="1:26" ht="12.75" customHeight="1">
      <c r="A577" s="553"/>
      <c r="B577" s="552"/>
      <c r="C577" s="554"/>
      <c r="D577" s="552"/>
      <c r="E577" s="552"/>
      <c r="F577" s="555"/>
      <c r="G577" s="552"/>
      <c r="H577" s="552"/>
      <c r="I577" s="552"/>
      <c r="J577" s="552"/>
      <c r="K577" s="552"/>
      <c r="L577" s="552"/>
      <c r="M577" s="552"/>
      <c r="N577" s="552"/>
      <c r="O577" s="552"/>
      <c r="P577" s="552"/>
      <c r="Q577" s="552"/>
      <c r="R577" s="552"/>
      <c r="S577" s="552"/>
      <c r="T577" s="552"/>
      <c r="U577" s="552"/>
      <c r="V577" s="552"/>
      <c r="W577" s="552"/>
      <c r="X577" s="552"/>
      <c r="Y577" s="552"/>
      <c r="Z577" s="552"/>
    </row>
    <row r="578" spans="1:26" ht="12.75" customHeight="1">
      <c r="A578" s="553"/>
      <c r="B578" s="552"/>
      <c r="C578" s="554"/>
      <c r="D578" s="552"/>
      <c r="E578" s="552"/>
      <c r="F578" s="555"/>
      <c r="G578" s="552"/>
      <c r="H578" s="552"/>
      <c r="I578" s="552"/>
      <c r="J578" s="552"/>
      <c r="K578" s="552"/>
      <c r="L578" s="552"/>
      <c r="M578" s="552"/>
      <c r="N578" s="552"/>
      <c r="O578" s="552"/>
      <c r="P578" s="552"/>
      <c r="Q578" s="552"/>
      <c r="R578" s="552"/>
      <c r="S578" s="552"/>
      <c r="T578" s="552"/>
      <c r="U578" s="552"/>
      <c r="V578" s="552"/>
      <c r="W578" s="552"/>
      <c r="X578" s="552"/>
      <c r="Y578" s="552"/>
      <c r="Z578" s="552"/>
    </row>
    <row r="579" spans="1:26" ht="12.75" customHeight="1">
      <c r="A579" s="553"/>
      <c r="B579" s="552"/>
      <c r="C579" s="554"/>
      <c r="D579" s="552"/>
      <c r="E579" s="552"/>
      <c r="F579" s="555"/>
      <c r="G579" s="552"/>
      <c r="H579" s="552"/>
      <c r="I579" s="552"/>
      <c r="J579" s="552"/>
      <c r="K579" s="552"/>
      <c r="L579" s="552"/>
      <c r="M579" s="552"/>
      <c r="N579" s="552"/>
      <c r="O579" s="552"/>
      <c r="P579" s="552"/>
      <c r="Q579" s="552"/>
      <c r="R579" s="552"/>
      <c r="S579" s="552"/>
      <c r="T579" s="552"/>
      <c r="U579" s="552"/>
      <c r="V579" s="552"/>
      <c r="W579" s="552"/>
      <c r="X579" s="552"/>
      <c r="Y579" s="552"/>
      <c r="Z579" s="552"/>
    </row>
    <row r="580" spans="1:26" ht="12.75" customHeight="1">
      <c r="A580" s="553"/>
      <c r="B580" s="552"/>
      <c r="C580" s="554"/>
      <c r="D580" s="552"/>
      <c r="E580" s="552"/>
      <c r="F580" s="555"/>
      <c r="G580" s="552"/>
      <c r="H580" s="552"/>
      <c r="I580" s="552"/>
      <c r="J580" s="552"/>
      <c r="K580" s="552"/>
      <c r="L580" s="552"/>
      <c r="M580" s="552"/>
      <c r="N580" s="552"/>
      <c r="O580" s="552"/>
      <c r="P580" s="552"/>
      <c r="Q580" s="552"/>
      <c r="R580" s="552"/>
      <c r="S580" s="552"/>
      <c r="T580" s="552"/>
      <c r="U580" s="552"/>
      <c r="V580" s="552"/>
      <c r="W580" s="552"/>
      <c r="X580" s="552"/>
      <c r="Y580" s="552"/>
      <c r="Z580" s="552"/>
    </row>
    <row r="581" spans="1:26" ht="12.75" customHeight="1">
      <c r="A581" s="553"/>
      <c r="B581" s="552"/>
      <c r="C581" s="554"/>
      <c r="D581" s="552"/>
      <c r="E581" s="552"/>
      <c r="F581" s="555"/>
      <c r="G581" s="552"/>
      <c r="H581" s="552"/>
      <c r="I581" s="552"/>
      <c r="J581" s="552"/>
      <c r="K581" s="552"/>
      <c r="L581" s="552"/>
      <c r="M581" s="552"/>
      <c r="N581" s="552"/>
      <c r="O581" s="552"/>
      <c r="P581" s="552"/>
      <c r="Q581" s="552"/>
      <c r="R581" s="552"/>
      <c r="S581" s="552"/>
      <c r="T581" s="552"/>
      <c r="U581" s="552"/>
      <c r="V581" s="552"/>
      <c r="W581" s="552"/>
      <c r="X581" s="552"/>
      <c r="Y581" s="552"/>
      <c r="Z581" s="552"/>
    </row>
    <row r="582" spans="1:26" ht="12.75" customHeight="1">
      <c r="A582" s="553"/>
      <c r="B582" s="552"/>
      <c r="C582" s="554"/>
      <c r="D582" s="552"/>
      <c r="E582" s="552"/>
      <c r="F582" s="555"/>
      <c r="G582" s="552"/>
      <c r="H582" s="552"/>
      <c r="I582" s="552"/>
      <c r="J582" s="552"/>
      <c r="K582" s="552"/>
      <c r="L582" s="552"/>
      <c r="M582" s="552"/>
      <c r="N582" s="552"/>
      <c r="O582" s="552"/>
      <c r="P582" s="552"/>
      <c r="Q582" s="552"/>
      <c r="R582" s="552"/>
      <c r="S582" s="552"/>
      <c r="T582" s="552"/>
      <c r="U582" s="552"/>
      <c r="V582" s="552"/>
      <c r="W582" s="552"/>
      <c r="X582" s="552"/>
      <c r="Y582" s="552"/>
      <c r="Z582" s="552"/>
    </row>
    <row r="583" spans="1:26" ht="12.75" customHeight="1">
      <c r="A583" s="553"/>
      <c r="B583" s="552"/>
      <c r="C583" s="554"/>
      <c r="D583" s="552"/>
      <c r="E583" s="552"/>
      <c r="F583" s="555"/>
      <c r="G583" s="552"/>
      <c r="H583" s="552"/>
      <c r="I583" s="552"/>
      <c r="J583" s="552"/>
      <c r="K583" s="552"/>
      <c r="L583" s="552"/>
      <c r="M583" s="552"/>
      <c r="N583" s="552"/>
      <c r="O583" s="552"/>
      <c r="P583" s="552"/>
      <c r="Q583" s="552"/>
      <c r="R583" s="552"/>
      <c r="S583" s="552"/>
      <c r="T583" s="552"/>
      <c r="U583" s="552"/>
      <c r="V583" s="552"/>
      <c r="W583" s="552"/>
      <c r="X583" s="552"/>
      <c r="Y583" s="552"/>
      <c r="Z583" s="552"/>
    </row>
    <row r="584" spans="1:26" ht="12.75" customHeight="1">
      <c r="A584" s="553"/>
      <c r="B584" s="552"/>
      <c r="C584" s="554"/>
      <c r="D584" s="552"/>
      <c r="E584" s="552"/>
      <c r="F584" s="555"/>
      <c r="G584" s="552"/>
      <c r="H584" s="552"/>
      <c r="I584" s="552"/>
      <c r="J584" s="552"/>
      <c r="K584" s="552"/>
      <c r="L584" s="552"/>
      <c r="M584" s="552"/>
      <c r="N584" s="552"/>
      <c r="O584" s="552"/>
      <c r="P584" s="552"/>
      <c r="Q584" s="552"/>
      <c r="R584" s="552"/>
      <c r="S584" s="552"/>
      <c r="T584" s="552"/>
      <c r="U584" s="552"/>
      <c r="V584" s="552"/>
      <c r="W584" s="552"/>
      <c r="X584" s="552"/>
      <c r="Y584" s="552"/>
      <c r="Z584" s="552"/>
    </row>
    <row r="585" spans="1:26" ht="12.75" customHeight="1">
      <c r="A585" s="553"/>
      <c r="B585" s="552"/>
      <c r="C585" s="554"/>
      <c r="D585" s="552"/>
      <c r="E585" s="552"/>
      <c r="F585" s="555"/>
      <c r="G585" s="552"/>
      <c r="H585" s="552"/>
      <c r="I585" s="552"/>
      <c r="J585" s="552"/>
      <c r="K585" s="552"/>
      <c r="L585" s="552"/>
      <c r="M585" s="552"/>
      <c r="N585" s="552"/>
      <c r="O585" s="552"/>
      <c r="P585" s="552"/>
      <c r="Q585" s="552"/>
      <c r="R585" s="552"/>
      <c r="S585" s="552"/>
      <c r="T585" s="552"/>
      <c r="U585" s="552"/>
      <c r="V585" s="552"/>
      <c r="W585" s="552"/>
      <c r="X585" s="552"/>
      <c r="Y585" s="552"/>
      <c r="Z585" s="552"/>
    </row>
    <row r="586" spans="1:26" ht="12.75" customHeight="1">
      <c r="A586" s="553"/>
      <c r="B586" s="552"/>
      <c r="C586" s="554"/>
      <c r="D586" s="552"/>
      <c r="E586" s="552"/>
      <c r="F586" s="555"/>
      <c r="G586" s="552"/>
      <c r="H586" s="552"/>
      <c r="I586" s="552"/>
      <c r="J586" s="552"/>
      <c r="K586" s="552"/>
      <c r="L586" s="552"/>
      <c r="M586" s="552"/>
      <c r="N586" s="552"/>
      <c r="O586" s="552"/>
      <c r="P586" s="552"/>
      <c r="Q586" s="552"/>
      <c r="R586" s="552"/>
      <c r="S586" s="552"/>
      <c r="T586" s="552"/>
      <c r="U586" s="552"/>
      <c r="V586" s="552"/>
      <c r="W586" s="552"/>
      <c r="X586" s="552"/>
      <c r="Y586" s="552"/>
      <c r="Z586" s="552"/>
    </row>
    <row r="587" spans="1:26" ht="12.75" customHeight="1">
      <c r="A587" s="553"/>
      <c r="B587" s="552"/>
      <c r="C587" s="554"/>
      <c r="D587" s="552"/>
      <c r="E587" s="552"/>
      <c r="F587" s="555"/>
      <c r="G587" s="552"/>
      <c r="H587" s="552"/>
      <c r="I587" s="552"/>
      <c r="J587" s="552"/>
      <c r="K587" s="552"/>
      <c r="L587" s="552"/>
      <c r="M587" s="552"/>
      <c r="N587" s="552"/>
      <c r="O587" s="552"/>
      <c r="P587" s="552"/>
      <c r="Q587" s="552"/>
      <c r="R587" s="552"/>
      <c r="S587" s="552"/>
      <c r="T587" s="552"/>
      <c r="U587" s="552"/>
      <c r="V587" s="552"/>
      <c r="W587" s="552"/>
      <c r="X587" s="552"/>
      <c r="Y587" s="552"/>
      <c r="Z587" s="552"/>
    </row>
    <row r="588" spans="1:26" ht="12.75" customHeight="1">
      <c r="A588" s="553"/>
      <c r="B588" s="552"/>
      <c r="C588" s="554"/>
      <c r="D588" s="552"/>
      <c r="E588" s="552"/>
      <c r="F588" s="555"/>
      <c r="G588" s="552"/>
      <c r="H588" s="552"/>
      <c r="I588" s="552"/>
      <c r="J588" s="552"/>
      <c r="K588" s="552"/>
      <c r="L588" s="552"/>
      <c r="M588" s="552"/>
      <c r="N588" s="552"/>
      <c r="O588" s="552"/>
      <c r="P588" s="552"/>
      <c r="Q588" s="552"/>
      <c r="R588" s="552"/>
      <c r="S588" s="552"/>
      <c r="T588" s="552"/>
      <c r="U588" s="552"/>
      <c r="V588" s="552"/>
      <c r="W588" s="552"/>
      <c r="X588" s="552"/>
      <c r="Y588" s="552"/>
      <c r="Z588" s="552"/>
    </row>
    <row r="589" spans="1:26" ht="12.75" customHeight="1">
      <c r="A589" s="553"/>
      <c r="B589" s="552"/>
      <c r="C589" s="554"/>
      <c r="D589" s="552"/>
      <c r="E589" s="552"/>
      <c r="F589" s="555"/>
      <c r="G589" s="552"/>
      <c r="H589" s="552"/>
      <c r="I589" s="552"/>
      <c r="J589" s="552"/>
      <c r="K589" s="552"/>
      <c r="L589" s="552"/>
      <c r="M589" s="552"/>
      <c r="N589" s="552"/>
      <c r="O589" s="552"/>
      <c r="P589" s="552"/>
      <c r="Q589" s="552"/>
      <c r="R589" s="552"/>
      <c r="S589" s="552"/>
      <c r="T589" s="552"/>
      <c r="U589" s="552"/>
      <c r="V589" s="552"/>
      <c r="W589" s="552"/>
      <c r="X589" s="552"/>
      <c r="Y589" s="552"/>
      <c r="Z589" s="552"/>
    </row>
    <row r="590" spans="1:26" ht="12.75" customHeight="1">
      <c r="A590" s="553"/>
      <c r="B590" s="552"/>
      <c r="C590" s="554"/>
      <c r="D590" s="552"/>
      <c r="E590" s="552"/>
      <c r="F590" s="555"/>
      <c r="G590" s="552"/>
      <c r="H590" s="552"/>
      <c r="I590" s="552"/>
      <c r="J590" s="552"/>
      <c r="K590" s="552"/>
      <c r="L590" s="552"/>
      <c r="M590" s="552"/>
      <c r="N590" s="552"/>
      <c r="O590" s="552"/>
      <c r="P590" s="552"/>
      <c r="Q590" s="552"/>
      <c r="R590" s="552"/>
      <c r="S590" s="552"/>
      <c r="T590" s="552"/>
      <c r="U590" s="552"/>
      <c r="V590" s="552"/>
      <c r="W590" s="552"/>
      <c r="X590" s="552"/>
      <c r="Y590" s="552"/>
      <c r="Z590" s="552"/>
    </row>
    <row r="591" spans="1:26" ht="12.75" customHeight="1">
      <c r="A591" s="553"/>
      <c r="B591" s="552"/>
      <c r="C591" s="554"/>
      <c r="D591" s="552"/>
      <c r="E591" s="552"/>
      <c r="F591" s="555"/>
      <c r="G591" s="552"/>
      <c r="H591" s="552"/>
      <c r="I591" s="552"/>
      <c r="J591" s="552"/>
      <c r="K591" s="552"/>
      <c r="L591" s="552"/>
      <c r="M591" s="552"/>
      <c r="N591" s="552"/>
      <c r="O591" s="552"/>
      <c r="P591" s="552"/>
      <c r="Q591" s="552"/>
      <c r="R591" s="552"/>
      <c r="S591" s="552"/>
      <c r="T591" s="552"/>
      <c r="U591" s="552"/>
      <c r="V591" s="552"/>
      <c r="W591" s="552"/>
      <c r="X591" s="552"/>
      <c r="Y591" s="552"/>
      <c r="Z591" s="552"/>
    </row>
    <row r="592" spans="1:26" ht="12.75" customHeight="1">
      <c r="A592" s="553"/>
      <c r="B592" s="552"/>
      <c r="C592" s="554"/>
      <c r="D592" s="552"/>
      <c r="E592" s="552"/>
      <c r="F592" s="555"/>
      <c r="G592" s="552"/>
      <c r="H592" s="552"/>
      <c r="I592" s="552"/>
      <c r="J592" s="552"/>
      <c r="K592" s="552"/>
      <c r="L592" s="552"/>
      <c r="M592" s="552"/>
      <c r="N592" s="552"/>
      <c r="O592" s="552"/>
      <c r="P592" s="552"/>
      <c r="Q592" s="552"/>
      <c r="R592" s="552"/>
      <c r="S592" s="552"/>
      <c r="T592" s="552"/>
      <c r="U592" s="552"/>
      <c r="V592" s="552"/>
      <c r="W592" s="552"/>
      <c r="X592" s="552"/>
      <c r="Y592" s="552"/>
      <c r="Z592" s="552"/>
    </row>
    <row r="593" spans="1:26" ht="12.75" customHeight="1">
      <c r="A593" s="553"/>
      <c r="B593" s="552"/>
      <c r="C593" s="554"/>
      <c r="D593" s="552"/>
      <c r="E593" s="552"/>
      <c r="F593" s="555"/>
      <c r="G593" s="552"/>
      <c r="H593" s="552"/>
      <c r="I593" s="552"/>
      <c r="J593" s="552"/>
      <c r="K593" s="552"/>
      <c r="L593" s="552"/>
      <c r="M593" s="552"/>
      <c r="N593" s="552"/>
      <c r="O593" s="552"/>
      <c r="P593" s="552"/>
      <c r="Q593" s="552"/>
      <c r="R593" s="552"/>
      <c r="S593" s="552"/>
      <c r="T593" s="552"/>
      <c r="U593" s="552"/>
      <c r="V593" s="552"/>
      <c r="W593" s="552"/>
      <c r="X593" s="552"/>
      <c r="Y593" s="552"/>
      <c r="Z593" s="552"/>
    </row>
    <row r="594" spans="1:26" ht="12.75" customHeight="1">
      <c r="A594" s="553"/>
      <c r="B594" s="552"/>
      <c r="C594" s="554"/>
      <c r="D594" s="552"/>
      <c r="E594" s="552"/>
      <c r="F594" s="555"/>
      <c r="G594" s="552"/>
      <c r="H594" s="552"/>
      <c r="I594" s="552"/>
      <c r="J594" s="552"/>
      <c r="K594" s="552"/>
      <c r="L594" s="552"/>
      <c r="M594" s="552"/>
      <c r="N594" s="552"/>
      <c r="O594" s="552"/>
      <c r="P594" s="552"/>
      <c r="Q594" s="552"/>
      <c r="R594" s="552"/>
      <c r="S594" s="552"/>
      <c r="T594" s="552"/>
      <c r="U594" s="552"/>
      <c r="V594" s="552"/>
      <c r="W594" s="552"/>
      <c r="X594" s="552"/>
      <c r="Y594" s="552"/>
      <c r="Z594" s="552"/>
    </row>
    <row r="595" spans="1:26" ht="12.75" customHeight="1">
      <c r="A595" s="553"/>
      <c r="B595" s="552"/>
      <c r="C595" s="554"/>
      <c r="D595" s="552"/>
      <c r="E595" s="552"/>
      <c r="F595" s="555"/>
      <c r="G595" s="552"/>
      <c r="H595" s="552"/>
      <c r="I595" s="552"/>
      <c r="J595" s="552"/>
      <c r="K595" s="552"/>
      <c r="L595" s="552"/>
      <c r="M595" s="552"/>
      <c r="N595" s="552"/>
      <c r="O595" s="552"/>
      <c r="P595" s="552"/>
      <c r="Q595" s="552"/>
      <c r="R595" s="552"/>
      <c r="S595" s="552"/>
      <c r="T595" s="552"/>
      <c r="U595" s="552"/>
      <c r="V595" s="552"/>
      <c r="W595" s="552"/>
      <c r="X595" s="552"/>
      <c r="Y595" s="552"/>
      <c r="Z595" s="552"/>
    </row>
    <row r="596" spans="1:26" ht="12.75" customHeight="1">
      <c r="A596" s="553"/>
      <c r="B596" s="552"/>
      <c r="C596" s="554"/>
      <c r="D596" s="552"/>
      <c r="E596" s="552"/>
      <c r="F596" s="555"/>
      <c r="G596" s="552"/>
      <c r="H596" s="552"/>
      <c r="I596" s="552"/>
      <c r="J596" s="552"/>
      <c r="K596" s="552"/>
      <c r="L596" s="552"/>
      <c r="M596" s="552"/>
      <c r="N596" s="552"/>
      <c r="O596" s="552"/>
      <c r="P596" s="552"/>
      <c r="Q596" s="552"/>
      <c r="R596" s="552"/>
      <c r="S596" s="552"/>
      <c r="T596" s="552"/>
      <c r="U596" s="552"/>
      <c r="V596" s="552"/>
      <c r="W596" s="552"/>
      <c r="X596" s="552"/>
      <c r="Y596" s="552"/>
      <c r="Z596" s="552"/>
    </row>
    <row r="597" spans="1:26" ht="12.75" customHeight="1">
      <c r="A597" s="553"/>
      <c r="B597" s="552"/>
      <c r="C597" s="554"/>
      <c r="D597" s="552"/>
      <c r="E597" s="552"/>
      <c r="F597" s="555"/>
      <c r="G597" s="552"/>
      <c r="H597" s="552"/>
      <c r="I597" s="552"/>
      <c r="J597" s="552"/>
      <c r="K597" s="552"/>
      <c r="L597" s="552"/>
      <c r="M597" s="552"/>
      <c r="N597" s="552"/>
      <c r="O597" s="552"/>
      <c r="P597" s="552"/>
      <c r="Q597" s="552"/>
      <c r="R597" s="552"/>
      <c r="S597" s="552"/>
      <c r="T597" s="552"/>
      <c r="U597" s="552"/>
      <c r="V597" s="552"/>
      <c r="W597" s="552"/>
      <c r="X597" s="552"/>
      <c r="Y597" s="552"/>
      <c r="Z597" s="552"/>
    </row>
    <row r="598" spans="1:26" ht="12.75" customHeight="1">
      <c r="A598" s="553"/>
      <c r="B598" s="552"/>
      <c r="C598" s="554"/>
      <c r="D598" s="552"/>
      <c r="E598" s="552"/>
      <c r="F598" s="555"/>
      <c r="G598" s="552"/>
      <c r="H598" s="552"/>
      <c r="I598" s="552"/>
      <c r="J598" s="552"/>
      <c r="K598" s="552"/>
      <c r="L598" s="552"/>
      <c r="M598" s="552"/>
      <c r="N598" s="552"/>
      <c r="O598" s="552"/>
      <c r="P598" s="552"/>
      <c r="Q598" s="552"/>
      <c r="R598" s="552"/>
      <c r="S598" s="552"/>
      <c r="T598" s="552"/>
      <c r="U598" s="552"/>
      <c r="V598" s="552"/>
      <c r="W598" s="552"/>
      <c r="X598" s="552"/>
      <c r="Y598" s="552"/>
      <c r="Z598" s="552"/>
    </row>
    <row r="599" spans="1:26" ht="12.75" customHeight="1">
      <c r="A599" s="553"/>
      <c r="B599" s="552"/>
      <c r="C599" s="554"/>
      <c r="D599" s="552"/>
      <c r="E599" s="552"/>
      <c r="F599" s="555"/>
      <c r="G599" s="552"/>
      <c r="H599" s="552"/>
      <c r="I599" s="552"/>
      <c r="J599" s="552"/>
      <c r="K599" s="552"/>
      <c r="L599" s="552"/>
      <c r="M599" s="552"/>
      <c r="N599" s="552"/>
      <c r="O599" s="552"/>
      <c r="P599" s="552"/>
      <c r="Q599" s="552"/>
      <c r="R599" s="552"/>
      <c r="S599" s="552"/>
      <c r="T599" s="552"/>
      <c r="U599" s="552"/>
      <c r="V599" s="552"/>
      <c r="W599" s="552"/>
      <c r="X599" s="552"/>
      <c r="Y599" s="552"/>
      <c r="Z599" s="552"/>
    </row>
    <row r="600" spans="1:26" ht="12.75" customHeight="1">
      <c r="A600" s="553"/>
      <c r="B600" s="552"/>
      <c r="C600" s="554"/>
      <c r="D600" s="552"/>
      <c r="E600" s="552"/>
      <c r="F600" s="555"/>
      <c r="G600" s="552"/>
      <c r="H600" s="552"/>
      <c r="I600" s="552"/>
      <c r="J600" s="552"/>
      <c r="K600" s="552"/>
      <c r="L600" s="552"/>
      <c r="M600" s="552"/>
      <c r="N600" s="552"/>
      <c r="O600" s="552"/>
      <c r="P600" s="552"/>
      <c r="Q600" s="552"/>
      <c r="R600" s="552"/>
      <c r="S600" s="552"/>
      <c r="T600" s="552"/>
      <c r="U600" s="552"/>
      <c r="V600" s="552"/>
      <c r="W600" s="552"/>
      <c r="X600" s="552"/>
      <c r="Y600" s="552"/>
      <c r="Z600" s="552"/>
    </row>
    <row r="601" spans="1:26" ht="12.75" customHeight="1">
      <c r="A601" s="553"/>
      <c r="B601" s="552"/>
      <c r="C601" s="554"/>
      <c r="D601" s="552"/>
      <c r="E601" s="552"/>
      <c r="F601" s="555"/>
      <c r="G601" s="552"/>
      <c r="H601" s="552"/>
      <c r="I601" s="552"/>
      <c r="J601" s="552"/>
      <c r="K601" s="552"/>
      <c r="L601" s="552"/>
      <c r="M601" s="552"/>
      <c r="N601" s="552"/>
      <c r="O601" s="552"/>
      <c r="P601" s="552"/>
      <c r="Q601" s="552"/>
      <c r="R601" s="552"/>
      <c r="S601" s="552"/>
      <c r="T601" s="552"/>
      <c r="U601" s="552"/>
      <c r="V601" s="552"/>
      <c r="W601" s="552"/>
      <c r="X601" s="552"/>
      <c r="Y601" s="552"/>
      <c r="Z601" s="552"/>
    </row>
    <row r="602" spans="1:26" ht="12.75" customHeight="1">
      <c r="A602" s="553"/>
      <c r="B602" s="552"/>
      <c r="C602" s="554"/>
      <c r="D602" s="552"/>
      <c r="E602" s="552"/>
      <c r="F602" s="555"/>
      <c r="G602" s="552"/>
      <c r="H602" s="552"/>
      <c r="I602" s="552"/>
      <c r="J602" s="552"/>
      <c r="K602" s="552"/>
      <c r="L602" s="552"/>
      <c r="M602" s="552"/>
      <c r="N602" s="552"/>
      <c r="O602" s="552"/>
      <c r="P602" s="552"/>
      <c r="Q602" s="552"/>
      <c r="R602" s="552"/>
      <c r="S602" s="552"/>
      <c r="T602" s="552"/>
      <c r="U602" s="552"/>
      <c r="V602" s="552"/>
      <c r="W602" s="552"/>
      <c r="X602" s="552"/>
      <c r="Y602" s="552"/>
      <c r="Z602" s="552"/>
    </row>
    <row r="603" spans="1:26" ht="12.75" customHeight="1">
      <c r="A603" s="553"/>
      <c r="B603" s="552"/>
      <c r="C603" s="554"/>
      <c r="D603" s="552"/>
      <c r="E603" s="552"/>
      <c r="F603" s="555"/>
      <c r="G603" s="552"/>
      <c r="H603" s="552"/>
      <c r="I603" s="552"/>
      <c r="J603" s="552"/>
      <c r="K603" s="552"/>
      <c r="L603" s="552"/>
      <c r="M603" s="552"/>
      <c r="N603" s="552"/>
      <c r="O603" s="552"/>
      <c r="P603" s="552"/>
      <c r="Q603" s="552"/>
      <c r="R603" s="552"/>
      <c r="S603" s="552"/>
      <c r="T603" s="552"/>
      <c r="U603" s="552"/>
      <c r="V603" s="552"/>
      <c r="W603" s="552"/>
      <c r="X603" s="552"/>
      <c r="Y603" s="552"/>
      <c r="Z603" s="552"/>
    </row>
    <row r="604" spans="1:26" ht="12.75" customHeight="1">
      <c r="A604" s="553"/>
      <c r="B604" s="552"/>
      <c r="C604" s="554"/>
      <c r="D604" s="552"/>
      <c r="E604" s="552"/>
      <c r="F604" s="555"/>
      <c r="G604" s="552"/>
      <c r="H604" s="552"/>
      <c r="I604" s="552"/>
      <c r="J604" s="552"/>
      <c r="K604" s="552"/>
      <c r="L604" s="552"/>
      <c r="M604" s="552"/>
      <c r="N604" s="552"/>
      <c r="O604" s="552"/>
      <c r="P604" s="552"/>
      <c r="Q604" s="552"/>
      <c r="R604" s="552"/>
      <c r="S604" s="552"/>
      <c r="T604" s="552"/>
      <c r="U604" s="552"/>
      <c r="V604" s="552"/>
      <c r="W604" s="552"/>
      <c r="X604" s="552"/>
      <c r="Y604" s="552"/>
      <c r="Z604" s="552"/>
    </row>
    <row r="605" spans="1:26" ht="12.75" customHeight="1">
      <c r="A605" s="553"/>
      <c r="B605" s="552"/>
      <c r="C605" s="554"/>
      <c r="D605" s="552"/>
      <c r="E605" s="552"/>
      <c r="F605" s="555"/>
      <c r="G605" s="552"/>
      <c r="H605" s="552"/>
      <c r="I605" s="552"/>
      <c r="J605" s="552"/>
      <c r="K605" s="552"/>
      <c r="L605" s="552"/>
      <c r="M605" s="552"/>
      <c r="N605" s="552"/>
      <c r="O605" s="552"/>
      <c r="P605" s="552"/>
      <c r="Q605" s="552"/>
      <c r="R605" s="552"/>
      <c r="S605" s="552"/>
      <c r="T605" s="552"/>
      <c r="U605" s="552"/>
      <c r="V605" s="552"/>
      <c r="W605" s="552"/>
      <c r="X605" s="552"/>
      <c r="Y605" s="552"/>
      <c r="Z605" s="552"/>
    </row>
    <row r="606" spans="1:26" ht="12.75" customHeight="1">
      <c r="A606" s="553"/>
      <c r="B606" s="552"/>
      <c r="C606" s="554"/>
      <c r="D606" s="552"/>
      <c r="E606" s="552"/>
      <c r="F606" s="555"/>
      <c r="G606" s="552"/>
      <c r="H606" s="552"/>
      <c r="I606" s="552"/>
      <c r="J606" s="552"/>
      <c r="K606" s="552"/>
      <c r="L606" s="552"/>
      <c r="M606" s="552"/>
      <c r="N606" s="552"/>
      <c r="O606" s="552"/>
      <c r="P606" s="552"/>
      <c r="Q606" s="552"/>
      <c r="R606" s="552"/>
      <c r="S606" s="552"/>
      <c r="T606" s="552"/>
      <c r="U606" s="552"/>
      <c r="V606" s="552"/>
      <c r="W606" s="552"/>
      <c r="X606" s="552"/>
      <c r="Y606" s="552"/>
      <c r="Z606" s="552"/>
    </row>
    <row r="607" spans="1:26" ht="12.75" customHeight="1">
      <c r="A607" s="553"/>
      <c r="B607" s="552"/>
      <c r="C607" s="554"/>
      <c r="D607" s="552"/>
      <c r="E607" s="552"/>
      <c r="F607" s="555"/>
      <c r="G607" s="552"/>
      <c r="H607" s="552"/>
      <c r="I607" s="552"/>
      <c r="J607" s="552"/>
      <c r="K607" s="552"/>
      <c r="L607" s="552"/>
      <c r="M607" s="552"/>
      <c r="N607" s="552"/>
      <c r="O607" s="552"/>
      <c r="P607" s="552"/>
      <c r="Q607" s="552"/>
      <c r="R607" s="552"/>
      <c r="S607" s="552"/>
      <c r="T607" s="552"/>
      <c r="U607" s="552"/>
      <c r="V607" s="552"/>
      <c r="W607" s="552"/>
      <c r="X607" s="552"/>
      <c r="Y607" s="552"/>
      <c r="Z607" s="552"/>
    </row>
    <row r="608" spans="1:26" ht="12.75" customHeight="1">
      <c r="A608" s="553"/>
      <c r="B608" s="552"/>
      <c r="C608" s="554"/>
      <c r="D608" s="552"/>
      <c r="E608" s="552"/>
      <c r="F608" s="555"/>
      <c r="G608" s="552"/>
      <c r="H608" s="552"/>
      <c r="I608" s="552"/>
      <c r="J608" s="552"/>
      <c r="K608" s="552"/>
      <c r="L608" s="552"/>
      <c r="M608" s="552"/>
      <c r="N608" s="552"/>
      <c r="O608" s="552"/>
      <c r="P608" s="552"/>
      <c r="Q608" s="552"/>
      <c r="R608" s="552"/>
      <c r="S608" s="552"/>
      <c r="T608" s="552"/>
      <c r="U608" s="552"/>
      <c r="V608" s="552"/>
      <c r="W608" s="552"/>
      <c r="X608" s="552"/>
      <c r="Y608" s="552"/>
      <c r="Z608" s="552"/>
    </row>
    <row r="609" spans="1:26" ht="12.75" customHeight="1">
      <c r="A609" s="553"/>
      <c r="B609" s="552"/>
      <c r="C609" s="554"/>
      <c r="D609" s="552"/>
      <c r="E609" s="552"/>
      <c r="F609" s="555"/>
      <c r="G609" s="552"/>
      <c r="H609" s="552"/>
      <c r="I609" s="552"/>
      <c r="J609" s="552"/>
      <c r="K609" s="552"/>
      <c r="L609" s="552"/>
      <c r="M609" s="552"/>
      <c r="N609" s="552"/>
      <c r="O609" s="552"/>
      <c r="P609" s="552"/>
      <c r="Q609" s="552"/>
      <c r="R609" s="552"/>
      <c r="S609" s="552"/>
      <c r="T609" s="552"/>
      <c r="U609" s="552"/>
      <c r="V609" s="552"/>
      <c r="W609" s="552"/>
      <c r="X609" s="552"/>
      <c r="Y609" s="552"/>
      <c r="Z609" s="552"/>
    </row>
    <row r="610" spans="1:26" ht="12.75" customHeight="1">
      <c r="A610" s="553"/>
      <c r="B610" s="552"/>
      <c r="C610" s="554"/>
      <c r="D610" s="552"/>
      <c r="E610" s="552"/>
      <c r="F610" s="555"/>
      <c r="G610" s="552"/>
      <c r="H610" s="552"/>
      <c r="I610" s="552"/>
      <c r="J610" s="552"/>
      <c r="K610" s="552"/>
      <c r="L610" s="552"/>
      <c r="M610" s="552"/>
      <c r="N610" s="552"/>
      <c r="O610" s="552"/>
      <c r="P610" s="552"/>
      <c r="Q610" s="552"/>
      <c r="R610" s="552"/>
      <c r="S610" s="552"/>
      <c r="T610" s="552"/>
      <c r="U610" s="552"/>
      <c r="V610" s="552"/>
      <c r="W610" s="552"/>
      <c r="X610" s="552"/>
      <c r="Y610" s="552"/>
      <c r="Z610" s="552"/>
    </row>
    <row r="611" spans="1:26" ht="12.75" customHeight="1">
      <c r="A611" s="553"/>
      <c r="B611" s="552"/>
      <c r="C611" s="554"/>
      <c r="D611" s="552"/>
      <c r="E611" s="552"/>
      <c r="F611" s="555"/>
      <c r="G611" s="552"/>
      <c r="H611" s="552"/>
      <c r="I611" s="552"/>
      <c r="J611" s="552"/>
      <c r="K611" s="552"/>
      <c r="L611" s="552"/>
      <c r="M611" s="552"/>
      <c r="N611" s="552"/>
      <c r="O611" s="552"/>
      <c r="P611" s="552"/>
      <c r="Q611" s="552"/>
      <c r="R611" s="552"/>
      <c r="S611" s="552"/>
      <c r="T611" s="552"/>
      <c r="U611" s="552"/>
      <c r="V611" s="552"/>
      <c r="W611" s="552"/>
      <c r="X611" s="552"/>
      <c r="Y611" s="552"/>
      <c r="Z611" s="552"/>
    </row>
    <row r="612" spans="1:26" ht="12.75" customHeight="1">
      <c r="A612" s="553"/>
      <c r="B612" s="552"/>
      <c r="C612" s="554"/>
      <c r="D612" s="552"/>
      <c r="E612" s="552"/>
      <c r="F612" s="555"/>
      <c r="G612" s="552"/>
      <c r="H612" s="552"/>
      <c r="I612" s="552"/>
      <c r="J612" s="552"/>
      <c r="K612" s="552"/>
      <c r="L612" s="552"/>
      <c r="M612" s="552"/>
      <c r="N612" s="552"/>
      <c r="O612" s="552"/>
      <c r="P612" s="552"/>
      <c r="Q612" s="552"/>
      <c r="R612" s="552"/>
      <c r="S612" s="552"/>
      <c r="T612" s="552"/>
      <c r="U612" s="552"/>
      <c r="V612" s="552"/>
      <c r="W612" s="552"/>
      <c r="X612" s="552"/>
      <c r="Y612" s="552"/>
      <c r="Z612" s="552"/>
    </row>
    <row r="613" spans="1:26" ht="12.75" customHeight="1">
      <c r="A613" s="553"/>
      <c r="B613" s="552"/>
      <c r="C613" s="554"/>
      <c r="D613" s="552"/>
      <c r="E613" s="552"/>
      <c r="F613" s="555"/>
      <c r="G613" s="552"/>
      <c r="H613" s="552"/>
      <c r="I613" s="552"/>
      <c r="J613" s="552"/>
      <c r="K613" s="552"/>
      <c r="L613" s="552"/>
      <c r="M613" s="552"/>
      <c r="N613" s="552"/>
      <c r="O613" s="552"/>
      <c r="P613" s="552"/>
      <c r="Q613" s="552"/>
      <c r="R613" s="552"/>
      <c r="S613" s="552"/>
      <c r="T613" s="552"/>
      <c r="U613" s="552"/>
      <c r="V613" s="552"/>
      <c r="W613" s="552"/>
      <c r="X613" s="552"/>
      <c r="Y613" s="552"/>
      <c r="Z613" s="552"/>
    </row>
    <row r="614" spans="1:26" ht="12.75" customHeight="1">
      <c r="A614" s="553"/>
      <c r="B614" s="552"/>
      <c r="C614" s="554"/>
      <c r="D614" s="552"/>
      <c r="E614" s="552"/>
      <c r="F614" s="555"/>
      <c r="G614" s="552"/>
      <c r="H614" s="552"/>
      <c r="I614" s="552"/>
      <c r="J614" s="552"/>
      <c r="K614" s="552"/>
      <c r="L614" s="552"/>
      <c r="M614" s="552"/>
      <c r="N614" s="552"/>
      <c r="O614" s="552"/>
      <c r="P614" s="552"/>
      <c r="Q614" s="552"/>
      <c r="R614" s="552"/>
      <c r="S614" s="552"/>
      <c r="T614" s="552"/>
      <c r="U614" s="552"/>
      <c r="V614" s="552"/>
      <c r="W614" s="552"/>
      <c r="X614" s="552"/>
      <c r="Y614" s="552"/>
      <c r="Z614" s="552"/>
    </row>
    <row r="615" spans="1:26" ht="12.75" customHeight="1">
      <c r="A615" s="553"/>
      <c r="B615" s="552"/>
      <c r="C615" s="554"/>
      <c r="D615" s="552"/>
      <c r="E615" s="552"/>
      <c r="F615" s="555"/>
      <c r="G615" s="552"/>
      <c r="H615" s="552"/>
      <c r="I615" s="552"/>
      <c r="J615" s="552"/>
      <c r="K615" s="552"/>
      <c r="L615" s="552"/>
      <c r="M615" s="552"/>
      <c r="N615" s="552"/>
      <c r="O615" s="552"/>
      <c r="P615" s="552"/>
      <c r="Q615" s="552"/>
      <c r="R615" s="552"/>
      <c r="S615" s="552"/>
      <c r="T615" s="552"/>
      <c r="U615" s="552"/>
      <c r="V615" s="552"/>
      <c r="W615" s="552"/>
      <c r="X615" s="552"/>
      <c r="Y615" s="552"/>
      <c r="Z615" s="552"/>
    </row>
    <row r="616" spans="1:26" ht="12.75" customHeight="1">
      <c r="A616" s="553"/>
      <c r="B616" s="552"/>
      <c r="C616" s="554"/>
      <c r="D616" s="552"/>
      <c r="E616" s="552"/>
      <c r="F616" s="555"/>
      <c r="G616" s="552"/>
      <c r="H616" s="552"/>
      <c r="I616" s="552"/>
      <c r="J616" s="552"/>
      <c r="K616" s="552"/>
      <c r="L616" s="552"/>
      <c r="M616" s="552"/>
      <c r="N616" s="552"/>
      <c r="O616" s="552"/>
      <c r="P616" s="552"/>
      <c r="Q616" s="552"/>
      <c r="R616" s="552"/>
      <c r="S616" s="552"/>
      <c r="T616" s="552"/>
      <c r="U616" s="552"/>
      <c r="V616" s="552"/>
      <c r="W616" s="552"/>
      <c r="X616" s="552"/>
      <c r="Y616" s="552"/>
      <c r="Z616" s="552"/>
    </row>
    <row r="617" spans="1:26" ht="12.75" customHeight="1">
      <c r="A617" s="553"/>
      <c r="B617" s="552"/>
      <c r="C617" s="554"/>
      <c r="D617" s="552"/>
      <c r="E617" s="552"/>
      <c r="F617" s="555"/>
      <c r="G617" s="552"/>
      <c r="H617" s="552"/>
      <c r="I617" s="552"/>
      <c r="J617" s="552"/>
      <c r="K617" s="552"/>
      <c r="L617" s="552"/>
      <c r="M617" s="552"/>
      <c r="N617" s="552"/>
      <c r="O617" s="552"/>
      <c r="P617" s="552"/>
      <c r="Q617" s="552"/>
      <c r="R617" s="552"/>
      <c r="S617" s="552"/>
      <c r="T617" s="552"/>
      <c r="U617" s="552"/>
      <c r="V617" s="552"/>
      <c r="W617" s="552"/>
      <c r="X617" s="552"/>
      <c r="Y617" s="552"/>
      <c r="Z617" s="552"/>
    </row>
    <row r="618" spans="1:26" ht="12.75" customHeight="1">
      <c r="A618" s="553"/>
      <c r="B618" s="552"/>
      <c r="C618" s="554"/>
      <c r="D618" s="552"/>
      <c r="E618" s="552"/>
      <c r="F618" s="555"/>
      <c r="G618" s="552"/>
      <c r="H618" s="552"/>
      <c r="I618" s="552"/>
      <c r="J618" s="552"/>
      <c r="K618" s="552"/>
      <c r="L618" s="552"/>
      <c r="M618" s="552"/>
      <c r="N618" s="552"/>
      <c r="O618" s="552"/>
      <c r="P618" s="552"/>
      <c r="Q618" s="552"/>
      <c r="R618" s="552"/>
      <c r="S618" s="552"/>
      <c r="T618" s="552"/>
      <c r="U618" s="552"/>
      <c r="V618" s="552"/>
      <c r="W618" s="552"/>
      <c r="X618" s="552"/>
      <c r="Y618" s="552"/>
      <c r="Z618" s="552"/>
    </row>
    <row r="619" spans="1:26" ht="12.75" customHeight="1">
      <c r="A619" s="553"/>
      <c r="B619" s="552"/>
      <c r="C619" s="554"/>
      <c r="D619" s="552"/>
      <c r="E619" s="552"/>
      <c r="F619" s="555"/>
      <c r="G619" s="552"/>
      <c r="H619" s="552"/>
      <c r="I619" s="552"/>
      <c r="J619" s="552"/>
      <c r="K619" s="552"/>
      <c r="L619" s="552"/>
      <c r="M619" s="552"/>
      <c r="N619" s="552"/>
      <c r="O619" s="552"/>
      <c r="P619" s="552"/>
      <c r="Q619" s="552"/>
      <c r="R619" s="552"/>
      <c r="S619" s="552"/>
      <c r="T619" s="552"/>
      <c r="U619" s="552"/>
      <c r="V619" s="552"/>
      <c r="W619" s="552"/>
      <c r="X619" s="552"/>
      <c r="Y619" s="552"/>
      <c r="Z619" s="552"/>
    </row>
    <row r="620" spans="1:26" ht="12.75" customHeight="1">
      <c r="A620" s="553"/>
      <c r="B620" s="552"/>
      <c r="C620" s="554"/>
      <c r="D620" s="552"/>
      <c r="E620" s="552"/>
      <c r="F620" s="555"/>
      <c r="G620" s="552"/>
      <c r="H620" s="552"/>
      <c r="I620" s="552"/>
      <c r="J620" s="552"/>
      <c r="K620" s="552"/>
      <c r="L620" s="552"/>
      <c r="M620" s="552"/>
      <c r="N620" s="552"/>
      <c r="O620" s="552"/>
      <c r="P620" s="552"/>
      <c r="Q620" s="552"/>
      <c r="R620" s="552"/>
      <c r="S620" s="552"/>
      <c r="T620" s="552"/>
      <c r="U620" s="552"/>
      <c r="V620" s="552"/>
      <c r="W620" s="552"/>
      <c r="X620" s="552"/>
      <c r="Y620" s="552"/>
      <c r="Z620" s="552"/>
    </row>
    <row r="621" spans="1:26" ht="12.75" customHeight="1">
      <c r="A621" s="553"/>
      <c r="B621" s="552"/>
      <c r="C621" s="554"/>
      <c r="D621" s="552"/>
      <c r="E621" s="552"/>
      <c r="F621" s="555"/>
      <c r="G621" s="552"/>
      <c r="H621" s="552"/>
      <c r="I621" s="552"/>
      <c r="J621" s="552"/>
      <c r="K621" s="552"/>
      <c r="L621" s="552"/>
      <c r="M621" s="552"/>
      <c r="N621" s="552"/>
      <c r="O621" s="552"/>
      <c r="P621" s="552"/>
      <c r="Q621" s="552"/>
      <c r="R621" s="552"/>
      <c r="S621" s="552"/>
      <c r="T621" s="552"/>
      <c r="U621" s="552"/>
      <c r="V621" s="552"/>
      <c r="W621" s="552"/>
      <c r="X621" s="552"/>
      <c r="Y621" s="552"/>
      <c r="Z621" s="552"/>
    </row>
    <row r="622" spans="1:26" ht="12.75" customHeight="1">
      <c r="A622" s="553"/>
      <c r="B622" s="552"/>
      <c r="C622" s="554"/>
      <c r="D622" s="552"/>
      <c r="E622" s="552"/>
      <c r="F622" s="555"/>
      <c r="G622" s="552"/>
      <c r="H622" s="552"/>
      <c r="I622" s="552"/>
      <c r="J622" s="552"/>
      <c r="K622" s="552"/>
      <c r="L622" s="552"/>
      <c r="M622" s="552"/>
      <c r="N622" s="552"/>
      <c r="O622" s="552"/>
      <c r="P622" s="552"/>
      <c r="Q622" s="552"/>
      <c r="R622" s="552"/>
      <c r="S622" s="552"/>
      <c r="T622" s="552"/>
      <c r="U622" s="552"/>
      <c r="V622" s="552"/>
      <c r="W622" s="552"/>
      <c r="X622" s="552"/>
      <c r="Y622" s="552"/>
      <c r="Z622" s="552"/>
    </row>
    <row r="623" spans="1:26" ht="12.75" customHeight="1">
      <c r="A623" s="553"/>
      <c r="B623" s="552"/>
      <c r="C623" s="554"/>
      <c r="D623" s="552"/>
      <c r="E623" s="552"/>
      <c r="F623" s="555"/>
      <c r="G623" s="552"/>
      <c r="H623" s="552"/>
      <c r="I623" s="552"/>
      <c r="J623" s="552"/>
      <c r="K623" s="552"/>
      <c r="L623" s="552"/>
      <c r="M623" s="552"/>
      <c r="N623" s="552"/>
      <c r="O623" s="552"/>
      <c r="P623" s="552"/>
      <c r="Q623" s="552"/>
      <c r="R623" s="552"/>
      <c r="S623" s="552"/>
      <c r="T623" s="552"/>
      <c r="U623" s="552"/>
      <c r="V623" s="552"/>
      <c r="W623" s="552"/>
      <c r="X623" s="552"/>
      <c r="Y623" s="552"/>
      <c r="Z623" s="552"/>
    </row>
    <row r="624" spans="1:26" ht="12.75" customHeight="1">
      <c r="A624" s="553"/>
      <c r="B624" s="552"/>
      <c r="C624" s="554"/>
      <c r="D624" s="552"/>
      <c r="E624" s="552"/>
      <c r="F624" s="555"/>
      <c r="G624" s="552"/>
      <c r="H624" s="552"/>
      <c r="I624" s="552"/>
      <c r="J624" s="552"/>
      <c r="K624" s="552"/>
      <c r="L624" s="552"/>
      <c r="M624" s="552"/>
      <c r="N624" s="552"/>
      <c r="O624" s="552"/>
      <c r="P624" s="552"/>
      <c r="Q624" s="552"/>
      <c r="R624" s="552"/>
      <c r="S624" s="552"/>
      <c r="T624" s="552"/>
      <c r="U624" s="552"/>
      <c r="V624" s="552"/>
      <c r="W624" s="552"/>
      <c r="X624" s="552"/>
      <c r="Y624" s="552"/>
      <c r="Z624" s="552"/>
    </row>
    <row r="625" spans="1:26" ht="12.75" customHeight="1">
      <c r="A625" s="553"/>
      <c r="B625" s="552"/>
      <c r="C625" s="554"/>
      <c r="D625" s="552"/>
      <c r="E625" s="552"/>
      <c r="F625" s="555"/>
      <c r="G625" s="552"/>
      <c r="H625" s="552"/>
      <c r="I625" s="552"/>
      <c r="J625" s="552"/>
      <c r="K625" s="552"/>
      <c r="L625" s="552"/>
      <c r="M625" s="552"/>
      <c r="N625" s="552"/>
      <c r="O625" s="552"/>
      <c r="P625" s="552"/>
      <c r="Q625" s="552"/>
      <c r="R625" s="552"/>
      <c r="S625" s="552"/>
      <c r="T625" s="552"/>
      <c r="U625" s="552"/>
      <c r="V625" s="552"/>
      <c r="W625" s="552"/>
      <c r="X625" s="552"/>
      <c r="Y625" s="552"/>
      <c r="Z625" s="552"/>
    </row>
    <row r="626" spans="1:26" ht="12.75" customHeight="1">
      <c r="A626" s="553"/>
      <c r="B626" s="552"/>
      <c r="C626" s="554"/>
      <c r="D626" s="552"/>
      <c r="E626" s="552"/>
      <c r="F626" s="555"/>
      <c r="G626" s="552"/>
      <c r="H626" s="552"/>
      <c r="I626" s="552"/>
      <c r="J626" s="552"/>
      <c r="K626" s="552"/>
      <c r="L626" s="552"/>
      <c r="M626" s="552"/>
      <c r="N626" s="552"/>
      <c r="O626" s="552"/>
      <c r="P626" s="552"/>
      <c r="Q626" s="552"/>
      <c r="R626" s="552"/>
      <c r="S626" s="552"/>
      <c r="T626" s="552"/>
      <c r="U626" s="552"/>
      <c r="V626" s="552"/>
      <c r="W626" s="552"/>
      <c r="X626" s="552"/>
      <c r="Y626" s="552"/>
      <c r="Z626" s="552"/>
    </row>
    <row r="627" spans="1:26" ht="12.75" customHeight="1">
      <c r="A627" s="553"/>
      <c r="B627" s="552"/>
      <c r="C627" s="554"/>
      <c r="D627" s="552"/>
      <c r="E627" s="552"/>
      <c r="F627" s="555"/>
      <c r="G627" s="552"/>
      <c r="H627" s="552"/>
      <c r="I627" s="552"/>
      <c r="J627" s="552"/>
      <c r="K627" s="552"/>
      <c r="L627" s="552"/>
      <c r="M627" s="552"/>
      <c r="N627" s="552"/>
      <c r="O627" s="552"/>
      <c r="P627" s="552"/>
      <c r="Q627" s="552"/>
      <c r="R627" s="552"/>
      <c r="S627" s="552"/>
      <c r="T627" s="552"/>
      <c r="U627" s="552"/>
      <c r="V627" s="552"/>
      <c r="W627" s="552"/>
      <c r="X627" s="552"/>
      <c r="Y627" s="552"/>
      <c r="Z627" s="552"/>
    </row>
    <row r="628" spans="1:26" ht="12.75" customHeight="1">
      <c r="A628" s="553"/>
      <c r="B628" s="552"/>
      <c r="C628" s="554"/>
      <c r="D628" s="552"/>
      <c r="E628" s="552"/>
      <c r="F628" s="555"/>
      <c r="G628" s="552"/>
      <c r="H628" s="552"/>
      <c r="I628" s="552"/>
      <c r="J628" s="552"/>
      <c r="K628" s="552"/>
      <c r="L628" s="552"/>
      <c r="M628" s="552"/>
      <c r="N628" s="552"/>
      <c r="O628" s="552"/>
      <c r="P628" s="552"/>
      <c r="Q628" s="552"/>
      <c r="R628" s="552"/>
      <c r="S628" s="552"/>
      <c r="T628" s="552"/>
      <c r="U628" s="552"/>
      <c r="V628" s="552"/>
      <c r="W628" s="552"/>
      <c r="X628" s="552"/>
      <c r="Y628" s="552"/>
      <c r="Z628" s="552"/>
    </row>
    <row r="629" spans="1:26" ht="12.75" customHeight="1">
      <c r="A629" s="553"/>
      <c r="B629" s="552"/>
      <c r="C629" s="554"/>
      <c r="D629" s="552"/>
      <c r="E629" s="552"/>
      <c r="F629" s="555"/>
      <c r="G629" s="552"/>
      <c r="H629" s="552"/>
      <c r="I629" s="552"/>
      <c r="J629" s="552"/>
      <c r="K629" s="552"/>
      <c r="L629" s="552"/>
      <c r="M629" s="552"/>
      <c r="N629" s="552"/>
      <c r="O629" s="552"/>
      <c r="P629" s="552"/>
      <c r="Q629" s="552"/>
      <c r="R629" s="552"/>
      <c r="S629" s="552"/>
      <c r="T629" s="552"/>
      <c r="U629" s="552"/>
      <c r="V629" s="552"/>
      <c r="W629" s="552"/>
      <c r="X629" s="552"/>
      <c r="Y629" s="552"/>
      <c r="Z629" s="552"/>
    </row>
    <row r="630" spans="1:26" ht="12.75" customHeight="1">
      <c r="A630" s="553"/>
      <c r="B630" s="552"/>
      <c r="C630" s="554"/>
      <c r="D630" s="552"/>
      <c r="E630" s="552"/>
      <c r="F630" s="555"/>
      <c r="G630" s="552"/>
      <c r="H630" s="552"/>
      <c r="I630" s="552"/>
      <c r="J630" s="552"/>
      <c r="K630" s="552"/>
      <c r="L630" s="552"/>
      <c r="M630" s="552"/>
      <c r="N630" s="552"/>
      <c r="O630" s="552"/>
      <c r="P630" s="552"/>
      <c r="Q630" s="552"/>
      <c r="R630" s="552"/>
      <c r="S630" s="552"/>
      <c r="T630" s="552"/>
      <c r="U630" s="552"/>
      <c r="V630" s="552"/>
      <c r="W630" s="552"/>
      <c r="X630" s="552"/>
      <c r="Y630" s="552"/>
      <c r="Z630" s="552"/>
    </row>
    <row r="631" spans="1:26" ht="12.75" customHeight="1">
      <c r="A631" s="553"/>
      <c r="B631" s="552"/>
      <c r="C631" s="554"/>
      <c r="D631" s="552"/>
      <c r="E631" s="552"/>
      <c r="F631" s="555"/>
      <c r="G631" s="552"/>
      <c r="H631" s="552"/>
      <c r="I631" s="552"/>
      <c r="J631" s="552"/>
      <c r="K631" s="552"/>
      <c r="L631" s="552"/>
      <c r="M631" s="552"/>
      <c r="N631" s="552"/>
      <c r="O631" s="552"/>
      <c r="P631" s="552"/>
      <c r="Q631" s="552"/>
      <c r="R631" s="552"/>
      <c r="S631" s="552"/>
      <c r="T631" s="552"/>
      <c r="U631" s="552"/>
      <c r="V631" s="552"/>
      <c r="W631" s="552"/>
      <c r="X631" s="552"/>
      <c r="Y631" s="552"/>
      <c r="Z631" s="552"/>
    </row>
    <row r="632" spans="1:26" ht="12.75" customHeight="1">
      <c r="A632" s="553"/>
      <c r="B632" s="552"/>
      <c r="C632" s="554"/>
      <c r="D632" s="552"/>
      <c r="E632" s="552"/>
      <c r="F632" s="555"/>
      <c r="G632" s="552"/>
      <c r="H632" s="552"/>
      <c r="I632" s="552"/>
      <c r="J632" s="552"/>
      <c r="K632" s="552"/>
      <c r="L632" s="552"/>
      <c r="M632" s="552"/>
      <c r="N632" s="552"/>
      <c r="O632" s="552"/>
      <c r="P632" s="552"/>
      <c r="Q632" s="552"/>
      <c r="R632" s="552"/>
      <c r="S632" s="552"/>
      <c r="T632" s="552"/>
      <c r="U632" s="552"/>
      <c r="V632" s="552"/>
      <c r="W632" s="552"/>
      <c r="X632" s="552"/>
      <c r="Y632" s="552"/>
      <c r="Z632" s="552"/>
    </row>
    <row r="633" spans="1:26" ht="12.75" customHeight="1">
      <c r="A633" s="553"/>
      <c r="B633" s="552"/>
      <c r="C633" s="554"/>
      <c r="D633" s="552"/>
      <c r="E633" s="552"/>
      <c r="F633" s="555"/>
      <c r="G633" s="552"/>
      <c r="H633" s="552"/>
      <c r="I633" s="552"/>
      <c r="J633" s="552"/>
      <c r="K633" s="552"/>
      <c r="L633" s="552"/>
      <c r="M633" s="552"/>
      <c r="N633" s="552"/>
      <c r="O633" s="552"/>
      <c r="P633" s="552"/>
      <c r="Q633" s="552"/>
      <c r="R633" s="552"/>
      <c r="S633" s="552"/>
      <c r="T633" s="552"/>
      <c r="U633" s="552"/>
      <c r="V633" s="552"/>
      <c r="W633" s="552"/>
      <c r="X633" s="552"/>
      <c r="Y633" s="552"/>
      <c r="Z633" s="552"/>
    </row>
    <row r="634" spans="1:26" ht="12.75" customHeight="1">
      <c r="A634" s="553"/>
      <c r="B634" s="552"/>
      <c r="C634" s="554"/>
      <c r="D634" s="552"/>
      <c r="E634" s="552"/>
      <c r="F634" s="555"/>
      <c r="G634" s="552"/>
      <c r="H634" s="552"/>
      <c r="I634" s="552"/>
      <c r="J634" s="552"/>
      <c r="K634" s="552"/>
      <c r="L634" s="552"/>
      <c r="M634" s="552"/>
      <c r="N634" s="552"/>
      <c r="O634" s="552"/>
      <c r="P634" s="552"/>
      <c r="Q634" s="552"/>
      <c r="R634" s="552"/>
      <c r="S634" s="552"/>
      <c r="T634" s="552"/>
      <c r="U634" s="552"/>
      <c r="V634" s="552"/>
      <c r="W634" s="552"/>
      <c r="X634" s="552"/>
      <c r="Y634" s="552"/>
      <c r="Z634" s="552"/>
    </row>
    <row r="635" spans="1:26" ht="12.75" customHeight="1">
      <c r="A635" s="553"/>
      <c r="B635" s="552"/>
      <c r="C635" s="554"/>
      <c r="D635" s="552"/>
      <c r="E635" s="552"/>
      <c r="F635" s="555"/>
      <c r="G635" s="552"/>
      <c r="H635" s="552"/>
      <c r="I635" s="552"/>
      <c r="J635" s="552"/>
      <c r="K635" s="552"/>
      <c r="L635" s="552"/>
      <c r="M635" s="552"/>
      <c r="N635" s="552"/>
      <c r="O635" s="552"/>
      <c r="P635" s="552"/>
      <c r="Q635" s="552"/>
      <c r="R635" s="552"/>
      <c r="S635" s="552"/>
      <c r="T635" s="552"/>
      <c r="U635" s="552"/>
      <c r="V635" s="552"/>
      <c r="W635" s="552"/>
      <c r="X635" s="552"/>
      <c r="Y635" s="552"/>
      <c r="Z635" s="552"/>
    </row>
    <row r="636" spans="1:26" ht="12.75" customHeight="1">
      <c r="A636" s="553"/>
      <c r="B636" s="552"/>
      <c r="C636" s="554"/>
      <c r="D636" s="552"/>
      <c r="E636" s="552"/>
      <c r="F636" s="555"/>
      <c r="G636" s="552"/>
      <c r="H636" s="552"/>
      <c r="I636" s="552"/>
      <c r="J636" s="552"/>
      <c r="K636" s="552"/>
      <c r="L636" s="552"/>
      <c r="M636" s="552"/>
      <c r="N636" s="552"/>
      <c r="O636" s="552"/>
      <c r="P636" s="552"/>
      <c r="Q636" s="552"/>
      <c r="R636" s="552"/>
      <c r="S636" s="552"/>
      <c r="T636" s="552"/>
      <c r="U636" s="552"/>
      <c r="V636" s="552"/>
      <c r="W636" s="552"/>
      <c r="X636" s="552"/>
      <c r="Y636" s="552"/>
      <c r="Z636" s="552"/>
    </row>
    <row r="637" spans="1:26" ht="12.75" customHeight="1">
      <c r="A637" s="553"/>
      <c r="B637" s="552"/>
      <c r="C637" s="554"/>
      <c r="D637" s="552"/>
      <c r="E637" s="552"/>
      <c r="F637" s="555"/>
      <c r="G637" s="552"/>
      <c r="H637" s="552"/>
      <c r="I637" s="552"/>
      <c r="J637" s="552"/>
      <c r="K637" s="552"/>
      <c r="L637" s="552"/>
      <c r="M637" s="552"/>
      <c r="N637" s="552"/>
      <c r="O637" s="552"/>
      <c r="P637" s="552"/>
      <c r="Q637" s="552"/>
      <c r="R637" s="552"/>
      <c r="S637" s="552"/>
      <c r="T637" s="552"/>
      <c r="U637" s="552"/>
      <c r="V637" s="552"/>
      <c r="W637" s="552"/>
      <c r="X637" s="552"/>
      <c r="Y637" s="552"/>
      <c r="Z637" s="552"/>
    </row>
    <row r="638" spans="1:26" ht="12.75" customHeight="1">
      <c r="A638" s="553"/>
      <c r="B638" s="552"/>
      <c r="C638" s="554"/>
      <c r="D638" s="552"/>
      <c r="E638" s="552"/>
      <c r="F638" s="555"/>
      <c r="G638" s="552"/>
      <c r="H638" s="552"/>
      <c r="I638" s="552"/>
      <c r="J638" s="552"/>
      <c r="K638" s="552"/>
      <c r="L638" s="552"/>
      <c r="M638" s="552"/>
      <c r="N638" s="552"/>
      <c r="O638" s="552"/>
      <c r="P638" s="552"/>
      <c r="Q638" s="552"/>
      <c r="R638" s="552"/>
      <c r="S638" s="552"/>
      <c r="T638" s="552"/>
      <c r="U638" s="552"/>
      <c r="V638" s="552"/>
      <c r="W638" s="552"/>
      <c r="X638" s="552"/>
      <c r="Y638" s="552"/>
      <c r="Z638" s="552"/>
    </row>
    <row r="639" spans="1:26" ht="12.75" customHeight="1">
      <c r="A639" s="553"/>
      <c r="B639" s="552"/>
      <c r="C639" s="554"/>
      <c r="D639" s="552"/>
      <c r="E639" s="552"/>
      <c r="F639" s="555"/>
      <c r="G639" s="552"/>
      <c r="H639" s="552"/>
      <c r="I639" s="552"/>
      <c r="J639" s="552"/>
      <c r="K639" s="552"/>
      <c r="L639" s="552"/>
      <c r="M639" s="552"/>
      <c r="N639" s="552"/>
      <c r="O639" s="552"/>
      <c r="P639" s="552"/>
      <c r="Q639" s="552"/>
      <c r="R639" s="552"/>
      <c r="S639" s="552"/>
      <c r="T639" s="552"/>
      <c r="U639" s="552"/>
      <c r="V639" s="552"/>
      <c r="W639" s="552"/>
      <c r="X639" s="552"/>
      <c r="Y639" s="552"/>
      <c r="Z639" s="552"/>
    </row>
    <row r="640" spans="1:26" ht="12.75" customHeight="1">
      <c r="A640" s="553"/>
      <c r="B640" s="552"/>
      <c r="C640" s="554"/>
      <c r="D640" s="552"/>
      <c r="E640" s="552"/>
      <c r="F640" s="555"/>
      <c r="G640" s="552"/>
      <c r="H640" s="552"/>
      <c r="I640" s="552"/>
      <c r="J640" s="552"/>
      <c r="K640" s="552"/>
      <c r="L640" s="552"/>
      <c r="M640" s="552"/>
      <c r="N640" s="552"/>
      <c r="O640" s="552"/>
      <c r="P640" s="552"/>
      <c r="Q640" s="552"/>
      <c r="R640" s="552"/>
      <c r="S640" s="552"/>
      <c r="T640" s="552"/>
      <c r="U640" s="552"/>
      <c r="V640" s="552"/>
      <c r="W640" s="552"/>
      <c r="X640" s="552"/>
      <c r="Y640" s="552"/>
      <c r="Z640" s="552"/>
    </row>
    <row r="641" spans="1:26" ht="12.75" customHeight="1">
      <c r="A641" s="553"/>
      <c r="B641" s="552"/>
      <c r="C641" s="554"/>
      <c r="D641" s="552"/>
      <c r="E641" s="552"/>
      <c r="F641" s="555"/>
      <c r="G641" s="552"/>
      <c r="H641" s="552"/>
      <c r="I641" s="552"/>
      <c r="J641" s="552"/>
      <c r="K641" s="552"/>
      <c r="L641" s="552"/>
      <c r="M641" s="552"/>
      <c r="N641" s="552"/>
      <c r="O641" s="552"/>
      <c r="P641" s="552"/>
      <c r="Q641" s="552"/>
      <c r="R641" s="552"/>
      <c r="S641" s="552"/>
      <c r="T641" s="552"/>
      <c r="U641" s="552"/>
      <c r="V641" s="552"/>
      <c r="W641" s="552"/>
      <c r="X641" s="552"/>
      <c r="Y641" s="552"/>
      <c r="Z641" s="552"/>
    </row>
    <row r="642" spans="1:26" ht="12.75" customHeight="1">
      <c r="A642" s="553"/>
      <c r="B642" s="552"/>
      <c r="C642" s="554"/>
      <c r="D642" s="552"/>
      <c r="E642" s="552"/>
      <c r="F642" s="555"/>
      <c r="G642" s="552"/>
      <c r="H642" s="552"/>
      <c r="I642" s="552"/>
      <c r="J642" s="552"/>
      <c r="K642" s="552"/>
      <c r="L642" s="552"/>
      <c r="M642" s="552"/>
      <c r="N642" s="552"/>
      <c r="O642" s="552"/>
      <c r="P642" s="552"/>
      <c r="Q642" s="552"/>
      <c r="R642" s="552"/>
      <c r="S642" s="552"/>
      <c r="T642" s="552"/>
      <c r="U642" s="552"/>
      <c r="V642" s="552"/>
      <c r="W642" s="552"/>
      <c r="X642" s="552"/>
      <c r="Y642" s="552"/>
      <c r="Z642" s="552"/>
    </row>
    <row r="643" spans="1:26" ht="12.75" customHeight="1">
      <c r="A643" s="553"/>
      <c r="B643" s="552"/>
      <c r="C643" s="554"/>
      <c r="D643" s="552"/>
      <c r="E643" s="552"/>
      <c r="F643" s="555"/>
      <c r="G643" s="552"/>
      <c r="H643" s="552"/>
      <c r="I643" s="552"/>
      <c r="J643" s="552"/>
      <c r="K643" s="552"/>
      <c r="L643" s="552"/>
      <c r="M643" s="552"/>
      <c r="N643" s="552"/>
      <c r="O643" s="552"/>
      <c r="P643" s="552"/>
      <c r="Q643" s="552"/>
      <c r="R643" s="552"/>
      <c r="S643" s="552"/>
      <c r="T643" s="552"/>
      <c r="U643" s="552"/>
      <c r="V643" s="552"/>
      <c r="W643" s="552"/>
      <c r="X643" s="552"/>
      <c r="Y643" s="552"/>
      <c r="Z643" s="552"/>
    </row>
    <row r="644" spans="1:26" ht="12.75" customHeight="1">
      <c r="A644" s="553"/>
      <c r="B644" s="552"/>
      <c r="C644" s="554"/>
      <c r="D644" s="552"/>
      <c r="E644" s="552"/>
      <c r="F644" s="555"/>
      <c r="G644" s="552"/>
      <c r="H644" s="552"/>
      <c r="I644" s="552"/>
      <c r="J644" s="552"/>
      <c r="K644" s="552"/>
      <c r="L644" s="552"/>
      <c r="M644" s="552"/>
      <c r="N644" s="552"/>
      <c r="O644" s="552"/>
      <c r="P644" s="552"/>
      <c r="Q644" s="552"/>
      <c r="R644" s="552"/>
      <c r="S644" s="552"/>
      <c r="T644" s="552"/>
      <c r="U644" s="552"/>
      <c r="V644" s="552"/>
      <c r="W644" s="552"/>
      <c r="X644" s="552"/>
      <c r="Y644" s="552"/>
      <c r="Z644" s="552"/>
    </row>
    <row r="645" spans="1:26" ht="12.75" customHeight="1">
      <c r="A645" s="553"/>
      <c r="B645" s="552"/>
      <c r="C645" s="554"/>
      <c r="D645" s="552"/>
      <c r="E645" s="552"/>
      <c r="F645" s="555"/>
      <c r="G645" s="552"/>
      <c r="H645" s="552"/>
      <c r="I645" s="552"/>
      <c r="J645" s="552"/>
      <c r="K645" s="552"/>
      <c r="L645" s="552"/>
      <c r="M645" s="552"/>
      <c r="N645" s="552"/>
      <c r="O645" s="552"/>
      <c r="P645" s="552"/>
      <c r="Q645" s="552"/>
      <c r="R645" s="552"/>
      <c r="S645" s="552"/>
      <c r="T645" s="552"/>
      <c r="U645" s="552"/>
      <c r="V645" s="552"/>
      <c r="W645" s="552"/>
      <c r="X645" s="552"/>
      <c r="Y645" s="552"/>
      <c r="Z645" s="552"/>
    </row>
    <row r="646" spans="1:26" ht="12.75" customHeight="1">
      <c r="A646" s="553"/>
      <c r="B646" s="552"/>
      <c r="C646" s="554"/>
      <c r="D646" s="552"/>
      <c r="E646" s="552"/>
      <c r="F646" s="555"/>
      <c r="G646" s="552"/>
      <c r="H646" s="552"/>
      <c r="I646" s="552"/>
      <c r="J646" s="552"/>
      <c r="K646" s="552"/>
      <c r="L646" s="552"/>
      <c r="M646" s="552"/>
      <c r="N646" s="552"/>
      <c r="O646" s="552"/>
      <c r="P646" s="552"/>
      <c r="Q646" s="552"/>
      <c r="R646" s="552"/>
      <c r="S646" s="552"/>
      <c r="T646" s="552"/>
      <c r="U646" s="552"/>
      <c r="V646" s="552"/>
      <c r="W646" s="552"/>
      <c r="X646" s="552"/>
      <c r="Y646" s="552"/>
      <c r="Z646" s="552"/>
    </row>
    <row r="647" spans="1:26" ht="12.75" customHeight="1">
      <c r="A647" s="553"/>
      <c r="B647" s="552"/>
      <c r="C647" s="554"/>
      <c r="D647" s="552"/>
      <c r="E647" s="552"/>
      <c r="F647" s="555"/>
      <c r="G647" s="552"/>
      <c r="H647" s="552"/>
      <c r="I647" s="552"/>
      <c r="J647" s="552"/>
      <c r="K647" s="552"/>
      <c r="L647" s="552"/>
      <c r="M647" s="552"/>
      <c r="N647" s="552"/>
      <c r="O647" s="552"/>
      <c r="P647" s="552"/>
      <c r="Q647" s="552"/>
      <c r="R647" s="552"/>
      <c r="S647" s="552"/>
      <c r="T647" s="552"/>
      <c r="U647" s="552"/>
      <c r="V647" s="552"/>
      <c r="W647" s="552"/>
      <c r="X647" s="552"/>
      <c r="Y647" s="552"/>
      <c r="Z647" s="552"/>
    </row>
    <row r="648" spans="1:26" ht="12.75" customHeight="1">
      <c r="A648" s="553"/>
      <c r="B648" s="552"/>
      <c r="C648" s="554"/>
      <c r="D648" s="552"/>
      <c r="E648" s="552"/>
      <c r="F648" s="555"/>
      <c r="G648" s="552"/>
      <c r="H648" s="552"/>
      <c r="I648" s="552"/>
      <c r="J648" s="552"/>
      <c r="K648" s="552"/>
      <c r="L648" s="552"/>
      <c r="M648" s="552"/>
      <c r="N648" s="552"/>
      <c r="O648" s="552"/>
      <c r="P648" s="552"/>
      <c r="Q648" s="552"/>
      <c r="R648" s="552"/>
      <c r="S648" s="552"/>
      <c r="T648" s="552"/>
      <c r="U648" s="552"/>
      <c r="V648" s="552"/>
      <c r="W648" s="552"/>
      <c r="X648" s="552"/>
      <c r="Y648" s="552"/>
      <c r="Z648" s="552"/>
    </row>
    <row r="649" spans="1:26" ht="12.75" customHeight="1">
      <c r="A649" s="553"/>
      <c r="B649" s="552"/>
      <c r="C649" s="554"/>
      <c r="D649" s="552"/>
      <c r="E649" s="552"/>
      <c r="F649" s="555"/>
      <c r="G649" s="552"/>
      <c r="H649" s="552"/>
      <c r="I649" s="552"/>
      <c r="J649" s="552"/>
      <c r="K649" s="552"/>
      <c r="L649" s="552"/>
      <c r="M649" s="552"/>
      <c r="N649" s="552"/>
      <c r="O649" s="552"/>
      <c r="P649" s="552"/>
      <c r="Q649" s="552"/>
      <c r="R649" s="552"/>
      <c r="S649" s="552"/>
      <c r="T649" s="552"/>
      <c r="U649" s="552"/>
      <c r="V649" s="552"/>
      <c r="W649" s="552"/>
      <c r="X649" s="552"/>
      <c r="Y649" s="552"/>
      <c r="Z649" s="552"/>
    </row>
    <row r="650" spans="1:26" ht="12.75" customHeight="1">
      <c r="A650" s="553"/>
      <c r="B650" s="552"/>
      <c r="C650" s="554"/>
      <c r="D650" s="552"/>
      <c r="E650" s="552"/>
      <c r="F650" s="555"/>
      <c r="G650" s="552"/>
      <c r="H650" s="552"/>
      <c r="I650" s="552"/>
      <c r="J650" s="552"/>
      <c r="K650" s="552"/>
      <c r="L650" s="552"/>
      <c r="M650" s="552"/>
      <c r="N650" s="552"/>
      <c r="O650" s="552"/>
      <c r="P650" s="552"/>
      <c r="Q650" s="552"/>
      <c r="R650" s="552"/>
      <c r="S650" s="552"/>
      <c r="T650" s="552"/>
      <c r="U650" s="552"/>
      <c r="V650" s="552"/>
      <c r="W650" s="552"/>
      <c r="X650" s="552"/>
      <c r="Y650" s="552"/>
      <c r="Z650" s="552"/>
    </row>
    <row r="651" spans="1:26" ht="12.75" customHeight="1">
      <c r="A651" s="553"/>
      <c r="B651" s="552"/>
      <c r="C651" s="554"/>
      <c r="D651" s="552"/>
      <c r="E651" s="552"/>
      <c r="F651" s="555"/>
      <c r="G651" s="552"/>
      <c r="H651" s="552"/>
      <c r="I651" s="552"/>
      <c r="J651" s="552"/>
      <c r="K651" s="552"/>
      <c r="L651" s="552"/>
      <c r="M651" s="552"/>
      <c r="N651" s="552"/>
      <c r="O651" s="552"/>
      <c r="P651" s="552"/>
      <c r="Q651" s="552"/>
      <c r="R651" s="552"/>
      <c r="S651" s="552"/>
      <c r="T651" s="552"/>
      <c r="U651" s="552"/>
      <c r="V651" s="552"/>
      <c r="W651" s="552"/>
      <c r="X651" s="552"/>
      <c r="Y651" s="552"/>
      <c r="Z651" s="552"/>
    </row>
    <row r="652" spans="1:26" ht="12.75" customHeight="1">
      <c r="A652" s="553"/>
      <c r="B652" s="552"/>
      <c r="C652" s="554"/>
      <c r="D652" s="552"/>
      <c r="E652" s="552"/>
      <c r="F652" s="555"/>
      <c r="G652" s="552"/>
      <c r="H652" s="552"/>
      <c r="I652" s="552"/>
      <c r="J652" s="552"/>
      <c r="K652" s="552"/>
      <c r="L652" s="552"/>
      <c r="M652" s="552"/>
      <c r="N652" s="552"/>
      <c r="O652" s="552"/>
      <c r="P652" s="552"/>
      <c r="Q652" s="552"/>
      <c r="R652" s="552"/>
      <c r="S652" s="552"/>
      <c r="T652" s="552"/>
      <c r="U652" s="552"/>
      <c r="V652" s="552"/>
      <c r="W652" s="552"/>
      <c r="X652" s="552"/>
      <c r="Y652" s="552"/>
      <c r="Z652" s="552"/>
    </row>
    <row r="653" spans="1:26" ht="12.75" customHeight="1">
      <c r="A653" s="553"/>
      <c r="B653" s="552"/>
      <c r="C653" s="554"/>
      <c r="D653" s="552"/>
      <c r="E653" s="552"/>
      <c r="F653" s="555"/>
      <c r="G653" s="552"/>
      <c r="H653" s="552"/>
      <c r="I653" s="552"/>
      <c r="J653" s="552"/>
      <c r="K653" s="552"/>
      <c r="L653" s="552"/>
      <c r="M653" s="552"/>
      <c r="N653" s="552"/>
      <c r="O653" s="552"/>
      <c r="P653" s="552"/>
      <c r="Q653" s="552"/>
      <c r="R653" s="552"/>
      <c r="S653" s="552"/>
      <c r="T653" s="552"/>
      <c r="U653" s="552"/>
      <c r="V653" s="552"/>
      <c r="W653" s="552"/>
      <c r="X653" s="552"/>
      <c r="Y653" s="552"/>
      <c r="Z653" s="552"/>
    </row>
    <row r="654" spans="1:26" ht="12.75" customHeight="1">
      <c r="A654" s="553"/>
      <c r="B654" s="552"/>
      <c r="C654" s="554"/>
      <c r="D654" s="552"/>
      <c r="E654" s="552"/>
      <c r="F654" s="555"/>
      <c r="G654" s="552"/>
      <c r="H654" s="552"/>
      <c r="I654" s="552"/>
      <c r="J654" s="552"/>
      <c r="K654" s="552"/>
      <c r="L654" s="552"/>
      <c r="M654" s="552"/>
      <c r="N654" s="552"/>
      <c r="O654" s="552"/>
      <c r="P654" s="552"/>
      <c r="Q654" s="552"/>
      <c r="R654" s="552"/>
      <c r="S654" s="552"/>
      <c r="T654" s="552"/>
      <c r="U654" s="552"/>
      <c r="V654" s="552"/>
      <c r="W654" s="552"/>
      <c r="X654" s="552"/>
      <c r="Y654" s="552"/>
      <c r="Z654" s="552"/>
    </row>
    <row r="655" spans="1:26" ht="12.75" customHeight="1">
      <c r="A655" s="553"/>
      <c r="B655" s="552"/>
      <c r="C655" s="554"/>
      <c r="D655" s="552"/>
      <c r="E655" s="552"/>
      <c r="F655" s="555"/>
      <c r="G655" s="552"/>
      <c r="H655" s="552"/>
      <c r="I655" s="552"/>
      <c r="J655" s="552"/>
      <c r="K655" s="552"/>
      <c r="L655" s="552"/>
      <c r="M655" s="552"/>
      <c r="N655" s="552"/>
      <c r="O655" s="552"/>
      <c r="P655" s="552"/>
      <c r="Q655" s="552"/>
      <c r="R655" s="552"/>
      <c r="S655" s="552"/>
      <c r="T655" s="552"/>
      <c r="U655" s="552"/>
      <c r="V655" s="552"/>
      <c r="W655" s="552"/>
      <c r="X655" s="552"/>
      <c r="Y655" s="552"/>
      <c r="Z655" s="552"/>
    </row>
    <row r="656" spans="1:26" ht="12.75" customHeight="1">
      <c r="A656" s="553"/>
      <c r="B656" s="552"/>
      <c r="C656" s="554"/>
      <c r="D656" s="552"/>
      <c r="E656" s="552"/>
      <c r="F656" s="555"/>
      <c r="G656" s="552"/>
      <c r="H656" s="552"/>
      <c r="I656" s="552"/>
      <c r="J656" s="552"/>
      <c r="K656" s="552"/>
      <c r="L656" s="552"/>
      <c r="M656" s="552"/>
      <c r="N656" s="552"/>
      <c r="O656" s="552"/>
      <c r="P656" s="552"/>
      <c r="Q656" s="552"/>
      <c r="R656" s="552"/>
      <c r="S656" s="552"/>
      <c r="T656" s="552"/>
      <c r="U656" s="552"/>
      <c r="V656" s="552"/>
      <c r="W656" s="552"/>
      <c r="X656" s="552"/>
      <c r="Y656" s="552"/>
      <c r="Z656" s="552"/>
    </row>
    <row r="657" spans="1:26" ht="12.75" customHeight="1">
      <c r="A657" s="553"/>
      <c r="B657" s="552"/>
      <c r="C657" s="554"/>
      <c r="D657" s="552"/>
      <c r="E657" s="552"/>
      <c r="F657" s="555"/>
      <c r="G657" s="552"/>
      <c r="H657" s="552"/>
      <c r="I657" s="552"/>
      <c r="J657" s="552"/>
      <c r="K657" s="552"/>
      <c r="L657" s="552"/>
      <c r="M657" s="552"/>
      <c r="N657" s="552"/>
      <c r="O657" s="552"/>
      <c r="P657" s="552"/>
      <c r="Q657" s="552"/>
      <c r="R657" s="552"/>
      <c r="S657" s="552"/>
      <c r="T657" s="552"/>
      <c r="U657" s="552"/>
      <c r="V657" s="552"/>
      <c r="W657" s="552"/>
      <c r="X657" s="552"/>
      <c r="Y657" s="552"/>
      <c r="Z657" s="552"/>
    </row>
    <row r="658" spans="1:26" ht="12.75" customHeight="1">
      <c r="A658" s="553"/>
      <c r="B658" s="552"/>
      <c r="C658" s="554"/>
      <c r="D658" s="552"/>
      <c r="E658" s="552"/>
      <c r="F658" s="555"/>
      <c r="G658" s="552"/>
      <c r="H658" s="552"/>
      <c r="I658" s="552"/>
      <c r="J658" s="552"/>
      <c r="K658" s="552"/>
      <c r="L658" s="552"/>
      <c r="M658" s="552"/>
      <c r="N658" s="552"/>
      <c r="O658" s="552"/>
      <c r="P658" s="552"/>
      <c r="Q658" s="552"/>
      <c r="R658" s="552"/>
      <c r="S658" s="552"/>
      <c r="T658" s="552"/>
      <c r="U658" s="552"/>
      <c r="V658" s="552"/>
      <c r="W658" s="552"/>
      <c r="X658" s="552"/>
      <c r="Y658" s="552"/>
      <c r="Z658" s="552"/>
    </row>
    <row r="659" spans="1:26" ht="12.75" customHeight="1">
      <c r="A659" s="553"/>
      <c r="B659" s="552"/>
      <c r="C659" s="554"/>
      <c r="D659" s="552"/>
      <c r="E659" s="552"/>
      <c r="F659" s="555"/>
      <c r="G659" s="552"/>
      <c r="H659" s="552"/>
      <c r="I659" s="552"/>
      <c r="J659" s="552"/>
      <c r="K659" s="552"/>
      <c r="L659" s="552"/>
      <c r="M659" s="552"/>
      <c r="N659" s="552"/>
      <c r="O659" s="552"/>
      <c r="P659" s="552"/>
      <c r="Q659" s="552"/>
      <c r="R659" s="552"/>
      <c r="S659" s="552"/>
      <c r="T659" s="552"/>
      <c r="U659" s="552"/>
      <c r="V659" s="552"/>
      <c r="W659" s="552"/>
      <c r="X659" s="552"/>
      <c r="Y659" s="552"/>
      <c r="Z659" s="552"/>
    </row>
    <row r="660" spans="1:26" ht="12.75" customHeight="1">
      <c r="A660" s="553"/>
      <c r="B660" s="552"/>
      <c r="C660" s="554"/>
      <c r="D660" s="552"/>
      <c r="E660" s="552"/>
      <c r="F660" s="555"/>
      <c r="G660" s="552"/>
      <c r="H660" s="552"/>
      <c r="I660" s="552"/>
      <c r="J660" s="552"/>
      <c r="K660" s="552"/>
      <c r="L660" s="552"/>
      <c r="M660" s="552"/>
      <c r="N660" s="552"/>
      <c r="O660" s="552"/>
      <c r="P660" s="552"/>
      <c r="Q660" s="552"/>
      <c r="R660" s="552"/>
      <c r="S660" s="552"/>
      <c r="T660" s="552"/>
      <c r="U660" s="552"/>
      <c r="V660" s="552"/>
      <c r="W660" s="552"/>
      <c r="X660" s="552"/>
      <c r="Y660" s="552"/>
      <c r="Z660" s="552"/>
    </row>
    <row r="661" spans="1:26" ht="12.75" customHeight="1">
      <c r="A661" s="553"/>
      <c r="B661" s="552"/>
      <c r="C661" s="554"/>
      <c r="D661" s="552"/>
      <c r="E661" s="552"/>
      <c r="F661" s="555"/>
      <c r="G661" s="552"/>
      <c r="H661" s="552"/>
      <c r="I661" s="552"/>
      <c r="J661" s="552"/>
      <c r="K661" s="552"/>
      <c r="L661" s="552"/>
      <c r="M661" s="552"/>
      <c r="N661" s="552"/>
      <c r="O661" s="552"/>
      <c r="P661" s="552"/>
      <c r="Q661" s="552"/>
      <c r="R661" s="552"/>
      <c r="S661" s="552"/>
      <c r="T661" s="552"/>
      <c r="U661" s="552"/>
      <c r="V661" s="552"/>
      <c r="W661" s="552"/>
      <c r="X661" s="552"/>
      <c r="Y661" s="552"/>
      <c r="Z661" s="552"/>
    </row>
    <row r="662" spans="1:26" ht="12.75" customHeight="1">
      <c r="A662" s="553"/>
      <c r="B662" s="552"/>
      <c r="C662" s="554"/>
      <c r="D662" s="552"/>
      <c r="E662" s="552"/>
      <c r="F662" s="555"/>
      <c r="G662" s="552"/>
      <c r="H662" s="552"/>
      <c r="I662" s="552"/>
      <c r="J662" s="552"/>
      <c r="K662" s="552"/>
      <c r="L662" s="552"/>
      <c r="M662" s="552"/>
      <c r="N662" s="552"/>
      <c r="O662" s="552"/>
      <c r="P662" s="552"/>
      <c r="Q662" s="552"/>
      <c r="R662" s="552"/>
      <c r="S662" s="552"/>
      <c r="T662" s="552"/>
      <c r="U662" s="552"/>
      <c r="V662" s="552"/>
      <c r="W662" s="552"/>
      <c r="X662" s="552"/>
      <c r="Y662" s="552"/>
      <c r="Z662" s="552"/>
    </row>
    <row r="663" spans="1:26" ht="12.75" customHeight="1">
      <c r="A663" s="553"/>
      <c r="B663" s="552"/>
      <c r="C663" s="554"/>
      <c r="D663" s="552"/>
      <c r="E663" s="552"/>
      <c r="F663" s="555"/>
      <c r="G663" s="552"/>
      <c r="H663" s="552"/>
      <c r="I663" s="552"/>
      <c r="J663" s="552"/>
      <c r="K663" s="552"/>
      <c r="L663" s="552"/>
      <c r="M663" s="552"/>
      <c r="N663" s="552"/>
      <c r="O663" s="552"/>
      <c r="P663" s="552"/>
      <c r="Q663" s="552"/>
      <c r="R663" s="552"/>
      <c r="S663" s="552"/>
      <c r="T663" s="552"/>
      <c r="U663" s="552"/>
      <c r="V663" s="552"/>
      <c r="W663" s="552"/>
      <c r="X663" s="552"/>
      <c r="Y663" s="552"/>
      <c r="Z663" s="552"/>
    </row>
    <row r="664" spans="1:26" ht="12.75" customHeight="1">
      <c r="A664" s="553"/>
      <c r="B664" s="552"/>
      <c r="C664" s="554"/>
      <c r="D664" s="552"/>
      <c r="E664" s="552"/>
      <c r="F664" s="555"/>
      <c r="G664" s="552"/>
      <c r="H664" s="552"/>
      <c r="I664" s="552"/>
      <c r="J664" s="552"/>
      <c r="K664" s="552"/>
      <c r="L664" s="552"/>
      <c r="M664" s="552"/>
      <c r="N664" s="552"/>
      <c r="O664" s="552"/>
      <c r="P664" s="552"/>
      <c r="Q664" s="552"/>
      <c r="R664" s="552"/>
      <c r="S664" s="552"/>
      <c r="T664" s="552"/>
      <c r="U664" s="552"/>
      <c r="V664" s="552"/>
      <c r="W664" s="552"/>
      <c r="X664" s="552"/>
      <c r="Y664" s="552"/>
      <c r="Z664" s="552"/>
    </row>
    <row r="665" spans="1:26" ht="12.75" customHeight="1">
      <c r="A665" s="553"/>
      <c r="B665" s="552"/>
      <c r="C665" s="554"/>
      <c r="D665" s="552"/>
      <c r="E665" s="552"/>
      <c r="F665" s="555"/>
      <c r="G665" s="552"/>
      <c r="H665" s="552"/>
      <c r="I665" s="552"/>
      <c r="J665" s="552"/>
      <c r="K665" s="552"/>
      <c r="L665" s="552"/>
      <c r="M665" s="552"/>
      <c r="N665" s="552"/>
      <c r="O665" s="552"/>
      <c r="P665" s="552"/>
      <c r="Q665" s="552"/>
      <c r="R665" s="552"/>
      <c r="S665" s="552"/>
      <c r="T665" s="552"/>
      <c r="U665" s="552"/>
      <c r="V665" s="552"/>
      <c r="W665" s="552"/>
      <c r="X665" s="552"/>
      <c r="Y665" s="552"/>
      <c r="Z665" s="552"/>
    </row>
    <row r="666" spans="1:26" ht="12.75" customHeight="1">
      <c r="A666" s="553"/>
      <c r="B666" s="552"/>
      <c r="C666" s="554"/>
      <c r="D666" s="552"/>
      <c r="E666" s="552"/>
      <c r="F666" s="555"/>
      <c r="G666" s="552"/>
      <c r="H666" s="552"/>
      <c r="I666" s="552"/>
      <c r="J666" s="552"/>
      <c r="K666" s="552"/>
      <c r="L666" s="552"/>
      <c r="M666" s="552"/>
      <c r="N666" s="552"/>
      <c r="O666" s="552"/>
      <c r="P666" s="552"/>
      <c r="Q666" s="552"/>
      <c r="R666" s="552"/>
      <c r="S666" s="552"/>
      <c r="T666" s="552"/>
      <c r="U666" s="552"/>
      <c r="V666" s="552"/>
      <c r="W666" s="552"/>
      <c r="X666" s="552"/>
      <c r="Y666" s="552"/>
      <c r="Z666" s="552"/>
    </row>
    <row r="667" spans="1:26" ht="12.75" customHeight="1">
      <c r="A667" s="553"/>
      <c r="B667" s="552"/>
      <c r="C667" s="554"/>
      <c r="D667" s="552"/>
      <c r="E667" s="552"/>
      <c r="F667" s="555"/>
      <c r="G667" s="552"/>
      <c r="H667" s="552"/>
      <c r="I667" s="552"/>
      <c r="J667" s="552"/>
      <c r="K667" s="552"/>
      <c r="L667" s="552"/>
      <c r="M667" s="552"/>
      <c r="N667" s="552"/>
      <c r="O667" s="552"/>
      <c r="P667" s="552"/>
      <c r="Q667" s="552"/>
      <c r="R667" s="552"/>
      <c r="S667" s="552"/>
      <c r="T667" s="552"/>
      <c r="U667" s="552"/>
      <c r="V667" s="552"/>
      <c r="W667" s="552"/>
      <c r="X667" s="552"/>
      <c r="Y667" s="552"/>
      <c r="Z667" s="552"/>
    </row>
    <row r="668" spans="1:26" ht="12.75" customHeight="1">
      <c r="A668" s="553"/>
      <c r="B668" s="552"/>
      <c r="C668" s="554"/>
      <c r="D668" s="552"/>
      <c r="E668" s="552"/>
      <c r="F668" s="555"/>
      <c r="G668" s="552"/>
      <c r="H668" s="552"/>
      <c r="I668" s="552"/>
      <c r="J668" s="552"/>
      <c r="K668" s="552"/>
      <c r="L668" s="552"/>
      <c r="M668" s="552"/>
      <c r="N668" s="552"/>
      <c r="O668" s="552"/>
      <c r="P668" s="552"/>
      <c r="Q668" s="552"/>
      <c r="R668" s="552"/>
      <c r="S668" s="552"/>
      <c r="T668" s="552"/>
      <c r="U668" s="552"/>
      <c r="V668" s="552"/>
      <c r="W668" s="552"/>
      <c r="X668" s="552"/>
      <c r="Y668" s="552"/>
      <c r="Z668" s="552"/>
    </row>
    <row r="669" spans="1:26" ht="12.75" customHeight="1">
      <c r="A669" s="553"/>
      <c r="B669" s="552"/>
      <c r="C669" s="554"/>
      <c r="D669" s="552"/>
      <c r="E669" s="552"/>
      <c r="F669" s="555"/>
      <c r="G669" s="552"/>
      <c r="H669" s="552"/>
      <c r="I669" s="552"/>
      <c r="J669" s="552"/>
      <c r="K669" s="552"/>
      <c r="L669" s="552"/>
      <c r="M669" s="552"/>
      <c r="N669" s="552"/>
      <c r="O669" s="552"/>
      <c r="P669" s="552"/>
      <c r="Q669" s="552"/>
      <c r="R669" s="552"/>
      <c r="S669" s="552"/>
      <c r="T669" s="552"/>
      <c r="U669" s="552"/>
      <c r="V669" s="552"/>
      <c r="W669" s="552"/>
      <c r="X669" s="552"/>
      <c r="Y669" s="552"/>
      <c r="Z669" s="552"/>
    </row>
    <row r="670" spans="1:26" ht="12.75" customHeight="1">
      <c r="A670" s="553"/>
      <c r="B670" s="552"/>
      <c r="C670" s="554"/>
      <c r="D670" s="552"/>
      <c r="E670" s="552"/>
      <c r="F670" s="555"/>
      <c r="G670" s="552"/>
      <c r="H670" s="552"/>
      <c r="I670" s="552"/>
      <c r="J670" s="552"/>
      <c r="K670" s="552"/>
      <c r="L670" s="552"/>
      <c r="M670" s="552"/>
      <c r="N670" s="552"/>
      <c r="O670" s="552"/>
      <c r="P670" s="552"/>
      <c r="Q670" s="552"/>
      <c r="R670" s="552"/>
      <c r="S670" s="552"/>
      <c r="T670" s="552"/>
      <c r="U670" s="552"/>
      <c r="V670" s="552"/>
      <c r="W670" s="552"/>
      <c r="X670" s="552"/>
      <c r="Y670" s="552"/>
      <c r="Z670" s="552"/>
    </row>
    <row r="671" spans="1:26" ht="12.75" customHeight="1">
      <c r="A671" s="553"/>
      <c r="B671" s="552"/>
      <c r="C671" s="554"/>
      <c r="D671" s="552"/>
      <c r="E671" s="552"/>
      <c r="F671" s="555"/>
      <c r="G671" s="552"/>
      <c r="H671" s="552"/>
      <c r="I671" s="552"/>
      <c r="J671" s="552"/>
      <c r="K671" s="552"/>
      <c r="L671" s="552"/>
      <c r="M671" s="552"/>
      <c r="N671" s="552"/>
      <c r="O671" s="552"/>
      <c r="P671" s="552"/>
      <c r="Q671" s="552"/>
      <c r="R671" s="552"/>
      <c r="S671" s="552"/>
      <c r="T671" s="552"/>
      <c r="U671" s="552"/>
      <c r="V671" s="552"/>
      <c r="W671" s="552"/>
      <c r="X671" s="552"/>
      <c r="Y671" s="552"/>
      <c r="Z671" s="552"/>
    </row>
    <row r="672" spans="1:26" ht="12.75" customHeight="1">
      <c r="A672" s="553"/>
      <c r="B672" s="552"/>
      <c r="C672" s="554"/>
      <c r="D672" s="552"/>
      <c r="E672" s="552"/>
      <c r="F672" s="555"/>
      <c r="G672" s="552"/>
      <c r="H672" s="552"/>
      <c r="I672" s="552"/>
      <c r="J672" s="552"/>
      <c r="K672" s="552"/>
      <c r="L672" s="552"/>
      <c r="M672" s="552"/>
      <c r="N672" s="552"/>
      <c r="O672" s="552"/>
      <c r="P672" s="552"/>
      <c r="Q672" s="552"/>
      <c r="R672" s="552"/>
      <c r="S672" s="552"/>
      <c r="T672" s="552"/>
      <c r="U672" s="552"/>
      <c r="V672" s="552"/>
      <c r="W672" s="552"/>
      <c r="X672" s="552"/>
      <c r="Y672" s="552"/>
      <c r="Z672" s="552"/>
    </row>
    <row r="673" spans="1:26" ht="12.75" customHeight="1">
      <c r="A673" s="553"/>
      <c r="B673" s="552"/>
      <c r="C673" s="554"/>
      <c r="D673" s="552"/>
      <c r="E673" s="552"/>
      <c r="F673" s="555"/>
      <c r="G673" s="552"/>
      <c r="H673" s="552"/>
      <c r="I673" s="552"/>
      <c r="J673" s="552"/>
      <c r="K673" s="552"/>
      <c r="L673" s="552"/>
      <c r="M673" s="552"/>
      <c r="N673" s="552"/>
      <c r="O673" s="552"/>
      <c r="P673" s="552"/>
      <c r="Q673" s="552"/>
      <c r="R673" s="552"/>
      <c r="S673" s="552"/>
      <c r="T673" s="552"/>
      <c r="U673" s="552"/>
      <c r="V673" s="552"/>
      <c r="W673" s="552"/>
      <c r="X673" s="552"/>
      <c r="Y673" s="552"/>
      <c r="Z673" s="552"/>
    </row>
    <row r="674" spans="1:26" ht="12.75" customHeight="1">
      <c r="A674" s="553"/>
      <c r="B674" s="552"/>
      <c r="C674" s="554"/>
      <c r="D674" s="552"/>
      <c r="E674" s="552"/>
      <c r="F674" s="555"/>
      <c r="G674" s="552"/>
      <c r="H674" s="552"/>
      <c r="I674" s="552"/>
      <c r="J674" s="552"/>
      <c r="K674" s="552"/>
      <c r="L674" s="552"/>
      <c r="M674" s="552"/>
      <c r="N674" s="552"/>
      <c r="O674" s="552"/>
      <c r="P674" s="552"/>
      <c r="Q674" s="552"/>
      <c r="R674" s="552"/>
      <c r="S674" s="552"/>
      <c r="T674" s="552"/>
      <c r="U674" s="552"/>
      <c r="V674" s="552"/>
      <c r="W674" s="552"/>
      <c r="X674" s="552"/>
      <c r="Y674" s="552"/>
      <c r="Z674" s="552"/>
    </row>
    <row r="675" spans="1:26" ht="12.75" customHeight="1">
      <c r="A675" s="553"/>
      <c r="B675" s="552"/>
      <c r="C675" s="554"/>
      <c r="D675" s="552"/>
      <c r="E675" s="552"/>
      <c r="F675" s="555"/>
      <c r="G675" s="552"/>
      <c r="H675" s="552"/>
      <c r="I675" s="552"/>
      <c r="J675" s="552"/>
      <c r="K675" s="552"/>
      <c r="L675" s="552"/>
      <c r="M675" s="552"/>
      <c r="N675" s="552"/>
      <c r="O675" s="552"/>
      <c r="P675" s="552"/>
      <c r="Q675" s="552"/>
      <c r="R675" s="552"/>
      <c r="S675" s="552"/>
      <c r="T675" s="552"/>
      <c r="U675" s="552"/>
      <c r="V675" s="552"/>
      <c r="W675" s="552"/>
      <c r="X675" s="552"/>
      <c r="Y675" s="552"/>
      <c r="Z675" s="552"/>
    </row>
    <row r="676" spans="1:26" ht="12.75" customHeight="1">
      <c r="A676" s="553"/>
      <c r="B676" s="552"/>
      <c r="C676" s="554"/>
      <c r="D676" s="552"/>
      <c r="E676" s="552"/>
      <c r="F676" s="555"/>
      <c r="G676" s="552"/>
      <c r="H676" s="552"/>
      <c r="I676" s="552"/>
      <c r="J676" s="552"/>
      <c r="K676" s="552"/>
      <c r="L676" s="552"/>
      <c r="M676" s="552"/>
      <c r="N676" s="552"/>
      <c r="O676" s="552"/>
      <c r="P676" s="552"/>
      <c r="Q676" s="552"/>
      <c r="R676" s="552"/>
      <c r="S676" s="552"/>
      <c r="T676" s="552"/>
      <c r="U676" s="552"/>
      <c r="V676" s="552"/>
      <c r="W676" s="552"/>
      <c r="X676" s="552"/>
      <c r="Y676" s="552"/>
      <c r="Z676" s="552"/>
    </row>
    <row r="677" spans="1:26" ht="12.75" customHeight="1">
      <c r="A677" s="553"/>
      <c r="B677" s="552"/>
      <c r="C677" s="554"/>
      <c r="D677" s="552"/>
      <c r="E677" s="552"/>
      <c r="F677" s="555"/>
      <c r="G677" s="552"/>
      <c r="H677" s="552"/>
      <c r="I677" s="552"/>
      <c r="J677" s="552"/>
      <c r="K677" s="552"/>
      <c r="L677" s="552"/>
      <c r="M677" s="552"/>
      <c r="N677" s="552"/>
      <c r="O677" s="552"/>
      <c r="P677" s="552"/>
      <c r="Q677" s="552"/>
      <c r="R677" s="552"/>
      <c r="S677" s="552"/>
      <c r="T677" s="552"/>
      <c r="U677" s="552"/>
      <c r="V677" s="552"/>
      <c r="W677" s="552"/>
      <c r="X677" s="552"/>
      <c r="Y677" s="552"/>
      <c r="Z677" s="552"/>
    </row>
    <row r="678" spans="1:26" ht="12.75" customHeight="1">
      <c r="A678" s="553"/>
      <c r="B678" s="552"/>
      <c r="C678" s="554"/>
      <c r="D678" s="552"/>
      <c r="E678" s="552"/>
      <c r="F678" s="555"/>
      <c r="G678" s="552"/>
      <c r="H678" s="552"/>
      <c r="I678" s="552"/>
      <c r="J678" s="552"/>
      <c r="K678" s="552"/>
      <c r="L678" s="552"/>
      <c r="M678" s="552"/>
      <c r="N678" s="552"/>
      <c r="O678" s="552"/>
      <c r="P678" s="552"/>
      <c r="Q678" s="552"/>
      <c r="R678" s="552"/>
      <c r="S678" s="552"/>
      <c r="T678" s="552"/>
      <c r="U678" s="552"/>
      <c r="V678" s="552"/>
      <c r="W678" s="552"/>
      <c r="X678" s="552"/>
      <c r="Y678" s="552"/>
      <c r="Z678" s="552"/>
    </row>
    <row r="679" spans="1:26" ht="12.75" customHeight="1">
      <c r="A679" s="553"/>
      <c r="B679" s="552"/>
      <c r="C679" s="554"/>
      <c r="D679" s="552"/>
      <c r="E679" s="552"/>
      <c r="F679" s="555"/>
      <c r="G679" s="552"/>
      <c r="H679" s="552"/>
      <c r="I679" s="552"/>
      <c r="J679" s="552"/>
      <c r="K679" s="552"/>
      <c r="L679" s="552"/>
      <c r="M679" s="552"/>
      <c r="N679" s="552"/>
      <c r="O679" s="552"/>
      <c r="P679" s="552"/>
      <c r="Q679" s="552"/>
      <c r="R679" s="552"/>
      <c r="S679" s="552"/>
      <c r="T679" s="552"/>
      <c r="U679" s="552"/>
      <c r="V679" s="552"/>
      <c r="W679" s="552"/>
      <c r="X679" s="552"/>
      <c r="Y679" s="552"/>
      <c r="Z679" s="552"/>
    </row>
    <row r="680" spans="1:26" ht="12.75" customHeight="1">
      <c r="A680" s="553"/>
      <c r="B680" s="552"/>
      <c r="C680" s="554"/>
      <c r="D680" s="552"/>
      <c r="E680" s="552"/>
      <c r="F680" s="555"/>
      <c r="G680" s="552"/>
      <c r="H680" s="552"/>
      <c r="I680" s="552"/>
      <c r="J680" s="552"/>
      <c r="K680" s="552"/>
      <c r="L680" s="552"/>
      <c r="M680" s="552"/>
      <c r="N680" s="552"/>
      <c r="O680" s="552"/>
      <c r="P680" s="552"/>
      <c r="Q680" s="552"/>
      <c r="R680" s="552"/>
      <c r="S680" s="552"/>
      <c r="T680" s="552"/>
      <c r="U680" s="552"/>
      <c r="V680" s="552"/>
      <c r="W680" s="552"/>
      <c r="X680" s="552"/>
      <c r="Y680" s="552"/>
      <c r="Z680" s="552"/>
    </row>
    <row r="681" spans="1:26" ht="12.75" customHeight="1">
      <c r="A681" s="553"/>
      <c r="B681" s="552"/>
      <c r="C681" s="554"/>
      <c r="D681" s="552"/>
      <c r="E681" s="552"/>
      <c r="F681" s="555"/>
      <c r="G681" s="552"/>
      <c r="H681" s="552"/>
      <c r="I681" s="552"/>
      <c r="J681" s="552"/>
      <c r="K681" s="552"/>
      <c r="L681" s="552"/>
      <c r="M681" s="552"/>
      <c r="N681" s="552"/>
      <c r="O681" s="552"/>
      <c r="P681" s="552"/>
      <c r="Q681" s="552"/>
      <c r="R681" s="552"/>
      <c r="S681" s="552"/>
      <c r="T681" s="552"/>
      <c r="U681" s="552"/>
      <c r="V681" s="552"/>
      <c r="W681" s="552"/>
      <c r="X681" s="552"/>
      <c r="Y681" s="552"/>
      <c r="Z681" s="552"/>
    </row>
    <row r="682" spans="1:26" ht="12.75" customHeight="1">
      <c r="A682" s="553"/>
      <c r="B682" s="552"/>
      <c r="C682" s="554"/>
      <c r="D682" s="552"/>
      <c r="E682" s="552"/>
      <c r="F682" s="555"/>
      <c r="G682" s="552"/>
      <c r="H682" s="552"/>
      <c r="I682" s="552"/>
      <c r="J682" s="552"/>
      <c r="K682" s="552"/>
      <c r="L682" s="552"/>
      <c r="M682" s="552"/>
      <c r="N682" s="552"/>
      <c r="O682" s="552"/>
      <c r="P682" s="552"/>
      <c r="Q682" s="552"/>
      <c r="R682" s="552"/>
      <c r="S682" s="552"/>
      <c r="T682" s="552"/>
      <c r="U682" s="552"/>
      <c r="V682" s="552"/>
      <c r="W682" s="552"/>
      <c r="X682" s="552"/>
      <c r="Y682" s="552"/>
      <c r="Z682" s="552"/>
    </row>
    <row r="683" spans="1:26" ht="12.75" customHeight="1">
      <c r="A683" s="553"/>
      <c r="B683" s="552"/>
      <c r="C683" s="554"/>
      <c r="D683" s="552"/>
      <c r="E683" s="552"/>
      <c r="F683" s="555"/>
      <c r="G683" s="552"/>
      <c r="H683" s="552"/>
      <c r="I683" s="552"/>
      <c r="J683" s="552"/>
      <c r="K683" s="552"/>
      <c r="L683" s="552"/>
      <c r="M683" s="552"/>
      <c r="N683" s="552"/>
      <c r="O683" s="552"/>
      <c r="P683" s="552"/>
      <c r="Q683" s="552"/>
      <c r="R683" s="552"/>
      <c r="S683" s="552"/>
      <c r="T683" s="552"/>
      <c r="U683" s="552"/>
      <c r="V683" s="552"/>
      <c r="W683" s="552"/>
      <c r="X683" s="552"/>
      <c r="Y683" s="552"/>
      <c r="Z683" s="552"/>
    </row>
    <row r="684" spans="1:26" ht="12.75" customHeight="1">
      <c r="A684" s="553"/>
      <c r="B684" s="552"/>
      <c r="C684" s="554"/>
      <c r="D684" s="552"/>
      <c r="E684" s="552"/>
      <c r="F684" s="555"/>
      <c r="G684" s="552"/>
      <c r="H684" s="552"/>
      <c r="I684" s="552"/>
      <c r="J684" s="552"/>
      <c r="K684" s="552"/>
      <c r="L684" s="552"/>
      <c r="M684" s="552"/>
      <c r="N684" s="552"/>
      <c r="O684" s="552"/>
      <c r="P684" s="552"/>
      <c r="Q684" s="552"/>
      <c r="R684" s="552"/>
      <c r="S684" s="552"/>
      <c r="T684" s="552"/>
      <c r="U684" s="552"/>
      <c r="V684" s="552"/>
      <c r="W684" s="552"/>
      <c r="X684" s="552"/>
      <c r="Y684" s="552"/>
      <c r="Z684" s="552"/>
    </row>
    <row r="685" spans="1:26" ht="12.75" customHeight="1">
      <c r="A685" s="553"/>
      <c r="B685" s="552"/>
      <c r="C685" s="554"/>
      <c r="D685" s="552"/>
      <c r="E685" s="552"/>
      <c r="F685" s="555"/>
      <c r="G685" s="552"/>
      <c r="H685" s="552"/>
      <c r="I685" s="552"/>
      <c r="J685" s="552"/>
      <c r="K685" s="552"/>
      <c r="L685" s="552"/>
      <c r="M685" s="552"/>
      <c r="N685" s="552"/>
      <c r="O685" s="552"/>
      <c r="P685" s="552"/>
      <c r="Q685" s="552"/>
      <c r="R685" s="552"/>
      <c r="S685" s="552"/>
      <c r="T685" s="552"/>
      <c r="U685" s="552"/>
      <c r="V685" s="552"/>
      <c r="W685" s="552"/>
      <c r="X685" s="552"/>
      <c r="Y685" s="552"/>
      <c r="Z685" s="552"/>
    </row>
    <row r="686" spans="1:26" ht="12.75" customHeight="1">
      <c r="A686" s="553"/>
      <c r="B686" s="552"/>
      <c r="C686" s="554"/>
      <c r="D686" s="552"/>
      <c r="E686" s="552"/>
      <c r="F686" s="555"/>
      <c r="G686" s="552"/>
      <c r="H686" s="552"/>
      <c r="I686" s="552"/>
      <c r="J686" s="552"/>
      <c r="K686" s="552"/>
      <c r="L686" s="552"/>
      <c r="M686" s="552"/>
      <c r="N686" s="552"/>
      <c r="O686" s="552"/>
      <c r="P686" s="552"/>
      <c r="Q686" s="552"/>
      <c r="R686" s="552"/>
      <c r="S686" s="552"/>
      <c r="T686" s="552"/>
      <c r="U686" s="552"/>
      <c r="V686" s="552"/>
      <c r="W686" s="552"/>
      <c r="X686" s="552"/>
      <c r="Y686" s="552"/>
      <c r="Z686" s="552"/>
    </row>
    <row r="687" spans="1:26" ht="12.75" customHeight="1">
      <c r="A687" s="553"/>
      <c r="B687" s="552"/>
      <c r="C687" s="554"/>
      <c r="D687" s="552"/>
      <c r="E687" s="552"/>
      <c r="F687" s="555"/>
      <c r="G687" s="552"/>
      <c r="H687" s="552"/>
      <c r="I687" s="552"/>
      <c r="J687" s="552"/>
      <c r="K687" s="552"/>
      <c r="L687" s="552"/>
      <c r="M687" s="552"/>
      <c r="N687" s="552"/>
      <c r="O687" s="552"/>
      <c r="P687" s="552"/>
      <c r="Q687" s="552"/>
      <c r="R687" s="552"/>
      <c r="S687" s="552"/>
      <c r="T687" s="552"/>
      <c r="U687" s="552"/>
      <c r="V687" s="552"/>
      <c r="W687" s="552"/>
      <c r="X687" s="552"/>
      <c r="Y687" s="552"/>
      <c r="Z687" s="552"/>
    </row>
    <row r="688" spans="1:26" ht="12.75" customHeight="1">
      <c r="A688" s="553"/>
      <c r="B688" s="552"/>
      <c r="C688" s="554"/>
      <c r="D688" s="552"/>
      <c r="E688" s="552"/>
      <c r="F688" s="555"/>
      <c r="G688" s="552"/>
      <c r="H688" s="552"/>
      <c r="I688" s="552"/>
      <c r="J688" s="552"/>
      <c r="K688" s="552"/>
      <c r="L688" s="552"/>
      <c r="M688" s="552"/>
      <c r="N688" s="552"/>
      <c r="O688" s="552"/>
      <c r="P688" s="552"/>
      <c r="Q688" s="552"/>
      <c r="R688" s="552"/>
      <c r="S688" s="552"/>
      <c r="T688" s="552"/>
      <c r="U688" s="552"/>
      <c r="V688" s="552"/>
      <c r="W688" s="552"/>
      <c r="X688" s="552"/>
      <c r="Y688" s="552"/>
      <c r="Z688" s="552"/>
    </row>
    <row r="689" spans="1:26" ht="12.75" customHeight="1">
      <c r="A689" s="553"/>
      <c r="B689" s="552"/>
      <c r="C689" s="554"/>
      <c r="D689" s="552"/>
      <c r="E689" s="552"/>
      <c r="F689" s="555"/>
      <c r="G689" s="552"/>
      <c r="H689" s="552"/>
      <c r="I689" s="552"/>
      <c r="J689" s="552"/>
      <c r="K689" s="552"/>
      <c r="L689" s="552"/>
      <c r="M689" s="552"/>
      <c r="N689" s="552"/>
      <c r="O689" s="552"/>
      <c r="P689" s="552"/>
      <c r="Q689" s="552"/>
      <c r="R689" s="552"/>
      <c r="S689" s="552"/>
      <c r="T689" s="552"/>
      <c r="U689" s="552"/>
      <c r="V689" s="552"/>
      <c r="W689" s="552"/>
      <c r="X689" s="552"/>
      <c r="Y689" s="552"/>
      <c r="Z689" s="552"/>
    </row>
    <row r="690" spans="1:26" ht="12.75" customHeight="1">
      <c r="A690" s="553"/>
      <c r="B690" s="552"/>
      <c r="C690" s="554"/>
      <c r="D690" s="552"/>
      <c r="E690" s="552"/>
      <c r="F690" s="555"/>
      <c r="G690" s="552"/>
      <c r="H690" s="552"/>
      <c r="I690" s="552"/>
      <c r="J690" s="552"/>
      <c r="K690" s="552"/>
      <c r="L690" s="552"/>
      <c r="M690" s="552"/>
      <c r="N690" s="552"/>
      <c r="O690" s="552"/>
      <c r="P690" s="552"/>
      <c r="Q690" s="552"/>
      <c r="R690" s="552"/>
      <c r="S690" s="552"/>
      <c r="T690" s="552"/>
      <c r="U690" s="552"/>
      <c r="V690" s="552"/>
      <c r="W690" s="552"/>
      <c r="X690" s="552"/>
      <c r="Y690" s="552"/>
      <c r="Z690" s="552"/>
    </row>
    <row r="691" spans="1:26" ht="12.75" customHeight="1">
      <c r="A691" s="553"/>
      <c r="B691" s="552"/>
      <c r="C691" s="554"/>
      <c r="D691" s="552"/>
      <c r="E691" s="552"/>
      <c r="F691" s="555"/>
      <c r="G691" s="552"/>
      <c r="H691" s="552"/>
      <c r="I691" s="552"/>
      <c r="J691" s="552"/>
      <c r="K691" s="552"/>
      <c r="L691" s="552"/>
      <c r="M691" s="552"/>
      <c r="N691" s="552"/>
      <c r="O691" s="552"/>
      <c r="P691" s="552"/>
      <c r="Q691" s="552"/>
      <c r="R691" s="552"/>
      <c r="S691" s="552"/>
      <c r="T691" s="552"/>
      <c r="U691" s="552"/>
      <c r="V691" s="552"/>
      <c r="W691" s="552"/>
      <c r="X691" s="552"/>
      <c r="Y691" s="552"/>
      <c r="Z691" s="552"/>
    </row>
    <row r="692" spans="1:26" ht="12.75" customHeight="1">
      <c r="A692" s="553"/>
      <c r="B692" s="552"/>
      <c r="C692" s="554"/>
      <c r="D692" s="552"/>
      <c r="E692" s="552"/>
      <c r="F692" s="555"/>
      <c r="G692" s="552"/>
      <c r="H692" s="552"/>
      <c r="I692" s="552"/>
      <c r="J692" s="552"/>
      <c r="K692" s="552"/>
      <c r="L692" s="552"/>
      <c r="M692" s="552"/>
      <c r="N692" s="552"/>
      <c r="O692" s="552"/>
      <c r="P692" s="552"/>
      <c r="Q692" s="552"/>
      <c r="R692" s="552"/>
      <c r="S692" s="552"/>
      <c r="T692" s="552"/>
      <c r="U692" s="552"/>
      <c r="V692" s="552"/>
      <c r="W692" s="552"/>
      <c r="X692" s="552"/>
      <c r="Y692" s="552"/>
      <c r="Z692" s="552"/>
    </row>
    <row r="693" spans="1:26" ht="12.75" customHeight="1">
      <c r="A693" s="553"/>
      <c r="B693" s="552"/>
      <c r="C693" s="554"/>
      <c r="D693" s="552"/>
      <c r="E693" s="552"/>
      <c r="F693" s="555"/>
      <c r="G693" s="552"/>
      <c r="H693" s="552"/>
      <c r="I693" s="552"/>
      <c r="J693" s="552"/>
      <c r="K693" s="552"/>
      <c r="L693" s="552"/>
      <c r="M693" s="552"/>
      <c r="N693" s="552"/>
      <c r="O693" s="552"/>
      <c r="P693" s="552"/>
      <c r="Q693" s="552"/>
      <c r="R693" s="552"/>
      <c r="S693" s="552"/>
      <c r="T693" s="552"/>
      <c r="U693" s="552"/>
      <c r="V693" s="552"/>
      <c r="W693" s="552"/>
      <c r="X693" s="552"/>
      <c r="Y693" s="552"/>
      <c r="Z693" s="552"/>
    </row>
    <row r="694" spans="1:26" ht="12.75" customHeight="1">
      <c r="A694" s="553"/>
      <c r="B694" s="552"/>
      <c r="C694" s="554"/>
      <c r="D694" s="552"/>
      <c r="E694" s="552"/>
      <c r="F694" s="555"/>
      <c r="G694" s="552"/>
      <c r="H694" s="552"/>
      <c r="I694" s="552"/>
      <c r="J694" s="552"/>
      <c r="K694" s="552"/>
      <c r="L694" s="552"/>
      <c r="M694" s="552"/>
      <c r="N694" s="552"/>
      <c r="O694" s="552"/>
      <c r="P694" s="552"/>
      <c r="Q694" s="552"/>
      <c r="R694" s="552"/>
      <c r="S694" s="552"/>
      <c r="T694" s="552"/>
      <c r="U694" s="552"/>
      <c r="V694" s="552"/>
      <c r="W694" s="552"/>
      <c r="X694" s="552"/>
      <c r="Y694" s="552"/>
      <c r="Z694" s="552"/>
    </row>
    <row r="695" spans="1:26" ht="12.75" customHeight="1">
      <c r="A695" s="553"/>
      <c r="B695" s="552"/>
      <c r="C695" s="554"/>
      <c r="D695" s="552"/>
      <c r="E695" s="552"/>
      <c r="F695" s="555"/>
      <c r="G695" s="552"/>
      <c r="H695" s="552"/>
      <c r="I695" s="552"/>
      <c r="J695" s="552"/>
      <c r="K695" s="552"/>
      <c r="L695" s="552"/>
      <c r="M695" s="552"/>
      <c r="N695" s="552"/>
      <c r="O695" s="552"/>
      <c r="P695" s="552"/>
      <c r="Q695" s="552"/>
      <c r="R695" s="552"/>
      <c r="S695" s="552"/>
      <c r="T695" s="552"/>
      <c r="U695" s="552"/>
      <c r="V695" s="552"/>
      <c r="W695" s="552"/>
      <c r="X695" s="552"/>
      <c r="Y695" s="552"/>
      <c r="Z695" s="552"/>
    </row>
    <row r="696" spans="1:26" ht="12.75" customHeight="1">
      <c r="A696" s="553"/>
      <c r="B696" s="552"/>
      <c r="C696" s="554"/>
      <c r="D696" s="552"/>
      <c r="E696" s="552"/>
      <c r="F696" s="555"/>
      <c r="G696" s="552"/>
      <c r="H696" s="552"/>
      <c r="I696" s="552"/>
      <c r="J696" s="552"/>
      <c r="K696" s="552"/>
      <c r="L696" s="552"/>
      <c r="M696" s="552"/>
      <c r="N696" s="552"/>
      <c r="O696" s="552"/>
      <c r="P696" s="552"/>
      <c r="Q696" s="552"/>
      <c r="R696" s="552"/>
      <c r="S696" s="552"/>
      <c r="T696" s="552"/>
      <c r="U696" s="552"/>
      <c r="V696" s="552"/>
      <c r="W696" s="552"/>
      <c r="X696" s="552"/>
      <c r="Y696" s="552"/>
      <c r="Z696" s="552"/>
    </row>
    <row r="697" spans="1:26" ht="12.75" customHeight="1">
      <c r="A697" s="553"/>
      <c r="B697" s="552"/>
      <c r="C697" s="554"/>
      <c r="D697" s="552"/>
      <c r="E697" s="552"/>
      <c r="F697" s="555"/>
      <c r="G697" s="552"/>
      <c r="H697" s="552"/>
      <c r="I697" s="552"/>
      <c r="J697" s="552"/>
      <c r="K697" s="552"/>
      <c r="L697" s="552"/>
      <c r="M697" s="552"/>
      <c r="N697" s="552"/>
      <c r="O697" s="552"/>
      <c r="P697" s="552"/>
      <c r="Q697" s="552"/>
      <c r="R697" s="552"/>
      <c r="S697" s="552"/>
      <c r="T697" s="552"/>
      <c r="U697" s="552"/>
      <c r="V697" s="552"/>
      <c r="W697" s="552"/>
      <c r="X697" s="552"/>
      <c r="Y697" s="552"/>
      <c r="Z697" s="552"/>
    </row>
    <row r="698" spans="1:26" ht="12.75" customHeight="1">
      <c r="A698" s="553"/>
      <c r="B698" s="552"/>
      <c r="C698" s="554"/>
      <c r="D698" s="552"/>
      <c r="E698" s="552"/>
      <c r="F698" s="555"/>
      <c r="G698" s="552"/>
      <c r="H698" s="552"/>
      <c r="I698" s="552"/>
      <c r="J698" s="552"/>
      <c r="K698" s="552"/>
      <c r="L698" s="552"/>
      <c r="M698" s="552"/>
      <c r="N698" s="552"/>
      <c r="O698" s="552"/>
      <c r="P698" s="552"/>
      <c r="Q698" s="552"/>
      <c r="R698" s="552"/>
      <c r="S698" s="552"/>
      <c r="T698" s="552"/>
      <c r="U698" s="552"/>
      <c r="V698" s="552"/>
      <c r="W698" s="552"/>
      <c r="X698" s="552"/>
      <c r="Y698" s="552"/>
      <c r="Z698" s="552"/>
    </row>
    <row r="699" spans="1:26" ht="12.75" customHeight="1">
      <c r="A699" s="553"/>
      <c r="B699" s="552"/>
      <c r="C699" s="554"/>
      <c r="D699" s="552"/>
      <c r="E699" s="552"/>
      <c r="F699" s="555"/>
      <c r="G699" s="552"/>
      <c r="H699" s="552"/>
      <c r="I699" s="552"/>
      <c r="J699" s="552"/>
      <c r="K699" s="552"/>
      <c r="L699" s="552"/>
      <c r="M699" s="552"/>
      <c r="N699" s="552"/>
      <c r="O699" s="552"/>
      <c r="P699" s="552"/>
      <c r="Q699" s="552"/>
      <c r="R699" s="552"/>
      <c r="S699" s="552"/>
      <c r="T699" s="552"/>
      <c r="U699" s="552"/>
      <c r="V699" s="552"/>
      <c r="W699" s="552"/>
      <c r="X699" s="552"/>
      <c r="Y699" s="552"/>
      <c r="Z699" s="552"/>
    </row>
    <row r="700" spans="1:26" ht="12.75" customHeight="1">
      <c r="A700" s="553"/>
      <c r="B700" s="552"/>
      <c r="C700" s="554"/>
      <c r="D700" s="552"/>
      <c r="E700" s="552"/>
      <c r="F700" s="555"/>
      <c r="G700" s="552"/>
      <c r="H700" s="552"/>
      <c r="I700" s="552"/>
      <c r="J700" s="552"/>
      <c r="K700" s="552"/>
      <c r="L700" s="552"/>
      <c r="M700" s="552"/>
      <c r="N700" s="552"/>
      <c r="O700" s="552"/>
      <c r="P700" s="552"/>
      <c r="Q700" s="552"/>
      <c r="R700" s="552"/>
      <c r="S700" s="552"/>
      <c r="T700" s="552"/>
      <c r="U700" s="552"/>
      <c r="V700" s="552"/>
      <c r="W700" s="552"/>
      <c r="X700" s="552"/>
      <c r="Y700" s="552"/>
      <c r="Z700" s="552"/>
    </row>
    <row r="701" spans="1:26" ht="12.75" customHeight="1">
      <c r="A701" s="553"/>
      <c r="B701" s="552"/>
      <c r="C701" s="554"/>
      <c r="D701" s="552"/>
      <c r="E701" s="552"/>
      <c r="F701" s="555"/>
      <c r="G701" s="552"/>
      <c r="H701" s="552"/>
      <c r="I701" s="552"/>
      <c r="J701" s="552"/>
      <c r="K701" s="552"/>
      <c r="L701" s="552"/>
      <c r="M701" s="552"/>
      <c r="N701" s="552"/>
      <c r="O701" s="552"/>
      <c r="P701" s="552"/>
      <c r="Q701" s="552"/>
      <c r="R701" s="552"/>
      <c r="S701" s="552"/>
      <c r="T701" s="552"/>
      <c r="U701" s="552"/>
      <c r="V701" s="552"/>
      <c r="W701" s="552"/>
      <c r="X701" s="552"/>
      <c r="Y701" s="552"/>
      <c r="Z701" s="552"/>
    </row>
    <row r="702" spans="1:26" ht="12.75" customHeight="1">
      <c r="A702" s="553"/>
      <c r="B702" s="552"/>
      <c r="C702" s="554"/>
      <c r="D702" s="552"/>
      <c r="E702" s="552"/>
      <c r="F702" s="555"/>
      <c r="G702" s="552"/>
      <c r="H702" s="552"/>
      <c r="I702" s="552"/>
      <c r="J702" s="552"/>
      <c r="K702" s="552"/>
      <c r="L702" s="552"/>
      <c r="M702" s="552"/>
      <c r="N702" s="552"/>
      <c r="O702" s="552"/>
      <c r="P702" s="552"/>
      <c r="Q702" s="552"/>
      <c r="R702" s="552"/>
      <c r="S702" s="552"/>
      <c r="T702" s="552"/>
      <c r="U702" s="552"/>
      <c r="V702" s="552"/>
      <c r="W702" s="552"/>
      <c r="X702" s="552"/>
      <c r="Y702" s="552"/>
      <c r="Z702" s="552"/>
    </row>
    <row r="703" spans="1:26" ht="12.75" customHeight="1">
      <c r="A703" s="553"/>
      <c r="B703" s="552"/>
      <c r="C703" s="554"/>
      <c r="D703" s="552"/>
      <c r="E703" s="552"/>
      <c r="F703" s="555"/>
      <c r="G703" s="552"/>
      <c r="H703" s="552"/>
      <c r="I703" s="552"/>
      <c r="J703" s="552"/>
      <c r="K703" s="552"/>
      <c r="L703" s="552"/>
      <c r="M703" s="552"/>
      <c r="N703" s="552"/>
      <c r="O703" s="552"/>
      <c r="P703" s="552"/>
      <c r="Q703" s="552"/>
      <c r="R703" s="552"/>
      <c r="S703" s="552"/>
      <c r="T703" s="552"/>
      <c r="U703" s="552"/>
      <c r="V703" s="552"/>
      <c r="W703" s="552"/>
      <c r="X703" s="552"/>
      <c r="Y703" s="552"/>
      <c r="Z703" s="552"/>
    </row>
    <row r="704" spans="1:26" ht="12.75" customHeight="1">
      <c r="A704" s="553"/>
      <c r="B704" s="552"/>
      <c r="C704" s="554"/>
      <c r="D704" s="552"/>
      <c r="E704" s="552"/>
      <c r="F704" s="555"/>
      <c r="G704" s="552"/>
      <c r="H704" s="552"/>
      <c r="I704" s="552"/>
      <c r="J704" s="552"/>
      <c r="K704" s="552"/>
      <c r="L704" s="552"/>
      <c r="M704" s="552"/>
      <c r="N704" s="552"/>
      <c r="O704" s="552"/>
      <c r="P704" s="552"/>
      <c r="Q704" s="552"/>
      <c r="R704" s="552"/>
      <c r="S704" s="552"/>
      <c r="T704" s="552"/>
      <c r="U704" s="552"/>
      <c r="V704" s="552"/>
      <c r="W704" s="552"/>
      <c r="X704" s="552"/>
      <c r="Y704" s="552"/>
      <c r="Z704" s="552"/>
    </row>
    <row r="705" spans="1:26" ht="12.75" customHeight="1">
      <c r="A705" s="553"/>
      <c r="B705" s="552"/>
      <c r="C705" s="554"/>
      <c r="D705" s="552"/>
      <c r="E705" s="552"/>
      <c r="F705" s="555"/>
      <c r="G705" s="552"/>
      <c r="H705" s="552"/>
      <c r="I705" s="552"/>
      <c r="J705" s="552"/>
      <c r="K705" s="552"/>
      <c r="L705" s="552"/>
      <c r="M705" s="552"/>
      <c r="N705" s="552"/>
      <c r="O705" s="552"/>
      <c r="P705" s="552"/>
      <c r="Q705" s="552"/>
      <c r="R705" s="552"/>
      <c r="S705" s="552"/>
      <c r="T705" s="552"/>
      <c r="U705" s="552"/>
      <c r="V705" s="552"/>
      <c r="W705" s="552"/>
      <c r="X705" s="552"/>
      <c r="Y705" s="552"/>
      <c r="Z705" s="552"/>
    </row>
    <row r="706" spans="1:26" ht="12.75" customHeight="1">
      <c r="A706" s="553"/>
      <c r="B706" s="552"/>
      <c r="C706" s="554"/>
      <c r="D706" s="552"/>
      <c r="E706" s="552"/>
      <c r="F706" s="555"/>
      <c r="G706" s="552"/>
      <c r="H706" s="552"/>
      <c r="I706" s="552"/>
      <c r="J706" s="552"/>
      <c r="K706" s="552"/>
      <c r="L706" s="552"/>
      <c r="M706" s="552"/>
      <c r="N706" s="552"/>
      <c r="O706" s="552"/>
      <c r="P706" s="552"/>
      <c r="Q706" s="552"/>
      <c r="R706" s="552"/>
      <c r="S706" s="552"/>
      <c r="T706" s="552"/>
      <c r="U706" s="552"/>
      <c r="V706" s="552"/>
      <c r="W706" s="552"/>
      <c r="X706" s="552"/>
      <c r="Y706" s="552"/>
      <c r="Z706" s="552"/>
    </row>
    <row r="707" spans="1:26" ht="12.75" customHeight="1">
      <c r="A707" s="553"/>
      <c r="B707" s="552"/>
      <c r="C707" s="554"/>
      <c r="D707" s="552"/>
      <c r="E707" s="552"/>
      <c r="F707" s="555"/>
      <c r="G707" s="552"/>
      <c r="H707" s="552"/>
      <c r="I707" s="552"/>
      <c r="J707" s="552"/>
      <c r="K707" s="552"/>
      <c r="L707" s="552"/>
      <c r="M707" s="552"/>
      <c r="N707" s="552"/>
      <c r="O707" s="552"/>
      <c r="P707" s="552"/>
      <c r="Q707" s="552"/>
      <c r="R707" s="552"/>
      <c r="S707" s="552"/>
      <c r="T707" s="552"/>
      <c r="U707" s="552"/>
      <c r="V707" s="552"/>
      <c r="W707" s="552"/>
      <c r="X707" s="552"/>
      <c r="Y707" s="552"/>
      <c r="Z707" s="552"/>
    </row>
    <row r="708" spans="1:26" ht="12.75" customHeight="1">
      <c r="A708" s="553"/>
      <c r="B708" s="552"/>
      <c r="C708" s="554"/>
      <c r="D708" s="552"/>
      <c r="E708" s="552"/>
      <c r="F708" s="555"/>
      <c r="G708" s="552"/>
      <c r="H708" s="552"/>
      <c r="I708" s="552"/>
      <c r="J708" s="552"/>
      <c r="K708" s="552"/>
      <c r="L708" s="552"/>
      <c r="M708" s="552"/>
      <c r="N708" s="552"/>
      <c r="O708" s="552"/>
      <c r="P708" s="552"/>
      <c r="Q708" s="552"/>
      <c r="R708" s="552"/>
      <c r="S708" s="552"/>
      <c r="T708" s="552"/>
      <c r="U708" s="552"/>
      <c r="V708" s="552"/>
      <c r="W708" s="552"/>
      <c r="X708" s="552"/>
      <c r="Y708" s="552"/>
      <c r="Z708" s="552"/>
    </row>
    <row r="709" spans="1:26" ht="12.75" customHeight="1">
      <c r="A709" s="553"/>
      <c r="B709" s="552"/>
      <c r="C709" s="554"/>
      <c r="D709" s="552"/>
      <c r="E709" s="552"/>
      <c r="F709" s="555"/>
      <c r="G709" s="552"/>
      <c r="H709" s="552"/>
      <c r="I709" s="552"/>
      <c r="J709" s="552"/>
      <c r="K709" s="552"/>
      <c r="L709" s="552"/>
      <c r="M709" s="552"/>
      <c r="N709" s="552"/>
      <c r="O709" s="552"/>
      <c r="P709" s="552"/>
      <c r="Q709" s="552"/>
      <c r="R709" s="552"/>
      <c r="S709" s="552"/>
      <c r="T709" s="552"/>
      <c r="U709" s="552"/>
      <c r="V709" s="552"/>
      <c r="W709" s="552"/>
      <c r="X709" s="552"/>
      <c r="Y709" s="552"/>
      <c r="Z709" s="552"/>
    </row>
    <row r="710" spans="1:26" ht="12.75" customHeight="1">
      <c r="A710" s="553"/>
      <c r="B710" s="552"/>
      <c r="C710" s="554"/>
      <c r="D710" s="552"/>
      <c r="E710" s="552"/>
      <c r="F710" s="555"/>
      <c r="G710" s="552"/>
      <c r="H710" s="552"/>
      <c r="I710" s="552"/>
      <c r="J710" s="552"/>
      <c r="K710" s="552"/>
      <c r="L710" s="552"/>
      <c r="M710" s="552"/>
      <c r="N710" s="552"/>
      <c r="O710" s="552"/>
      <c r="P710" s="552"/>
      <c r="Q710" s="552"/>
      <c r="R710" s="552"/>
      <c r="S710" s="552"/>
      <c r="T710" s="552"/>
      <c r="U710" s="552"/>
      <c r="V710" s="552"/>
      <c r="W710" s="552"/>
      <c r="X710" s="552"/>
      <c r="Y710" s="552"/>
      <c r="Z710" s="552"/>
    </row>
    <row r="711" spans="1:26" ht="12.75" customHeight="1">
      <c r="A711" s="553"/>
      <c r="B711" s="552"/>
      <c r="C711" s="554"/>
      <c r="D711" s="552"/>
      <c r="E711" s="552"/>
      <c r="F711" s="555"/>
      <c r="G711" s="552"/>
      <c r="H711" s="552"/>
      <c r="I711" s="552"/>
      <c r="J711" s="552"/>
      <c r="K711" s="552"/>
      <c r="L711" s="552"/>
      <c r="M711" s="552"/>
      <c r="N711" s="552"/>
      <c r="O711" s="552"/>
      <c r="P711" s="552"/>
      <c r="Q711" s="552"/>
      <c r="R711" s="552"/>
      <c r="S711" s="552"/>
      <c r="T711" s="552"/>
      <c r="U711" s="552"/>
      <c r="V711" s="552"/>
      <c r="W711" s="552"/>
      <c r="X711" s="552"/>
      <c r="Y711" s="552"/>
      <c r="Z711" s="552"/>
    </row>
    <row r="712" spans="1:26" ht="12.75" customHeight="1">
      <c r="A712" s="553"/>
      <c r="B712" s="552"/>
      <c r="C712" s="554"/>
      <c r="D712" s="552"/>
      <c r="E712" s="552"/>
      <c r="F712" s="555"/>
      <c r="G712" s="552"/>
      <c r="H712" s="552"/>
      <c r="I712" s="552"/>
      <c r="J712" s="552"/>
      <c r="K712" s="552"/>
      <c r="L712" s="552"/>
      <c r="M712" s="552"/>
      <c r="N712" s="552"/>
      <c r="O712" s="552"/>
      <c r="P712" s="552"/>
      <c r="Q712" s="552"/>
      <c r="R712" s="552"/>
      <c r="S712" s="552"/>
      <c r="T712" s="552"/>
      <c r="U712" s="552"/>
      <c r="V712" s="552"/>
      <c r="W712" s="552"/>
      <c r="X712" s="552"/>
      <c r="Y712" s="552"/>
      <c r="Z712" s="552"/>
    </row>
    <row r="713" spans="1:26" ht="12.75" customHeight="1">
      <c r="A713" s="553"/>
      <c r="B713" s="552"/>
      <c r="C713" s="554"/>
      <c r="D713" s="552"/>
      <c r="E713" s="552"/>
      <c r="F713" s="555"/>
      <c r="G713" s="552"/>
      <c r="H713" s="552"/>
      <c r="I713" s="552"/>
      <c r="J713" s="552"/>
      <c r="K713" s="552"/>
      <c r="L713" s="552"/>
      <c r="M713" s="552"/>
      <c r="N713" s="552"/>
      <c r="O713" s="552"/>
      <c r="P713" s="552"/>
      <c r="Q713" s="552"/>
      <c r="R713" s="552"/>
      <c r="S713" s="552"/>
      <c r="T713" s="552"/>
      <c r="U713" s="552"/>
      <c r="V713" s="552"/>
      <c r="W713" s="552"/>
      <c r="X713" s="552"/>
      <c r="Y713" s="552"/>
      <c r="Z713" s="552"/>
    </row>
    <row r="714" spans="1:26" ht="12.75" customHeight="1">
      <c r="A714" s="553"/>
      <c r="B714" s="552"/>
      <c r="C714" s="554"/>
      <c r="D714" s="552"/>
      <c r="E714" s="552"/>
      <c r="F714" s="555"/>
      <c r="G714" s="552"/>
      <c r="H714" s="552"/>
      <c r="I714" s="552"/>
      <c r="J714" s="552"/>
      <c r="K714" s="552"/>
      <c r="L714" s="552"/>
      <c r="M714" s="552"/>
      <c r="N714" s="552"/>
      <c r="O714" s="552"/>
      <c r="P714" s="552"/>
      <c r="Q714" s="552"/>
      <c r="R714" s="552"/>
      <c r="S714" s="552"/>
      <c r="T714" s="552"/>
      <c r="U714" s="552"/>
      <c r="V714" s="552"/>
      <c r="W714" s="552"/>
      <c r="X714" s="552"/>
      <c r="Y714" s="552"/>
      <c r="Z714" s="552"/>
    </row>
    <row r="715" spans="1:26" ht="12.75" customHeight="1">
      <c r="A715" s="553"/>
      <c r="B715" s="552"/>
      <c r="C715" s="554"/>
      <c r="D715" s="552"/>
      <c r="E715" s="552"/>
      <c r="F715" s="555"/>
      <c r="G715" s="552"/>
      <c r="H715" s="552"/>
      <c r="I715" s="552"/>
      <c r="J715" s="552"/>
      <c r="K715" s="552"/>
      <c r="L715" s="552"/>
      <c r="M715" s="552"/>
      <c r="N715" s="552"/>
      <c r="O715" s="552"/>
      <c r="P715" s="552"/>
      <c r="Q715" s="552"/>
      <c r="R715" s="552"/>
      <c r="S715" s="552"/>
      <c r="T715" s="552"/>
      <c r="U715" s="552"/>
      <c r="V715" s="552"/>
      <c r="W715" s="552"/>
      <c r="X715" s="552"/>
      <c r="Y715" s="552"/>
      <c r="Z715" s="552"/>
    </row>
    <row r="716" spans="1:26" ht="12.75" customHeight="1">
      <c r="A716" s="553"/>
      <c r="B716" s="552"/>
      <c r="C716" s="554"/>
      <c r="D716" s="552"/>
      <c r="E716" s="552"/>
      <c r="F716" s="555"/>
      <c r="G716" s="552"/>
      <c r="H716" s="552"/>
      <c r="I716" s="552"/>
      <c r="J716" s="552"/>
      <c r="K716" s="552"/>
      <c r="L716" s="552"/>
      <c r="M716" s="552"/>
      <c r="N716" s="552"/>
      <c r="O716" s="552"/>
      <c r="P716" s="552"/>
      <c r="Q716" s="552"/>
      <c r="R716" s="552"/>
      <c r="S716" s="552"/>
      <c r="T716" s="552"/>
      <c r="U716" s="552"/>
      <c r="V716" s="552"/>
      <c r="W716" s="552"/>
      <c r="X716" s="552"/>
      <c r="Y716" s="552"/>
      <c r="Z716" s="552"/>
    </row>
    <row r="717" spans="1:26" ht="12.75" customHeight="1">
      <c r="A717" s="553"/>
      <c r="B717" s="552"/>
      <c r="C717" s="554"/>
      <c r="D717" s="552"/>
      <c r="E717" s="552"/>
      <c r="F717" s="555"/>
      <c r="G717" s="552"/>
      <c r="H717" s="552"/>
      <c r="I717" s="552"/>
      <c r="J717" s="552"/>
      <c r="K717" s="552"/>
      <c r="L717" s="552"/>
      <c r="M717" s="552"/>
      <c r="N717" s="552"/>
      <c r="O717" s="552"/>
      <c r="P717" s="552"/>
      <c r="Q717" s="552"/>
      <c r="R717" s="552"/>
      <c r="S717" s="552"/>
      <c r="T717" s="552"/>
      <c r="U717" s="552"/>
      <c r="V717" s="552"/>
      <c r="W717" s="552"/>
      <c r="X717" s="552"/>
      <c r="Y717" s="552"/>
      <c r="Z717" s="552"/>
    </row>
    <row r="718" spans="1:26" ht="12.75" customHeight="1">
      <c r="A718" s="553"/>
      <c r="B718" s="552"/>
      <c r="C718" s="554"/>
      <c r="D718" s="552"/>
      <c r="E718" s="552"/>
      <c r="F718" s="555"/>
      <c r="G718" s="552"/>
      <c r="H718" s="552"/>
      <c r="I718" s="552"/>
      <c r="J718" s="552"/>
      <c r="K718" s="552"/>
      <c r="L718" s="552"/>
      <c r="M718" s="552"/>
      <c r="N718" s="552"/>
      <c r="O718" s="552"/>
      <c r="P718" s="552"/>
      <c r="Q718" s="552"/>
      <c r="R718" s="552"/>
      <c r="S718" s="552"/>
      <c r="T718" s="552"/>
      <c r="U718" s="552"/>
      <c r="V718" s="552"/>
      <c r="W718" s="552"/>
      <c r="X718" s="552"/>
      <c r="Y718" s="552"/>
      <c r="Z718" s="552"/>
    </row>
    <row r="719" spans="1:26" ht="12.75" customHeight="1">
      <c r="A719" s="553"/>
      <c r="B719" s="552"/>
      <c r="C719" s="554"/>
      <c r="D719" s="552"/>
      <c r="E719" s="552"/>
      <c r="F719" s="555"/>
      <c r="G719" s="552"/>
      <c r="H719" s="552"/>
      <c r="I719" s="552"/>
      <c r="J719" s="552"/>
      <c r="K719" s="552"/>
      <c r="L719" s="552"/>
      <c r="M719" s="552"/>
      <c r="N719" s="552"/>
      <c r="O719" s="552"/>
      <c r="P719" s="552"/>
      <c r="Q719" s="552"/>
      <c r="R719" s="552"/>
      <c r="S719" s="552"/>
      <c r="T719" s="552"/>
      <c r="U719" s="552"/>
      <c r="V719" s="552"/>
      <c r="W719" s="552"/>
      <c r="X719" s="552"/>
      <c r="Y719" s="552"/>
      <c r="Z719" s="552"/>
    </row>
    <row r="720" spans="1:26" ht="12.75" customHeight="1">
      <c r="A720" s="553"/>
      <c r="B720" s="552"/>
      <c r="C720" s="554"/>
      <c r="D720" s="552"/>
      <c r="E720" s="552"/>
      <c r="F720" s="555"/>
      <c r="G720" s="552"/>
      <c r="H720" s="552"/>
      <c r="I720" s="552"/>
      <c r="J720" s="552"/>
      <c r="K720" s="552"/>
      <c r="L720" s="552"/>
      <c r="M720" s="552"/>
      <c r="N720" s="552"/>
      <c r="O720" s="552"/>
      <c r="P720" s="552"/>
      <c r="Q720" s="552"/>
      <c r="R720" s="552"/>
      <c r="S720" s="552"/>
      <c r="T720" s="552"/>
      <c r="U720" s="552"/>
      <c r="V720" s="552"/>
      <c r="W720" s="552"/>
      <c r="X720" s="552"/>
      <c r="Y720" s="552"/>
      <c r="Z720" s="552"/>
    </row>
    <row r="721" spans="1:26" ht="12.75" customHeight="1">
      <c r="A721" s="553"/>
      <c r="B721" s="552"/>
      <c r="C721" s="554"/>
      <c r="D721" s="552"/>
      <c r="E721" s="552"/>
      <c r="F721" s="555"/>
      <c r="G721" s="552"/>
      <c r="H721" s="552"/>
      <c r="I721" s="552"/>
      <c r="J721" s="552"/>
      <c r="K721" s="552"/>
      <c r="L721" s="552"/>
      <c r="M721" s="552"/>
      <c r="N721" s="552"/>
      <c r="O721" s="552"/>
      <c r="P721" s="552"/>
      <c r="Q721" s="552"/>
      <c r="R721" s="552"/>
      <c r="S721" s="552"/>
      <c r="T721" s="552"/>
      <c r="U721" s="552"/>
      <c r="V721" s="552"/>
      <c r="W721" s="552"/>
      <c r="X721" s="552"/>
      <c r="Y721" s="552"/>
      <c r="Z721" s="552"/>
    </row>
    <row r="722" spans="1:26" ht="12.75" customHeight="1">
      <c r="A722" s="553"/>
      <c r="B722" s="552"/>
      <c r="C722" s="554"/>
      <c r="D722" s="552"/>
      <c r="E722" s="552"/>
      <c r="F722" s="555"/>
      <c r="G722" s="552"/>
      <c r="H722" s="552"/>
      <c r="I722" s="552"/>
      <c r="J722" s="552"/>
      <c r="K722" s="552"/>
      <c r="L722" s="552"/>
      <c r="M722" s="552"/>
      <c r="N722" s="552"/>
      <c r="O722" s="552"/>
      <c r="P722" s="552"/>
      <c r="Q722" s="552"/>
      <c r="R722" s="552"/>
      <c r="S722" s="552"/>
      <c r="T722" s="552"/>
      <c r="U722" s="552"/>
      <c r="V722" s="552"/>
      <c r="W722" s="552"/>
      <c r="X722" s="552"/>
      <c r="Y722" s="552"/>
      <c r="Z722" s="552"/>
    </row>
    <row r="723" spans="1:26" ht="12.75" customHeight="1">
      <c r="A723" s="553"/>
      <c r="B723" s="552"/>
      <c r="C723" s="554"/>
      <c r="D723" s="552"/>
      <c r="E723" s="552"/>
      <c r="F723" s="555"/>
      <c r="G723" s="552"/>
      <c r="H723" s="552"/>
      <c r="I723" s="552"/>
      <c r="J723" s="552"/>
      <c r="K723" s="552"/>
      <c r="L723" s="552"/>
      <c r="M723" s="552"/>
      <c r="N723" s="552"/>
      <c r="O723" s="552"/>
      <c r="P723" s="552"/>
      <c r="Q723" s="552"/>
      <c r="R723" s="552"/>
      <c r="S723" s="552"/>
      <c r="T723" s="552"/>
      <c r="U723" s="552"/>
      <c r="V723" s="552"/>
      <c r="W723" s="552"/>
      <c r="X723" s="552"/>
      <c r="Y723" s="552"/>
      <c r="Z723" s="552"/>
    </row>
    <row r="724" spans="1:26" ht="12.75" customHeight="1">
      <c r="A724" s="553"/>
      <c r="B724" s="552"/>
      <c r="C724" s="554"/>
      <c r="D724" s="552"/>
      <c r="E724" s="552"/>
      <c r="F724" s="555"/>
      <c r="G724" s="552"/>
      <c r="H724" s="552"/>
      <c r="I724" s="552"/>
      <c r="J724" s="552"/>
      <c r="K724" s="552"/>
      <c r="L724" s="552"/>
      <c r="M724" s="552"/>
      <c r="N724" s="552"/>
      <c r="O724" s="552"/>
      <c r="P724" s="552"/>
      <c r="Q724" s="552"/>
      <c r="R724" s="552"/>
      <c r="S724" s="552"/>
      <c r="T724" s="552"/>
      <c r="U724" s="552"/>
      <c r="V724" s="552"/>
      <c r="W724" s="552"/>
      <c r="X724" s="552"/>
      <c r="Y724" s="552"/>
      <c r="Z724" s="552"/>
    </row>
    <row r="725" spans="1:26" ht="12.75" customHeight="1">
      <c r="A725" s="553"/>
      <c r="B725" s="552"/>
      <c r="C725" s="554"/>
      <c r="D725" s="552"/>
      <c r="E725" s="552"/>
      <c r="F725" s="555"/>
      <c r="G725" s="552"/>
      <c r="H725" s="552"/>
      <c r="I725" s="552"/>
      <c r="J725" s="552"/>
      <c r="K725" s="552"/>
      <c r="L725" s="552"/>
      <c r="M725" s="552"/>
      <c r="N725" s="552"/>
      <c r="O725" s="552"/>
      <c r="P725" s="552"/>
      <c r="Q725" s="552"/>
      <c r="R725" s="552"/>
      <c r="S725" s="552"/>
      <c r="T725" s="552"/>
      <c r="U725" s="552"/>
      <c r="V725" s="552"/>
      <c r="W725" s="552"/>
      <c r="X725" s="552"/>
      <c r="Y725" s="552"/>
      <c r="Z725" s="552"/>
    </row>
    <row r="726" spans="1:26" ht="12.75" customHeight="1">
      <c r="A726" s="553"/>
      <c r="B726" s="552"/>
      <c r="C726" s="554"/>
      <c r="D726" s="552"/>
      <c r="E726" s="552"/>
      <c r="F726" s="555"/>
      <c r="G726" s="552"/>
      <c r="H726" s="552"/>
      <c r="I726" s="552"/>
      <c r="J726" s="552"/>
      <c r="K726" s="552"/>
      <c r="L726" s="552"/>
      <c r="M726" s="552"/>
      <c r="N726" s="552"/>
      <c r="O726" s="552"/>
      <c r="P726" s="552"/>
      <c r="Q726" s="552"/>
      <c r="R726" s="552"/>
      <c r="S726" s="552"/>
      <c r="T726" s="552"/>
      <c r="U726" s="552"/>
      <c r="V726" s="552"/>
      <c r="W726" s="552"/>
      <c r="X726" s="552"/>
      <c r="Y726" s="552"/>
      <c r="Z726" s="552"/>
    </row>
    <row r="727" spans="1:26" ht="12.75" customHeight="1">
      <c r="A727" s="553"/>
      <c r="B727" s="552"/>
      <c r="C727" s="554"/>
      <c r="D727" s="552"/>
      <c r="E727" s="552"/>
      <c r="F727" s="555"/>
      <c r="G727" s="552"/>
      <c r="H727" s="552"/>
      <c r="I727" s="552"/>
      <c r="J727" s="552"/>
      <c r="K727" s="552"/>
      <c r="L727" s="552"/>
      <c r="M727" s="552"/>
      <c r="N727" s="552"/>
      <c r="O727" s="552"/>
      <c r="P727" s="552"/>
      <c r="Q727" s="552"/>
      <c r="R727" s="552"/>
      <c r="S727" s="552"/>
      <c r="T727" s="552"/>
      <c r="U727" s="552"/>
      <c r="V727" s="552"/>
      <c r="W727" s="552"/>
      <c r="X727" s="552"/>
      <c r="Y727" s="552"/>
      <c r="Z727" s="552"/>
    </row>
    <row r="728" spans="1:26" ht="12.75" customHeight="1">
      <c r="A728" s="553"/>
      <c r="B728" s="552"/>
      <c r="C728" s="554"/>
      <c r="D728" s="552"/>
      <c r="E728" s="552"/>
      <c r="F728" s="555"/>
      <c r="G728" s="552"/>
      <c r="H728" s="552"/>
      <c r="I728" s="552"/>
      <c r="J728" s="552"/>
      <c r="K728" s="552"/>
      <c r="L728" s="552"/>
      <c r="M728" s="552"/>
      <c r="N728" s="552"/>
      <c r="O728" s="552"/>
      <c r="P728" s="552"/>
      <c r="Q728" s="552"/>
      <c r="R728" s="552"/>
      <c r="S728" s="552"/>
      <c r="T728" s="552"/>
      <c r="U728" s="552"/>
      <c r="V728" s="552"/>
      <c r="W728" s="552"/>
      <c r="X728" s="552"/>
      <c r="Y728" s="552"/>
      <c r="Z728" s="552"/>
    </row>
    <row r="729" spans="1:26" ht="12.75" customHeight="1">
      <c r="A729" s="553"/>
      <c r="B729" s="552"/>
      <c r="C729" s="554"/>
      <c r="D729" s="552"/>
      <c r="E729" s="552"/>
      <c r="F729" s="555"/>
      <c r="G729" s="552"/>
      <c r="H729" s="552"/>
      <c r="I729" s="552"/>
      <c r="J729" s="552"/>
      <c r="K729" s="552"/>
      <c r="L729" s="552"/>
      <c r="M729" s="552"/>
      <c r="N729" s="552"/>
      <c r="O729" s="552"/>
      <c r="P729" s="552"/>
      <c r="Q729" s="552"/>
      <c r="R729" s="552"/>
      <c r="S729" s="552"/>
      <c r="T729" s="552"/>
      <c r="U729" s="552"/>
      <c r="V729" s="552"/>
      <c r="W729" s="552"/>
      <c r="X729" s="552"/>
      <c r="Y729" s="552"/>
      <c r="Z729" s="552"/>
    </row>
    <row r="730" spans="1:26" ht="12.75" customHeight="1">
      <c r="A730" s="553"/>
      <c r="B730" s="552"/>
      <c r="C730" s="554"/>
      <c r="D730" s="552"/>
      <c r="E730" s="552"/>
      <c r="F730" s="555"/>
      <c r="G730" s="552"/>
      <c r="H730" s="552"/>
      <c r="I730" s="552"/>
      <c r="J730" s="552"/>
      <c r="K730" s="552"/>
      <c r="L730" s="552"/>
      <c r="M730" s="552"/>
      <c r="N730" s="552"/>
      <c r="O730" s="552"/>
      <c r="P730" s="552"/>
      <c r="Q730" s="552"/>
      <c r="R730" s="552"/>
      <c r="S730" s="552"/>
      <c r="T730" s="552"/>
      <c r="U730" s="552"/>
      <c r="V730" s="552"/>
      <c r="W730" s="552"/>
      <c r="X730" s="552"/>
      <c r="Y730" s="552"/>
      <c r="Z730" s="552"/>
    </row>
    <row r="731" spans="1:26" ht="12.75" customHeight="1">
      <c r="A731" s="553"/>
      <c r="B731" s="552"/>
      <c r="C731" s="554"/>
      <c r="D731" s="552"/>
      <c r="E731" s="552"/>
      <c r="F731" s="555"/>
      <c r="G731" s="552"/>
      <c r="H731" s="552"/>
      <c r="I731" s="552"/>
      <c r="J731" s="552"/>
      <c r="K731" s="552"/>
      <c r="L731" s="552"/>
      <c r="M731" s="552"/>
      <c r="N731" s="552"/>
      <c r="O731" s="552"/>
      <c r="P731" s="552"/>
      <c r="Q731" s="552"/>
      <c r="R731" s="552"/>
      <c r="S731" s="552"/>
      <c r="T731" s="552"/>
      <c r="U731" s="552"/>
      <c r="V731" s="552"/>
      <c r="W731" s="552"/>
      <c r="X731" s="552"/>
      <c r="Y731" s="552"/>
      <c r="Z731" s="552"/>
    </row>
    <row r="732" spans="1:26" ht="12.75" customHeight="1">
      <c r="A732" s="553"/>
      <c r="B732" s="552"/>
      <c r="C732" s="554"/>
      <c r="D732" s="552"/>
      <c r="E732" s="552"/>
      <c r="F732" s="555"/>
      <c r="G732" s="552"/>
      <c r="H732" s="552"/>
      <c r="I732" s="552"/>
      <c r="J732" s="552"/>
      <c r="K732" s="552"/>
      <c r="L732" s="552"/>
      <c r="M732" s="552"/>
      <c r="N732" s="552"/>
      <c r="O732" s="552"/>
      <c r="P732" s="552"/>
      <c r="Q732" s="552"/>
      <c r="R732" s="552"/>
      <c r="S732" s="552"/>
      <c r="T732" s="552"/>
      <c r="U732" s="552"/>
      <c r="V732" s="552"/>
      <c r="W732" s="552"/>
      <c r="X732" s="552"/>
      <c r="Y732" s="552"/>
      <c r="Z732" s="552"/>
    </row>
    <row r="733" spans="1:26" ht="12.75" customHeight="1">
      <c r="A733" s="553"/>
      <c r="B733" s="552"/>
      <c r="C733" s="554"/>
      <c r="D733" s="552"/>
      <c r="E733" s="552"/>
      <c r="F733" s="555"/>
      <c r="G733" s="552"/>
      <c r="H733" s="552"/>
      <c r="I733" s="552"/>
      <c r="J733" s="552"/>
      <c r="K733" s="552"/>
      <c r="L733" s="552"/>
      <c r="M733" s="552"/>
      <c r="N733" s="552"/>
      <c r="O733" s="552"/>
      <c r="P733" s="552"/>
      <c r="Q733" s="552"/>
      <c r="R733" s="552"/>
      <c r="S733" s="552"/>
      <c r="T733" s="552"/>
      <c r="U733" s="552"/>
      <c r="V733" s="552"/>
      <c r="W733" s="552"/>
      <c r="X733" s="552"/>
      <c r="Y733" s="552"/>
      <c r="Z733" s="552"/>
    </row>
    <row r="734" spans="1:26" ht="12.75" customHeight="1">
      <c r="A734" s="553"/>
      <c r="B734" s="552"/>
      <c r="C734" s="554"/>
      <c r="D734" s="552"/>
      <c r="E734" s="552"/>
      <c r="F734" s="555"/>
      <c r="G734" s="552"/>
      <c r="H734" s="552"/>
      <c r="I734" s="552"/>
      <c r="J734" s="552"/>
      <c r="K734" s="552"/>
      <c r="L734" s="552"/>
      <c r="M734" s="552"/>
      <c r="N734" s="552"/>
      <c r="O734" s="552"/>
      <c r="P734" s="552"/>
      <c r="Q734" s="552"/>
      <c r="R734" s="552"/>
      <c r="S734" s="552"/>
      <c r="T734" s="552"/>
      <c r="U734" s="552"/>
      <c r="V734" s="552"/>
      <c r="W734" s="552"/>
      <c r="X734" s="552"/>
      <c r="Y734" s="552"/>
      <c r="Z734" s="552"/>
    </row>
    <row r="735" spans="1:26" ht="12.75" customHeight="1">
      <c r="A735" s="553"/>
      <c r="B735" s="552"/>
      <c r="C735" s="554"/>
      <c r="D735" s="552"/>
      <c r="E735" s="552"/>
      <c r="F735" s="555"/>
      <c r="G735" s="552"/>
      <c r="H735" s="552"/>
      <c r="I735" s="552"/>
      <c r="J735" s="552"/>
      <c r="K735" s="552"/>
      <c r="L735" s="552"/>
      <c r="M735" s="552"/>
      <c r="N735" s="552"/>
      <c r="O735" s="552"/>
      <c r="P735" s="552"/>
      <c r="Q735" s="552"/>
      <c r="R735" s="552"/>
      <c r="S735" s="552"/>
      <c r="T735" s="552"/>
      <c r="U735" s="552"/>
      <c r="V735" s="552"/>
      <c r="W735" s="552"/>
      <c r="X735" s="552"/>
      <c r="Y735" s="552"/>
      <c r="Z735" s="552"/>
    </row>
    <row r="736" spans="1:26" ht="12.75" customHeight="1">
      <c r="A736" s="553"/>
      <c r="B736" s="552"/>
      <c r="C736" s="554"/>
      <c r="D736" s="552"/>
      <c r="E736" s="552"/>
      <c r="F736" s="555"/>
      <c r="G736" s="552"/>
      <c r="H736" s="552"/>
      <c r="I736" s="552"/>
      <c r="J736" s="552"/>
      <c r="K736" s="552"/>
      <c r="L736" s="552"/>
      <c r="M736" s="552"/>
      <c r="N736" s="552"/>
      <c r="O736" s="552"/>
      <c r="P736" s="552"/>
      <c r="Q736" s="552"/>
      <c r="R736" s="552"/>
      <c r="S736" s="552"/>
      <c r="T736" s="552"/>
      <c r="U736" s="552"/>
      <c r="V736" s="552"/>
      <c r="W736" s="552"/>
      <c r="X736" s="552"/>
      <c r="Y736" s="552"/>
      <c r="Z736" s="552"/>
    </row>
    <row r="737" spans="1:26" ht="12.75" customHeight="1">
      <c r="A737" s="553"/>
      <c r="B737" s="552"/>
      <c r="C737" s="554"/>
      <c r="D737" s="552"/>
      <c r="E737" s="552"/>
      <c r="F737" s="555"/>
      <c r="G737" s="552"/>
      <c r="H737" s="552"/>
      <c r="I737" s="552"/>
      <c r="J737" s="552"/>
      <c r="K737" s="552"/>
      <c r="L737" s="552"/>
      <c r="M737" s="552"/>
      <c r="N737" s="552"/>
      <c r="O737" s="552"/>
      <c r="P737" s="552"/>
      <c r="Q737" s="552"/>
      <c r="R737" s="552"/>
      <c r="S737" s="552"/>
      <c r="T737" s="552"/>
      <c r="U737" s="552"/>
      <c r="V737" s="552"/>
      <c r="W737" s="552"/>
      <c r="X737" s="552"/>
      <c r="Y737" s="552"/>
      <c r="Z737" s="552"/>
    </row>
    <row r="738" spans="1:26" ht="12.75" customHeight="1">
      <c r="A738" s="553"/>
      <c r="B738" s="552"/>
      <c r="C738" s="554"/>
      <c r="D738" s="552"/>
      <c r="E738" s="552"/>
      <c r="F738" s="555"/>
      <c r="G738" s="552"/>
      <c r="H738" s="552"/>
      <c r="I738" s="552"/>
      <c r="J738" s="552"/>
      <c r="K738" s="552"/>
      <c r="L738" s="552"/>
      <c r="M738" s="552"/>
      <c r="N738" s="552"/>
      <c r="O738" s="552"/>
      <c r="P738" s="552"/>
      <c r="Q738" s="552"/>
      <c r="R738" s="552"/>
      <c r="S738" s="552"/>
      <c r="T738" s="552"/>
      <c r="U738" s="552"/>
      <c r="V738" s="552"/>
      <c r="W738" s="552"/>
      <c r="X738" s="552"/>
      <c r="Y738" s="552"/>
      <c r="Z738" s="552"/>
    </row>
    <row r="739" spans="1:26" ht="12.75" customHeight="1">
      <c r="A739" s="553"/>
      <c r="B739" s="552"/>
      <c r="C739" s="554"/>
      <c r="D739" s="552"/>
      <c r="E739" s="552"/>
      <c r="F739" s="555"/>
      <c r="G739" s="552"/>
      <c r="H739" s="552"/>
      <c r="I739" s="552"/>
      <c r="J739" s="552"/>
      <c r="K739" s="552"/>
      <c r="L739" s="552"/>
      <c r="M739" s="552"/>
      <c r="N739" s="552"/>
      <c r="O739" s="552"/>
      <c r="P739" s="552"/>
      <c r="Q739" s="552"/>
      <c r="R739" s="552"/>
      <c r="S739" s="552"/>
      <c r="T739" s="552"/>
      <c r="U739" s="552"/>
      <c r="V739" s="552"/>
      <c r="W739" s="552"/>
      <c r="X739" s="552"/>
      <c r="Y739" s="552"/>
      <c r="Z739" s="552"/>
    </row>
    <row r="740" spans="1:26" ht="12.75" customHeight="1">
      <c r="A740" s="553"/>
      <c r="B740" s="552"/>
      <c r="C740" s="554"/>
      <c r="D740" s="552"/>
      <c r="E740" s="552"/>
      <c r="F740" s="555"/>
      <c r="G740" s="552"/>
      <c r="H740" s="552"/>
      <c r="I740" s="552"/>
      <c r="J740" s="552"/>
      <c r="K740" s="552"/>
      <c r="L740" s="552"/>
      <c r="M740" s="552"/>
      <c r="N740" s="552"/>
      <c r="O740" s="552"/>
      <c r="P740" s="552"/>
      <c r="Q740" s="552"/>
      <c r="R740" s="552"/>
      <c r="S740" s="552"/>
      <c r="T740" s="552"/>
      <c r="U740" s="552"/>
      <c r="V740" s="552"/>
      <c r="W740" s="552"/>
      <c r="X740" s="552"/>
      <c r="Y740" s="552"/>
      <c r="Z740" s="552"/>
    </row>
    <row r="741" spans="1:26" ht="12.75" customHeight="1">
      <c r="A741" s="553"/>
      <c r="B741" s="552"/>
      <c r="C741" s="554"/>
      <c r="D741" s="552"/>
      <c r="E741" s="552"/>
      <c r="F741" s="555"/>
      <c r="G741" s="552"/>
      <c r="H741" s="552"/>
      <c r="I741" s="552"/>
      <c r="J741" s="552"/>
      <c r="K741" s="552"/>
      <c r="L741" s="552"/>
      <c r="M741" s="552"/>
      <c r="N741" s="552"/>
      <c r="O741" s="552"/>
      <c r="P741" s="552"/>
      <c r="Q741" s="552"/>
      <c r="R741" s="552"/>
      <c r="S741" s="552"/>
      <c r="T741" s="552"/>
      <c r="U741" s="552"/>
      <c r="V741" s="552"/>
      <c r="W741" s="552"/>
      <c r="X741" s="552"/>
      <c r="Y741" s="552"/>
      <c r="Z741" s="552"/>
    </row>
    <row r="742" spans="1:26" ht="12.75" customHeight="1">
      <c r="A742" s="553"/>
      <c r="B742" s="552"/>
      <c r="C742" s="554"/>
      <c r="D742" s="552"/>
      <c r="E742" s="552"/>
      <c r="F742" s="555"/>
      <c r="G742" s="552"/>
      <c r="H742" s="552"/>
      <c r="I742" s="552"/>
      <c r="J742" s="552"/>
      <c r="K742" s="552"/>
      <c r="L742" s="552"/>
      <c r="M742" s="552"/>
      <c r="N742" s="552"/>
      <c r="O742" s="552"/>
      <c r="P742" s="552"/>
      <c r="Q742" s="552"/>
      <c r="R742" s="552"/>
      <c r="S742" s="552"/>
      <c r="T742" s="552"/>
      <c r="U742" s="552"/>
      <c r="V742" s="552"/>
      <c r="W742" s="552"/>
      <c r="X742" s="552"/>
      <c r="Y742" s="552"/>
      <c r="Z742" s="552"/>
    </row>
    <row r="743" spans="1:26" ht="12.75" customHeight="1">
      <c r="A743" s="553"/>
      <c r="B743" s="552"/>
      <c r="C743" s="554"/>
      <c r="D743" s="552"/>
      <c r="E743" s="552"/>
      <c r="F743" s="555"/>
      <c r="G743" s="552"/>
      <c r="H743" s="552"/>
      <c r="I743" s="552"/>
      <c r="J743" s="552"/>
      <c r="K743" s="552"/>
      <c r="L743" s="552"/>
      <c r="M743" s="552"/>
      <c r="N743" s="552"/>
      <c r="O743" s="552"/>
      <c r="P743" s="552"/>
      <c r="Q743" s="552"/>
      <c r="R743" s="552"/>
      <c r="S743" s="552"/>
      <c r="T743" s="552"/>
      <c r="U743" s="552"/>
      <c r="V743" s="552"/>
      <c r="W743" s="552"/>
      <c r="X743" s="552"/>
      <c r="Y743" s="552"/>
      <c r="Z743" s="552"/>
    </row>
    <row r="744" spans="1:26" ht="12.75" customHeight="1">
      <c r="A744" s="553"/>
      <c r="B744" s="552"/>
      <c r="C744" s="554"/>
      <c r="D744" s="552"/>
      <c r="E744" s="552"/>
      <c r="F744" s="555"/>
      <c r="G744" s="552"/>
      <c r="H744" s="552"/>
      <c r="I744" s="552"/>
      <c r="J744" s="552"/>
      <c r="K744" s="552"/>
      <c r="L744" s="552"/>
      <c r="M744" s="552"/>
      <c r="N744" s="552"/>
      <c r="O744" s="552"/>
      <c r="P744" s="552"/>
      <c r="Q744" s="552"/>
      <c r="R744" s="552"/>
      <c r="S744" s="552"/>
      <c r="T744" s="552"/>
      <c r="U744" s="552"/>
      <c r="V744" s="552"/>
      <c r="W744" s="552"/>
      <c r="X744" s="552"/>
      <c r="Y744" s="552"/>
      <c r="Z744" s="552"/>
    </row>
    <row r="745" spans="1:26" ht="12.75" customHeight="1">
      <c r="A745" s="553"/>
      <c r="B745" s="552"/>
      <c r="C745" s="554"/>
      <c r="D745" s="552"/>
      <c r="E745" s="552"/>
      <c r="F745" s="555"/>
      <c r="G745" s="552"/>
      <c r="H745" s="552"/>
      <c r="I745" s="552"/>
      <c r="J745" s="552"/>
      <c r="K745" s="552"/>
      <c r="L745" s="552"/>
      <c r="M745" s="552"/>
      <c r="N745" s="552"/>
      <c r="O745" s="552"/>
      <c r="P745" s="552"/>
      <c r="Q745" s="552"/>
      <c r="R745" s="552"/>
      <c r="S745" s="552"/>
      <c r="T745" s="552"/>
      <c r="U745" s="552"/>
      <c r="V745" s="552"/>
      <c r="W745" s="552"/>
      <c r="X745" s="552"/>
      <c r="Y745" s="552"/>
      <c r="Z745" s="552"/>
    </row>
    <row r="746" spans="1:26" ht="12.75" customHeight="1">
      <c r="A746" s="553"/>
      <c r="B746" s="552"/>
      <c r="C746" s="554"/>
      <c r="D746" s="552"/>
      <c r="E746" s="552"/>
      <c r="F746" s="555"/>
      <c r="G746" s="552"/>
      <c r="H746" s="552"/>
      <c r="I746" s="552"/>
      <c r="J746" s="552"/>
      <c r="K746" s="552"/>
      <c r="L746" s="552"/>
      <c r="M746" s="552"/>
      <c r="N746" s="552"/>
      <c r="O746" s="552"/>
      <c r="P746" s="552"/>
      <c r="Q746" s="552"/>
      <c r="R746" s="552"/>
      <c r="S746" s="552"/>
      <c r="T746" s="552"/>
      <c r="U746" s="552"/>
      <c r="V746" s="552"/>
      <c r="W746" s="552"/>
      <c r="X746" s="552"/>
      <c r="Y746" s="552"/>
      <c r="Z746" s="552"/>
    </row>
    <row r="747" spans="1:26" ht="12.75" customHeight="1">
      <c r="A747" s="553"/>
      <c r="B747" s="552"/>
      <c r="C747" s="554"/>
      <c r="D747" s="552"/>
      <c r="E747" s="552"/>
      <c r="F747" s="555"/>
      <c r="G747" s="552"/>
      <c r="H747" s="552"/>
      <c r="I747" s="552"/>
      <c r="J747" s="552"/>
      <c r="K747" s="552"/>
      <c r="L747" s="552"/>
      <c r="M747" s="552"/>
      <c r="N747" s="552"/>
      <c r="O747" s="552"/>
      <c r="P747" s="552"/>
      <c r="Q747" s="552"/>
      <c r="R747" s="552"/>
      <c r="S747" s="552"/>
      <c r="T747" s="552"/>
      <c r="U747" s="552"/>
      <c r="V747" s="552"/>
      <c r="W747" s="552"/>
      <c r="X747" s="552"/>
      <c r="Y747" s="552"/>
      <c r="Z747" s="552"/>
    </row>
    <row r="748" spans="1:26" ht="12.75" customHeight="1">
      <c r="A748" s="553"/>
      <c r="B748" s="552"/>
      <c r="C748" s="554"/>
      <c r="D748" s="552"/>
      <c r="E748" s="552"/>
      <c r="F748" s="555"/>
      <c r="G748" s="552"/>
      <c r="H748" s="552"/>
      <c r="I748" s="552"/>
      <c r="J748" s="552"/>
      <c r="K748" s="552"/>
      <c r="L748" s="552"/>
      <c r="M748" s="552"/>
      <c r="N748" s="552"/>
      <c r="O748" s="552"/>
      <c r="P748" s="552"/>
      <c r="Q748" s="552"/>
      <c r="R748" s="552"/>
      <c r="S748" s="552"/>
      <c r="T748" s="552"/>
      <c r="U748" s="552"/>
      <c r="V748" s="552"/>
      <c r="W748" s="552"/>
      <c r="X748" s="552"/>
      <c r="Y748" s="552"/>
      <c r="Z748" s="552"/>
    </row>
    <row r="749" spans="1:26" ht="12.75" customHeight="1">
      <c r="A749" s="553"/>
      <c r="B749" s="552"/>
      <c r="C749" s="554"/>
      <c r="D749" s="552"/>
      <c r="E749" s="552"/>
      <c r="F749" s="555"/>
      <c r="G749" s="552"/>
      <c r="H749" s="552"/>
      <c r="I749" s="552"/>
      <c r="J749" s="552"/>
      <c r="K749" s="552"/>
      <c r="L749" s="552"/>
      <c r="M749" s="552"/>
      <c r="N749" s="552"/>
      <c r="O749" s="552"/>
      <c r="P749" s="552"/>
      <c r="Q749" s="552"/>
      <c r="R749" s="552"/>
      <c r="S749" s="552"/>
      <c r="T749" s="552"/>
      <c r="U749" s="552"/>
      <c r="V749" s="552"/>
      <c r="W749" s="552"/>
      <c r="X749" s="552"/>
      <c r="Y749" s="552"/>
      <c r="Z749" s="552"/>
    </row>
    <row r="750" spans="1:26" ht="12.75" customHeight="1">
      <c r="A750" s="553"/>
      <c r="B750" s="552"/>
      <c r="C750" s="554"/>
      <c r="D750" s="552"/>
      <c r="E750" s="552"/>
      <c r="F750" s="555"/>
      <c r="G750" s="552"/>
      <c r="H750" s="552"/>
      <c r="I750" s="552"/>
      <c r="J750" s="552"/>
      <c r="K750" s="552"/>
      <c r="L750" s="552"/>
      <c r="M750" s="552"/>
      <c r="N750" s="552"/>
      <c r="O750" s="552"/>
      <c r="P750" s="552"/>
      <c r="Q750" s="552"/>
      <c r="R750" s="552"/>
      <c r="S750" s="552"/>
      <c r="T750" s="552"/>
      <c r="U750" s="552"/>
      <c r="V750" s="552"/>
      <c r="W750" s="552"/>
      <c r="X750" s="552"/>
      <c r="Y750" s="552"/>
      <c r="Z750" s="552"/>
    </row>
    <row r="751" spans="1:26" ht="12.75" customHeight="1">
      <c r="A751" s="553"/>
      <c r="B751" s="552"/>
      <c r="C751" s="554"/>
      <c r="D751" s="552"/>
      <c r="E751" s="552"/>
      <c r="F751" s="555"/>
      <c r="G751" s="552"/>
      <c r="H751" s="552"/>
      <c r="I751" s="552"/>
      <c r="J751" s="552"/>
      <c r="K751" s="552"/>
      <c r="L751" s="552"/>
      <c r="M751" s="552"/>
      <c r="N751" s="552"/>
      <c r="O751" s="552"/>
      <c r="P751" s="552"/>
      <c r="Q751" s="552"/>
      <c r="R751" s="552"/>
      <c r="S751" s="552"/>
      <c r="T751" s="552"/>
      <c r="U751" s="552"/>
      <c r="V751" s="552"/>
      <c r="W751" s="552"/>
      <c r="X751" s="552"/>
      <c r="Y751" s="552"/>
      <c r="Z751" s="552"/>
    </row>
    <row r="752" spans="1:26" ht="12.75" customHeight="1">
      <c r="A752" s="553"/>
      <c r="B752" s="552"/>
      <c r="C752" s="554"/>
      <c r="D752" s="552"/>
      <c r="E752" s="552"/>
      <c r="F752" s="555"/>
      <c r="G752" s="552"/>
      <c r="H752" s="552"/>
      <c r="I752" s="552"/>
      <c r="J752" s="552"/>
      <c r="K752" s="552"/>
      <c r="L752" s="552"/>
      <c r="M752" s="552"/>
      <c r="N752" s="552"/>
      <c r="O752" s="552"/>
      <c r="P752" s="552"/>
      <c r="Q752" s="552"/>
      <c r="R752" s="552"/>
      <c r="S752" s="552"/>
      <c r="T752" s="552"/>
      <c r="U752" s="552"/>
      <c r="V752" s="552"/>
      <c r="W752" s="552"/>
      <c r="X752" s="552"/>
      <c r="Y752" s="552"/>
      <c r="Z752" s="552"/>
    </row>
    <row r="753" spans="1:26" ht="12.75" customHeight="1">
      <c r="A753" s="553"/>
      <c r="B753" s="552"/>
      <c r="C753" s="554"/>
      <c r="D753" s="552"/>
      <c r="E753" s="552"/>
      <c r="F753" s="555"/>
      <c r="G753" s="552"/>
      <c r="H753" s="552"/>
      <c r="I753" s="552"/>
      <c r="J753" s="552"/>
      <c r="K753" s="552"/>
      <c r="L753" s="552"/>
      <c r="M753" s="552"/>
      <c r="N753" s="552"/>
      <c r="O753" s="552"/>
      <c r="P753" s="552"/>
      <c r="Q753" s="552"/>
      <c r="R753" s="552"/>
      <c r="S753" s="552"/>
      <c r="T753" s="552"/>
      <c r="U753" s="552"/>
      <c r="V753" s="552"/>
      <c r="W753" s="552"/>
      <c r="X753" s="552"/>
      <c r="Y753" s="552"/>
      <c r="Z753" s="552"/>
    </row>
    <row r="754" spans="1:26" ht="12.75" customHeight="1">
      <c r="A754" s="553"/>
      <c r="B754" s="552"/>
      <c r="C754" s="554"/>
      <c r="D754" s="552"/>
      <c r="E754" s="552"/>
      <c r="F754" s="555"/>
      <c r="G754" s="552"/>
      <c r="H754" s="552"/>
      <c r="I754" s="552"/>
      <c r="J754" s="552"/>
      <c r="K754" s="552"/>
      <c r="L754" s="552"/>
      <c r="M754" s="552"/>
      <c r="N754" s="552"/>
      <c r="O754" s="552"/>
      <c r="P754" s="552"/>
      <c r="Q754" s="552"/>
      <c r="R754" s="552"/>
      <c r="S754" s="552"/>
      <c r="T754" s="552"/>
      <c r="U754" s="552"/>
      <c r="V754" s="552"/>
      <c r="W754" s="552"/>
      <c r="X754" s="552"/>
      <c r="Y754" s="552"/>
      <c r="Z754" s="552"/>
    </row>
    <row r="755" spans="1:26" ht="12.75" customHeight="1">
      <c r="A755" s="553"/>
      <c r="B755" s="552"/>
      <c r="C755" s="554"/>
      <c r="D755" s="552"/>
      <c r="E755" s="552"/>
      <c r="F755" s="555"/>
      <c r="G755" s="552"/>
      <c r="H755" s="552"/>
      <c r="I755" s="552"/>
      <c r="J755" s="552"/>
      <c r="K755" s="552"/>
      <c r="L755" s="552"/>
      <c r="M755" s="552"/>
      <c r="N755" s="552"/>
      <c r="O755" s="552"/>
      <c r="P755" s="552"/>
      <c r="Q755" s="552"/>
      <c r="R755" s="552"/>
      <c r="S755" s="552"/>
      <c r="T755" s="552"/>
      <c r="U755" s="552"/>
      <c r="V755" s="552"/>
      <c r="W755" s="552"/>
      <c r="X755" s="552"/>
      <c r="Y755" s="552"/>
      <c r="Z755" s="552"/>
    </row>
    <row r="756" spans="1:26" ht="12.75" customHeight="1">
      <c r="A756" s="553"/>
      <c r="B756" s="552"/>
      <c r="C756" s="554"/>
      <c r="D756" s="552"/>
      <c r="E756" s="552"/>
      <c r="F756" s="555"/>
      <c r="G756" s="552"/>
      <c r="H756" s="552"/>
      <c r="I756" s="552"/>
      <c r="J756" s="552"/>
      <c r="K756" s="552"/>
      <c r="L756" s="552"/>
      <c r="M756" s="552"/>
      <c r="N756" s="552"/>
      <c r="O756" s="552"/>
      <c r="P756" s="552"/>
      <c r="Q756" s="552"/>
      <c r="R756" s="552"/>
      <c r="S756" s="552"/>
      <c r="T756" s="552"/>
      <c r="U756" s="552"/>
      <c r="V756" s="552"/>
      <c r="W756" s="552"/>
      <c r="X756" s="552"/>
      <c r="Y756" s="552"/>
      <c r="Z756" s="552"/>
    </row>
    <row r="757" spans="1:26" ht="12.75" customHeight="1">
      <c r="A757" s="553"/>
      <c r="B757" s="552"/>
      <c r="C757" s="554"/>
      <c r="D757" s="552"/>
      <c r="E757" s="552"/>
      <c r="F757" s="555"/>
      <c r="G757" s="552"/>
      <c r="H757" s="552"/>
      <c r="I757" s="552"/>
      <c r="J757" s="552"/>
      <c r="K757" s="552"/>
      <c r="L757" s="552"/>
      <c r="M757" s="552"/>
      <c r="N757" s="552"/>
      <c r="O757" s="552"/>
      <c r="P757" s="552"/>
      <c r="Q757" s="552"/>
      <c r="R757" s="552"/>
      <c r="S757" s="552"/>
      <c r="T757" s="552"/>
      <c r="U757" s="552"/>
      <c r="V757" s="552"/>
      <c r="W757" s="552"/>
      <c r="X757" s="552"/>
      <c r="Y757" s="552"/>
      <c r="Z757" s="552"/>
    </row>
    <row r="758" spans="1:26" ht="12.75" customHeight="1">
      <c r="A758" s="553"/>
      <c r="B758" s="552"/>
      <c r="C758" s="554"/>
      <c r="D758" s="552"/>
      <c r="E758" s="552"/>
      <c r="F758" s="555"/>
      <c r="G758" s="552"/>
      <c r="H758" s="552"/>
      <c r="I758" s="552"/>
      <c r="J758" s="552"/>
      <c r="K758" s="552"/>
      <c r="L758" s="552"/>
      <c r="M758" s="552"/>
      <c r="N758" s="552"/>
      <c r="O758" s="552"/>
      <c r="P758" s="552"/>
      <c r="Q758" s="552"/>
      <c r="R758" s="552"/>
      <c r="S758" s="552"/>
      <c r="T758" s="552"/>
      <c r="U758" s="552"/>
      <c r="V758" s="552"/>
      <c r="W758" s="552"/>
      <c r="X758" s="552"/>
      <c r="Y758" s="552"/>
      <c r="Z758" s="552"/>
    </row>
    <row r="759" spans="1:26" ht="12.75" customHeight="1">
      <c r="A759" s="553"/>
      <c r="B759" s="552"/>
      <c r="C759" s="554"/>
      <c r="D759" s="552"/>
      <c r="E759" s="552"/>
      <c r="F759" s="555"/>
      <c r="G759" s="552"/>
      <c r="H759" s="552"/>
      <c r="I759" s="552"/>
      <c r="J759" s="552"/>
      <c r="K759" s="552"/>
      <c r="L759" s="552"/>
      <c r="M759" s="552"/>
      <c r="N759" s="552"/>
      <c r="O759" s="552"/>
      <c r="P759" s="552"/>
      <c r="Q759" s="552"/>
      <c r="R759" s="552"/>
      <c r="S759" s="552"/>
      <c r="T759" s="552"/>
      <c r="U759" s="552"/>
      <c r="V759" s="552"/>
      <c r="W759" s="552"/>
      <c r="X759" s="552"/>
      <c r="Y759" s="552"/>
      <c r="Z759" s="552"/>
    </row>
    <row r="760" spans="1:26" ht="12.75" customHeight="1">
      <c r="A760" s="553"/>
      <c r="B760" s="552"/>
      <c r="C760" s="554"/>
      <c r="D760" s="552"/>
      <c r="E760" s="552"/>
      <c r="F760" s="555"/>
      <c r="G760" s="552"/>
      <c r="H760" s="552"/>
      <c r="I760" s="552"/>
      <c r="J760" s="552"/>
      <c r="K760" s="552"/>
      <c r="L760" s="552"/>
      <c r="M760" s="552"/>
      <c r="N760" s="552"/>
      <c r="O760" s="552"/>
      <c r="P760" s="552"/>
      <c r="Q760" s="552"/>
      <c r="R760" s="552"/>
      <c r="S760" s="552"/>
      <c r="T760" s="552"/>
      <c r="U760" s="552"/>
      <c r="V760" s="552"/>
      <c r="W760" s="552"/>
      <c r="X760" s="552"/>
      <c r="Y760" s="552"/>
      <c r="Z760" s="552"/>
    </row>
    <row r="761" spans="1:26" ht="12.75" customHeight="1">
      <c r="A761" s="553"/>
      <c r="B761" s="552"/>
      <c r="C761" s="554"/>
      <c r="D761" s="552"/>
      <c r="E761" s="552"/>
      <c r="F761" s="555"/>
      <c r="G761" s="552"/>
      <c r="H761" s="552"/>
      <c r="I761" s="552"/>
      <c r="J761" s="552"/>
      <c r="K761" s="552"/>
      <c r="L761" s="552"/>
      <c r="M761" s="552"/>
      <c r="N761" s="552"/>
      <c r="O761" s="552"/>
      <c r="P761" s="552"/>
      <c r="Q761" s="552"/>
      <c r="R761" s="552"/>
      <c r="S761" s="552"/>
      <c r="T761" s="552"/>
      <c r="U761" s="552"/>
      <c r="V761" s="552"/>
      <c r="W761" s="552"/>
      <c r="X761" s="552"/>
      <c r="Y761" s="552"/>
      <c r="Z761" s="552"/>
    </row>
    <row r="762" spans="1:26" ht="12.75" customHeight="1">
      <c r="A762" s="553"/>
      <c r="B762" s="552"/>
      <c r="C762" s="554"/>
      <c r="D762" s="552"/>
      <c r="E762" s="552"/>
      <c r="F762" s="555"/>
      <c r="G762" s="552"/>
      <c r="H762" s="552"/>
      <c r="I762" s="552"/>
      <c r="J762" s="552"/>
      <c r="K762" s="552"/>
      <c r="L762" s="552"/>
      <c r="M762" s="552"/>
      <c r="N762" s="552"/>
      <c r="O762" s="552"/>
      <c r="P762" s="552"/>
      <c r="Q762" s="552"/>
      <c r="R762" s="552"/>
      <c r="S762" s="552"/>
      <c r="T762" s="552"/>
      <c r="U762" s="552"/>
      <c r="V762" s="552"/>
      <c r="W762" s="552"/>
      <c r="X762" s="552"/>
      <c r="Y762" s="552"/>
      <c r="Z762" s="552"/>
    </row>
    <row r="763" spans="1:26" ht="12.75" customHeight="1">
      <c r="A763" s="553"/>
      <c r="B763" s="552"/>
      <c r="C763" s="554"/>
      <c r="D763" s="552"/>
      <c r="E763" s="552"/>
      <c r="F763" s="555"/>
      <c r="G763" s="552"/>
      <c r="H763" s="552"/>
      <c r="I763" s="552"/>
      <c r="J763" s="552"/>
      <c r="K763" s="552"/>
      <c r="L763" s="552"/>
      <c r="M763" s="552"/>
      <c r="N763" s="552"/>
      <c r="O763" s="552"/>
      <c r="P763" s="552"/>
      <c r="Q763" s="552"/>
      <c r="R763" s="552"/>
      <c r="S763" s="552"/>
      <c r="T763" s="552"/>
      <c r="U763" s="552"/>
      <c r="V763" s="552"/>
      <c r="W763" s="552"/>
      <c r="X763" s="552"/>
      <c r="Y763" s="552"/>
      <c r="Z763" s="552"/>
    </row>
    <row r="764" spans="1:26" ht="12.75" customHeight="1">
      <c r="A764" s="553"/>
      <c r="B764" s="552"/>
      <c r="C764" s="554"/>
      <c r="D764" s="552"/>
      <c r="E764" s="552"/>
      <c r="F764" s="555"/>
      <c r="G764" s="552"/>
      <c r="H764" s="552"/>
      <c r="I764" s="552"/>
      <c r="J764" s="552"/>
      <c r="K764" s="552"/>
      <c r="L764" s="552"/>
      <c r="M764" s="552"/>
      <c r="N764" s="552"/>
      <c r="O764" s="552"/>
      <c r="P764" s="552"/>
      <c r="Q764" s="552"/>
      <c r="R764" s="552"/>
      <c r="S764" s="552"/>
      <c r="T764" s="552"/>
      <c r="U764" s="552"/>
      <c r="V764" s="552"/>
      <c r="W764" s="552"/>
      <c r="X764" s="552"/>
      <c r="Y764" s="552"/>
      <c r="Z764" s="552"/>
    </row>
    <row r="765" spans="1:26" ht="12.75" customHeight="1">
      <c r="A765" s="553"/>
      <c r="B765" s="552"/>
      <c r="C765" s="554"/>
      <c r="D765" s="552"/>
      <c r="E765" s="552"/>
      <c r="F765" s="555"/>
      <c r="G765" s="552"/>
      <c r="H765" s="552"/>
      <c r="I765" s="552"/>
      <c r="J765" s="552"/>
      <c r="K765" s="552"/>
      <c r="L765" s="552"/>
      <c r="M765" s="552"/>
      <c r="N765" s="552"/>
      <c r="O765" s="552"/>
      <c r="P765" s="552"/>
      <c r="Q765" s="552"/>
      <c r="R765" s="552"/>
      <c r="S765" s="552"/>
      <c r="T765" s="552"/>
      <c r="U765" s="552"/>
      <c r="V765" s="552"/>
      <c r="W765" s="552"/>
      <c r="X765" s="552"/>
      <c r="Y765" s="552"/>
      <c r="Z765" s="552"/>
    </row>
    <row r="766" spans="1:26" ht="12.75" customHeight="1">
      <c r="A766" s="553"/>
      <c r="B766" s="552"/>
      <c r="C766" s="554"/>
      <c r="D766" s="552"/>
      <c r="E766" s="552"/>
      <c r="F766" s="555"/>
      <c r="G766" s="552"/>
      <c r="H766" s="552"/>
      <c r="I766" s="552"/>
      <c r="J766" s="552"/>
      <c r="K766" s="552"/>
      <c r="L766" s="552"/>
      <c r="M766" s="552"/>
      <c r="N766" s="552"/>
      <c r="O766" s="552"/>
      <c r="P766" s="552"/>
      <c r="Q766" s="552"/>
      <c r="R766" s="552"/>
      <c r="S766" s="552"/>
      <c r="T766" s="552"/>
      <c r="U766" s="552"/>
      <c r="V766" s="552"/>
      <c r="W766" s="552"/>
      <c r="X766" s="552"/>
      <c r="Y766" s="552"/>
      <c r="Z766" s="552"/>
    </row>
    <row r="767" spans="1:26" ht="12.75" customHeight="1">
      <c r="A767" s="553"/>
      <c r="B767" s="552"/>
      <c r="C767" s="554"/>
      <c r="D767" s="552"/>
      <c r="E767" s="552"/>
      <c r="F767" s="555"/>
      <c r="G767" s="552"/>
      <c r="H767" s="552"/>
      <c r="I767" s="552"/>
      <c r="J767" s="552"/>
      <c r="K767" s="552"/>
      <c r="L767" s="552"/>
      <c r="M767" s="552"/>
      <c r="N767" s="552"/>
      <c r="O767" s="552"/>
      <c r="P767" s="552"/>
      <c r="Q767" s="552"/>
      <c r="R767" s="552"/>
      <c r="S767" s="552"/>
      <c r="T767" s="552"/>
      <c r="U767" s="552"/>
      <c r="V767" s="552"/>
      <c r="W767" s="552"/>
      <c r="X767" s="552"/>
      <c r="Y767" s="552"/>
      <c r="Z767" s="552"/>
    </row>
    <row r="768" spans="1:26" ht="12.75" customHeight="1">
      <c r="A768" s="553"/>
      <c r="B768" s="552"/>
      <c r="C768" s="554"/>
      <c r="D768" s="552"/>
      <c r="E768" s="552"/>
      <c r="F768" s="555"/>
      <c r="G768" s="552"/>
      <c r="H768" s="552"/>
      <c r="I768" s="552"/>
      <c r="J768" s="552"/>
      <c r="K768" s="552"/>
      <c r="L768" s="552"/>
      <c r="M768" s="552"/>
      <c r="N768" s="552"/>
      <c r="O768" s="552"/>
      <c r="P768" s="552"/>
      <c r="Q768" s="552"/>
      <c r="R768" s="552"/>
      <c r="S768" s="552"/>
      <c r="T768" s="552"/>
      <c r="U768" s="552"/>
      <c r="V768" s="552"/>
      <c r="W768" s="552"/>
      <c r="X768" s="552"/>
      <c r="Y768" s="552"/>
      <c r="Z768" s="552"/>
    </row>
    <row r="769" spans="1:26" ht="12.75" customHeight="1">
      <c r="A769" s="553"/>
      <c r="B769" s="552"/>
      <c r="C769" s="554"/>
      <c r="D769" s="552"/>
      <c r="E769" s="552"/>
      <c r="F769" s="555"/>
      <c r="G769" s="552"/>
      <c r="H769" s="552"/>
      <c r="I769" s="552"/>
      <c r="J769" s="552"/>
      <c r="K769" s="552"/>
      <c r="L769" s="552"/>
      <c r="M769" s="552"/>
      <c r="N769" s="552"/>
      <c r="O769" s="552"/>
      <c r="P769" s="552"/>
      <c r="Q769" s="552"/>
      <c r="R769" s="552"/>
      <c r="S769" s="552"/>
      <c r="T769" s="552"/>
      <c r="U769" s="552"/>
      <c r="V769" s="552"/>
      <c r="W769" s="552"/>
      <c r="X769" s="552"/>
      <c r="Y769" s="552"/>
      <c r="Z769" s="552"/>
    </row>
    <row r="770" spans="1:26" ht="12.75" customHeight="1">
      <c r="A770" s="553"/>
      <c r="B770" s="552"/>
      <c r="C770" s="554"/>
      <c r="D770" s="552"/>
      <c r="E770" s="552"/>
      <c r="F770" s="555"/>
      <c r="G770" s="552"/>
      <c r="H770" s="552"/>
      <c r="I770" s="552"/>
      <c r="J770" s="552"/>
      <c r="K770" s="552"/>
      <c r="L770" s="552"/>
      <c r="M770" s="552"/>
      <c r="N770" s="552"/>
      <c r="O770" s="552"/>
      <c r="P770" s="552"/>
      <c r="Q770" s="552"/>
      <c r="R770" s="552"/>
      <c r="S770" s="552"/>
      <c r="T770" s="552"/>
      <c r="U770" s="552"/>
      <c r="V770" s="552"/>
      <c r="W770" s="552"/>
      <c r="X770" s="552"/>
      <c r="Y770" s="552"/>
      <c r="Z770" s="552"/>
    </row>
    <row r="771" spans="1:26" ht="12.75" customHeight="1">
      <c r="A771" s="553"/>
      <c r="B771" s="552"/>
      <c r="C771" s="554"/>
      <c r="D771" s="552"/>
      <c r="E771" s="552"/>
      <c r="F771" s="555"/>
      <c r="G771" s="552"/>
      <c r="H771" s="552"/>
      <c r="I771" s="552"/>
      <c r="J771" s="552"/>
      <c r="K771" s="552"/>
      <c r="L771" s="552"/>
      <c r="M771" s="552"/>
      <c r="N771" s="552"/>
      <c r="O771" s="552"/>
      <c r="P771" s="552"/>
      <c r="Q771" s="552"/>
      <c r="R771" s="552"/>
      <c r="S771" s="552"/>
      <c r="T771" s="552"/>
      <c r="U771" s="552"/>
      <c r="V771" s="552"/>
      <c r="W771" s="552"/>
      <c r="X771" s="552"/>
      <c r="Y771" s="552"/>
      <c r="Z771" s="552"/>
    </row>
    <row r="772" spans="1:26" ht="12.75" customHeight="1">
      <c r="A772" s="553"/>
      <c r="B772" s="552"/>
      <c r="C772" s="554"/>
      <c r="D772" s="552"/>
      <c r="E772" s="552"/>
      <c r="F772" s="555"/>
      <c r="G772" s="552"/>
      <c r="H772" s="552"/>
      <c r="I772" s="552"/>
      <c r="J772" s="552"/>
      <c r="K772" s="552"/>
      <c r="L772" s="552"/>
      <c r="M772" s="552"/>
      <c r="N772" s="552"/>
      <c r="O772" s="552"/>
      <c r="P772" s="552"/>
      <c r="Q772" s="552"/>
      <c r="R772" s="552"/>
      <c r="S772" s="552"/>
      <c r="T772" s="552"/>
      <c r="U772" s="552"/>
      <c r="V772" s="552"/>
      <c r="W772" s="552"/>
      <c r="X772" s="552"/>
      <c r="Y772" s="552"/>
      <c r="Z772" s="552"/>
    </row>
    <row r="773" spans="1:26" ht="12.75" customHeight="1">
      <c r="A773" s="553"/>
      <c r="B773" s="552"/>
      <c r="C773" s="554"/>
      <c r="D773" s="552"/>
      <c r="E773" s="552"/>
      <c r="F773" s="555"/>
      <c r="G773" s="552"/>
      <c r="H773" s="552"/>
      <c r="I773" s="552"/>
      <c r="J773" s="552"/>
      <c r="K773" s="552"/>
      <c r="L773" s="552"/>
      <c r="M773" s="552"/>
      <c r="N773" s="552"/>
      <c r="O773" s="552"/>
      <c r="P773" s="552"/>
      <c r="Q773" s="552"/>
      <c r="R773" s="552"/>
      <c r="S773" s="552"/>
      <c r="T773" s="552"/>
      <c r="U773" s="552"/>
      <c r="V773" s="552"/>
      <c r="W773" s="552"/>
      <c r="X773" s="552"/>
      <c r="Y773" s="552"/>
      <c r="Z773" s="552"/>
    </row>
    <row r="774" spans="1:26" ht="12.75" customHeight="1">
      <c r="A774" s="553"/>
      <c r="B774" s="552"/>
      <c r="C774" s="554"/>
      <c r="D774" s="552"/>
      <c r="E774" s="552"/>
      <c r="F774" s="555"/>
      <c r="G774" s="552"/>
      <c r="H774" s="552"/>
      <c r="I774" s="552"/>
      <c r="J774" s="552"/>
      <c r="K774" s="552"/>
      <c r="L774" s="552"/>
      <c r="M774" s="552"/>
      <c r="N774" s="552"/>
      <c r="O774" s="552"/>
      <c r="P774" s="552"/>
      <c r="Q774" s="552"/>
      <c r="R774" s="552"/>
      <c r="S774" s="552"/>
      <c r="T774" s="552"/>
      <c r="U774" s="552"/>
      <c r="V774" s="552"/>
      <c r="W774" s="552"/>
      <c r="X774" s="552"/>
      <c r="Y774" s="552"/>
      <c r="Z774" s="552"/>
    </row>
    <row r="775" spans="1:26" ht="12.75" customHeight="1">
      <c r="A775" s="553"/>
      <c r="B775" s="552"/>
      <c r="C775" s="554"/>
      <c r="D775" s="552"/>
      <c r="E775" s="552"/>
      <c r="F775" s="555"/>
      <c r="G775" s="552"/>
      <c r="H775" s="552"/>
      <c r="I775" s="552"/>
      <c r="J775" s="552"/>
      <c r="K775" s="552"/>
      <c r="L775" s="552"/>
      <c r="M775" s="552"/>
      <c r="N775" s="552"/>
      <c r="O775" s="552"/>
      <c r="P775" s="552"/>
      <c r="Q775" s="552"/>
      <c r="R775" s="552"/>
      <c r="S775" s="552"/>
      <c r="T775" s="552"/>
      <c r="U775" s="552"/>
      <c r="V775" s="552"/>
      <c r="W775" s="552"/>
      <c r="X775" s="552"/>
      <c r="Y775" s="552"/>
      <c r="Z775" s="552"/>
    </row>
    <row r="776" spans="1:26" ht="12.75" customHeight="1">
      <c r="A776" s="553"/>
      <c r="B776" s="552"/>
      <c r="C776" s="554"/>
      <c r="D776" s="552"/>
      <c r="E776" s="552"/>
      <c r="F776" s="555"/>
      <c r="G776" s="552"/>
      <c r="H776" s="552"/>
      <c r="I776" s="552"/>
      <c r="J776" s="552"/>
      <c r="K776" s="552"/>
      <c r="L776" s="552"/>
      <c r="M776" s="552"/>
      <c r="N776" s="552"/>
      <c r="O776" s="552"/>
      <c r="P776" s="552"/>
      <c r="Q776" s="552"/>
      <c r="R776" s="552"/>
      <c r="S776" s="552"/>
      <c r="T776" s="552"/>
      <c r="U776" s="552"/>
      <c r="V776" s="552"/>
      <c r="W776" s="552"/>
      <c r="X776" s="552"/>
      <c r="Y776" s="552"/>
      <c r="Z776" s="552"/>
    </row>
    <row r="777" spans="1:26" ht="12.75" customHeight="1">
      <c r="A777" s="553"/>
      <c r="B777" s="552"/>
      <c r="C777" s="554"/>
      <c r="D777" s="552"/>
      <c r="E777" s="552"/>
      <c r="F777" s="555"/>
      <c r="G777" s="552"/>
      <c r="H777" s="552"/>
      <c r="I777" s="552"/>
      <c r="J777" s="552"/>
      <c r="K777" s="552"/>
      <c r="L777" s="552"/>
      <c r="M777" s="552"/>
      <c r="N777" s="552"/>
      <c r="O777" s="552"/>
      <c r="P777" s="552"/>
      <c r="Q777" s="552"/>
      <c r="R777" s="552"/>
      <c r="S777" s="552"/>
      <c r="T777" s="552"/>
      <c r="U777" s="552"/>
      <c r="V777" s="552"/>
      <c r="W777" s="552"/>
      <c r="X777" s="552"/>
      <c r="Y777" s="552"/>
      <c r="Z777" s="552"/>
    </row>
    <row r="778" spans="1:26" ht="12.75" customHeight="1">
      <c r="A778" s="553"/>
      <c r="B778" s="552"/>
      <c r="C778" s="554"/>
      <c r="D778" s="552"/>
      <c r="E778" s="552"/>
      <c r="F778" s="555"/>
      <c r="G778" s="552"/>
      <c r="H778" s="552"/>
      <c r="I778" s="552"/>
      <c r="J778" s="552"/>
      <c r="K778" s="552"/>
      <c r="L778" s="552"/>
      <c r="M778" s="552"/>
      <c r="N778" s="552"/>
      <c r="O778" s="552"/>
      <c r="P778" s="552"/>
      <c r="Q778" s="552"/>
      <c r="R778" s="552"/>
      <c r="S778" s="552"/>
      <c r="T778" s="552"/>
      <c r="U778" s="552"/>
      <c r="V778" s="552"/>
      <c r="W778" s="552"/>
      <c r="X778" s="552"/>
      <c r="Y778" s="552"/>
      <c r="Z778" s="552"/>
    </row>
    <row r="779" spans="1:26" ht="12.75" customHeight="1">
      <c r="A779" s="553"/>
      <c r="B779" s="552"/>
      <c r="C779" s="554"/>
      <c r="D779" s="552"/>
      <c r="E779" s="552"/>
      <c r="F779" s="555"/>
      <c r="G779" s="552"/>
      <c r="H779" s="552"/>
      <c r="I779" s="552"/>
      <c r="J779" s="552"/>
      <c r="K779" s="552"/>
      <c r="L779" s="552"/>
      <c r="M779" s="552"/>
      <c r="N779" s="552"/>
      <c r="O779" s="552"/>
      <c r="P779" s="552"/>
      <c r="Q779" s="552"/>
      <c r="R779" s="552"/>
      <c r="S779" s="552"/>
      <c r="T779" s="552"/>
      <c r="U779" s="552"/>
      <c r="V779" s="552"/>
      <c r="W779" s="552"/>
      <c r="X779" s="552"/>
      <c r="Y779" s="552"/>
      <c r="Z779" s="552"/>
    </row>
    <row r="780" spans="1:26" ht="12.75" customHeight="1">
      <c r="A780" s="553"/>
      <c r="B780" s="552"/>
      <c r="C780" s="554"/>
      <c r="D780" s="552"/>
      <c r="E780" s="552"/>
      <c r="F780" s="555"/>
      <c r="G780" s="552"/>
      <c r="H780" s="552"/>
      <c r="I780" s="552"/>
      <c r="J780" s="552"/>
      <c r="K780" s="552"/>
      <c r="L780" s="552"/>
      <c r="M780" s="552"/>
      <c r="N780" s="552"/>
      <c r="O780" s="552"/>
      <c r="P780" s="552"/>
      <c r="Q780" s="552"/>
      <c r="R780" s="552"/>
      <c r="S780" s="552"/>
      <c r="T780" s="552"/>
      <c r="U780" s="552"/>
      <c r="V780" s="552"/>
      <c r="W780" s="552"/>
      <c r="X780" s="552"/>
      <c r="Y780" s="552"/>
      <c r="Z780" s="552"/>
    </row>
    <row r="781" spans="1:26" ht="12.75" customHeight="1">
      <c r="A781" s="553"/>
      <c r="B781" s="552"/>
      <c r="C781" s="554"/>
      <c r="D781" s="552"/>
      <c r="E781" s="552"/>
      <c r="F781" s="555"/>
      <c r="G781" s="552"/>
      <c r="H781" s="552"/>
      <c r="I781" s="552"/>
      <c r="J781" s="552"/>
      <c r="K781" s="552"/>
      <c r="L781" s="552"/>
      <c r="M781" s="552"/>
      <c r="N781" s="552"/>
      <c r="O781" s="552"/>
      <c r="P781" s="552"/>
      <c r="Q781" s="552"/>
      <c r="R781" s="552"/>
      <c r="S781" s="552"/>
      <c r="T781" s="552"/>
      <c r="U781" s="552"/>
      <c r="V781" s="552"/>
      <c r="W781" s="552"/>
      <c r="X781" s="552"/>
      <c r="Y781" s="552"/>
      <c r="Z781" s="552"/>
    </row>
    <row r="782" spans="1:26" ht="12.75" customHeight="1">
      <c r="A782" s="553"/>
      <c r="B782" s="552"/>
      <c r="C782" s="554"/>
      <c r="D782" s="552"/>
      <c r="E782" s="552"/>
      <c r="F782" s="555"/>
      <c r="G782" s="552"/>
      <c r="H782" s="552"/>
      <c r="I782" s="552"/>
      <c r="J782" s="552"/>
      <c r="K782" s="552"/>
      <c r="L782" s="552"/>
      <c r="M782" s="552"/>
      <c r="N782" s="552"/>
      <c r="O782" s="552"/>
      <c r="P782" s="552"/>
      <c r="Q782" s="552"/>
      <c r="R782" s="552"/>
      <c r="S782" s="552"/>
      <c r="T782" s="552"/>
      <c r="U782" s="552"/>
      <c r="V782" s="552"/>
      <c r="W782" s="552"/>
      <c r="X782" s="552"/>
      <c r="Y782" s="552"/>
      <c r="Z782" s="552"/>
    </row>
    <row r="783" spans="1:26" ht="12.75" customHeight="1">
      <c r="A783" s="553"/>
      <c r="B783" s="552"/>
      <c r="C783" s="554"/>
      <c r="D783" s="552"/>
      <c r="E783" s="552"/>
      <c r="F783" s="555"/>
      <c r="G783" s="552"/>
      <c r="H783" s="552"/>
      <c r="I783" s="552"/>
      <c r="J783" s="552"/>
      <c r="K783" s="552"/>
      <c r="L783" s="552"/>
      <c r="M783" s="552"/>
      <c r="N783" s="552"/>
      <c r="O783" s="552"/>
      <c r="P783" s="552"/>
      <c r="Q783" s="552"/>
      <c r="R783" s="552"/>
      <c r="S783" s="552"/>
      <c r="T783" s="552"/>
      <c r="U783" s="552"/>
      <c r="V783" s="552"/>
      <c r="W783" s="552"/>
      <c r="X783" s="552"/>
      <c r="Y783" s="552"/>
      <c r="Z783" s="552"/>
    </row>
    <row r="784" spans="1:26" ht="12.75" customHeight="1">
      <c r="A784" s="553"/>
      <c r="B784" s="552"/>
      <c r="C784" s="554"/>
      <c r="D784" s="552"/>
      <c r="E784" s="552"/>
      <c r="F784" s="555"/>
      <c r="G784" s="552"/>
      <c r="H784" s="552"/>
      <c r="I784" s="552"/>
      <c r="J784" s="552"/>
      <c r="K784" s="552"/>
      <c r="L784" s="552"/>
      <c r="M784" s="552"/>
      <c r="N784" s="552"/>
      <c r="O784" s="552"/>
      <c r="P784" s="552"/>
      <c r="Q784" s="552"/>
      <c r="R784" s="552"/>
      <c r="S784" s="552"/>
      <c r="T784" s="552"/>
      <c r="U784" s="552"/>
      <c r="V784" s="552"/>
      <c r="W784" s="552"/>
      <c r="X784" s="552"/>
      <c r="Y784" s="552"/>
      <c r="Z784" s="552"/>
    </row>
    <row r="785" spans="1:26" ht="12.75" customHeight="1">
      <c r="A785" s="553"/>
      <c r="B785" s="552"/>
      <c r="C785" s="554"/>
      <c r="D785" s="552"/>
      <c r="E785" s="552"/>
      <c r="F785" s="555"/>
      <c r="G785" s="552"/>
      <c r="H785" s="552"/>
      <c r="I785" s="552"/>
      <c r="J785" s="552"/>
      <c r="K785" s="552"/>
      <c r="L785" s="552"/>
      <c r="M785" s="552"/>
      <c r="N785" s="552"/>
      <c r="O785" s="552"/>
      <c r="P785" s="552"/>
      <c r="Q785" s="552"/>
      <c r="R785" s="552"/>
      <c r="S785" s="552"/>
      <c r="T785" s="552"/>
      <c r="U785" s="552"/>
      <c r="V785" s="552"/>
      <c r="W785" s="552"/>
      <c r="X785" s="552"/>
      <c r="Y785" s="552"/>
      <c r="Z785" s="552"/>
    </row>
    <row r="786" spans="1:26" ht="12.75" customHeight="1">
      <c r="A786" s="553"/>
      <c r="B786" s="552"/>
      <c r="C786" s="554"/>
      <c r="D786" s="552"/>
      <c r="E786" s="552"/>
      <c r="F786" s="555"/>
      <c r="G786" s="552"/>
      <c r="H786" s="552"/>
      <c r="I786" s="552"/>
      <c r="J786" s="552"/>
      <c r="K786" s="552"/>
      <c r="L786" s="552"/>
      <c r="M786" s="552"/>
      <c r="N786" s="552"/>
      <c r="O786" s="552"/>
      <c r="P786" s="552"/>
      <c r="Q786" s="552"/>
      <c r="R786" s="552"/>
      <c r="S786" s="552"/>
      <c r="T786" s="552"/>
      <c r="U786" s="552"/>
      <c r="V786" s="552"/>
      <c r="W786" s="552"/>
      <c r="X786" s="552"/>
      <c r="Y786" s="552"/>
      <c r="Z786" s="552"/>
    </row>
    <row r="787" spans="1:26" ht="12.75" customHeight="1">
      <c r="A787" s="553"/>
      <c r="B787" s="552"/>
      <c r="C787" s="554"/>
      <c r="D787" s="552"/>
      <c r="E787" s="552"/>
      <c r="F787" s="555"/>
      <c r="G787" s="552"/>
      <c r="H787" s="552"/>
      <c r="I787" s="552"/>
      <c r="J787" s="552"/>
      <c r="K787" s="552"/>
      <c r="L787" s="552"/>
      <c r="M787" s="552"/>
      <c r="N787" s="552"/>
      <c r="O787" s="552"/>
      <c r="P787" s="552"/>
      <c r="Q787" s="552"/>
      <c r="R787" s="552"/>
      <c r="S787" s="552"/>
      <c r="T787" s="552"/>
      <c r="U787" s="552"/>
      <c r="V787" s="552"/>
      <c r="W787" s="552"/>
      <c r="X787" s="552"/>
      <c r="Y787" s="552"/>
      <c r="Z787" s="552"/>
    </row>
    <row r="788" spans="1:26" ht="12.75" customHeight="1">
      <c r="A788" s="553"/>
      <c r="B788" s="552"/>
      <c r="C788" s="554"/>
      <c r="D788" s="552"/>
      <c r="E788" s="552"/>
      <c r="F788" s="555"/>
      <c r="G788" s="552"/>
      <c r="H788" s="552"/>
      <c r="I788" s="552"/>
      <c r="J788" s="552"/>
      <c r="K788" s="552"/>
      <c r="L788" s="552"/>
      <c r="M788" s="552"/>
      <c r="N788" s="552"/>
      <c r="O788" s="552"/>
      <c r="P788" s="552"/>
      <c r="Q788" s="552"/>
      <c r="R788" s="552"/>
      <c r="S788" s="552"/>
      <c r="T788" s="552"/>
      <c r="U788" s="552"/>
      <c r="V788" s="552"/>
      <c r="W788" s="552"/>
      <c r="X788" s="552"/>
      <c r="Y788" s="552"/>
      <c r="Z788" s="552"/>
    </row>
    <row r="789" spans="1:26" ht="12.75" customHeight="1">
      <c r="A789" s="553"/>
      <c r="B789" s="552"/>
      <c r="C789" s="554"/>
      <c r="D789" s="552"/>
      <c r="E789" s="552"/>
      <c r="F789" s="555"/>
      <c r="G789" s="552"/>
      <c r="H789" s="552"/>
      <c r="I789" s="552"/>
      <c r="J789" s="552"/>
      <c r="K789" s="552"/>
      <c r="L789" s="552"/>
      <c r="M789" s="552"/>
      <c r="N789" s="552"/>
      <c r="O789" s="552"/>
      <c r="P789" s="552"/>
      <c r="Q789" s="552"/>
      <c r="R789" s="552"/>
      <c r="S789" s="552"/>
      <c r="T789" s="552"/>
      <c r="U789" s="552"/>
      <c r="V789" s="552"/>
      <c r="W789" s="552"/>
      <c r="X789" s="552"/>
      <c r="Y789" s="552"/>
      <c r="Z789" s="552"/>
    </row>
    <row r="790" spans="1:26" ht="12.75" customHeight="1">
      <c r="A790" s="553"/>
      <c r="B790" s="552"/>
      <c r="C790" s="554"/>
      <c r="D790" s="552"/>
      <c r="E790" s="552"/>
      <c r="F790" s="555"/>
      <c r="G790" s="552"/>
      <c r="H790" s="552"/>
      <c r="I790" s="552"/>
      <c r="J790" s="552"/>
      <c r="K790" s="552"/>
      <c r="L790" s="552"/>
      <c r="M790" s="552"/>
      <c r="N790" s="552"/>
      <c r="O790" s="552"/>
      <c r="P790" s="552"/>
      <c r="Q790" s="552"/>
      <c r="R790" s="552"/>
      <c r="S790" s="552"/>
      <c r="T790" s="552"/>
      <c r="U790" s="552"/>
      <c r="V790" s="552"/>
      <c r="W790" s="552"/>
      <c r="X790" s="552"/>
      <c r="Y790" s="552"/>
      <c r="Z790" s="552"/>
    </row>
    <row r="791" spans="1:26" ht="12.75" customHeight="1">
      <c r="A791" s="553"/>
      <c r="B791" s="552"/>
      <c r="C791" s="554"/>
      <c r="D791" s="552"/>
      <c r="E791" s="552"/>
      <c r="F791" s="555"/>
      <c r="G791" s="552"/>
      <c r="H791" s="552"/>
      <c r="I791" s="552"/>
      <c r="J791" s="552"/>
      <c r="K791" s="552"/>
      <c r="L791" s="552"/>
      <c r="M791" s="552"/>
      <c r="N791" s="552"/>
      <c r="O791" s="552"/>
      <c r="P791" s="552"/>
      <c r="Q791" s="552"/>
      <c r="R791" s="552"/>
      <c r="S791" s="552"/>
      <c r="T791" s="552"/>
      <c r="U791" s="552"/>
      <c r="V791" s="552"/>
      <c r="W791" s="552"/>
      <c r="X791" s="552"/>
      <c r="Y791" s="552"/>
      <c r="Z791" s="552"/>
    </row>
    <row r="792" spans="1:26" ht="12.75" customHeight="1">
      <c r="A792" s="553"/>
      <c r="B792" s="552"/>
      <c r="C792" s="554"/>
      <c r="D792" s="552"/>
      <c r="E792" s="552"/>
      <c r="F792" s="555"/>
      <c r="G792" s="552"/>
      <c r="H792" s="552"/>
      <c r="I792" s="552"/>
      <c r="J792" s="552"/>
      <c r="K792" s="552"/>
      <c r="L792" s="552"/>
      <c r="M792" s="552"/>
      <c r="N792" s="552"/>
      <c r="O792" s="552"/>
      <c r="P792" s="552"/>
      <c r="Q792" s="552"/>
      <c r="R792" s="552"/>
      <c r="S792" s="552"/>
      <c r="T792" s="552"/>
      <c r="U792" s="552"/>
      <c r="V792" s="552"/>
      <c r="W792" s="552"/>
      <c r="X792" s="552"/>
      <c r="Y792" s="552"/>
      <c r="Z792" s="552"/>
    </row>
    <row r="793" spans="1:26" ht="12.75" customHeight="1">
      <c r="A793" s="553"/>
      <c r="B793" s="552"/>
      <c r="C793" s="554"/>
      <c r="D793" s="552"/>
      <c r="E793" s="552"/>
      <c r="F793" s="555"/>
      <c r="G793" s="552"/>
      <c r="H793" s="552"/>
      <c r="I793" s="552"/>
      <c r="J793" s="552"/>
      <c r="K793" s="552"/>
      <c r="L793" s="552"/>
      <c r="M793" s="552"/>
      <c r="N793" s="552"/>
      <c r="O793" s="552"/>
      <c r="P793" s="552"/>
      <c r="Q793" s="552"/>
      <c r="R793" s="552"/>
      <c r="S793" s="552"/>
      <c r="T793" s="552"/>
      <c r="U793" s="552"/>
      <c r="V793" s="552"/>
      <c r="W793" s="552"/>
      <c r="X793" s="552"/>
      <c r="Y793" s="552"/>
      <c r="Z793" s="552"/>
    </row>
    <row r="794" spans="1:26" ht="12.75" customHeight="1">
      <c r="A794" s="553"/>
      <c r="B794" s="552"/>
      <c r="C794" s="554"/>
      <c r="D794" s="552"/>
      <c r="E794" s="552"/>
      <c r="F794" s="555"/>
      <c r="G794" s="552"/>
      <c r="H794" s="552"/>
      <c r="I794" s="552"/>
      <c r="J794" s="552"/>
      <c r="K794" s="552"/>
      <c r="L794" s="552"/>
      <c r="M794" s="552"/>
      <c r="N794" s="552"/>
      <c r="O794" s="552"/>
      <c r="P794" s="552"/>
      <c r="Q794" s="552"/>
      <c r="R794" s="552"/>
      <c r="S794" s="552"/>
      <c r="T794" s="552"/>
      <c r="U794" s="552"/>
      <c r="V794" s="552"/>
      <c r="W794" s="552"/>
      <c r="X794" s="552"/>
      <c r="Y794" s="552"/>
      <c r="Z794" s="552"/>
    </row>
    <row r="795" spans="1:26" ht="12.75" customHeight="1">
      <c r="A795" s="553"/>
      <c r="B795" s="552"/>
      <c r="C795" s="554"/>
      <c r="D795" s="552"/>
      <c r="E795" s="552"/>
      <c r="F795" s="555"/>
      <c r="G795" s="552"/>
      <c r="H795" s="552"/>
      <c r="I795" s="552"/>
      <c r="J795" s="552"/>
      <c r="K795" s="552"/>
      <c r="L795" s="552"/>
      <c r="M795" s="552"/>
      <c r="N795" s="552"/>
      <c r="O795" s="552"/>
      <c r="P795" s="552"/>
      <c r="Q795" s="552"/>
      <c r="R795" s="552"/>
      <c r="S795" s="552"/>
      <c r="T795" s="552"/>
      <c r="U795" s="552"/>
      <c r="V795" s="552"/>
      <c r="W795" s="552"/>
      <c r="X795" s="552"/>
      <c r="Y795" s="552"/>
      <c r="Z795" s="552"/>
    </row>
    <row r="796" spans="1:26" ht="12.75" customHeight="1">
      <c r="A796" s="553"/>
      <c r="B796" s="552"/>
      <c r="C796" s="554"/>
      <c r="D796" s="552"/>
      <c r="E796" s="552"/>
      <c r="F796" s="555"/>
      <c r="G796" s="552"/>
      <c r="H796" s="552"/>
      <c r="I796" s="552"/>
      <c r="J796" s="552"/>
      <c r="K796" s="552"/>
      <c r="L796" s="552"/>
      <c r="M796" s="552"/>
      <c r="N796" s="552"/>
      <c r="O796" s="552"/>
      <c r="P796" s="552"/>
      <c r="Q796" s="552"/>
      <c r="R796" s="552"/>
      <c r="S796" s="552"/>
      <c r="T796" s="552"/>
      <c r="U796" s="552"/>
      <c r="V796" s="552"/>
      <c r="W796" s="552"/>
      <c r="X796" s="552"/>
      <c r="Y796" s="552"/>
      <c r="Z796" s="552"/>
    </row>
    <row r="797" spans="1:26" ht="12.75" customHeight="1">
      <c r="A797" s="553"/>
      <c r="B797" s="552"/>
      <c r="C797" s="554"/>
      <c r="D797" s="552"/>
      <c r="E797" s="552"/>
      <c r="F797" s="555"/>
      <c r="G797" s="552"/>
      <c r="H797" s="552"/>
      <c r="I797" s="552"/>
      <c r="J797" s="552"/>
      <c r="K797" s="552"/>
      <c r="L797" s="552"/>
      <c r="M797" s="552"/>
      <c r="N797" s="552"/>
      <c r="O797" s="552"/>
      <c r="P797" s="552"/>
      <c r="Q797" s="552"/>
      <c r="R797" s="552"/>
      <c r="S797" s="552"/>
      <c r="T797" s="552"/>
      <c r="U797" s="552"/>
      <c r="V797" s="552"/>
      <c r="W797" s="552"/>
      <c r="X797" s="552"/>
      <c r="Y797" s="552"/>
      <c r="Z797" s="552"/>
    </row>
    <row r="798" spans="1:26" ht="12.75" customHeight="1">
      <c r="A798" s="553"/>
      <c r="B798" s="552"/>
      <c r="C798" s="554"/>
      <c r="D798" s="552"/>
      <c r="E798" s="552"/>
      <c r="F798" s="555"/>
      <c r="G798" s="552"/>
      <c r="H798" s="552"/>
      <c r="I798" s="552"/>
      <c r="J798" s="552"/>
      <c r="K798" s="552"/>
      <c r="L798" s="552"/>
      <c r="M798" s="552"/>
      <c r="N798" s="552"/>
      <c r="O798" s="552"/>
      <c r="P798" s="552"/>
      <c r="Q798" s="552"/>
      <c r="R798" s="552"/>
      <c r="S798" s="552"/>
      <c r="T798" s="552"/>
      <c r="U798" s="552"/>
      <c r="V798" s="552"/>
      <c r="W798" s="552"/>
      <c r="X798" s="552"/>
      <c r="Y798" s="552"/>
      <c r="Z798" s="552"/>
    </row>
    <row r="799" spans="1:26" ht="12.75" customHeight="1">
      <c r="A799" s="553"/>
      <c r="B799" s="552"/>
      <c r="C799" s="554"/>
      <c r="D799" s="552"/>
      <c r="E799" s="552"/>
      <c r="F799" s="555"/>
      <c r="G799" s="552"/>
      <c r="H799" s="552"/>
      <c r="I799" s="552"/>
      <c r="J799" s="552"/>
      <c r="K799" s="552"/>
      <c r="L799" s="552"/>
      <c r="M799" s="552"/>
      <c r="N799" s="552"/>
      <c r="O799" s="552"/>
      <c r="P799" s="552"/>
      <c r="Q799" s="552"/>
      <c r="R799" s="552"/>
      <c r="S799" s="552"/>
      <c r="T799" s="552"/>
      <c r="U799" s="552"/>
      <c r="V799" s="552"/>
      <c r="W799" s="552"/>
      <c r="X799" s="552"/>
      <c r="Y799" s="552"/>
      <c r="Z799" s="552"/>
    </row>
    <row r="800" spans="1:26" ht="12.75" customHeight="1">
      <c r="A800" s="553"/>
      <c r="B800" s="552"/>
      <c r="C800" s="554"/>
      <c r="D800" s="552"/>
      <c r="E800" s="552"/>
      <c r="F800" s="555"/>
      <c r="G800" s="552"/>
      <c r="H800" s="552"/>
      <c r="I800" s="552"/>
      <c r="J800" s="552"/>
      <c r="K800" s="552"/>
      <c r="L800" s="552"/>
      <c r="M800" s="552"/>
      <c r="N800" s="552"/>
      <c r="O800" s="552"/>
      <c r="P800" s="552"/>
      <c r="Q800" s="552"/>
      <c r="R800" s="552"/>
      <c r="S800" s="552"/>
      <c r="T800" s="552"/>
      <c r="U800" s="552"/>
      <c r="V800" s="552"/>
      <c r="W800" s="552"/>
      <c r="X800" s="552"/>
      <c r="Y800" s="552"/>
      <c r="Z800" s="552"/>
    </row>
    <row r="801" spans="1:26" ht="12.75" customHeight="1">
      <c r="A801" s="553"/>
      <c r="B801" s="552"/>
      <c r="C801" s="554"/>
      <c r="D801" s="552"/>
      <c r="E801" s="552"/>
      <c r="F801" s="555"/>
      <c r="G801" s="552"/>
      <c r="H801" s="552"/>
      <c r="I801" s="552"/>
      <c r="J801" s="552"/>
      <c r="K801" s="552"/>
      <c r="L801" s="552"/>
      <c r="M801" s="552"/>
      <c r="N801" s="552"/>
      <c r="O801" s="552"/>
      <c r="P801" s="552"/>
      <c r="Q801" s="552"/>
      <c r="R801" s="552"/>
      <c r="S801" s="552"/>
      <c r="T801" s="552"/>
      <c r="U801" s="552"/>
      <c r="V801" s="552"/>
      <c r="W801" s="552"/>
      <c r="X801" s="552"/>
      <c r="Y801" s="552"/>
      <c r="Z801" s="552"/>
    </row>
    <row r="802" spans="1:26" ht="12.75" customHeight="1">
      <c r="A802" s="553"/>
      <c r="B802" s="552"/>
      <c r="C802" s="554"/>
      <c r="D802" s="552"/>
      <c r="E802" s="552"/>
      <c r="F802" s="555"/>
      <c r="G802" s="552"/>
      <c r="H802" s="552"/>
      <c r="I802" s="552"/>
      <c r="J802" s="552"/>
      <c r="K802" s="552"/>
      <c r="L802" s="552"/>
      <c r="M802" s="552"/>
      <c r="N802" s="552"/>
      <c r="O802" s="552"/>
      <c r="P802" s="552"/>
      <c r="Q802" s="552"/>
      <c r="R802" s="552"/>
      <c r="S802" s="552"/>
      <c r="T802" s="552"/>
      <c r="U802" s="552"/>
      <c r="V802" s="552"/>
      <c r="W802" s="552"/>
      <c r="X802" s="552"/>
      <c r="Y802" s="552"/>
      <c r="Z802" s="552"/>
    </row>
    <row r="803" spans="1:26" ht="12.75" customHeight="1">
      <c r="A803" s="553"/>
      <c r="B803" s="552"/>
      <c r="C803" s="554"/>
      <c r="D803" s="552"/>
      <c r="E803" s="552"/>
      <c r="F803" s="555"/>
      <c r="G803" s="552"/>
      <c r="H803" s="552"/>
      <c r="I803" s="552"/>
      <c r="J803" s="552"/>
      <c r="K803" s="552"/>
      <c r="L803" s="552"/>
      <c r="M803" s="552"/>
      <c r="N803" s="552"/>
      <c r="O803" s="552"/>
      <c r="P803" s="552"/>
      <c r="Q803" s="552"/>
      <c r="R803" s="552"/>
      <c r="S803" s="552"/>
      <c r="T803" s="552"/>
      <c r="U803" s="552"/>
      <c r="V803" s="552"/>
      <c r="W803" s="552"/>
      <c r="X803" s="552"/>
      <c r="Y803" s="552"/>
      <c r="Z803" s="552"/>
    </row>
    <row r="804" spans="1:26" ht="12.75" customHeight="1">
      <c r="A804" s="553"/>
      <c r="B804" s="552"/>
      <c r="C804" s="554"/>
      <c r="D804" s="552"/>
      <c r="E804" s="552"/>
      <c r="F804" s="555"/>
      <c r="G804" s="552"/>
      <c r="H804" s="552"/>
      <c r="I804" s="552"/>
      <c r="J804" s="552"/>
      <c r="K804" s="552"/>
      <c r="L804" s="552"/>
      <c r="M804" s="552"/>
      <c r="N804" s="552"/>
      <c r="O804" s="552"/>
      <c r="P804" s="552"/>
      <c r="Q804" s="552"/>
      <c r="R804" s="552"/>
      <c r="S804" s="552"/>
      <c r="T804" s="552"/>
      <c r="U804" s="552"/>
      <c r="V804" s="552"/>
      <c r="W804" s="552"/>
      <c r="X804" s="552"/>
      <c r="Y804" s="552"/>
      <c r="Z804" s="552"/>
    </row>
    <row r="805" spans="1:26" ht="12.75" customHeight="1">
      <c r="A805" s="553"/>
      <c r="B805" s="552"/>
      <c r="C805" s="554"/>
      <c r="D805" s="552"/>
      <c r="E805" s="552"/>
      <c r="F805" s="555"/>
      <c r="G805" s="552"/>
      <c r="H805" s="552"/>
      <c r="I805" s="552"/>
      <c r="J805" s="552"/>
      <c r="K805" s="552"/>
      <c r="L805" s="552"/>
      <c r="M805" s="552"/>
      <c r="N805" s="552"/>
      <c r="O805" s="552"/>
      <c r="P805" s="552"/>
      <c r="Q805" s="552"/>
      <c r="R805" s="552"/>
      <c r="S805" s="552"/>
      <c r="T805" s="552"/>
      <c r="U805" s="552"/>
      <c r="V805" s="552"/>
      <c r="W805" s="552"/>
      <c r="X805" s="552"/>
      <c r="Y805" s="552"/>
      <c r="Z805" s="552"/>
    </row>
    <row r="806" spans="1:26" ht="12.75" customHeight="1">
      <c r="A806" s="553"/>
      <c r="B806" s="552"/>
      <c r="C806" s="554"/>
      <c r="D806" s="552"/>
      <c r="E806" s="552"/>
      <c r="F806" s="555"/>
      <c r="G806" s="552"/>
      <c r="H806" s="552"/>
      <c r="I806" s="552"/>
      <c r="J806" s="552"/>
      <c r="K806" s="552"/>
      <c r="L806" s="552"/>
      <c r="M806" s="552"/>
      <c r="N806" s="552"/>
      <c r="O806" s="552"/>
      <c r="P806" s="552"/>
      <c r="Q806" s="552"/>
      <c r="R806" s="552"/>
      <c r="S806" s="552"/>
      <c r="T806" s="552"/>
      <c r="U806" s="552"/>
      <c r="V806" s="552"/>
      <c r="W806" s="552"/>
      <c r="X806" s="552"/>
      <c r="Y806" s="552"/>
      <c r="Z806" s="552"/>
    </row>
    <row r="807" spans="1:26" ht="12.75" customHeight="1">
      <c r="A807" s="553"/>
      <c r="B807" s="552"/>
      <c r="C807" s="554"/>
      <c r="D807" s="552"/>
      <c r="E807" s="552"/>
      <c r="F807" s="555"/>
      <c r="G807" s="552"/>
      <c r="H807" s="552"/>
      <c r="I807" s="552"/>
      <c r="J807" s="552"/>
      <c r="K807" s="552"/>
      <c r="L807" s="552"/>
      <c r="M807" s="552"/>
      <c r="N807" s="552"/>
      <c r="O807" s="552"/>
      <c r="P807" s="552"/>
      <c r="Q807" s="552"/>
      <c r="R807" s="552"/>
      <c r="S807" s="552"/>
      <c r="T807" s="552"/>
      <c r="U807" s="552"/>
      <c r="V807" s="552"/>
      <c r="W807" s="552"/>
      <c r="X807" s="552"/>
      <c r="Y807" s="552"/>
      <c r="Z807" s="552"/>
    </row>
    <row r="808" spans="1:26" ht="12.75" customHeight="1">
      <c r="A808" s="553"/>
      <c r="B808" s="552"/>
      <c r="C808" s="554"/>
      <c r="D808" s="552"/>
      <c r="E808" s="552"/>
      <c r="F808" s="555"/>
      <c r="G808" s="552"/>
      <c r="H808" s="552"/>
      <c r="I808" s="552"/>
      <c r="J808" s="552"/>
      <c r="K808" s="552"/>
      <c r="L808" s="552"/>
      <c r="M808" s="552"/>
      <c r="N808" s="552"/>
      <c r="O808" s="552"/>
      <c r="P808" s="552"/>
      <c r="Q808" s="552"/>
      <c r="R808" s="552"/>
      <c r="S808" s="552"/>
      <c r="T808" s="552"/>
      <c r="U808" s="552"/>
      <c r="V808" s="552"/>
      <c r="W808" s="552"/>
      <c r="X808" s="552"/>
      <c r="Y808" s="552"/>
      <c r="Z808" s="552"/>
    </row>
    <row r="809" spans="1:26" ht="12.75" customHeight="1">
      <c r="A809" s="553"/>
      <c r="B809" s="552"/>
      <c r="C809" s="554"/>
      <c r="D809" s="552"/>
      <c r="E809" s="552"/>
      <c r="F809" s="555"/>
      <c r="G809" s="552"/>
      <c r="H809" s="552"/>
      <c r="I809" s="552"/>
      <c r="J809" s="552"/>
      <c r="K809" s="552"/>
      <c r="L809" s="552"/>
      <c r="M809" s="552"/>
      <c r="N809" s="552"/>
      <c r="O809" s="552"/>
      <c r="P809" s="552"/>
      <c r="Q809" s="552"/>
      <c r="R809" s="552"/>
      <c r="S809" s="552"/>
      <c r="T809" s="552"/>
      <c r="U809" s="552"/>
      <c r="V809" s="552"/>
      <c r="W809" s="552"/>
      <c r="X809" s="552"/>
      <c r="Y809" s="552"/>
      <c r="Z809" s="552"/>
    </row>
    <row r="810" spans="1:26" ht="12.75" customHeight="1">
      <c r="A810" s="553"/>
      <c r="B810" s="552"/>
      <c r="C810" s="554"/>
      <c r="D810" s="552"/>
      <c r="E810" s="552"/>
      <c r="F810" s="555"/>
      <c r="G810" s="552"/>
      <c r="H810" s="552"/>
      <c r="I810" s="552"/>
      <c r="J810" s="552"/>
      <c r="K810" s="552"/>
      <c r="L810" s="552"/>
      <c r="M810" s="552"/>
      <c r="N810" s="552"/>
      <c r="O810" s="552"/>
      <c r="P810" s="552"/>
      <c r="Q810" s="552"/>
      <c r="R810" s="552"/>
      <c r="S810" s="552"/>
      <c r="T810" s="552"/>
      <c r="U810" s="552"/>
      <c r="V810" s="552"/>
      <c r="W810" s="552"/>
      <c r="X810" s="552"/>
      <c r="Y810" s="552"/>
      <c r="Z810" s="552"/>
    </row>
    <row r="811" spans="1:26" ht="12.75" customHeight="1">
      <c r="A811" s="553"/>
      <c r="B811" s="552"/>
      <c r="C811" s="554"/>
      <c r="D811" s="552"/>
      <c r="E811" s="552"/>
      <c r="F811" s="555"/>
      <c r="G811" s="552"/>
      <c r="H811" s="552"/>
      <c r="I811" s="552"/>
      <c r="J811" s="552"/>
      <c r="K811" s="552"/>
      <c r="L811" s="552"/>
      <c r="M811" s="552"/>
      <c r="N811" s="552"/>
      <c r="O811" s="552"/>
      <c r="P811" s="552"/>
      <c r="Q811" s="552"/>
      <c r="R811" s="552"/>
      <c r="S811" s="552"/>
      <c r="T811" s="552"/>
      <c r="U811" s="552"/>
      <c r="V811" s="552"/>
      <c r="W811" s="552"/>
      <c r="X811" s="552"/>
      <c r="Y811" s="552"/>
      <c r="Z811" s="552"/>
    </row>
    <row r="812" spans="1:26" ht="12.75" customHeight="1">
      <c r="A812" s="553"/>
      <c r="B812" s="552"/>
      <c r="C812" s="554"/>
      <c r="D812" s="552"/>
      <c r="E812" s="552"/>
      <c r="F812" s="555"/>
      <c r="G812" s="552"/>
      <c r="H812" s="552"/>
      <c r="I812" s="552"/>
      <c r="J812" s="552"/>
      <c r="K812" s="552"/>
      <c r="L812" s="552"/>
      <c r="M812" s="552"/>
      <c r="N812" s="552"/>
      <c r="O812" s="552"/>
      <c r="P812" s="552"/>
      <c r="Q812" s="552"/>
      <c r="R812" s="552"/>
      <c r="S812" s="552"/>
      <c r="T812" s="552"/>
      <c r="U812" s="552"/>
      <c r="V812" s="552"/>
      <c r="W812" s="552"/>
      <c r="X812" s="552"/>
      <c r="Y812" s="552"/>
      <c r="Z812" s="552"/>
    </row>
    <row r="813" spans="1:26" ht="12.75" customHeight="1">
      <c r="A813" s="553"/>
      <c r="B813" s="552"/>
      <c r="C813" s="554"/>
      <c r="D813" s="552"/>
      <c r="E813" s="552"/>
      <c r="F813" s="555"/>
      <c r="G813" s="552"/>
      <c r="H813" s="552"/>
      <c r="I813" s="552"/>
      <c r="J813" s="552"/>
      <c r="K813" s="552"/>
      <c r="L813" s="552"/>
      <c r="M813" s="552"/>
      <c r="N813" s="552"/>
      <c r="O813" s="552"/>
      <c r="P813" s="552"/>
      <c r="Q813" s="552"/>
      <c r="R813" s="552"/>
      <c r="S813" s="552"/>
      <c r="T813" s="552"/>
      <c r="U813" s="552"/>
      <c r="V813" s="552"/>
      <c r="W813" s="552"/>
      <c r="X813" s="552"/>
      <c r="Y813" s="552"/>
      <c r="Z813" s="552"/>
    </row>
    <row r="814" spans="1:26" ht="12.75" customHeight="1">
      <c r="A814" s="553"/>
      <c r="B814" s="552"/>
      <c r="C814" s="554"/>
      <c r="D814" s="552"/>
      <c r="E814" s="552"/>
      <c r="F814" s="555"/>
      <c r="G814" s="552"/>
      <c r="H814" s="552"/>
      <c r="I814" s="552"/>
      <c r="J814" s="552"/>
      <c r="K814" s="552"/>
      <c r="L814" s="552"/>
      <c r="M814" s="552"/>
      <c r="N814" s="552"/>
      <c r="O814" s="552"/>
      <c r="P814" s="552"/>
      <c r="Q814" s="552"/>
      <c r="R814" s="552"/>
      <c r="S814" s="552"/>
      <c r="T814" s="552"/>
      <c r="U814" s="552"/>
      <c r="V814" s="552"/>
      <c r="W814" s="552"/>
      <c r="X814" s="552"/>
      <c r="Y814" s="552"/>
      <c r="Z814" s="552"/>
    </row>
    <row r="815" spans="1:26" ht="12.75" customHeight="1">
      <c r="A815" s="553"/>
      <c r="B815" s="552"/>
      <c r="C815" s="554"/>
      <c r="D815" s="552"/>
      <c r="E815" s="552"/>
      <c r="F815" s="555"/>
      <c r="G815" s="552"/>
      <c r="H815" s="552"/>
      <c r="I815" s="552"/>
      <c r="J815" s="552"/>
      <c r="K815" s="552"/>
      <c r="L815" s="552"/>
      <c r="M815" s="552"/>
      <c r="N815" s="552"/>
      <c r="O815" s="552"/>
      <c r="P815" s="552"/>
      <c r="Q815" s="552"/>
      <c r="R815" s="552"/>
      <c r="S815" s="552"/>
      <c r="T815" s="552"/>
      <c r="U815" s="552"/>
      <c r="V815" s="552"/>
      <c r="W815" s="552"/>
      <c r="X815" s="552"/>
      <c r="Y815" s="552"/>
      <c r="Z815" s="552"/>
    </row>
    <row r="816" spans="1:26" ht="12.75" customHeight="1">
      <c r="A816" s="553"/>
      <c r="B816" s="552"/>
      <c r="C816" s="554"/>
      <c r="D816" s="552"/>
      <c r="E816" s="552"/>
      <c r="F816" s="555"/>
      <c r="G816" s="552"/>
      <c r="H816" s="552"/>
      <c r="I816" s="552"/>
      <c r="J816" s="552"/>
      <c r="K816" s="552"/>
      <c r="L816" s="552"/>
      <c r="M816" s="552"/>
      <c r="N816" s="552"/>
      <c r="O816" s="552"/>
      <c r="P816" s="552"/>
      <c r="Q816" s="552"/>
      <c r="R816" s="552"/>
      <c r="S816" s="552"/>
      <c r="T816" s="552"/>
      <c r="U816" s="552"/>
      <c r="V816" s="552"/>
      <c r="W816" s="552"/>
      <c r="X816" s="552"/>
      <c r="Y816" s="552"/>
      <c r="Z816" s="552"/>
    </row>
    <row r="817" spans="1:26" ht="12.75" customHeight="1">
      <c r="A817" s="553"/>
      <c r="B817" s="552"/>
      <c r="C817" s="554"/>
      <c r="D817" s="552"/>
      <c r="E817" s="552"/>
      <c r="F817" s="555"/>
      <c r="G817" s="552"/>
      <c r="H817" s="552"/>
      <c r="I817" s="552"/>
      <c r="J817" s="552"/>
      <c r="K817" s="552"/>
      <c r="L817" s="552"/>
      <c r="M817" s="552"/>
      <c r="N817" s="552"/>
      <c r="O817" s="552"/>
      <c r="P817" s="552"/>
      <c r="Q817" s="552"/>
      <c r="R817" s="552"/>
      <c r="S817" s="552"/>
      <c r="T817" s="552"/>
      <c r="U817" s="552"/>
      <c r="V817" s="552"/>
      <c r="W817" s="552"/>
      <c r="X817" s="552"/>
      <c r="Y817" s="552"/>
      <c r="Z817" s="552"/>
    </row>
    <row r="818" spans="1:26" ht="12.75" customHeight="1">
      <c r="A818" s="553"/>
      <c r="B818" s="552"/>
      <c r="C818" s="554"/>
      <c r="D818" s="552"/>
      <c r="E818" s="552"/>
      <c r="F818" s="555"/>
      <c r="G818" s="552"/>
      <c r="H818" s="552"/>
      <c r="I818" s="552"/>
      <c r="J818" s="552"/>
      <c r="K818" s="552"/>
      <c r="L818" s="552"/>
      <c r="M818" s="552"/>
      <c r="N818" s="552"/>
      <c r="O818" s="552"/>
      <c r="P818" s="552"/>
      <c r="Q818" s="552"/>
      <c r="R818" s="552"/>
      <c r="S818" s="552"/>
      <c r="T818" s="552"/>
      <c r="U818" s="552"/>
      <c r="V818" s="552"/>
      <c r="W818" s="552"/>
      <c r="X818" s="552"/>
      <c r="Y818" s="552"/>
      <c r="Z818" s="552"/>
    </row>
    <row r="819" spans="1:26" ht="12.75" customHeight="1">
      <c r="A819" s="553"/>
      <c r="B819" s="552"/>
      <c r="C819" s="554"/>
      <c r="D819" s="552"/>
      <c r="E819" s="552"/>
      <c r="F819" s="555"/>
      <c r="G819" s="552"/>
      <c r="H819" s="552"/>
      <c r="I819" s="552"/>
      <c r="J819" s="552"/>
      <c r="K819" s="552"/>
      <c r="L819" s="552"/>
      <c r="M819" s="552"/>
      <c r="N819" s="552"/>
      <c r="O819" s="552"/>
      <c r="P819" s="552"/>
      <c r="Q819" s="552"/>
      <c r="R819" s="552"/>
      <c r="S819" s="552"/>
      <c r="T819" s="552"/>
      <c r="U819" s="552"/>
      <c r="V819" s="552"/>
      <c r="W819" s="552"/>
      <c r="X819" s="552"/>
      <c r="Y819" s="552"/>
      <c r="Z819" s="552"/>
    </row>
    <row r="820" spans="1:26" ht="12.75" customHeight="1">
      <c r="A820" s="553"/>
      <c r="B820" s="552"/>
      <c r="C820" s="554"/>
      <c r="D820" s="552"/>
      <c r="E820" s="552"/>
      <c r="F820" s="555"/>
      <c r="G820" s="552"/>
      <c r="H820" s="552"/>
      <c r="I820" s="552"/>
      <c r="J820" s="552"/>
      <c r="K820" s="552"/>
      <c r="L820" s="552"/>
      <c r="M820" s="552"/>
      <c r="N820" s="552"/>
      <c r="O820" s="552"/>
      <c r="P820" s="552"/>
      <c r="Q820" s="552"/>
      <c r="R820" s="552"/>
      <c r="S820" s="552"/>
      <c r="T820" s="552"/>
      <c r="U820" s="552"/>
      <c r="V820" s="552"/>
      <c r="W820" s="552"/>
      <c r="X820" s="552"/>
      <c r="Y820" s="552"/>
      <c r="Z820" s="552"/>
    </row>
    <row r="821" spans="1:26" ht="12.75" customHeight="1">
      <c r="A821" s="553"/>
      <c r="B821" s="552"/>
      <c r="C821" s="554"/>
      <c r="D821" s="552"/>
      <c r="E821" s="552"/>
      <c r="F821" s="555"/>
      <c r="G821" s="552"/>
      <c r="H821" s="552"/>
      <c r="I821" s="552"/>
      <c r="J821" s="552"/>
      <c r="K821" s="552"/>
      <c r="L821" s="552"/>
      <c r="M821" s="552"/>
      <c r="N821" s="552"/>
      <c r="O821" s="552"/>
      <c r="P821" s="552"/>
      <c r="Q821" s="552"/>
      <c r="R821" s="552"/>
      <c r="S821" s="552"/>
      <c r="T821" s="552"/>
      <c r="U821" s="552"/>
      <c r="V821" s="552"/>
      <c r="W821" s="552"/>
      <c r="X821" s="552"/>
      <c r="Y821" s="552"/>
      <c r="Z821" s="552"/>
    </row>
    <row r="822" spans="1:26" ht="12.75" customHeight="1">
      <c r="A822" s="553"/>
      <c r="B822" s="552"/>
      <c r="C822" s="554"/>
      <c r="D822" s="552"/>
      <c r="E822" s="552"/>
      <c r="F822" s="555"/>
      <c r="G822" s="552"/>
      <c r="H822" s="552"/>
      <c r="I822" s="552"/>
      <c r="J822" s="552"/>
      <c r="K822" s="552"/>
      <c r="L822" s="552"/>
      <c r="M822" s="552"/>
      <c r="N822" s="552"/>
      <c r="O822" s="552"/>
      <c r="P822" s="552"/>
      <c r="Q822" s="552"/>
      <c r="R822" s="552"/>
      <c r="S822" s="552"/>
      <c r="T822" s="552"/>
      <c r="U822" s="552"/>
      <c r="V822" s="552"/>
      <c r="W822" s="552"/>
      <c r="X822" s="552"/>
      <c r="Y822" s="552"/>
      <c r="Z822" s="552"/>
    </row>
    <row r="823" spans="1:26" ht="12.75" customHeight="1">
      <c r="A823" s="553"/>
      <c r="B823" s="552"/>
      <c r="C823" s="554"/>
      <c r="D823" s="552"/>
      <c r="E823" s="552"/>
      <c r="F823" s="555"/>
      <c r="G823" s="552"/>
      <c r="H823" s="552"/>
      <c r="I823" s="552"/>
      <c r="J823" s="552"/>
      <c r="K823" s="552"/>
      <c r="L823" s="552"/>
      <c r="M823" s="552"/>
      <c r="N823" s="552"/>
      <c r="O823" s="552"/>
      <c r="P823" s="552"/>
      <c r="Q823" s="552"/>
      <c r="R823" s="552"/>
      <c r="S823" s="552"/>
      <c r="T823" s="552"/>
      <c r="U823" s="552"/>
      <c r="V823" s="552"/>
      <c r="W823" s="552"/>
      <c r="X823" s="552"/>
      <c r="Y823" s="552"/>
      <c r="Z823" s="552"/>
    </row>
    <row r="824" spans="1:26" ht="12.75" customHeight="1">
      <c r="A824" s="553"/>
      <c r="B824" s="552"/>
      <c r="C824" s="554"/>
      <c r="D824" s="552"/>
      <c r="E824" s="552"/>
      <c r="F824" s="555"/>
      <c r="G824" s="552"/>
      <c r="H824" s="552"/>
      <c r="I824" s="552"/>
      <c r="J824" s="552"/>
      <c r="K824" s="552"/>
      <c r="L824" s="552"/>
      <c r="M824" s="552"/>
      <c r="N824" s="552"/>
      <c r="O824" s="552"/>
      <c r="P824" s="552"/>
      <c r="Q824" s="552"/>
      <c r="R824" s="552"/>
      <c r="S824" s="552"/>
      <c r="T824" s="552"/>
      <c r="U824" s="552"/>
      <c r="V824" s="552"/>
      <c r="W824" s="552"/>
      <c r="X824" s="552"/>
      <c r="Y824" s="552"/>
      <c r="Z824" s="552"/>
    </row>
    <row r="825" spans="1:26" ht="12.75" customHeight="1">
      <c r="A825" s="553"/>
      <c r="B825" s="552"/>
      <c r="C825" s="554"/>
      <c r="D825" s="552"/>
      <c r="E825" s="552"/>
      <c r="F825" s="555"/>
      <c r="G825" s="552"/>
      <c r="H825" s="552"/>
      <c r="I825" s="552"/>
      <c r="J825" s="552"/>
      <c r="K825" s="552"/>
      <c r="L825" s="552"/>
      <c r="M825" s="552"/>
      <c r="N825" s="552"/>
      <c r="O825" s="552"/>
      <c r="P825" s="552"/>
      <c r="Q825" s="552"/>
      <c r="R825" s="552"/>
      <c r="S825" s="552"/>
      <c r="T825" s="552"/>
      <c r="U825" s="552"/>
      <c r="V825" s="552"/>
      <c r="W825" s="552"/>
      <c r="X825" s="552"/>
      <c r="Y825" s="552"/>
      <c r="Z825" s="552"/>
    </row>
    <row r="826" spans="1:26" ht="12.75" customHeight="1">
      <c r="A826" s="553"/>
      <c r="B826" s="552"/>
      <c r="C826" s="554"/>
      <c r="D826" s="552"/>
      <c r="E826" s="552"/>
      <c r="F826" s="555"/>
      <c r="G826" s="552"/>
      <c r="H826" s="552"/>
      <c r="I826" s="552"/>
      <c r="J826" s="552"/>
      <c r="K826" s="552"/>
      <c r="L826" s="552"/>
      <c r="M826" s="552"/>
      <c r="N826" s="552"/>
      <c r="O826" s="552"/>
      <c r="P826" s="552"/>
      <c r="Q826" s="552"/>
      <c r="R826" s="552"/>
      <c r="S826" s="552"/>
      <c r="T826" s="552"/>
      <c r="U826" s="552"/>
      <c r="V826" s="552"/>
      <c r="W826" s="552"/>
      <c r="X826" s="552"/>
      <c r="Y826" s="552"/>
      <c r="Z826" s="552"/>
    </row>
    <row r="827" spans="1:26" ht="12.75" customHeight="1">
      <c r="A827" s="553"/>
      <c r="B827" s="552"/>
      <c r="C827" s="554"/>
      <c r="D827" s="552"/>
      <c r="E827" s="552"/>
      <c r="F827" s="555"/>
      <c r="G827" s="552"/>
      <c r="H827" s="552"/>
      <c r="I827" s="552"/>
      <c r="J827" s="552"/>
      <c r="K827" s="552"/>
      <c r="L827" s="552"/>
      <c r="M827" s="552"/>
      <c r="N827" s="552"/>
      <c r="O827" s="552"/>
      <c r="P827" s="552"/>
      <c r="Q827" s="552"/>
      <c r="R827" s="552"/>
      <c r="S827" s="552"/>
      <c r="T827" s="552"/>
      <c r="U827" s="552"/>
      <c r="V827" s="552"/>
      <c r="W827" s="552"/>
      <c r="X827" s="552"/>
      <c r="Y827" s="552"/>
      <c r="Z827" s="552"/>
    </row>
    <row r="828" spans="1:26" ht="12.75" customHeight="1">
      <c r="A828" s="553"/>
      <c r="B828" s="552"/>
      <c r="C828" s="554"/>
      <c r="D828" s="552"/>
      <c r="E828" s="552"/>
      <c r="F828" s="555"/>
      <c r="G828" s="552"/>
      <c r="H828" s="552"/>
      <c r="I828" s="552"/>
      <c r="J828" s="552"/>
      <c r="K828" s="552"/>
      <c r="L828" s="552"/>
      <c r="M828" s="552"/>
      <c r="N828" s="552"/>
      <c r="O828" s="552"/>
      <c r="P828" s="552"/>
      <c r="Q828" s="552"/>
      <c r="R828" s="552"/>
      <c r="S828" s="552"/>
      <c r="T828" s="552"/>
      <c r="U828" s="552"/>
      <c r="V828" s="552"/>
      <c r="W828" s="552"/>
      <c r="X828" s="552"/>
      <c r="Y828" s="552"/>
      <c r="Z828" s="552"/>
    </row>
    <row r="829" spans="1:26" ht="12.75" customHeight="1">
      <c r="A829" s="553"/>
      <c r="B829" s="552"/>
      <c r="C829" s="554"/>
      <c r="D829" s="552"/>
      <c r="E829" s="552"/>
      <c r="F829" s="555"/>
      <c r="G829" s="552"/>
      <c r="H829" s="552"/>
      <c r="I829" s="552"/>
      <c r="J829" s="552"/>
      <c r="K829" s="552"/>
      <c r="L829" s="552"/>
      <c r="M829" s="552"/>
      <c r="N829" s="552"/>
      <c r="O829" s="552"/>
      <c r="P829" s="552"/>
      <c r="Q829" s="552"/>
      <c r="R829" s="552"/>
      <c r="S829" s="552"/>
      <c r="T829" s="552"/>
      <c r="U829" s="552"/>
      <c r="V829" s="552"/>
      <c r="W829" s="552"/>
      <c r="X829" s="552"/>
      <c r="Y829" s="552"/>
      <c r="Z829" s="552"/>
    </row>
    <row r="830" spans="1:26" ht="12.75" customHeight="1">
      <c r="A830" s="553"/>
      <c r="B830" s="552"/>
      <c r="C830" s="554"/>
      <c r="D830" s="552"/>
      <c r="E830" s="552"/>
      <c r="F830" s="555"/>
      <c r="G830" s="552"/>
      <c r="H830" s="552"/>
      <c r="I830" s="552"/>
      <c r="J830" s="552"/>
      <c r="K830" s="552"/>
      <c r="L830" s="552"/>
      <c r="M830" s="552"/>
      <c r="N830" s="552"/>
      <c r="O830" s="552"/>
      <c r="P830" s="552"/>
      <c r="Q830" s="552"/>
      <c r="R830" s="552"/>
      <c r="S830" s="552"/>
      <c r="T830" s="552"/>
      <c r="U830" s="552"/>
      <c r="V830" s="552"/>
      <c r="W830" s="552"/>
      <c r="X830" s="552"/>
      <c r="Y830" s="552"/>
      <c r="Z830" s="552"/>
    </row>
    <row r="831" spans="1:26" ht="12.75" customHeight="1">
      <c r="A831" s="553"/>
      <c r="B831" s="552"/>
      <c r="C831" s="554"/>
      <c r="D831" s="552"/>
      <c r="E831" s="552"/>
      <c r="F831" s="555"/>
      <c r="G831" s="552"/>
      <c r="H831" s="552"/>
      <c r="I831" s="552"/>
      <c r="J831" s="552"/>
      <c r="K831" s="552"/>
      <c r="L831" s="552"/>
      <c r="M831" s="552"/>
      <c r="N831" s="552"/>
      <c r="O831" s="552"/>
      <c r="P831" s="552"/>
      <c r="Q831" s="552"/>
      <c r="R831" s="552"/>
      <c r="S831" s="552"/>
      <c r="T831" s="552"/>
      <c r="U831" s="552"/>
      <c r="V831" s="552"/>
      <c r="W831" s="552"/>
      <c r="X831" s="552"/>
      <c r="Y831" s="552"/>
      <c r="Z831" s="552"/>
    </row>
    <row r="832" spans="1:26" ht="12.75" customHeight="1">
      <c r="A832" s="553"/>
      <c r="B832" s="552"/>
      <c r="C832" s="554"/>
      <c r="D832" s="552"/>
      <c r="E832" s="552"/>
      <c r="F832" s="555"/>
      <c r="G832" s="552"/>
      <c r="H832" s="552"/>
      <c r="I832" s="552"/>
      <c r="J832" s="552"/>
      <c r="K832" s="552"/>
      <c r="L832" s="552"/>
      <c r="M832" s="552"/>
      <c r="N832" s="552"/>
      <c r="O832" s="552"/>
      <c r="P832" s="552"/>
      <c r="Q832" s="552"/>
      <c r="R832" s="552"/>
      <c r="S832" s="552"/>
      <c r="T832" s="552"/>
      <c r="U832" s="552"/>
      <c r="V832" s="552"/>
      <c r="W832" s="552"/>
      <c r="X832" s="552"/>
      <c r="Y832" s="552"/>
      <c r="Z832" s="552"/>
    </row>
    <row r="833" spans="1:26" ht="12.75" customHeight="1">
      <c r="A833" s="553"/>
      <c r="B833" s="552"/>
      <c r="C833" s="554"/>
      <c r="D833" s="552"/>
      <c r="E833" s="552"/>
      <c r="F833" s="555"/>
      <c r="G833" s="552"/>
      <c r="H833" s="552"/>
      <c r="I833" s="552"/>
      <c r="J833" s="552"/>
      <c r="K833" s="552"/>
      <c r="L833" s="552"/>
      <c r="M833" s="552"/>
      <c r="N833" s="552"/>
      <c r="O833" s="552"/>
      <c r="P833" s="552"/>
      <c r="Q833" s="552"/>
      <c r="R833" s="552"/>
      <c r="S833" s="552"/>
      <c r="T833" s="552"/>
      <c r="U833" s="552"/>
      <c r="V833" s="552"/>
      <c r="W833" s="552"/>
      <c r="X833" s="552"/>
      <c r="Y833" s="552"/>
      <c r="Z833" s="552"/>
    </row>
    <row r="834" spans="1:26" ht="12.75" customHeight="1">
      <c r="A834" s="553"/>
      <c r="B834" s="552"/>
      <c r="C834" s="554"/>
      <c r="D834" s="552"/>
      <c r="E834" s="552"/>
      <c r="F834" s="555"/>
      <c r="G834" s="552"/>
      <c r="H834" s="552"/>
      <c r="I834" s="552"/>
      <c r="J834" s="552"/>
      <c r="K834" s="552"/>
      <c r="L834" s="552"/>
      <c r="M834" s="552"/>
      <c r="N834" s="552"/>
      <c r="O834" s="552"/>
      <c r="P834" s="552"/>
      <c r="Q834" s="552"/>
      <c r="R834" s="552"/>
      <c r="S834" s="552"/>
      <c r="T834" s="552"/>
      <c r="U834" s="552"/>
      <c r="V834" s="552"/>
      <c r="W834" s="552"/>
      <c r="X834" s="552"/>
      <c r="Y834" s="552"/>
      <c r="Z834" s="552"/>
    </row>
    <row r="835" spans="1:26" ht="12.75" customHeight="1">
      <c r="A835" s="553"/>
      <c r="B835" s="552"/>
      <c r="C835" s="554"/>
      <c r="D835" s="552"/>
      <c r="E835" s="552"/>
      <c r="F835" s="555"/>
      <c r="G835" s="552"/>
      <c r="H835" s="552"/>
      <c r="I835" s="552"/>
      <c r="J835" s="552"/>
      <c r="K835" s="552"/>
      <c r="L835" s="552"/>
      <c r="M835" s="552"/>
      <c r="N835" s="552"/>
      <c r="O835" s="552"/>
      <c r="P835" s="552"/>
      <c r="Q835" s="552"/>
      <c r="R835" s="552"/>
      <c r="S835" s="552"/>
      <c r="T835" s="552"/>
      <c r="U835" s="552"/>
      <c r="V835" s="552"/>
      <c r="W835" s="552"/>
      <c r="X835" s="552"/>
      <c r="Y835" s="552"/>
      <c r="Z835" s="552"/>
    </row>
    <row r="836" spans="1:26" ht="12.75" customHeight="1">
      <c r="A836" s="553"/>
      <c r="B836" s="552"/>
      <c r="C836" s="554"/>
      <c r="D836" s="552"/>
      <c r="E836" s="552"/>
      <c r="F836" s="555"/>
      <c r="G836" s="552"/>
      <c r="H836" s="552"/>
      <c r="I836" s="552"/>
      <c r="J836" s="552"/>
      <c r="K836" s="552"/>
      <c r="L836" s="552"/>
      <c r="M836" s="552"/>
      <c r="N836" s="552"/>
      <c r="O836" s="552"/>
      <c r="P836" s="552"/>
      <c r="Q836" s="552"/>
      <c r="R836" s="552"/>
      <c r="S836" s="552"/>
      <c r="T836" s="552"/>
      <c r="U836" s="552"/>
      <c r="V836" s="552"/>
      <c r="W836" s="552"/>
      <c r="X836" s="552"/>
      <c r="Y836" s="552"/>
      <c r="Z836" s="552"/>
    </row>
    <row r="837" spans="1:26" ht="12.75" customHeight="1">
      <c r="A837" s="553"/>
      <c r="B837" s="552"/>
      <c r="C837" s="554"/>
      <c r="D837" s="552"/>
      <c r="E837" s="552"/>
      <c r="F837" s="555"/>
      <c r="G837" s="552"/>
      <c r="H837" s="552"/>
      <c r="I837" s="552"/>
      <c r="J837" s="552"/>
      <c r="K837" s="552"/>
      <c r="L837" s="552"/>
      <c r="M837" s="552"/>
      <c r="N837" s="552"/>
      <c r="O837" s="552"/>
      <c r="P837" s="552"/>
      <c r="Q837" s="552"/>
      <c r="R837" s="552"/>
      <c r="S837" s="552"/>
      <c r="T837" s="552"/>
      <c r="U837" s="552"/>
      <c r="V837" s="552"/>
      <c r="W837" s="552"/>
      <c r="X837" s="552"/>
      <c r="Y837" s="552"/>
      <c r="Z837" s="552"/>
    </row>
    <row r="838" spans="1:26" ht="12.75" customHeight="1">
      <c r="A838" s="553"/>
      <c r="B838" s="552"/>
      <c r="C838" s="554"/>
      <c r="D838" s="552"/>
      <c r="E838" s="552"/>
      <c r="F838" s="555"/>
      <c r="G838" s="552"/>
      <c r="H838" s="552"/>
      <c r="I838" s="552"/>
      <c r="J838" s="552"/>
      <c r="K838" s="552"/>
      <c r="L838" s="552"/>
      <c r="M838" s="552"/>
      <c r="N838" s="552"/>
      <c r="O838" s="552"/>
      <c r="P838" s="552"/>
      <c r="Q838" s="552"/>
      <c r="R838" s="552"/>
      <c r="S838" s="552"/>
      <c r="T838" s="552"/>
      <c r="U838" s="552"/>
      <c r="V838" s="552"/>
      <c r="W838" s="552"/>
      <c r="X838" s="552"/>
      <c r="Y838" s="552"/>
      <c r="Z838" s="552"/>
    </row>
    <row r="839" spans="1:26" ht="12.75" customHeight="1">
      <c r="A839" s="553"/>
      <c r="B839" s="552"/>
      <c r="C839" s="554"/>
      <c r="D839" s="552"/>
      <c r="E839" s="552"/>
      <c r="F839" s="555"/>
      <c r="G839" s="552"/>
      <c r="H839" s="552"/>
      <c r="I839" s="552"/>
      <c r="J839" s="552"/>
      <c r="K839" s="552"/>
      <c r="L839" s="552"/>
      <c r="M839" s="552"/>
      <c r="N839" s="552"/>
      <c r="O839" s="552"/>
      <c r="P839" s="552"/>
      <c r="Q839" s="552"/>
      <c r="R839" s="552"/>
      <c r="S839" s="552"/>
      <c r="T839" s="552"/>
      <c r="U839" s="552"/>
      <c r="V839" s="552"/>
      <c r="W839" s="552"/>
      <c r="X839" s="552"/>
      <c r="Y839" s="552"/>
      <c r="Z839" s="552"/>
    </row>
    <row r="840" spans="1:26" ht="12.75" customHeight="1">
      <c r="A840" s="553"/>
      <c r="B840" s="552"/>
      <c r="C840" s="554"/>
      <c r="D840" s="552"/>
      <c r="E840" s="552"/>
      <c r="F840" s="555"/>
      <c r="G840" s="552"/>
      <c r="H840" s="552"/>
      <c r="I840" s="552"/>
      <c r="J840" s="552"/>
      <c r="K840" s="552"/>
      <c r="L840" s="552"/>
      <c r="M840" s="552"/>
      <c r="N840" s="552"/>
      <c r="O840" s="552"/>
      <c r="P840" s="552"/>
      <c r="Q840" s="552"/>
      <c r="R840" s="552"/>
      <c r="S840" s="552"/>
      <c r="T840" s="552"/>
      <c r="U840" s="552"/>
      <c r="V840" s="552"/>
      <c r="W840" s="552"/>
      <c r="X840" s="552"/>
      <c r="Y840" s="552"/>
      <c r="Z840" s="552"/>
    </row>
    <row r="841" spans="1:26" ht="12.75" customHeight="1">
      <c r="A841" s="553"/>
      <c r="B841" s="552"/>
      <c r="C841" s="554"/>
      <c r="D841" s="552"/>
      <c r="E841" s="552"/>
      <c r="F841" s="555"/>
      <c r="G841" s="552"/>
      <c r="H841" s="552"/>
      <c r="I841" s="552"/>
      <c r="J841" s="552"/>
      <c r="K841" s="552"/>
      <c r="L841" s="552"/>
      <c r="M841" s="552"/>
      <c r="N841" s="552"/>
      <c r="O841" s="552"/>
      <c r="P841" s="552"/>
      <c r="Q841" s="552"/>
      <c r="R841" s="552"/>
      <c r="S841" s="552"/>
      <c r="T841" s="552"/>
      <c r="U841" s="552"/>
      <c r="V841" s="552"/>
      <c r="W841" s="552"/>
      <c r="X841" s="552"/>
      <c r="Y841" s="552"/>
      <c r="Z841" s="552"/>
    </row>
    <row r="842" spans="1:26" ht="12.75" customHeight="1">
      <c r="A842" s="553"/>
      <c r="B842" s="552"/>
      <c r="C842" s="554"/>
      <c r="D842" s="552"/>
      <c r="E842" s="552"/>
      <c r="F842" s="555"/>
      <c r="G842" s="552"/>
      <c r="H842" s="552"/>
      <c r="I842" s="552"/>
      <c r="J842" s="552"/>
      <c r="K842" s="552"/>
      <c r="L842" s="552"/>
      <c r="M842" s="552"/>
      <c r="N842" s="552"/>
      <c r="O842" s="552"/>
      <c r="P842" s="552"/>
      <c r="Q842" s="552"/>
      <c r="R842" s="552"/>
      <c r="S842" s="552"/>
      <c r="T842" s="552"/>
      <c r="U842" s="552"/>
      <c r="V842" s="552"/>
      <c r="W842" s="552"/>
      <c r="X842" s="552"/>
      <c r="Y842" s="552"/>
      <c r="Z842" s="552"/>
    </row>
    <row r="843" spans="1:26" ht="12.75" customHeight="1">
      <c r="A843" s="553"/>
      <c r="B843" s="552"/>
      <c r="C843" s="554"/>
      <c r="D843" s="552"/>
      <c r="E843" s="552"/>
      <c r="F843" s="555"/>
      <c r="G843" s="552"/>
      <c r="H843" s="552"/>
      <c r="I843" s="552"/>
      <c r="J843" s="552"/>
      <c r="K843" s="552"/>
      <c r="L843" s="552"/>
      <c r="M843" s="552"/>
      <c r="N843" s="552"/>
      <c r="O843" s="552"/>
      <c r="P843" s="552"/>
      <c r="Q843" s="552"/>
      <c r="R843" s="552"/>
      <c r="S843" s="552"/>
      <c r="T843" s="552"/>
      <c r="U843" s="552"/>
      <c r="V843" s="552"/>
      <c r="W843" s="552"/>
      <c r="X843" s="552"/>
      <c r="Y843" s="552"/>
      <c r="Z843" s="552"/>
    </row>
    <row r="844" spans="1:26" ht="12.75" customHeight="1">
      <c r="A844" s="553"/>
      <c r="B844" s="552"/>
      <c r="C844" s="554"/>
      <c r="D844" s="552"/>
      <c r="E844" s="552"/>
      <c r="F844" s="555"/>
      <c r="G844" s="552"/>
      <c r="H844" s="552"/>
      <c r="I844" s="552"/>
      <c r="J844" s="552"/>
      <c r="K844" s="552"/>
      <c r="L844" s="552"/>
      <c r="M844" s="552"/>
      <c r="N844" s="552"/>
      <c r="O844" s="552"/>
      <c r="P844" s="552"/>
      <c r="Q844" s="552"/>
      <c r="R844" s="552"/>
      <c r="S844" s="552"/>
      <c r="T844" s="552"/>
      <c r="U844" s="552"/>
      <c r="V844" s="552"/>
      <c r="W844" s="552"/>
      <c r="X844" s="552"/>
      <c r="Y844" s="552"/>
      <c r="Z844" s="552"/>
    </row>
    <row r="845" spans="1:26" ht="12.75" customHeight="1">
      <c r="A845" s="553"/>
      <c r="B845" s="552"/>
      <c r="C845" s="554"/>
      <c r="D845" s="552"/>
      <c r="E845" s="552"/>
      <c r="F845" s="555"/>
      <c r="G845" s="552"/>
      <c r="H845" s="552"/>
      <c r="I845" s="552"/>
      <c r="J845" s="552"/>
      <c r="K845" s="552"/>
      <c r="L845" s="552"/>
      <c r="M845" s="552"/>
      <c r="N845" s="552"/>
      <c r="O845" s="552"/>
      <c r="P845" s="552"/>
      <c r="Q845" s="552"/>
      <c r="R845" s="552"/>
      <c r="S845" s="552"/>
      <c r="T845" s="552"/>
      <c r="U845" s="552"/>
      <c r="V845" s="552"/>
      <c r="W845" s="552"/>
      <c r="X845" s="552"/>
      <c r="Y845" s="552"/>
      <c r="Z845" s="552"/>
    </row>
    <row r="846" spans="1:26" ht="12.75" customHeight="1">
      <c r="A846" s="553"/>
      <c r="B846" s="552"/>
      <c r="C846" s="554"/>
      <c r="D846" s="552"/>
      <c r="E846" s="552"/>
      <c r="F846" s="555"/>
      <c r="G846" s="552"/>
      <c r="H846" s="552"/>
      <c r="I846" s="552"/>
      <c r="J846" s="552"/>
      <c r="K846" s="552"/>
      <c r="L846" s="552"/>
      <c r="M846" s="552"/>
      <c r="N846" s="552"/>
      <c r="O846" s="552"/>
      <c r="P846" s="552"/>
      <c r="Q846" s="552"/>
      <c r="R846" s="552"/>
      <c r="S846" s="552"/>
      <c r="T846" s="552"/>
      <c r="U846" s="552"/>
      <c r="V846" s="552"/>
      <c r="W846" s="552"/>
      <c r="X846" s="552"/>
      <c r="Y846" s="552"/>
      <c r="Z846" s="552"/>
    </row>
    <row r="847" spans="1:26" ht="12.75" customHeight="1">
      <c r="A847" s="553"/>
      <c r="B847" s="552"/>
      <c r="C847" s="554"/>
      <c r="D847" s="552"/>
      <c r="E847" s="552"/>
      <c r="F847" s="555"/>
      <c r="G847" s="552"/>
      <c r="H847" s="552"/>
      <c r="I847" s="552"/>
      <c r="J847" s="552"/>
      <c r="K847" s="552"/>
      <c r="L847" s="552"/>
      <c r="M847" s="552"/>
      <c r="N847" s="552"/>
      <c r="O847" s="552"/>
      <c r="P847" s="552"/>
      <c r="Q847" s="552"/>
      <c r="R847" s="552"/>
      <c r="S847" s="552"/>
      <c r="T847" s="552"/>
      <c r="U847" s="552"/>
      <c r="V847" s="552"/>
      <c r="W847" s="552"/>
      <c r="X847" s="552"/>
      <c r="Y847" s="552"/>
      <c r="Z847" s="552"/>
    </row>
    <row r="848" spans="1:26" ht="12.75" customHeight="1">
      <c r="A848" s="553"/>
      <c r="B848" s="552"/>
      <c r="C848" s="554"/>
      <c r="D848" s="552"/>
      <c r="E848" s="552"/>
      <c r="F848" s="555"/>
      <c r="G848" s="552"/>
      <c r="H848" s="552"/>
      <c r="I848" s="552"/>
      <c r="J848" s="552"/>
      <c r="K848" s="552"/>
      <c r="L848" s="552"/>
      <c r="M848" s="552"/>
      <c r="N848" s="552"/>
      <c r="O848" s="552"/>
      <c r="P848" s="552"/>
      <c r="Q848" s="552"/>
      <c r="R848" s="552"/>
      <c r="S848" s="552"/>
      <c r="T848" s="552"/>
      <c r="U848" s="552"/>
      <c r="V848" s="552"/>
      <c r="W848" s="552"/>
      <c r="X848" s="552"/>
      <c r="Y848" s="552"/>
      <c r="Z848" s="552"/>
    </row>
    <row r="849" spans="1:26" ht="12.75" customHeight="1">
      <c r="A849" s="553"/>
      <c r="B849" s="552"/>
      <c r="C849" s="554"/>
      <c r="D849" s="552"/>
      <c r="E849" s="552"/>
      <c r="F849" s="555"/>
      <c r="G849" s="552"/>
      <c r="H849" s="552"/>
      <c r="I849" s="552"/>
      <c r="J849" s="552"/>
      <c r="K849" s="552"/>
      <c r="L849" s="552"/>
      <c r="M849" s="552"/>
      <c r="N849" s="552"/>
      <c r="O849" s="552"/>
      <c r="P849" s="552"/>
      <c r="Q849" s="552"/>
      <c r="R849" s="552"/>
      <c r="S849" s="552"/>
      <c r="T849" s="552"/>
      <c r="U849" s="552"/>
      <c r="V849" s="552"/>
      <c r="W849" s="552"/>
      <c r="X849" s="552"/>
      <c r="Y849" s="552"/>
      <c r="Z849" s="552"/>
    </row>
    <row r="850" spans="1:26" ht="12.75" customHeight="1">
      <c r="A850" s="553"/>
      <c r="B850" s="552"/>
      <c r="C850" s="554"/>
      <c r="D850" s="552"/>
      <c r="E850" s="552"/>
      <c r="F850" s="555"/>
      <c r="G850" s="552"/>
      <c r="H850" s="552"/>
      <c r="I850" s="552"/>
      <c r="J850" s="552"/>
      <c r="K850" s="552"/>
      <c r="L850" s="552"/>
      <c r="M850" s="552"/>
      <c r="N850" s="552"/>
      <c r="O850" s="552"/>
      <c r="P850" s="552"/>
      <c r="Q850" s="552"/>
      <c r="R850" s="552"/>
      <c r="S850" s="552"/>
      <c r="T850" s="552"/>
      <c r="U850" s="552"/>
      <c r="V850" s="552"/>
      <c r="W850" s="552"/>
      <c r="X850" s="552"/>
      <c r="Y850" s="552"/>
      <c r="Z850" s="552"/>
    </row>
    <row r="851" spans="1:26" ht="12.75" customHeight="1">
      <c r="A851" s="553"/>
      <c r="B851" s="552"/>
      <c r="C851" s="554"/>
      <c r="D851" s="552"/>
      <c r="E851" s="552"/>
      <c r="F851" s="555"/>
      <c r="G851" s="552"/>
      <c r="H851" s="552"/>
      <c r="I851" s="552"/>
      <c r="J851" s="552"/>
      <c r="K851" s="552"/>
      <c r="L851" s="552"/>
      <c r="M851" s="552"/>
      <c r="N851" s="552"/>
      <c r="O851" s="552"/>
      <c r="P851" s="552"/>
      <c r="Q851" s="552"/>
      <c r="R851" s="552"/>
      <c r="S851" s="552"/>
      <c r="T851" s="552"/>
      <c r="U851" s="552"/>
      <c r="V851" s="552"/>
      <c r="W851" s="552"/>
      <c r="X851" s="552"/>
      <c r="Y851" s="552"/>
      <c r="Z851" s="552"/>
    </row>
    <row r="852" spans="1:26" ht="12.75" customHeight="1">
      <c r="A852" s="553"/>
      <c r="B852" s="552"/>
      <c r="C852" s="554"/>
      <c r="D852" s="552"/>
      <c r="E852" s="552"/>
      <c r="F852" s="555"/>
      <c r="G852" s="552"/>
      <c r="H852" s="552"/>
      <c r="I852" s="552"/>
      <c r="J852" s="552"/>
      <c r="K852" s="552"/>
      <c r="L852" s="552"/>
      <c r="M852" s="552"/>
      <c r="N852" s="552"/>
      <c r="O852" s="552"/>
      <c r="P852" s="552"/>
      <c r="Q852" s="552"/>
      <c r="R852" s="552"/>
      <c r="S852" s="552"/>
      <c r="T852" s="552"/>
      <c r="U852" s="552"/>
      <c r="V852" s="552"/>
      <c r="W852" s="552"/>
      <c r="X852" s="552"/>
      <c r="Y852" s="552"/>
      <c r="Z852" s="552"/>
    </row>
    <row r="853" spans="1:26" ht="12.75" customHeight="1">
      <c r="A853" s="553"/>
      <c r="B853" s="552"/>
      <c r="C853" s="554"/>
      <c r="D853" s="552"/>
      <c r="E853" s="552"/>
      <c r="F853" s="555"/>
      <c r="G853" s="552"/>
      <c r="H853" s="552"/>
      <c r="I853" s="552"/>
      <c r="J853" s="552"/>
      <c r="K853" s="552"/>
      <c r="L853" s="552"/>
      <c r="M853" s="552"/>
      <c r="N853" s="552"/>
      <c r="O853" s="552"/>
      <c r="P853" s="552"/>
      <c r="Q853" s="552"/>
      <c r="R853" s="552"/>
      <c r="S853" s="552"/>
      <c r="T853" s="552"/>
      <c r="U853" s="552"/>
      <c r="V853" s="552"/>
      <c r="W853" s="552"/>
      <c r="X853" s="552"/>
      <c r="Y853" s="552"/>
      <c r="Z853" s="552"/>
    </row>
    <row r="854" spans="1:26" ht="12.75" customHeight="1">
      <c r="A854" s="553"/>
      <c r="B854" s="552"/>
      <c r="C854" s="554"/>
      <c r="D854" s="552"/>
      <c r="E854" s="552"/>
      <c r="F854" s="555"/>
      <c r="G854" s="552"/>
      <c r="H854" s="552"/>
      <c r="I854" s="552"/>
      <c r="J854" s="552"/>
      <c r="K854" s="552"/>
      <c r="L854" s="552"/>
      <c r="M854" s="552"/>
      <c r="N854" s="552"/>
      <c r="O854" s="552"/>
      <c r="P854" s="552"/>
      <c r="Q854" s="552"/>
      <c r="R854" s="552"/>
      <c r="S854" s="552"/>
      <c r="T854" s="552"/>
      <c r="U854" s="552"/>
      <c r="V854" s="552"/>
      <c r="W854" s="552"/>
      <c r="X854" s="552"/>
      <c r="Y854" s="552"/>
      <c r="Z854" s="552"/>
    </row>
    <row r="855" spans="1:26" ht="12.75" customHeight="1">
      <c r="A855" s="553"/>
      <c r="B855" s="552"/>
      <c r="C855" s="554"/>
      <c r="D855" s="552"/>
      <c r="E855" s="552"/>
      <c r="F855" s="555"/>
      <c r="G855" s="552"/>
      <c r="H855" s="552"/>
      <c r="I855" s="552"/>
      <c r="J855" s="552"/>
      <c r="K855" s="552"/>
      <c r="L855" s="552"/>
      <c r="M855" s="552"/>
      <c r="N855" s="552"/>
      <c r="O855" s="552"/>
      <c r="P855" s="552"/>
      <c r="Q855" s="552"/>
      <c r="R855" s="552"/>
      <c r="S855" s="552"/>
      <c r="T855" s="552"/>
      <c r="U855" s="552"/>
      <c r="V855" s="552"/>
      <c r="W855" s="552"/>
      <c r="X855" s="552"/>
      <c r="Y855" s="552"/>
      <c r="Z855" s="552"/>
    </row>
    <row r="856" spans="1:26" ht="12.75" customHeight="1">
      <c r="A856" s="553"/>
      <c r="B856" s="552"/>
      <c r="C856" s="554"/>
      <c r="D856" s="552"/>
      <c r="E856" s="552"/>
      <c r="F856" s="555"/>
      <c r="G856" s="552"/>
      <c r="H856" s="552"/>
      <c r="I856" s="552"/>
      <c r="J856" s="552"/>
      <c r="K856" s="552"/>
      <c r="L856" s="552"/>
      <c r="M856" s="552"/>
      <c r="N856" s="552"/>
      <c r="O856" s="552"/>
      <c r="P856" s="552"/>
      <c r="Q856" s="552"/>
      <c r="R856" s="552"/>
      <c r="S856" s="552"/>
      <c r="T856" s="552"/>
      <c r="U856" s="552"/>
      <c r="V856" s="552"/>
      <c r="W856" s="552"/>
      <c r="X856" s="552"/>
      <c r="Y856" s="552"/>
      <c r="Z856" s="552"/>
    </row>
    <row r="857" spans="1:26" ht="12.75" customHeight="1">
      <c r="A857" s="553"/>
      <c r="B857" s="552"/>
      <c r="C857" s="554"/>
      <c r="D857" s="552"/>
      <c r="E857" s="552"/>
      <c r="F857" s="555"/>
      <c r="G857" s="552"/>
      <c r="H857" s="552"/>
      <c r="I857" s="552"/>
      <c r="J857" s="552"/>
      <c r="K857" s="552"/>
      <c r="L857" s="552"/>
      <c r="M857" s="552"/>
      <c r="N857" s="552"/>
      <c r="O857" s="552"/>
      <c r="P857" s="552"/>
      <c r="Q857" s="552"/>
      <c r="R857" s="552"/>
      <c r="S857" s="552"/>
      <c r="T857" s="552"/>
      <c r="U857" s="552"/>
      <c r="V857" s="552"/>
      <c r="W857" s="552"/>
      <c r="X857" s="552"/>
      <c r="Y857" s="552"/>
      <c r="Z857" s="552"/>
    </row>
    <row r="858" spans="1:26" ht="12.75" customHeight="1">
      <c r="A858" s="553"/>
      <c r="B858" s="552"/>
      <c r="C858" s="554"/>
      <c r="D858" s="552"/>
      <c r="E858" s="552"/>
      <c r="F858" s="555"/>
      <c r="G858" s="552"/>
      <c r="H858" s="552"/>
      <c r="I858" s="552"/>
      <c r="J858" s="552"/>
      <c r="K858" s="552"/>
      <c r="L858" s="552"/>
      <c r="M858" s="552"/>
      <c r="N858" s="552"/>
      <c r="O858" s="552"/>
      <c r="P858" s="552"/>
      <c r="Q858" s="552"/>
      <c r="R858" s="552"/>
      <c r="S858" s="552"/>
      <c r="T858" s="552"/>
      <c r="U858" s="552"/>
      <c r="V858" s="552"/>
      <c r="W858" s="552"/>
      <c r="X858" s="552"/>
      <c r="Y858" s="552"/>
      <c r="Z858" s="552"/>
    </row>
    <row r="859" spans="1:26" ht="12.75" customHeight="1">
      <c r="A859" s="553"/>
      <c r="B859" s="552"/>
      <c r="C859" s="554"/>
      <c r="D859" s="552"/>
      <c r="E859" s="552"/>
      <c r="F859" s="555"/>
      <c r="G859" s="552"/>
      <c r="H859" s="552"/>
      <c r="I859" s="552"/>
      <c r="J859" s="552"/>
      <c r="K859" s="552"/>
      <c r="L859" s="552"/>
      <c r="M859" s="552"/>
      <c r="N859" s="552"/>
      <c r="O859" s="552"/>
      <c r="P859" s="552"/>
      <c r="Q859" s="552"/>
      <c r="R859" s="552"/>
      <c r="S859" s="552"/>
      <c r="T859" s="552"/>
      <c r="U859" s="552"/>
      <c r="V859" s="552"/>
      <c r="W859" s="552"/>
      <c r="X859" s="552"/>
      <c r="Y859" s="552"/>
      <c r="Z859" s="552"/>
    </row>
    <row r="860" spans="1:26" ht="12.75" customHeight="1">
      <c r="A860" s="553"/>
      <c r="B860" s="552"/>
      <c r="C860" s="554"/>
      <c r="D860" s="552"/>
      <c r="E860" s="552"/>
      <c r="F860" s="555"/>
      <c r="G860" s="552"/>
      <c r="H860" s="552"/>
      <c r="I860" s="552"/>
      <c r="J860" s="552"/>
      <c r="K860" s="552"/>
      <c r="L860" s="552"/>
      <c r="M860" s="552"/>
      <c r="N860" s="552"/>
      <c r="O860" s="552"/>
      <c r="P860" s="552"/>
      <c r="Q860" s="552"/>
      <c r="R860" s="552"/>
      <c r="S860" s="552"/>
      <c r="T860" s="552"/>
      <c r="U860" s="552"/>
      <c r="V860" s="552"/>
      <c r="W860" s="552"/>
      <c r="X860" s="552"/>
      <c r="Y860" s="552"/>
      <c r="Z860" s="552"/>
    </row>
    <row r="861" spans="1:26" ht="12.75" customHeight="1">
      <c r="A861" s="553"/>
      <c r="B861" s="552"/>
      <c r="C861" s="554"/>
      <c r="D861" s="552"/>
      <c r="E861" s="552"/>
      <c r="F861" s="555"/>
      <c r="G861" s="552"/>
      <c r="H861" s="552"/>
      <c r="I861" s="552"/>
      <c r="J861" s="552"/>
      <c r="K861" s="552"/>
      <c r="L861" s="552"/>
      <c r="M861" s="552"/>
      <c r="N861" s="552"/>
      <c r="O861" s="552"/>
      <c r="P861" s="552"/>
      <c r="Q861" s="552"/>
      <c r="R861" s="552"/>
      <c r="S861" s="552"/>
      <c r="T861" s="552"/>
      <c r="U861" s="552"/>
      <c r="V861" s="552"/>
      <c r="W861" s="552"/>
      <c r="X861" s="552"/>
      <c r="Y861" s="552"/>
      <c r="Z861" s="552"/>
    </row>
    <row r="862" spans="1:26" ht="12.75" customHeight="1">
      <c r="A862" s="553"/>
      <c r="B862" s="552"/>
      <c r="C862" s="554"/>
      <c r="D862" s="552"/>
      <c r="E862" s="552"/>
      <c r="F862" s="555"/>
      <c r="G862" s="552"/>
      <c r="H862" s="552"/>
      <c r="I862" s="552"/>
      <c r="J862" s="552"/>
      <c r="K862" s="552"/>
      <c r="L862" s="552"/>
      <c r="M862" s="552"/>
      <c r="N862" s="552"/>
      <c r="O862" s="552"/>
      <c r="P862" s="552"/>
      <c r="Q862" s="552"/>
      <c r="R862" s="552"/>
      <c r="S862" s="552"/>
      <c r="T862" s="552"/>
      <c r="U862" s="552"/>
      <c r="V862" s="552"/>
      <c r="W862" s="552"/>
      <c r="X862" s="552"/>
      <c r="Y862" s="552"/>
      <c r="Z862" s="552"/>
    </row>
    <row r="863" spans="1:26" ht="12.75" customHeight="1">
      <c r="A863" s="553"/>
      <c r="B863" s="552"/>
      <c r="C863" s="554"/>
      <c r="D863" s="552"/>
      <c r="E863" s="552"/>
      <c r="F863" s="555"/>
      <c r="G863" s="552"/>
      <c r="H863" s="552"/>
      <c r="I863" s="552"/>
      <c r="J863" s="552"/>
      <c r="K863" s="552"/>
      <c r="L863" s="552"/>
      <c r="M863" s="552"/>
      <c r="N863" s="552"/>
      <c r="O863" s="552"/>
      <c r="P863" s="552"/>
      <c r="Q863" s="552"/>
      <c r="R863" s="552"/>
      <c r="S863" s="552"/>
      <c r="T863" s="552"/>
      <c r="U863" s="552"/>
      <c r="V863" s="552"/>
      <c r="W863" s="552"/>
      <c r="X863" s="552"/>
      <c r="Y863" s="552"/>
      <c r="Z863" s="552"/>
    </row>
    <row r="864" spans="1:26" ht="12.75" customHeight="1">
      <c r="A864" s="553"/>
      <c r="B864" s="552"/>
      <c r="C864" s="554"/>
      <c r="D864" s="552"/>
      <c r="E864" s="552"/>
      <c r="F864" s="555"/>
      <c r="G864" s="552"/>
      <c r="H864" s="552"/>
      <c r="I864" s="552"/>
      <c r="J864" s="552"/>
      <c r="K864" s="552"/>
      <c r="L864" s="552"/>
      <c r="M864" s="552"/>
      <c r="N864" s="552"/>
      <c r="O864" s="552"/>
      <c r="P864" s="552"/>
      <c r="Q864" s="552"/>
      <c r="R864" s="552"/>
      <c r="S864" s="552"/>
      <c r="T864" s="552"/>
      <c r="U864" s="552"/>
      <c r="V864" s="552"/>
      <c r="W864" s="552"/>
      <c r="X864" s="552"/>
      <c r="Y864" s="552"/>
      <c r="Z864" s="552"/>
    </row>
    <row r="865" spans="1:26" ht="12.75" customHeight="1">
      <c r="A865" s="553"/>
      <c r="B865" s="552"/>
      <c r="C865" s="554"/>
      <c r="D865" s="552"/>
      <c r="E865" s="552"/>
      <c r="F865" s="555"/>
      <c r="G865" s="552"/>
      <c r="H865" s="552"/>
      <c r="I865" s="552"/>
      <c r="J865" s="552"/>
      <c r="K865" s="552"/>
      <c r="L865" s="552"/>
      <c r="M865" s="552"/>
      <c r="N865" s="552"/>
      <c r="O865" s="552"/>
      <c r="P865" s="552"/>
      <c r="Q865" s="552"/>
      <c r="R865" s="552"/>
      <c r="S865" s="552"/>
      <c r="T865" s="552"/>
      <c r="U865" s="552"/>
      <c r="V865" s="552"/>
      <c r="W865" s="552"/>
      <c r="X865" s="552"/>
      <c r="Y865" s="552"/>
      <c r="Z865" s="552"/>
    </row>
    <row r="866" spans="1:26" ht="12.75" customHeight="1">
      <c r="A866" s="553"/>
      <c r="B866" s="552"/>
      <c r="C866" s="554"/>
      <c r="D866" s="552"/>
      <c r="E866" s="552"/>
      <c r="F866" s="555"/>
      <c r="G866" s="552"/>
      <c r="H866" s="552"/>
      <c r="I866" s="552"/>
      <c r="J866" s="552"/>
      <c r="K866" s="552"/>
      <c r="L866" s="552"/>
      <c r="M866" s="552"/>
      <c r="N866" s="552"/>
      <c r="O866" s="552"/>
      <c r="P866" s="552"/>
      <c r="Q866" s="552"/>
      <c r="R866" s="552"/>
      <c r="S866" s="552"/>
      <c r="T866" s="552"/>
      <c r="U866" s="552"/>
      <c r="V866" s="552"/>
      <c r="W866" s="552"/>
      <c r="X866" s="552"/>
      <c r="Y866" s="552"/>
      <c r="Z866" s="552"/>
    </row>
    <row r="867" spans="1:26" ht="12.75" customHeight="1">
      <c r="A867" s="553"/>
      <c r="B867" s="552"/>
      <c r="C867" s="554"/>
      <c r="D867" s="552"/>
      <c r="E867" s="552"/>
      <c r="F867" s="555"/>
      <c r="G867" s="552"/>
      <c r="H867" s="552"/>
      <c r="I867" s="552"/>
      <c r="J867" s="552"/>
      <c r="K867" s="552"/>
      <c r="L867" s="552"/>
      <c r="M867" s="552"/>
      <c r="N867" s="552"/>
      <c r="O867" s="552"/>
      <c r="P867" s="552"/>
      <c r="Q867" s="552"/>
      <c r="R867" s="552"/>
      <c r="S867" s="552"/>
      <c r="T867" s="552"/>
      <c r="U867" s="552"/>
      <c r="V867" s="552"/>
      <c r="W867" s="552"/>
      <c r="X867" s="552"/>
      <c r="Y867" s="552"/>
      <c r="Z867" s="552"/>
    </row>
    <row r="868" spans="1:26" ht="12.75" customHeight="1">
      <c r="A868" s="553"/>
      <c r="B868" s="552"/>
      <c r="C868" s="554"/>
      <c r="D868" s="552"/>
      <c r="E868" s="552"/>
      <c r="F868" s="555"/>
      <c r="G868" s="552"/>
      <c r="H868" s="552"/>
      <c r="I868" s="552"/>
      <c r="J868" s="552"/>
      <c r="K868" s="552"/>
      <c r="L868" s="552"/>
      <c r="M868" s="552"/>
      <c r="N868" s="552"/>
      <c r="O868" s="552"/>
      <c r="P868" s="552"/>
      <c r="Q868" s="552"/>
      <c r="R868" s="552"/>
      <c r="S868" s="552"/>
      <c r="T868" s="552"/>
      <c r="U868" s="552"/>
      <c r="V868" s="552"/>
      <c r="W868" s="552"/>
      <c r="X868" s="552"/>
      <c r="Y868" s="552"/>
      <c r="Z868" s="552"/>
    </row>
    <row r="869" spans="1:26" ht="12.75" customHeight="1">
      <c r="A869" s="553"/>
      <c r="B869" s="552"/>
      <c r="C869" s="554"/>
      <c r="D869" s="552"/>
      <c r="E869" s="552"/>
      <c r="F869" s="555"/>
      <c r="G869" s="552"/>
      <c r="H869" s="552"/>
      <c r="I869" s="552"/>
      <c r="J869" s="552"/>
      <c r="K869" s="552"/>
      <c r="L869" s="552"/>
      <c r="M869" s="552"/>
      <c r="N869" s="552"/>
      <c r="O869" s="552"/>
      <c r="P869" s="552"/>
      <c r="Q869" s="552"/>
      <c r="R869" s="552"/>
      <c r="S869" s="552"/>
      <c r="T869" s="552"/>
      <c r="U869" s="552"/>
      <c r="V869" s="552"/>
      <c r="W869" s="552"/>
      <c r="X869" s="552"/>
      <c r="Y869" s="552"/>
      <c r="Z869" s="552"/>
    </row>
    <row r="870" spans="1:26" ht="12.75" customHeight="1">
      <c r="A870" s="553"/>
      <c r="B870" s="552"/>
      <c r="C870" s="554"/>
      <c r="D870" s="552"/>
      <c r="E870" s="552"/>
      <c r="F870" s="555"/>
      <c r="G870" s="552"/>
      <c r="H870" s="552"/>
      <c r="I870" s="552"/>
      <c r="J870" s="552"/>
      <c r="K870" s="552"/>
      <c r="L870" s="552"/>
      <c r="M870" s="552"/>
      <c r="N870" s="552"/>
      <c r="O870" s="552"/>
      <c r="P870" s="552"/>
      <c r="Q870" s="552"/>
      <c r="R870" s="552"/>
      <c r="S870" s="552"/>
      <c r="T870" s="552"/>
      <c r="U870" s="552"/>
      <c r="V870" s="552"/>
      <c r="W870" s="552"/>
      <c r="X870" s="552"/>
      <c r="Y870" s="552"/>
      <c r="Z870" s="552"/>
    </row>
    <row r="871" spans="1:26" ht="12.75" customHeight="1">
      <c r="A871" s="553"/>
      <c r="B871" s="552"/>
      <c r="C871" s="554"/>
      <c r="D871" s="552"/>
      <c r="E871" s="552"/>
      <c r="F871" s="555"/>
      <c r="G871" s="552"/>
      <c r="H871" s="552"/>
      <c r="I871" s="552"/>
      <c r="J871" s="552"/>
      <c r="K871" s="552"/>
      <c r="L871" s="552"/>
      <c r="M871" s="552"/>
      <c r="N871" s="552"/>
      <c r="O871" s="552"/>
      <c r="P871" s="552"/>
      <c r="Q871" s="552"/>
      <c r="R871" s="552"/>
      <c r="S871" s="552"/>
      <c r="T871" s="552"/>
      <c r="U871" s="552"/>
      <c r="V871" s="552"/>
      <c r="W871" s="552"/>
      <c r="X871" s="552"/>
      <c r="Y871" s="552"/>
      <c r="Z871" s="552"/>
    </row>
    <row r="872" spans="1:26" ht="12.75" customHeight="1">
      <c r="A872" s="553"/>
      <c r="B872" s="552"/>
      <c r="C872" s="554"/>
      <c r="D872" s="552"/>
      <c r="E872" s="552"/>
      <c r="F872" s="555"/>
      <c r="G872" s="552"/>
      <c r="H872" s="552"/>
      <c r="I872" s="552"/>
      <c r="J872" s="552"/>
      <c r="K872" s="552"/>
      <c r="L872" s="552"/>
      <c r="M872" s="552"/>
      <c r="N872" s="552"/>
      <c r="O872" s="552"/>
      <c r="P872" s="552"/>
      <c r="Q872" s="552"/>
      <c r="R872" s="552"/>
      <c r="S872" s="552"/>
      <c r="T872" s="552"/>
      <c r="U872" s="552"/>
      <c r="V872" s="552"/>
      <c r="W872" s="552"/>
      <c r="X872" s="552"/>
      <c r="Y872" s="552"/>
      <c r="Z872" s="552"/>
    </row>
    <row r="873" spans="1:26" ht="12.75" customHeight="1">
      <c r="A873" s="553"/>
      <c r="B873" s="552"/>
      <c r="C873" s="554"/>
      <c r="D873" s="552"/>
      <c r="E873" s="552"/>
      <c r="F873" s="555"/>
      <c r="G873" s="552"/>
      <c r="H873" s="552"/>
      <c r="I873" s="552"/>
      <c r="J873" s="552"/>
      <c r="K873" s="552"/>
      <c r="L873" s="552"/>
      <c r="M873" s="552"/>
      <c r="N873" s="552"/>
      <c r="O873" s="552"/>
      <c r="P873" s="552"/>
      <c r="Q873" s="552"/>
      <c r="R873" s="552"/>
      <c r="S873" s="552"/>
      <c r="T873" s="552"/>
      <c r="U873" s="552"/>
      <c r="V873" s="552"/>
      <c r="W873" s="552"/>
      <c r="X873" s="552"/>
      <c r="Y873" s="552"/>
      <c r="Z873" s="552"/>
    </row>
    <row r="874" spans="1:26" ht="12.75" customHeight="1">
      <c r="A874" s="553"/>
      <c r="B874" s="552"/>
      <c r="C874" s="554"/>
      <c r="D874" s="552"/>
      <c r="E874" s="552"/>
      <c r="F874" s="555"/>
      <c r="G874" s="552"/>
      <c r="H874" s="552"/>
      <c r="I874" s="552"/>
      <c r="J874" s="552"/>
      <c r="K874" s="552"/>
      <c r="L874" s="552"/>
      <c r="M874" s="552"/>
      <c r="N874" s="552"/>
      <c r="O874" s="552"/>
      <c r="P874" s="552"/>
      <c r="Q874" s="552"/>
      <c r="R874" s="552"/>
      <c r="S874" s="552"/>
      <c r="T874" s="552"/>
      <c r="U874" s="552"/>
      <c r="V874" s="552"/>
      <c r="W874" s="552"/>
      <c r="X874" s="552"/>
      <c r="Y874" s="552"/>
      <c r="Z874" s="552"/>
    </row>
    <row r="875" spans="1:26" ht="12.75" customHeight="1">
      <c r="A875" s="553"/>
      <c r="B875" s="552"/>
      <c r="C875" s="554"/>
      <c r="D875" s="552"/>
      <c r="E875" s="552"/>
      <c r="F875" s="555"/>
      <c r="G875" s="552"/>
      <c r="H875" s="552"/>
      <c r="I875" s="552"/>
      <c r="J875" s="552"/>
      <c r="K875" s="552"/>
      <c r="L875" s="552"/>
      <c r="M875" s="552"/>
      <c r="N875" s="552"/>
      <c r="O875" s="552"/>
      <c r="P875" s="552"/>
      <c r="Q875" s="552"/>
      <c r="R875" s="552"/>
      <c r="S875" s="552"/>
      <c r="T875" s="552"/>
      <c r="U875" s="552"/>
      <c r="V875" s="552"/>
      <c r="W875" s="552"/>
      <c r="X875" s="552"/>
      <c r="Y875" s="552"/>
      <c r="Z875" s="552"/>
    </row>
    <row r="876" spans="1:26" ht="12.75" customHeight="1">
      <c r="A876" s="553"/>
      <c r="B876" s="552"/>
      <c r="C876" s="554"/>
      <c r="D876" s="552"/>
      <c r="E876" s="552"/>
      <c r="F876" s="555"/>
      <c r="G876" s="552"/>
      <c r="H876" s="552"/>
      <c r="I876" s="552"/>
      <c r="J876" s="552"/>
      <c r="K876" s="552"/>
      <c r="L876" s="552"/>
      <c r="M876" s="552"/>
      <c r="N876" s="552"/>
      <c r="O876" s="552"/>
      <c r="P876" s="552"/>
      <c r="Q876" s="552"/>
      <c r="R876" s="552"/>
      <c r="S876" s="552"/>
      <c r="T876" s="552"/>
      <c r="U876" s="552"/>
      <c r="V876" s="552"/>
      <c r="W876" s="552"/>
      <c r="X876" s="552"/>
      <c r="Y876" s="552"/>
      <c r="Z876" s="552"/>
    </row>
    <row r="877" spans="1:26" ht="12.75" customHeight="1">
      <c r="A877" s="553"/>
      <c r="B877" s="552"/>
      <c r="C877" s="554"/>
      <c r="D877" s="552"/>
      <c r="E877" s="552"/>
      <c r="F877" s="555"/>
      <c r="G877" s="552"/>
      <c r="H877" s="552"/>
      <c r="I877" s="552"/>
      <c r="J877" s="552"/>
      <c r="K877" s="552"/>
      <c r="L877" s="552"/>
      <c r="M877" s="552"/>
      <c r="N877" s="552"/>
      <c r="O877" s="552"/>
      <c r="P877" s="552"/>
      <c r="Q877" s="552"/>
      <c r="R877" s="552"/>
      <c r="S877" s="552"/>
      <c r="T877" s="552"/>
      <c r="U877" s="552"/>
      <c r="V877" s="552"/>
      <c r="W877" s="552"/>
      <c r="X877" s="552"/>
      <c r="Y877" s="552"/>
      <c r="Z877" s="552"/>
    </row>
    <row r="878" spans="1:26" ht="12.75" customHeight="1">
      <c r="A878" s="553"/>
      <c r="B878" s="552"/>
      <c r="C878" s="554"/>
      <c r="D878" s="552"/>
      <c r="E878" s="552"/>
      <c r="F878" s="555"/>
      <c r="G878" s="552"/>
      <c r="H878" s="552"/>
      <c r="I878" s="552"/>
      <c r="J878" s="552"/>
      <c r="K878" s="552"/>
      <c r="L878" s="552"/>
      <c r="M878" s="552"/>
      <c r="N878" s="552"/>
      <c r="O878" s="552"/>
      <c r="P878" s="552"/>
      <c r="Q878" s="552"/>
      <c r="R878" s="552"/>
      <c r="S878" s="552"/>
      <c r="T878" s="552"/>
      <c r="U878" s="552"/>
      <c r="V878" s="552"/>
      <c r="W878" s="552"/>
      <c r="X878" s="552"/>
      <c r="Y878" s="552"/>
      <c r="Z878" s="552"/>
    </row>
    <row r="879" spans="1:26" ht="12.75" customHeight="1">
      <c r="A879" s="553"/>
      <c r="B879" s="552"/>
      <c r="C879" s="554"/>
      <c r="D879" s="552"/>
      <c r="E879" s="552"/>
      <c r="F879" s="555"/>
      <c r="G879" s="552"/>
      <c r="H879" s="552"/>
      <c r="I879" s="552"/>
      <c r="J879" s="552"/>
      <c r="K879" s="552"/>
      <c r="L879" s="552"/>
      <c r="M879" s="552"/>
      <c r="N879" s="552"/>
      <c r="O879" s="552"/>
      <c r="P879" s="552"/>
      <c r="Q879" s="552"/>
      <c r="R879" s="552"/>
      <c r="S879" s="552"/>
      <c r="T879" s="552"/>
      <c r="U879" s="552"/>
      <c r="V879" s="552"/>
      <c r="W879" s="552"/>
      <c r="X879" s="552"/>
      <c r="Y879" s="552"/>
      <c r="Z879" s="552"/>
    </row>
    <row r="880" spans="1:26" ht="12.75" customHeight="1">
      <c r="A880" s="553"/>
      <c r="B880" s="552"/>
      <c r="C880" s="554"/>
      <c r="D880" s="552"/>
      <c r="E880" s="552"/>
      <c r="F880" s="555"/>
      <c r="G880" s="552"/>
      <c r="H880" s="552"/>
      <c r="I880" s="552"/>
      <c r="J880" s="552"/>
      <c r="K880" s="552"/>
      <c r="L880" s="552"/>
      <c r="M880" s="552"/>
      <c r="N880" s="552"/>
      <c r="O880" s="552"/>
      <c r="P880" s="552"/>
      <c r="Q880" s="552"/>
      <c r="R880" s="552"/>
      <c r="S880" s="552"/>
      <c r="T880" s="552"/>
      <c r="U880" s="552"/>
      <c r="V880" s="552"/>
      <c r="W880" s="552"/>
      <c r="X880" s="552"/>
      <c r="Y880" s="552"/>
      <c r="Z880" s="552"/>
    </row>
    <row r="881" spans="1:26" ht="12.75" customHeight="1">
      <c r="A881" s="553"/>
      <c r="B881" s="552"/>
      <c r="C881" s="554"/>
      <c r="D881" s="552"/>
      <c r="E881" s="552"/>
      <c r="F881" s="555"/>
      <c r="G881" s="552"/>
      <c r="H881" s="552"/>
      <c r="I881" s="552"/>
      <c r="J881" s="552"/>
      <c r="K881" s="552"/>
      <c r="L881" s="552"/>
      <c r="M881" s="552"/>
      <c r="N881" s="552"/>
      <c r="O881" s="552"/>
      <c r="P881" s="552"/>
      <c r="Q881" s="552"/>
      <c r="R881" s="552"/>
      <c r="S881" s="552"/>
      <c r="T881" s="552"/>
      <c r="U881" s="552"/>
      <c r="V881" s="552"/>
      <c r="W881" s="552"/>
      <c r="X881" s="552"/>
      <c r="Y881" s="552"/>
      <c r="Z881" s="552"/>
    </row>
    <row r="882" spans="1:26" ht="12.75" customHeight="1">
      <c r="A882" s="553"/>
      <c r="B882" s="552"/>
      <c r="C882" s="554"/>
      <c r="D882" s="552"/>
      <c r="E882" s="552"/>
      <c r="F882" s="555"/>
      <c r="G882" s="552"/>
      <c r="H882" s="552"/>
      <c r="I882" s="552"/>
      <c r="J882" s="552"/>
      <c r="K882" s="552"/>
      <c r="L882" s="552"/>
      <c r="M882" s="552"/>
      <c r="N882" s="552"/>
      <c r="O882" s="552"/>
      <c r="P882" s="552"/>
      <c r="Q882" s="552"/>
      <c r="R882" s="552"/>
      <c r="S882" s="552"/>
      <c r="T882" s="552"/>
      <c r="U882" s="552"/>
      <c r="V882" s="552"/>
      <c r="W882" s="552"/>
      <c r="X882" s="552"/>
      <c r="Y882" s="552"/>
      <c r="Z882" s="552"/>
    </row>
    <row r="883" spans="1:26" ht="12.75" customHeight="1">
      <c r="A883" s="553"/>
      <c r="B883" s="552"/>
      <c r="C883" s="554"/>
      <c r="D883" s="552"/>
      <c r="E883" s="552"/>
      <c r="F883" s="555"/>
      <c r="G883" s="552"/>
      <c r="H883" s="552"/>
      <c r="I883" s="552"/>
      <c r="J883" s="552"/>
      <c r="K883" s="552"/>
      <c r="L883" s="552"/>
      <c r="M883" s="552"/>
      <c r="N883" s="552"/>
      <c r="O883" s="552"/>
      <c r="P883" s="552"/>
      <c r="Q883" s="552"/>
      <c r="R883" s="552"/>
      <c r="S883" s="552"/>
      <c r="T883" s="552"/>
      <c r="U883" s="552"/>
      <c r="V883" s="552"/>
      <c r="W883" s="552"/>
      <c r="X883" s="552"/>
      <c r="Y883" s="552"/>
      <c r="Z883" s="552"/>
    </row>
    <row r="884" spans="1:26" ht="12.75" customHeight="1">
      <c r="A884" s="553"/>
      <c r="B884" s="552"/>
      <c r="C884" s="554"/>
      <c r="D884" s="552"/>
      <c r="E884" s="552"/>
      <c r="F884" s="555"/>
      <c r="G884" s="552"/>
      <c r="H884" s="552"/>
      <c r="I884" s="552"/>
      <c r="J884" s="552"/>
      <c r="K884" s="552"/>
      <c r="L884" s="552"/>
      <c r="M884" s="552"/>
      <c r="N884" s="552"/>
      <c r="O884" s="552"/>
      <c r="P884" s="552"/>
      <c r="Q884" s="552"/>
      <c r="R884" s="552"/>
      <c r="S884" s="552"/>
      <c r="T884" s="552"/>
      <c r="U884" s="552"/>
      <c r="V884" s="552"/>
      <c r="W884" s="552"/>
      <c r="X884" s="552"/>
      <c r="Y884" s="552"/>
      <c r="Z884" s="552"/>
    </row>
    <row r="885" spans="1:26" ht="12.75" customHeight="1">
      <c r="A885" s="553"/>
      <c r="B885" s="552"/>
      <c r="C885" s="554"/>
      <c r="D885" s="552"/>
      <c r="E885" s="552"/>
      <c r="F885" s="555"/>
      <c r="G885" s="552"/>
      <c r="H885" s="552"/>
      <c r="I885" s="552"/>
      <c r="J885" s="552"/>
      <c r="K885" s="552"/>
      <c r="L885" s="552"/>
      <c r="M885" s="552"/>
      <c r="N885" s="552"/>
      <c r="O885" s="552"/>
      <c r="P885" s="552"/>
      <c r="Q885" s="552"/>
      <c r="R885" s="552"/>
      <c r="S885" s="552"/>
      <c r="T885" s="552"/>
      <c r="U885" s="552"/>
      <c r="V885" s="552"/>
      <c r="W885" s="552"/>
      <c r="X885" s="552"/>
      <c r="Y885" s="552"/>
      <c r="Z885" s="552"/>
    </row>
    <row r="886" spans="1:26" ht="12.75" customHeight="1">
      <c r="A886" s="553"/>
      <c r="B886" s="552"/>
      <c r="C886" s="554"/>
      <c r="D886" s="552"/>
      <c r="E886" s="552"/>
      <c r="F886" s="555"/>
      <c r="G886" s="552"/>
      <c r="H886" s="552"/>
      <c r="I886" s="552"/>
      <c r="J886" s="552"/>
      <c r="K886" s="552"/>
      <c r="L886" s="552"/>
      <c r="M886" s="552"/>
      <c r="N886" s="552"/>
      <c r="O886" s="552"/>
      <c r="P886" s="552"/>
      <c r="Q886" s="552"/>
      <c r="R886" s="552"/>
      <c r="S886" s="552"/>
      <c r="T886" s="552"/>
      <c r="U886" s="552"/>
      <c r="V886" s="552"/>
      <c r="W886" s="552"/>
      <c r="X886" s="552"/>
      <c r="Y886" s="552"/>
      <c r="Z886" s="552"/>
    </row>
    <row r="887" spans="1:26" ht="12.75" customHeight="1">
      <c r="A887" s="553"/>
      <c r="B887" s="552"/>
      <c r="C887" s="554"/>
      <c r="D887" s="552"/>
      <c r="E887" s="552"/>
      <c r="F887" s="555"/>
      <c r="G887" s="552"/>
      <c r="H887" s="552"/>
      <c r="I887" s="552"/>
      <c r="J887" s="552"/>
      <c r="K887" s="552"/>
      <c r="L887" s="552"/>
      <c r="M887" s="552"/>
      <c r="N887" s="552"/>
      <c r="O887" s="552"/>
      <c r="P887" s="552"/>
      <c r="Q887" s="552"/>
      <c r="R887" s="552"/>
      <c r="S887" s="552"/>
      <c r="T887" s="552"/>
      <c r="U887" s="552"/>
      <c r="V887" s="552"/>
      <c r="W887" s="552"/>
      <c r="X887" s="552"/>
      <c r="Y887" s="552"/>
      <c r="Z887" s="552"/>
    </row>
    <row r="888" spans="1:26" ht="12.75" customHeight="1">
      <c r="A888" s="553"/>
      <c r="B888" s="552"/>
      <c r="C888" s="554"/>
      <c r="D888" s="552"/>
      <c r="E888" s="552"/>
      <c r="F888" s="555"/>
      <c r="G888" s="552"/>
      <c r="H888" s="552"/>
      <c r="I888" s="552"/>
      <c r="J888" s="552"/>
      <c r="K888" s="552"/>
      <c r="L888" s="552"/>
      <c r="M888" s="552"/>
      <c r="N888" s="552"/>
      <c r="O888" s="552"/>
      <c r="P888" s="552"/>
      <c r="Q888" s="552"/>
      <c r="R888" s="552"/>
      <c r="S888" s="552"/>
      <c r="T888" s="552"/>
      <c r="U888" s="552"/>
      <c r="V888" s="552"/>
      <c r="W888" s="552"/>
      <c r="X888" s="552"/>
      <c r="Y888" s="552"/>
      <c r="Z888" s="552"/>
    </row>
    <row r="889" spans="1:26" ht="12.75" customHeight="1">
      <c r="A889" s="553"/>
      <c r="B889" s="552"/>
      <c r="C889" s="554"/>
      <c r="D889" s="552"/>
      <c r="E889" s="552"/>
      <c r="F889" s="555"/>
      <c r="G889" s="552"/>
      <c r="H889" s="552"/>
      <c r="I889" s="552"/>
      <c r="J889" s="552"/>
      <c r="K889" s="552"/>
      <c r="L889" s="552"/>
      <c r="M889" s="552"/>
      <c r="N889" s="552"/>
      <c r="O889" s="552"/>
      <c r="P889" s="552"/>
      <c r="Q889" s="552"/>
      <c r="R889" s="552"/>
      <c r="S889" s="552"/>
      <c r="T889" s="552"/>
      <c r="U889" s="552"/>
      <c r="V889" s="552"/>
      <c r="W889" s="552"/>
      <c r="X889" s="552"/>
      <c r="Y889" s="552"/>
      <c r="Z889" s="552"/>
    </row>
    <row r="890" spans="1:26" ht="12.75" customHeight="1">
      <c r="A890" s="553"/>
      <c r="B890" s="552"/>
      <c r="C890" s="554"/>
      <c r="D890" s="552"/>
      <c r="E890" s="552"/>
      <c r="F890" s="555"/>
      <c r="G890" s="552"/>
      <c r="H890" s="552"/>
      <c r="I890" s="552"/>
      <c r="J890" s="552"/>
      <c r="K890" s="552"/>
      <c r="L890" s="552"/>
      <c r="M890" s="552"/>
      <c r="N890" s="552"/>
      <c r="O890" s="552"/>
      <c r="P890" s="552"/>
      <c r="Q890" s="552"/>
      <c r="R890" s="552"/>
      <c r="S890" s="552"/>
      <c r="T890" s="552"/>
      <c r="U890" s="552"/>
      <c r="V890" s="552"/>
      <c r="W890" s="552"/>
      <c r="X890" s="552"/>
      <c r="Y890" s="552"/>
      <c r="Z890" s="552"/>
    </row>
    <row r="891" spans="1:26" ht="12.75" customHeight="1">
      <c r="A891" s="553"/>
      <c r="B891" s="552"/>
      <c r="C891" s="554"/>
      <c r="D891" s="552"/>
      <c r="E891" s="552"/>
      <c r="F891" s="555"/>
      <c r="G891" s="552"/>
      <c r="H891" s="552"/>
      <c r="I891" s="552"/>
      <c r="J891" s="552"/>
      <c r="K891" s="552"/>
      <c r="L891" s="552"/>
      <c r="M891" s="552"/>
      <c r="N891" s="552"/>
      <c r="O891" s="552"/>
      <c r="P891" s="552"/>
      <c r="Q891" s="552"/>
      <c r="R891" s="552"/>
      <c r="S891" s="552"/>
      <c r="T891" s="552"/>
      <c r="U891" s="552"/>
      <c r="V891" s="552"/>
      <c r="W891" s="552"/>
      <c r="X891" s="552"/>
      <c r="Y891" s="552"/>
      <c r="Z891" s="552"/>
    </row>
    <row r="892" spans="1:26" ht="12.75" customHeight="1">
      <c r="A892" s="553"/>
      <c r="B892" s="552"/>
      <c r="C892" s="554"/>
      <c r="D892" s="552"/>
      <c r="E892" s="552"/>
      <c r="F892" s="555"/>
      <c r="G892" s="552"/>
      <c r="H892" s="552"/>
      <c r="I892" s="552"/>
      <c r="J892" s="552"/>
      <c r="K892" s="552"/>
      <c r="L892" s="552"/>
      <c r="M892" s="552"/>
      <c r="N892" s="552"/>
      <c r="O892" s="552"/>
      <c r="P892" s="552"/>
      <c r="Q892" s="552"/>
      <c r="R892" s="552"/>
      <c r="S892" s="552"/>
      <c r="T892" s="552"/>
      <c r="U892" s="552"/>
      <c r="V892" s="552"/>
      <c r="W892" s="552"/>
      <c r="X892" s="552"/>
      <c r="Y892" s="552"/>
      <c r="Z892" s="552"/>
    </row>
    <row r="893" spans="1:26" ht="12.75" customHeight="1">
      <c r="A893" s="553"/>
      <c r="B893" s="552"/>
      <c r="C893" s="554"/>
      <c r="D893" s="552"/>
      <c r="E893" s="552"/>
      <c r="F893" s="555"/>
      <c r="G893" s="552"/>
      <c r="H893" s="552"/>
      <c r="I893" s="552"/>
      <c r="J893" s="552"/>
      <c r="K893" s="552"/>
      <c r="L893" s="552"/>
      <c r="M893" s="552"/>
      <c r="N893" s="552"/>
      <c r="O893" s="552"/>
      <c r="P893" s="552"/>
      <c r="Q893" s="552"/>
      <c r="R893" s="552"/>
      <c r="S893" s="552"/>
      <c r="T893" s="552"/>
      <c r="U893" s="552"/>
      <c r="V893" s="552"/>
      <c r="W893" s="552"/>
      <c r="X893" s="552"/>
      <c r="Y893" s="552"/>
      <c r="Z893" s="552"/>
    </row>
    <row r="894" spans="1:26" ht="12.75" customHeight="1">
      <c r="A894" s="553"/>
      <c r="B894" s="552"/>
      <c r="C894" s="554"/>
      <c r="D894" s="552"/>
      <c r="E894" s="552"/>
      <c r="F894" s="555"/>
      <c r="G894" s="552"/>
      <c r="H894" s="552"/>
      <c r="I894" s="552"/>
      <c r="J894" s="552"/>
      <c r="K894" s="552"/>
      <c r="L894" s="552"/>
      <c r="M894" s="552"/>
      <c r="N894" s="552"/>
      <c r="O894" s="552"/>
      <c r="P894" s="552"/>
      <c r="Q894" s="552"/>
      <c r="R894" s="552"/>
      <c r="S894" s="552"/>
      <c r="T894" s="552"/>
      <c r="U894" s="552"/>
      <c r="V894" s="552"/>
      <c r="W894" s="552"/>
      <c r="X894" s="552"/>
      <c r="Y894" s="552"/>
      <c r="Z894" s="552"/>
    </row>
    <row r="895" spans="1:26" ht="12.75" customHeight="1">
      <c r="A895" s="553"/>
      <c r="B895" s="552"/>
      <c r="C895" s="554"/>
      <c r="D895" s="552"/>
      <c r="E895" s="552"/>
      <c r="F895" s="555"/>
      <c r="G895" s="552"/>
      <c r="H895" s="552"/>
      <c r="I895" s="552"/>
      <c r="J895" s="552"/>
      <c r="K895" s="552"/>
      <c r="L895" s="552"/>
      <c r="M895" s="552"/>
      <c r="N895" s="552"/>
      <c r="O895" s="552"/>
      <c r="P895" s="552"/>
      <c r="Q895" s="552"/>
      <c r="R895" s="552"/>
      <c r="S895" s="552"/>
      <c r="T895" s="552"/>
      <c r="U895" s="552"/>
      <c r="V895" s="552"/>
      <c r="W895" s="552"/>
      <c r="X895" s="552"/>
      <c r="Y895" s="552"/>
      <c r="Z895" s="552"/>
    </row>
    <row r="896" spans="1:26" ht="12.75" customHeight="1">
      <c r="A896" s="553"/>
      <c r="B896" s="552"/>
      <c r="C896" s="554"/>
      <c r="D896" s="552"/>
      <c r="E896" s="552"/>
      <c r="F896" s="555"/>
      <c r="G896" s="552"/>
      <c r="H896" s="552"/>
      <c r="I896" s="552"/>
      <c r="J896" s="552"/>
      <c r="K896" s="552"/>
      <c r="L896" s="552"/>
      <c r="M896" s="552"/>
      <c r="N896" s="552"/>
      <c r="O896" s="552"/>
      <c r="P896" s="552"/>
      <c r="Q896" s="552"/>
      <c r="R896" s="552"/>
      <c r="S896" s="552"/>
      <c r="T896" s="552"/>
      <c r="U896" s="552"/>
      <c r="V896" s="552"/>
      <c r="W896" s="552"/>
      <c r="X896" s="552"/>
      <c r="Y896" s="552"/>
      <c r="Z896" s="552"/>
    </row>
    <row r="897" spans="1:26" ht="12.75" customHeight="1">
      <c r="A897" s="553"/>
      <c r="B897" s="552"/>
      <c r="C897" s="554"/>
      <c r="D897" s="552"/>
      <c r="E897" s="552"/>
      <c r="F897" s="555"/>
      <c r="G897" s="552"/>
      <c r="H897" s="552"/>
      <c r="I897" s="552"/>
      <c r="J897" s="552"/>
      <c r="K897" s="552"/>
      <c r="L897" s="552"/>
      <c r="M897" s="552"/>
      <c r="N897" s="552"/>
      <c r="O897" s="552"/>
      <c r="P897" s="552"/>
      <c r="Q897" s="552"/>
      <c r="R897" s="552"/>
      <c r="S897" s="552"/>
      <c r="T897" s="552"/>
      <c r="U897" s="552"/>
      <c r="V897" s="552"/>
      <c r="W897" s="552"/>
      <c r="X897" s="552"/>
      <c r="Y897" s="552"/>
      <c r="Z897" s="552"/>
    </row>
    <row r="898" spans="1:26" ht="12.75" customHeight="1">
      <c r="A898" s="553"/>
      <c r="B898" s="552"/>
      <c r="C898" s="554"/>
      <c r="D898" s="552"/>
      <c r="E898" s="552"/>
      <c r="F898" s="555"/>
      <c r="G898" s="552"/>
      <c r="H898" s="552"/>
      <c r="I898" s="552"/>
      <c r="J898" s="552"/>
      <c r="K898" s="552"/>
      <c r="L898" s="552"/>
      <c r="M898" s="552"/>
      <c r="N898" s="552"/>
      <c r="O898" s="552"/>
      <c r="P898" s="552"/>
      <c r="Q898" s="552"/>
      <c r="R898" s="552"/>
      <c r="S898" s="552"/>
      <c r="T898" s="552"/>
      <c r="U898" s="552"/>
      <c r="V898" s="552"/>
      <c r="W898" s="552"/>
      <c r="X898" s="552"/>
      <c r="Y898" s="552"/>
      <c r="Z898" s="552"/>
    </row>
    <row r="899" spans="1:26" ht="12.75" customHeight="1">
      <c r="A899" s="553"/>
      <c r="B899" s="552"/>
      <c r="C899" s="554"/>
      <c r="D899" s="552"/>
      <c r="E899" s="552"/>
      <c r="F899" s="555"/>
      <c r="G899" s="552"/>
      <c r="H899" s="552"/>
      <c r="I899" s="552"/>
      <c r="J899" s="552"/>
      <c r="K899" s="552"/>
      <c r="L899" s="552"/>
      <c r="M899" s="552"/>
      <c r="N899" s="552"/>
      <c r="O899" s="552"/>
      <c r="P899" s="552"/>
      <c r="Q899" s="552"/>
      <c r="R899" s="552"/>
      <c r="S899" s="552"/>
      <c r="T899" s="552"/>
      <c r="U899" s="552"/>
      <c r="V899" s="552"/>
      <c r="W899" s="552"/>
      <c r="X899" s="552"/>
      <c r="Y899" s="552"/>
      <c r="Z899" s="552"/>
    </row>
    <row r="900" spans="1:26" ht="12.75" customHeight="1">
      <c r="A900" s="553"/>
      <c r="B900" s="552"/>
      <c r="C900" s="554"/>
      <c r="D900" s="552"/>
      <c r="E900" s="552"/>
      <c r="F900" s="555"/>
      <c r="G900" s="552"/>
      <c r="H900" s="552"/>
      <c r="I900" s="552"/>
      <c r="J900" s="552"/>
      <c r="K900" s="552"/>
      <c r="L900" s="552"/>
      <c r="M900" s="552"/>
      <c r="N900" s="552"/>
      <c r="O900" s="552"/>
      <c r="P900" s="552"/>
      <c r="Q900" s="552"/>
      <c r="R900" s="552"/>
      <c r="S900" s="552"/>
      <c r="T900" s="552"/>
      <c r="U900" s="552"/>
      <c r="V900" s="552"/>
      <c r="W900" s="552"/>
      <c r="X900" s="552"/>
      <c r="Y900" s="552"/>
      <c r="Z900" s="552"/>
    </row>
    <row r="901" spans="1:26" ht="12.75" customHeight="1">
      <c r="A901" s="553"/>
      <c r="B901" s="552"/>
      <c r="C901" s="554"/>
      <c r="D901" s="552"/>
      <c r="E901" s="552"/>
      <c r="F901" s="555"/>
      <c r="G901" s="552"/>
      <c r="H901" s="552"/>
      <c r="I901" s="552"/>
      <c r="J901" s="552"/>
      <c r="K901" s="552"/>
      <c r="L901" s="552"/>
      <c r="M901" s="552"/>
      <c r="N901" s="552"/>
      <c r="O901" s="552"/>
      <c r="P901" s="552"/>
      <c r="Q901" s="552"/>
      <c r="R901" s="552"/>
      <c r="S901" s="552"/>
      <c r="T901" s="552"/>
      <c r="U901" s="552"/>
      <c r="V901" s="552"/>
      <c r="W901" s="552"/>
      <c r="X901" s="552"/>
      <c r="Y901" s="552"/>
      <c r="Z901" s="552"/>
    </row>
    <row r="902" spans="1:26" ht="12.75" customHeight="1">
      <c r="A902" s="553"/>
      <c r="B902" s="552"/>
      <c r="C902" s="554"/>
      <c r="D902" s="552"/>
      <c r="E902" s="552"/>
      <c r="F902" s="555"/>
      <c r="G902" s="552"/>
      <c r="H902" s="552"/>
      <c r="I902" s="552"/>
      <c r="J902" s="552"/>
      <c r="K902" s="552"/>
      <c r="L902" s="552"/>
      <c r="M902" s="552"/>
      <c r="N902" s="552"/>
      <c r="O902" s="552"/>
      <c r="P902" s="552"/>
      <c r="Q902" s="552"/>
      <c r="R902" s="552"/>
      <c r="S902" s="552"/>
      <c r="T902" s="552"/>
      <c r="U902" s="552"/>
      <c r="V902" s="552"/>
      <c r="W902" s="552"/>
      <c r="X902" s="552"/>
      <c r="Y902" s="552"/>
      <c r="Z902" s="552"/>
    </row>
    <row r="903" spans="1:26" ht="12.75" customHeight="1">
      <c r="A903" s="553"/>
      <c r="B903" s="552"/>
      <c r="C903" s="554"/>
      <c r="D903" s="552"/>
      <c r="E903" s="552"/>
      <c r="F903" s="555"/>
      <c r="G903" s="552"/>
      <c r="H903" s="552"/>
      <c r="I903" s="552"/>
      <c r="J903" s="552"/>
      <c r="K903" s="552"/>
      <c r="L903" s="552"/>
      <c r="M903" s="552"/>
      <c r="N903" s="552"/>
      <c r="O903" s="552"/>
      <c r="P903" s="552"/>
      <c r="Q903" s="552"/>
      <c r="R903" s="552"/>
      <c r="S903" s="552"/>
      <c r="T903" s="552"/>
      <c r="U903" s="552"/>
      <c r="V903" s="552"/>
      <c r="W903" s="552"/>
      <c r="X903" s="552"/>
      <c r="Y903" s="552"/>
      <c r="Z903" s="552"/>
    </row>
    <row r="904" spans="1:26" ht="12.75" customHeight="1">
      <c r="A904" s="553"/>
      <c r="B904" s="552"/>
      <c r="C904" s="554"/>
      <c r="D904" s="552"/>
      <c r="E904" s="552"/>
      <c r="F904" s="555"/>
      <c r="G904" s="552"/>
      <c r="H904" s="552"/>
      <c r="I904" s="552"/>
      <c r="J904" s="552"/>
      <c r="K904" s="552"/>
      <c r="L904" s="552"/>
      <c r="M904" s="552"/>
      <c r="N904" s="552"/>
      <c r="O904" s="552"/>
      <c r="P904" s="552"/>
      <c r="Q904" s="552"/>
      <c r="R904" s="552"/>
      <c r="S904" s="552"/>
      <c r="T904" s="552"/>
      <c r="U904" s="552"/>
      <c r="V904" s="552"/>
      <c r="W904" s="552"/>
      <c r="X904" s="552"/>
      <c r="Y904" s="552"/>
      <c r="Z904" s="552"/>
    </row>
    <row r="905" spans="1:26" ht="12.75" customHeight="1">
      <c r="A905" s="553"/>
      <c r="B905" s="552"/>
      <c r="C905" s="554"/>
      <c r="D905" s="552"/>
      <c r="E905" s="552"/>
      <c r="F905" s="555"/>
      <c r="G905" s="552"/>
      <c r="H905" s="552"/>
      <c r="I905" s="552"/>
      <c r="J905" s="552"/>
      <c r="K905" s="552"/>
      <c r="L905" s="552"/>
      <c r="M905" s="552"/>
      <c r="N905" s="552"/>
      <c r="O905" s="552"/>
      <c r="P905" s="552"/>
      <c r="Q905" s="552"/>
      <c r="R905" s="552"/>
      <c r="S905" s="552"/>
      <c r="T905" s="552"/>
      <c r="U905" s="552"/>
      <c r="V905" s="552"/>
      <c r="W905" s="552"/>
      <c r="X905" s="552"/>
      <c r="Y905" s="552"/>
      <c r="Z905" s="552"/>
    </row>
    <row r="906" spans="1:26" ht="12.75" customHeight="1">
      <c r="A906" s="553"/>
      <c r="B906" s="552"/>
      <c r="C906" s="554"/>
      <c r="D906" s="552"/>
      <c r="E906" s="552"/>
      <c r="F906" s="555"/>
      <c r="G906" s="552"/>
      <c r="H906" s="552"/>
      <c r="I906" s="552"/>
      <c r="J906" s="552"/>
      <c r="K906" s="552"/>
      <c r="L906" s="552"/>
      <c r="M906" s="552"/>
      <c r="N906" s="552"/>
      <c r="O906" s="552"/>
      <c r="P906" s="552"/>
      <c r="Q906" s="552"/>
      <c r="R906" s="552"/>
      <c r="S906" s="552"/>
      <c r="T906" s="552"/>
      <c r="U906" s="552"/>
      <c r="V906" s="552"/>
      <c r="W906" s="552"/>
      <c r="X906" s="552"/>
      <c r="Y906" s="552"/>
      <c r="Z906" s="552"/>
    </row>
    <row r="907" spans="1:26" ht="12.75" customHeight="1">
      <c r="A907" s="553"/>
      <c r="B907" s="552"/>
      <c r="C907" s="554"/>
      <c r="D907" s="552"/>
      <c r="E907" s="552"/>
      <c r="F907" s="555"/>
      <c r="G907" s="552"/>
      <c r="H907" s="552"/>
      <c r="I907" s="552"/>
      <c r="J907" s="552"/>
      <c r="K907" s="552"/>
      <c r="L907" s="552"/>
      <c r="M907" s="552"/>
      <c r="N907" s="552"/>
      <c r="O907" s="552"/>
      <c r="P907" s="552"/>
      <c r="Q907" s="552"/>
      <c r="R907" s="552"/>
      <c r="S907" s="552"/>
      <c r="T907" s="552"/>
      <c r="U907" s="552"/>
      <c r="V907" s="552"/>
      <c r="W907" s="552"/>
      <c r="X907" s="552"/>
      <c r="Y907" s="552"/>
      <c r="Z907" s="552"/>
    </row>
    <row r="908" spans="1:26" ht="12.75" customHeight="1">
      <c r="A908" s="553"/>
      <c r="B908" s="552"/>
      <c r="C908" s="554"/>
      <c r="D908" s="552"/>
      <c r="E908" s="552"/>
      <c r="F908" s="555"/>
      <c r="G908" s="552"/>
      <c r="H908" s="552"/>
      <c r="I908" s="552"/>
      <c r="J908" s="552"/>
      <c r="K908" s="552"/>
      <c r="L908" s="552"/>
      <c r="M908" s="552"/>
      <c r="N908" s="552"/>
      <c r="O908" s="552"/>
      <c r="P908" s="552"/>
      <c r="Q908" s="552"/>
      <c r="R908" s="552"/>
      <c r="S908" s="552"/>
      <c r="T908" s="552"/>
      <c r="U908" s="552"/>
      <c r="V908" s="552"/>
      <c r="W908" s="552"/>
      <c r="X908" s="552"/>
      <c r="Y908" s="552"/>
      <c r="Z908" s="552"/>
    </row>
    <row r="909" spans="1:26" ht="12.75" customHeight="1">
      <c r="A909" s="553"/>
      <c r="B909" s="552"/>
      <c r="C909" s="554"/>
      <c r="D909" s="552"/>
      <c r="E909" s="552"/>
      <c r="F909" s="555"/>
      <c r="G909" s="552"/>
      <c r="H909" s="552"/>
      <c r="I909" s="552"/>
      <c r="J909" s="552"/>
      <c r="K909" s="552"/>
      <c r="L909" s="552"/>
      <c r="M909" s="552"/>
      <c r="N909" s="552"/>
      <c r="O909" s="552"/>
      <c r="P909" s="552"/>
      <c r="Q909" s="552"/>
      <c r="R909" s="552"/>
      <c r="S909" s="552"/>
      <c r="T909" s="552"/>
      <c r="U909" s="552"/>
      <c r="V909" s="552"/>
      <c r="W909" s="552"/>
      <c r="X909" s="552"/>
      <c r="Y909" s="552"/>
      <c r="Z909" s="552"/>
    </row>
    <row r="910" spans="1:26" ht="12.75" customHeight="1">
      <c r="A910" s="553"/>
      <c r="B910" s="552"/>
      <c r="C910" s="554"/>
      <c r="D910" s="552"/>
      <c r="E910" s="552"/>
      <c r="F910" s="555"/>
      <c r="G910" s="552"/>
      <c r="H910" s="552"/>
      <c r="I910" s="552"/>
      <c r="J910" s="552"/>
      <c r="K910" s="552"/>
      <c r="L910" s="552"/>
      <c r="M910" s="552"/>
      <c r="N910" s="552"/>
      <c r="O910" s="552"/>
      <c r="P910" s="552"/>
      <c r="Q910" s="552"/>
      <c r="R910" s="552"/>
      <c r="S910" s="552"/>
      <c r="T910" s="552"/>
      <c r="U910" s="552"/>
      <c r="V910" s="552"/>
      <c r="W910" s="552"/>
      <c r="X910" s="552"/>
      <c r="Y910" s="552"/>
      <c r="Z910" s="552"/>
    </row>
    <row r="911" spans="1:26" ht="12.75" customHeight="1">
      <c r="A911" s="553"/>
      <c r="B911" s="552"/>
      <c r="C911" s="554"/>
      <c r="D911" s="552"/>
      <c r="E911" s="552"/>
      <c r="F911" s="555"/>
      <c r="G911" s="552"/>
      <c r="H911" s="552"/>
      <c r="I911" s="552"/>
      <c r="J911" s="552"/>
      <c r="K911" s="552"/>
      <c r="L911" s="552"/>
      <c r="M911" s="552"/>
      <c r="N911" s="552"/>
      <c r="O911" s="552"/>
      <c r="P911" s="552"/>
      <c r="Q911" s="552"/>
      <c r="R911" s="552"/>
      <c r="S911" s="552"/>
      <c r="T911" s="552"/>
      <c r="U911" s="552"/>
      <c r="V911" s="552"/>
      <c r="W911" s="552"/>
      <c r="X911" s="552"/>
      <c r="Y911" s="552"/>
      <c r="Z911" s="552"/>
    </row>
    <row r="912" spans="1:26" ht="12.75" customHeight="1">
      <c r="A912" s="553"/>
      <c r="B912" s="552"/>
      <c r="C912" s="554"/>
      <c r="D912" s="552"/>
      <c r="E912" s="552"/>
      <c r="F912" s="555"/>
      <c r="G912" s="552"/>
      <c r="H912" s="552"/>
      <c r="I912" s="552"/>
      <c r="J912" s="552"/>
      <c r="K912" s="552"/>
      <c r="L912" s="552"/>
      <c r="M912" s="552"/>
      <c r="N912" s="552"/>
      <c r="O912" s="552"/>
      <c r="P912" s="552"/>
      <c r="Q912" s="552"/>
      <c r="R912" s="552"/>
      <c r="S912" s="552"/>
      <c r="T912" s="552"/>
      <c r="U912" s="552"/>
      <c r="V912" s="552"/>
      <c r="W912" s="552"/>
      <c r="X912" s="552"/>
      <c r="Y912" s="552"/>
      <c r="Z912" s="552"/>
    </row>
    <row r="913" spans="1:26" ht="12.75" customHeight="1">
      <c r="A913" s="553"/>
      <c r="B913" s="552"/>
      <c r="C913" s="554"/>
      <c r="D913" s="552"/>
      <c r="E913" s="552"/>
      <c r="F913" s="555"/>
      <c r="G913" s="552"/>
      <c r="H913" s="552"/>
      <c r="I913" s="552"/>
      <c r="J913" s="552"/>
      <c r="K913" s="552"/>
      <c r="L913" s="552"/>
      <c r="M913" s="552"/>
      <c r="N913" s="552"/>
      <c r="O913" s="552"/>
      <c r="P913" s="552"/>
      <c r="Q913" s="552"/>
      <c r="R913" s="552"/>
      <c r="S913" s="552"/>
      <c r="T913" s="552"/>
      <c r="U913" s="552"/>
      <c r="V913" s="552"/>
      <c r="W913" s="552"/>
      <c r="X913" s="552"/>
      <c r="Y913" s="552"/>
      <c r="Z913" s="552"/>
    </row>
    <row r="914" spans="1:26" ht="12.75" customHeight="1">
      <c r="A914" s="553"/>
      <c r="B914" s="552"/>
      <c r="C914" s="554"/>
      <c r="D914" s="552"/>
      <c r="E914" s="552"/>
      <c r="F914" s="555"/>
      <c r="G914" s="552"/>
      <c r="H914" s="552"/>
      <c r="I914" s="552"/>
      <c r="J914" s="552"/>
      <c r="K914" s="552"/>
      <c r="L914" s="552"/>
      <c r="M914" s="552"/>
      <c r="N914" s="552"/>
      <c r="O914" s="552"/>
      <c r="P914" s="552"/>
      <c r="Q914" s="552"/>
      <c r="R914" s="552"/>
      <c r="S914" s="552"/>
      <c r="T914" s="552"/>
      <c r="U914" s="552"/>
      <c r="V914" s="552"/>
      <c r="W914" s="552"/>
      <c r="X914" s="552"/>
      <c r="Y914" s="552"/>
      <c r="Z914" s="552"/>
    </row>
    <row r="915" spans="1:26" ht="12.75" customHeight="1">
      <c r="A915" s="553"/>
      <c r="B915" s="552"/>
      <c r="C915" s="554"/>
      <c r="D915" s="552"/>
      <c r="E915" s="552"/>
      <c r="F915" s="555"/>
      <c r="G915" s="552"/>
      <c r="H915" s="552"/>
      <c r="I915" s="552"/>
      <c r="J915" s="552"/>
      <c r="K915" s="552"/>
      <c r="L915" s="552"/>
      <c r="M915" s="552"/>
      <c r="N915" s="552"/>
      <c r="O915" s="552"/>
      <c r="P915" s="552"/>
      <c r="Q915" s="552"/>
      <c r="R915" s="552"/>
      <c r="S915" s="552"/>
      <c r="T915" s="552"/>
      <c r="U915" s="552"/>
      <c r="V915" s="552"/>
      <c r="W915" s="552"/>
      <c r="X915" s="552"/>
      <c r="Y915" s="552"/>
      <c r="Z915" s="552"/>
    </row>
    <row r="916" spans="1:26" ht="12.75" customHeight="1">
      <c r="A916" s="553"/>
      <c r="B916" s="552"/>
      <c r="C916" s="554"/>
      <c r="D916" s="552"/>
      <c r="E916" s="552"/>
      <c r="F916" s="555"/>
      <c r="G916" s="552"/>
      <c r="H916" s="552"/>
      <c r="I916" s="552"/>
      <c r="J916" s="552"/>
      <c r="K916" s="552"/>
      <c r="L916" s="552"/>
      <c r="M916" s="552"/>
      <c r="N916" s="552"/>
      <c r="O916" s="552"/>
      <c r="P916" s="552"/>
      <c r="Q916" s="552"/>
      <c r="R916" s="552"/>
      <c r="S916" s="552"/>
      <c r="T916" s="552"/>
      <c r="U916" s="552"/>
      <c r="V916" s="552"/>
      <c r="W916" s="552"/>
      <c r="X916" s="552"/>
      <c r="Y916" s="552"/>
      <c r="Z916" s="552"/>
    </row>
    <row r="917" spans="1:26" ht="12.75" customHeight="1">
      <c r="A917" s="553"/>
      <c r="B917" s="552"/>
      <c r="C917" s="554"/>
      <c r="D917" s="552"/>
      <c r="E917" s="552"/>
      <c r="F917" s="555"/>
      <c r="G917" s="552"/>
      <c r="H917" s="552"/>
      <c r="I917" s="552"/>
      <c r="J917" s="552"/>
      <c r="K917" s="552"/>
      <c r="L917" s="552"/>
      <c r="M917" s="552"/>
      <c r="N917" s="552"/>
      <c r="O917" s="552"/>
      <c r="P917" s="552"/>
      <c r="Q917" s="552"/>
      <c r="R917" s="552"/>
      <c r="S917" s="552"/>
      <c r="T917" s="552"/>
      <c r="U917" s="552"/>
      <c r="V917" s="552"/>
      <c r="W917" s="552"/>
      <c r="X917" s="552"/>
      <c r="Y917" s="552"/>
      <c r="Z917" s="552"/>
    </row>
    <row r="918" spans="1:26" ht="12.75" customHeight="1">
      <c r="A918" s="553"/>
      <c r="B918" s="552"/>
      <c r="C918" s="554"/>
      <c r="D918" s="552"/>
      <c r="E918" s="552"/>
      <c r="F918" s="555"/>
      <c r="G918" s="552"/>
      <c r="H918" s="552"/>
      <c r="I918" s="552"/>
      <c r="J918" s="552"/>
      <c r="K918" s="552"/>
      <c r="L918" s="552"/>
      <c r="M918" s="552"/>
      <c r="N918" s="552"/>
      <c r="O918" s="552"/>
      <c r="P918" s="552"/>
      <c r="Q918" s="552"/>
      <c r="R918" s="552"/>
      <c r="S918" s="552"/>
      <c r="T918" s="552"/>
      <c r="U918" s="552"/>
      <c r="V918" s="552"/>
      <c r="W918" s="552"/>
      <c r="X918" s="552"/>
      <c r="Y918" s="552"/>
      <c r="Z918" s="552"/>
    </row>
    <row r="919" spans="1:26" ht="12.75" customHeight="1">
      <c r="A919" s="553"/>
      <c r="B919" s="552"/>
      <c r="C919" s="554"/>
      <c r="D919" s="552"/>
      <c r="E919" s="552"/>
      <c r="F919" s="555"/>
      <c r="G919" s="552"/>
      <c r="H919" s="552"/>
      <c r="I919" s="552"/>
      <c r="J919" s="552"/>
      <c r="K919" s="552"/>
      <c r="L919" s="552"/>
      <c r="M919" s="552"/>
      <c r="N919" s="552"/>
      <c r="O919" s="552"/>
      <c r="P919" s="552"/>
      <c r="Q919" s="552"/>
      <c r="R919" s="552"/>
      <c r="S919" s="552"/>
      <c r="T919" s="552"/>
      <c r="U919" s="552"/>
      <c r="V919" s="552"/>
      <c r="W919" s="552"/>
      <c r="X919" s="552"/>
      <c r="Y919" s="552"/>
      <c r="Z919" s="552"/>
    </row>
    <row r="920" spans="1:26" ht="12.75" customHeight="1">
      <c r="A920" s="553"/>
      <c r="B920" s="552"/>
      <c r="C920" s="554"/>
      <c r="D920" s="552"/>
      <c r="E920" s="552"/>
      <c r="F920" s="555"/>
      <c r="G920" s="552"/>
      <c r="H920" s="552"/>
      <c r="I920" s="552"/>
      <c r="J920" s="552"/>
      <c r="K920" s="552"/>
      <c r="L920" s="552"/>
      <c r="M920" s="552"/>
      <c r="N920" s="552"/>
      <c r="O920" s="552"/>
      <c r="P920" s="552"/>
      <c r="Q920" s="552"/>
      <c r="R920" s="552"/>
      <c r="S920" s="552"/>
      <c r="T920" s="552"/>
      <c r="U920" s="552"/>
      <c r="V920" s="552"/>
      <c r="W920" s="552"/>
      <c r="X920" s="552"/>
      <c r="Y920" s="552"/>
      <c r="Z920" s="552"/>
    </row>
    <row r="921" spans="1:26" ht="12.75" customHeight="1">
      <c r="A921" s="553"/>
      <c r="B921" s="552"/>
      <c r="C921" s="554"/>
      <c r="D921" s="552"/>
      <c r="E921" s="552"/>
      <c r="F921" s="555"/>
      <c r="G921" s="552"/>
      <c r="H921" s="552"/>
      <c r="I921" s="552"/>
      <c r="J921" s="552"/>
      <c r="K921" s="552"/>
      <c r="L921" s="552"/>
      <c r="M921" s="552"/>
      <c r="N921" s="552"/>
      <c r="O921" s="552"/>
      <c r="P921" s="552"/>
      <c r="Q921" s="552"/>
      <c r="R921" s="552"/>
      <c r="S921" s="552"/>
      <c r="T921" s="552"/>
      <c r="U921" s="552"/>
      <c r="V921" s="552"/>
      <c r="W921" s="552"/>
      <c r="X921" s="552"/>
      <c r="Y921" s="552"/>
      <c r="Z921" s="552"/>
    </row>
    <row r="922" spans="1:26" ht="12.75" customHeight="1">
      <c r="A922" s="553"/>
      <c r="B922" s="552"/>
      <c r="C922" s="554"/>
      <c r="D922" s="552"/>
      <c r="E922" s="552"/>
      <c r="F922" s="555"/>
      <c r="G922" s="552"/>
      <c r="H922" s="552"/>
      <c r="I922" s="552"/>
      <c r="J922" s="552"/>
      <c r="K922" s="552"/>
      <c r="L922" s="552"/>
      <c r="M922" s="552"/>
      <c r="N922" s="552"/>
      <c r="O922" s="552"/>
      <c r="P922" s="552"/>
      <c r="Q922" s="552"/>
      <c r="R922" s="552"/>
      <c r="S922" s="552"/>
      <c r="T922" s="552"/>
      <c r="U922" s="552"/>
      <c r="V922" s="552"/>
      <c r="W922" s="552"/>
      <c r="X922" s="552"/>
      <c r="Y922" s="552"/>
      <c r="Z922" s="552"/>
    </row>
    <row r="923" spans="1:26" ht="12.75" customHeight="1">
      <c r="A923" s="553"/>
      <c r="B923" s="552"/>
      <c r="C923" s="554"/>
      <c r="D923" s="552"/>
      <c r="E923" s="552"/>
      <c r="F923" s="555"/>
      <c r="G923" s="552"/>
      <c r="H923" s="552"/>
      <c r="I923" s="552"/>
      <c r="J923" s="552"/>
      <c r="K923" s="552"/>
      <c r="L923" s="552"/>
      <c r="M923" s="552"/>
      <c r="N923" s="552"/>
      <c r="O923" s="552"/>
      <c r="P923" s="552"/>
      <c r="Q923" s="552"/>
      <c r="R923" s="552"/>
      <c r="S923" s="552"/>
      <c r="T923" s="552"/>
      <c r="U923" s="552"/>
      <c r="V923" s="552"/>
      <c r="W923" s="552"/>
      <c r="X923" s="552"/>
      <c r="Y923" s="552"/>
      <c r="Z923" s="552"/>
    </row>
    <row r="924" spans="1:26" ht="12.75" customHeight="1">
      <c r="A924" s="553"/>
      <c r="B924" s="552"/>
      <c r="C924" s="554"/>
      <c r="D924" s="552"/>
      <c r="E924" s="552"/>
      <c r="F924" s="555"/>
      <c r="G924" s="552"/>
      <c r="H924" s="552"/>
      <c r="I924" s="552"/>
      <c r="J924" s="552"/>
      <c r="K924" s="552"/>
      <c r="L924" s="552"/>
      <c r="M924" s="552"/>
      <c r="N924" s="552"/>
      <c r="O924" s="552"/>
      <c r="P924" s="552"/>
      <c r="Q924" s="552"/>
      <c r="R924" s="552"/>
      <c r="S924" s="552"/>
      <c r="T924" s="552"/>
      <c r="U924" s="552"/>
      <c r="V924" s="552"/>
      <c r="W924" s="552"/>
      <c r="X924" s="552"/>
      <c r="Y924" s="552"/>
      <c r="Z924" s="552"/>
    </row>
    <row r="925" spans="1:26" ht="12.75" customHeight="1">
      <c r="A925" s="553"/>
      <c r="B925" s="552"/>
      <c r="C925" s="554"/>
      <c r="D925" s="552"/>
      <c r="E925" s="552"/>
      <c r="F925" s="555"/>
      <c r="G925" s="552"/>
      <c r="H925" s="552"/>
      <c r="I925" s="552"/>
      <c r="J925" s="552"/>
      <c r="K925" s="552"/>
      <c r="L925" s="552"/>
      <c r="M925" s="552"/>
      <c r="N925" s="552"/>
      <c r="O925" s="552"/>
      <c r="P925" s="552"/>
      <c r="Q925" s="552"/>
      <c r="R925" s="552"/>
      <c r="S925" s="552"/>
      <c r="T925" s="552"/>
      <c r="U925" s="552"/>
      <c r="V925" s="552"/>
      <c r="W925" s="552"/>
      <c r="X925" s="552"/>
      <c r="Y925" s="552"/>
      <c r="Z925" s="552"/>
    </row>
    <row r="926" spans="1:26" ht="12.75" customHeight="1">
      <c r="A926" s="553"/>
      <c r="B926" s="552"/>
      <c r="C926" s="554"/>
      <c r="D926" s="552"/>
      <c r="E926" s="552"/>
      <c r="F926" s="555"/>
      <c r="G926" s="552"/>
      <c r="H926" s="552"/>
      <c r="I926" s="552"/>
      <c r="J926" s="552"/>
      <c r="K926" s="552"/>
      <c r="L926" s="552"/>
      <c r="M926" s="552"/>
      <c r="N926" s="552"/>
      <c r="O926" s="552"/>
      <c r="P926" s="552"/>
      <c r="Q926" s="552"/>
      <c r="R926" s="552"/>
      <c r="S926" s="552"/>
      <c r="T926" s="552"/>
      <c r="U926" s="552"/>
      <c r="V926" s="552"/>
      <c r="W926" s="552"/>
      <c r="X926" s="552"/>
      <c r="Y926" s="552"/>
      <c r="Z926" s="552"/>
    </row>
    <row r="927" spans="1:26" ht="12.75" customHeight="1">
      <c r="A927" s="553"/>
      <c r="B927" s="552"/>
      <c r="C927" s="554"/>
      <c r="D927" s="552"/>
      <c r="E927" s="552"/>
      <c r="F927" s="555"/>
      <c r="G927" s="552"/>
      <c r="H927" s="552"/>
      <c r="I927" s="552"/>
      <c r="J927" s="552"/>
      <c r="K927" s="552"/>
      <c r="L927" s="552"/>
      <c r="M927" s="552"/>
      <c r="N927" s="552"/>
      <c r="O927" s="552"/>
      <c r="P927" s="552"/>
      <c r="Q927" s="552"/>
      <c r="R927" s="552"/>
      <c r="S927" s="552"/>
      <c r="T927" s="552"/>
      <c r="U927" s="552"/>
      <c r="V927" s="552"/>
      <c r="W927" s="552"/>
      <c r="X927" s="552"/>
      <c r="Y927" s="552"/>
      <c r="Z927" s="552"/>
    </row>
    <row r="928" spans="1:26" ht="12.75" customHeight="1">
      <c r="A928" s="553"/>
      <c r="B928" s="552"/>
      <c r="C928" s="554"/>
      <c r="D928" s="552"/>
      <c r="E928" s="552"/>
      <c r="F928" s="555"/>
      <c r="G928" s="552"/>
      <c r="H928" s="552"/>
      <c r="I928" s="552"/>
      <c r="J928" s="552"/>
      <c r="K928" s="552"/>
      <c r="L928" s="552"/>
      <c r="M928" s="552"/>
      <c r="N928" s="552"/>
      <c r="O928" s="552"/>
      <c r="P928" s="552"/>
      <c r="Q928" s="552"/>
      <c r="R928" s="552"/>
      <c r="S928" s="552"/>
      <c r="T928" s="552"/>
      <c r="U928" s="552"/>
      <c r="V928" s="552"/>
      <c r="W928" s="552"/>
      <c r="X928" s="552"/>
      <c r="Y928" s="552"/>
      <c r="Z928" s="552"/>
    </row>
    <row r="929" spans="1:26" ht="12.75" customHeight="1">
      <c r="A929" s="553"/>
      <c r="B929" s="552"/>
      <c r="C929" s="554"/>
      <c r="D929" s="552"/>
      <c r="E929" s="552"/>
      <c r="F929" s="555"/>
      <c r="G929" s="552"/>
      <c r="H929" s="552"/>
      <c r="I929" s="552"/>
      <c r="J929" s="552"/>
      <c r="K929" s="552"/>
      <c r="L929" s="552"/>
      <c r="M929" s="552"/>
      <c r="N929" s="552"/>
      <c r="O929" s="552"/>
      <c r="P929" s="552"/>
      <c r="Q929" s="552"/>
      <c r="R929" s="552"/>
      <c r="S929" s="552"/>
      <c r="T929" s="552"/>
      <c r="U929" s="552"/>
      <c r="V929" s="552"/>
      <c r="W929" s="552"/>
      <c r="X929" s="552"/>
      <c r="Y929" s="552"/>
      <c r="Z929" s="552"/>
    </row>
    <row r="930" spans="1:26" ht="12.75" customHeight="1">
      <c r="A930" s="553"/>
      <c r="B930" s="552"/>
      <c r="C930" s="554"/>
      <c r="D930" s="552"/>
      <c r="E930" s="552"/>
      <c r="F930" s="555"/>
      <c r="G930" s="552"/>
      <c r="H930" s="552"/>
      <c r="I930" s="552"/>
      <c r="J930" s="552"/>
      <c r="K930" s="552"/>
      <c r="L930" s="552"/>
      <c r="M930" s="552"/>
      <c r="N930" s="552"/>
      <c r="O930" s="552"/>
      <c r="P930" s="552"/>
      <c r="Q930" s="552"/>
      <c r="R930" s="552"/>
      <c r="S930" s="552"/>
      <c r="T930" s="552"/>
      <c r="U930" s="552"/>
      <c r="V930" s="552"/>
      <c r="W930" s="552"/>
      <c r="X930" s="552"/>
      <c r="Y930" s="552"/>
      <c r="Z930" s="552"/>
    </row>
    <row r="931" spans="1:26" ht="12.75" customHeight="1">
      <c r="A931" s="553"/>
      <c r="B931" s="552"/>
      <c r="C931" s="554"/>
      <c r="D931" s="552"/>
      <c r="E931" s="552"/>
      <c r="F931" s="555"/>
      <c r="G931" s="552"/>
      <c r="H931" s="552"/>
      <c r="I931" s="552"/>
      <c r="J931" s="552"/>
      <c r="K931" s="552"/>
      <c r="L931" s="552"/>
      <c r="M931" s="552"/>
      <c r="N931" s="552"/>
      <c r="O931" s="552"/>
      <c r="P931" s="552"/>
      <c r="Q931" s="552"/>
      <c r="R931" s="552"/>
      <c r="S931" s="552"/>
      <c r="T931" s="552"/>
      <c r="U931" s="552"/>
      <c r="V931" s="552"/>
      <c r="W931" s="552"/>
      <c r="X931" s="552"/>
      <c r="Y931" s="552"/>
      <c r="Z931" s="552"/>
    </row>
    <row r="932" spans="1:26" ht="12.75" customHeight="1">
      <c r="A932" s="553"/>
      <c r="B932" s="552"/>
      <c r="C932" s="554"/>
      <c r="D932" s="552"/>
      <c r="E932" s="552"/>
      <c r="F932" s="555"/>
      <c r="G932" s="552"/>
      <c r="H932" s="552"/>
      <c r="I932" s="552"/>
      <c r="J932" s="552"/>
      <c r="K932" s="552"/>
      <c r="L932" s="552"/>
      <c r="M932" s="552"/>
      <c r="N932" s="552"/>
      <c r="O932" s="552"/>
      <c r="P932" s="552"/>
      <c r="Q932" s="552"/>
      <c r="R932" s="552"/>
      <c r="S932" s="552"/>
      <c r="T932" s="552"/>
      <c r="U932" s="552"/>
      <c r="V932" s="552"/>
      <c r="W932" s="552"/>
      <c r="X932" s="552"/>
      <c r="Y932" s="552"/>
      <c r="Z932" s="552"/>
    </row>
    <row r="933" spans="1:26" ht="12.75" customHeight="1">
      <c r="A933" s="553"/>
      <c r="B933" s="552"/>
      <c r="C933" s="554"/>
      <c r="D933" s="552"/>
      <c r="E933" s="552"/>
      <c r="F933" s="555"/>
      <c r="G933" s="552"/>
      <c r="H933" s="552"/>
      <c r="I933" s="552"/>
      <c r="J933" s="552"/>
      <c r="K933" s="552"/>
      <c r="L933" s="552"/>
      <c r="M933" s="552"/>
      <c r="N933" s="552"/>
      <c r="O933" s="552"/>
      <c r="P933" s="552"/>
      <c r="Q933" s="552"/>
      <c r="R933" s="552"/>
      <c r="S933" s="552"/>
      <c r="T933" s="552"/>
      <c r="U933" s="552"/>
      <c r="V933" s="552"/>
      <c r="W933" s="552"/>
      <c r="X933" s="552"/>
      <c r="Y933" s="552"/>
      <c r="Z933" s="552"/>
    </row>
    <row r="934" spans="1:26" ht="12.75" customHeight="1">
      <c r="A934" s="553"/>
      <c r="B934" s="552"/>
      <c r="C934" s="554"/>
      <c r="D934" s="552"/>
      <c r="E934" s="552"/>
      <c r="F934" s="555"/>
      <c r="G934" s="552"/>
      <c r="H934" s="552"/>
      <c r="I934" s="552"/>
      <c r="J934" s="552"/>
      <c r="K934" s="552"/>
      <c r="L934" s="552"/>
      <c r="M934" s="552"/>
      <c r="N934" s="552"/>
      <c r="O934" s="552"/>
      <c r="P934" s="552"/>
      <c r="Q934" s="552"/>
      <c r="R934" s="552"/>
      <c r="S934" s="552"/>
      <c r="T934" s="552"/>
      <c r="U934" s="552"/>
      <c r="V934" s="552"/>
      <c r="W934" s="552"/>
      <c r="X934" s="552"/>
      <c r="Y934" s="552"/>
      <c r="Z934" s="552"/>
    </row>
    <row r="935" spans="1:26" ht="12.75" customHeight="1">
      <c r="A935" s="553"/>
      <c r="B935" s="552"/>
      <c r="C935" s="554"/>
      <c r="D935" s="552"/>
      <c r="E935" s="552"/>
      <c r="F935" s="555"/>
      <c r="G935" s="552"/>
      <c r="H935" s="552"/>
      <c r="I935" s="552"/>
      <c r="J935" s="552"/>
      <c r="K935" s="552"/>
      <c r="L935" s="552"/>
      <c r="M935" s="552"/>
      <c r="N935" s="552"/>
      <c r="O935" s="552"/>
      <c r="P935" s="552"/>
      <c r="Q935" s="552"/>
      <c r="R935" s="552"/>
      <c r="S935" s="552"/>
      <c r="T935" s="552"/>
      <c r="U935" s="552"/>
      <c r="V935" s="552"/>
      <c r="W935" s="552"/>
      <c r="X935" s="552"/>
      <c r="Y935" s="552"/>
      <c r="Z935" s="552"/>
    </row>
    <row r="936" spans="1:26" ht="12.75" customHeight="1">
      <c r="A936" s="553"/>
      <c r="B936" s="552"/>
      <c r="C936" s="554"/>
      <c r="D936" s="552"/>
      <c r="E936" s="552"/>
      <c r="F936" s="555"/>
      <c r="G936" s="552"/>
      <c r="H936" s="552"/>
      <c r="I936" s="552"/>
      <c r="J936" s="552"/>
      <c r="K936" s="552"/>
      <c r="L936" s="552"/>
      <c r="M936" s="552"/>
      <c r="N936" s="552"/>
      <c r="O936" s="552"/>
      <c r="P936" s="552"/>
      <c r="Q936" s="552"/>
      <c r="R936" s="552"/>
      <c r="S936" s="552"/>
      <c r="T936" s="552"/>
      <c r="U936" s="552"/>
      <c r="V936" s="552"/>
      <c r="W936" s="552"/>
      <c r="X936" s="552"/>
      <c r="Y936" s="552"/>
      <c r="Z936" s="552"/>
    </row>
    <row r="937" spans="1:26" ht="12.75" customHeight="1">
      <c r="A937" s="553"/>
      <c r="B937" s="552"/>
      <c r="C937" s="554"/>
      <c r="D937" s="552"/>
      <c r="E937" s="552"/>
      <c r="F937" s="555"/>
      <c r="G937" s="552"/>
      <c r="H937" s="552"/>
      <c r="I937" s="552"/>
      <c r="J937" s="552"/>
      <c r="K937" s="552"/>
      <c r="L937" s="552"/>
      <c r="M937" s="552"/>
      <c r="N937" s="552"/>
      <c r="O937" s="552"/>
      <c r="P937" s="552"/>
      <c r="Q937" s="552"/>
      <c r="R937" s="552"/>
      <c r="S937" s="552"/>
      <c r="T937" s="552"/>
      <c r="U937" s="552"/>
      <c r="V937" s="552"/>
      <c r="W937" s="552"/>
      <c r="X937" s="552"/>
      <c r="Y937" s="552"/>
      <c r="Z937" s="552"/>
    </row>
    <row r="938" spans="1:26" ht="12.75" customHeight="1">
      <c r="A938" s="553"/>
      <c r="B938" s="552"/>
      <c r="C938" s="554"/>
      <c r="D938" s="552"/>
      <c r="E938" s="552"/>
      <c r="F938" s="555"/>
      <c r="G938" s="552"/>
      <c r="H938" s="552"/>
      <c r="I938" s="552"/>
      <c r="J938" s="552"/>
      <c r="K938" s="552"/>
      <c r="L938" s="552"/>
      <c r="M938" s="552"/>
      <c r="N938" s="552"/>
      <c r="O938" s="552"/>
      <c r="P938" s="552"/>
      <c r="Q938" s="552"/>
      <c r="R938" s="552"/>
      <c r="S938" s="552"/>
      <c r="T938" s="552"/>
      <c r="U938" s="552"/>
      <c r="V938" s="552"/>
      <c r="W938" s="552"/>
      <c r="X938" s="552"/>
      <c r="Y938" s="552"/>
      <c r="Z938" s="552"/>
    </row>
    <row r="939" spans="1:26" ht="12.75" customHeight="1">
      <c r="A939" s="553"/>
      <c r="B939" s="552"/>
      <c r="C939" s="554"/>
      <c r="D939" s="552"/>
      <c r="E939" s="552"/>
      <c r="F939" s="555"/>
      <c r="G939" s="552"/>
      <c r="H939" s="552"/>
      <c r="I939" s="552"/>
      <c r="J939" s="552"/>
      <c r="K939" s="552"/>
      <c r="L939" s="552"/>
      <c r="M939" s="552"/>
      <c r="N939" s="552"/>
      <c r="O939" s="552"/>
      <c r="P939" s="552"/>
      <c r="Q939" s="552"/>
      <c r="R939" s="552"/>
      <c r="S939" s="552"/>
      <c r="T939" s="552"/>
      <c r="U939" s="552"/>
      <c r="V939" s="552"/>
      <c r="W939" s="552"/>
      <c r="X939" s="552"/>
      <c r="Y939" s="552"/>
      <c r="Z939" s="552"/>
    </row>
    <row r="940" spans="1:26" ht="12.75" customHeight="1">
      <c r="A940" s="553"/>
      <c r="B940" s="552"/>
      <c r="C940" s="554"/>
      <c r="D940" s="552"/>
      <c r="E940" s="552"/>
      <c r="F940" s="555"/>
      <c r="G940" s="552"/>
      <c r="H940" s="552"/>
      <c r="I940" s="552"/>
      <c r="J940" s="552"/>
      <c r="K940" s="552"/>
      <c r="L940" s="552"/>
      <c r="M940" s="552"/>
      <c r="N940" s="552"/>
      <c r="O940" s="552"/>
      <c r="P940" s="552"/>
      <c r="Q940" s="552"/>
      <c r="R940" s="552"/>
      <c r="S940" s="552"/>
      <c r="T940" s="552"/>
      <c r="U940" s="552"/>
      <c r="V940" s="552"/>
      <c r="W940" s="552"/>
      <c r="X940" s="552"/>
      <c r="Y940" s="552"/>
      <c r="Z940" s="552"/>
    </row>
    <row r="941" spans="1:26" ht="12.75" customHeight="1">
      <c r="A941" s="553"/>
      <c r="B941" s="552"/>
      <c r="C941" s="554"/>
      <c r="D941" s="552"/>
      <c r="E941" s="552"/>
      <c r="F941" s="555"/>
      <c r="G941" s="552"/>
      <c r="H941" s="552"/>
      <c r="I941" s="552"/>
      <c r="J941" s="552"/>
      <c r="K941" s="552"/>
      <c r="L941" s="552"/>
      <c r="M941" s="552"/>
      <c r="N941" s="552"/>
      <c r="O941" s="552"/>
      <c r="P941" s="552"/>
      <c r="Q941" s="552"/>
      <c r="R941" s="552"/>
      <c r="S941" s="552"/>
      <c r="T941" s="552"/>
      <c r="U941" s="552"/>
      <c r="V941" s="552"/>
      <c r="W941" s="552"/>
      <c r="X941" s="552"/>
      <c r="Y941" s="552"/>
      <c r="Z941" s="552"/>
    </row>
    <row r="942" spans="1:26" ht="12.75" customHeight="1">
      <c r="A942" s="553"/>
      <c r="B942" s="552"/>
      <c r="C942" s="554"/>
      <c r="D942" s="552"/>
      <c r="E942" s="552"/>
      <c r="F942" s="555"/>
      <c r="G942" s="552"/>
      <c r="H942" s="552"/>
      <c r="I942" s="552"/>
      <c r="J942" s="552"/>
      <c r="K942" s="552"/>
      <c r="L942" s="552"/>
      <c r="M942" s="552"/>
      <c r="N942" s="552"/>
      <c r="O942" s="552"/>
      <c r="P942" s="552"/>
      <c r="Q942" s="552"/>
      <c r="R942" s="552"/>
      <c r="S942" s="552"/>
      <c r="T942" s="552"/>
      <c r="U942" s="552"/>
      <c r="V942" s="552"/>
      <c r="W942" s="552"/>
      <c r="X942" s="552"/>
      <c r="Y942" s="552"/>
      <c r="Z942" s="552"/>
    </row>
    <row r="943" spans="1:26" ht="12.75" customHeight="1">
      <c r="A943" s="553"/>
      <c r="B943" s="552"/>
      <c r="C943" s="554"/>
      <c r="D943" s="552"/>
      <c r="E943" s="552"/>
      <c r="F943" s="555"/>
      <c r="G943" s="552"/>
      <c r="H943" s="552"/>
      <c r="I943" s="552"/>
      <c r="J943" s="552"/>
      <c r="K943" s="552"/>
      <c r="L943" s="552"/>
      <c r="M943" s="552"/>
      <c r="N943" s="552"/>
      <c r="O943" s="552"/>
      <c r="P943" s="552"/>
      <c r="Q943" s="552"/>
      <c r="R943" s="552"/>
      <c r="S943" s="552"/>
      <c r="T943" s="552"/>
      <c r="U943" s="552"/>
      <c r="V943" s="552"/>
      <c r="W943" s="552"/>
      <c r="X943" s="552"/>
      <c r="Y943" s="552"/>
      <c r="Z943" s="552"/>
    </row>
    <row r="944" spans="1:26" ht="12.75" customHeight="1">
      <c r="A944" s="553"/>
      <c r="B944" s="552"/>
      <c r="C944" s="554"/>
      <c r="D944" s="552"/>
      <c r="E944" s="552"/>
      <c r="F944" s="555"/>
      <c r="G944" s="552"/>
      <c r="H944" s="552"/>
      <c r="I944" s="552"/>
      <c r="J944" s="552"/>
      <c r="K944" s="552"/>
      <c r="L944" s="552"/>
      <c r="M944" s="552"/>
      <c r="N944" s="552"/>
      <c r="O944" s="552"/>
      <c r="P944" s="552"/>
      <c r="Q944" s="552"/>
      <c r="R944" s="552"/>
      <c r="S944" s="552"/>
      <c r="T944" s="552"/>
      <c r="U944" s="552"/>
      <c r="V944" s="552"/>
      <c r="W944" s="552"/>
      <c r="X944" s="552"/>
      <c r="Y944" s="552"/>
      <c r="Z944" s="552"/>
    </row>
    <row r="945" spans="1:26" ht="12.75" customHeight="1">
      <c r="A945" s="553"/>
      <c r="B945" s="552"/>
      <c r="C945" s="554"/>
      <c r="D945" s="552"/>
      <c r="E945" s="552"/>
      <c r="F945" s="555"/>
      <c r="G945" s="552"/>
      <c r="H945" s="552"/>
      <c r="I945" s="552"/>
      <c r="J945" s="552"/>
      <c r="K945" s="552"/>
      <c r="L945" s="552"/>
      <c r="M945" s="552"/>
      <c r="N945" s="552"/>
      <c r="O945" s="552"/>
      <c r="P945" s="552"/>
      <c r="Q945" s="552"/>
      <c r="R945" s="552"/>
      <c r="S945" s="552"/>
      <c r="T945" s="552"/>
      <c r="U945" s="552"/>
      <c r="V945" s="552"/>
      <c r="W945" s="552"/>
      <c r="X945" s="552"/>
      <c r="Y945" s="552"/>
      <c r="Z945" s="552"/>
    </row>
    <row r="946" spans="1:26" ht="12.75" customHeight="1">
      <c r="A946" s="553"/>
      <c r="B946" s="552"/>
      <c r="C946" s="554"/>
      <c r="D946" s="552"/>
      <c r="E946" s="552"/>
      <c r="F946" s="555"/>
      <c r="G946" s="552"/>
      <c r="H946" s="552"/>
      <c r="I946" s="552"/>
      <c r="J946" s="552"/>
      <c r="K946" s="552"/>
      <c r="L946" s="552"/>
      <c r="M946" s="552"/>
      <c r="N946" s="552"/>
      <c r="O946" s="552"/>
      <c r="P946" s="552"/>
      <c r="Q946" s="552"/>
      <c r="R946" s="552"/>
      <c r="S946" s="552"/>
      <c r="T946" s="552"/>
      <c r="U946" s="552"/>
      <c r="V946" s="552"/>
      <c r="W946" s="552"/>
      <c r="X946" s="552"/>
      <c r="Y946" s="552"/>
      <c r="Z946" s="552"/>
    </row>
    <row r="947" spans="1:26" ht="12.75" customHeight="1">
      <c r="A947" s="553"/>
      <c r="B947" s="552"/>
      <c r="C947" s="554"/>
      <c r="D947" s="552"/>
      <c r="E947" s="552"/>
      <c r="F947" s="555"/>
      <c r="G947" s="552"/>
      <c r="H947" s="552"/>
      <c r="I947" s="552"/>
      <c r="J947" s="552"/>
      <c r="K947" s="552"/>
      <c r="L947" s="552"/>
      <c r="M947" s="552"/>
      <c r="N947" s="552"/>
      <c r="O947" s="552"/>
      <c r="P947" s="552"/>
      <c r="Q947" s="552"/>
      <c r="R947" s="552"/>
      <c r="S947" s="552"/>
      <c r="T947" s="552"/>
      <c r="U947" s="552"/>
      <c r="V947" s="552"/>
      <c r="W947" s="552"/>
      <c r="X947" s="552"/>
      <c r="Y947" s="552"/>
      <c r="Z947" s="552"/>
    </row>
    <row r="948" spans="1:26" ht="12.75" customHeight="1">
      <c r="A948" s="553"/>
      <c r="B948" s="552"/>
      <c r="C948" s="554"/>
      <c r="D948" s="552"/>
      <c r="E948" s="552"/>
      <c r="F948" s="555"/>
      <c r="G948" s="552"/>
      <c r="H948" s="552"/>
      <c r="I948" s="552"/>
      <c r="J948" s="552"/>
      <c r="K948" s="552"/>
      <c r="L948" s="552"/>
      <c r="M948" s="552"/>
      <c r="N948" s="552"/>
      <c r="O948" s="552"/>
      <c r="P948" s="552"/>
      <c r="Q948" s="552"/>
      <c r="R948" s="552"/>
      <c r="S948" s="552"/>
      <c r="T948" s="552"/>
      <c r="U948" s="552"/>
      <c r="V948" s="552"/>
      <c r="W948" s="552"/>
      <c r="X948" s="552"/>
      <c r="Y948" s="552"/>
      <c r="Z948" s="552"/>
    </row>
    <row r="949" spans="1:26" ht="12.75" customHeight="1">
      <c r="A949" s="553"/>
      <c r="B949" s="552"/>
      <c r="C949" s="554"/>
      <c r="D949" s="552"/>
      <c r="E949" s="552"/>
      <c r="F949" s="555"/>
      <c r="G949" s="552"/>
      <c r="H949" s="552"/>
      <c r="I949" s="552"/>
      <c r="J949" s="552"/>
      <c r="K949" s="552"/>
      <c r="L949" s="552"/>
      <c r="M949" s="552"/>
      <c r="N949" s="552"/>
      <c r="O949" s="552"/>
      <c r="P949" s="552"/>
      <c r="Q949" s="552"/>
      <c r="R949" s="552"/>
      <c r="S949" s="552"/>
      <c r="T949" s="552"/>
      <c r="U949" s="552"/>
      <c r="V949" s="552"/>
      <c r="W949" s="552"/>
      <c r="X949" s="552"/>
      <c r="Y949" s="552"/>
      <c r="Z949" s="552"/>
    </row>
    <row r="950" spans="1:26" ht="12.75" customHeight="1">
      <c r="A950" s="553"/>
      <c r="B950" s="552"/>
      <c r="C950" s="554"/>
      <c r="D950" s="552"/>
      <c r="E950" s="552"/>
      <c r="F950" s="555"/>
      <c r="G950" s="552"/>
      <c r="H950" s="552"/>
      <c r="I950" s="552"/>
      <c r="J950" s="552"/>
      <c r="K950" s="552"/>
      <c r="L950" s="552"/>
      <c r="M950" s="552"/>
      <c r="N950" s="552"/>
      <c r="O950" s="552"/>
      <c r="P950" s="552"/>
      <c r="Q950" s="552"/>
      <c r="R950" s="552"/>
      <c r="S950" s="552"/>
      <c r="T950" s="552"/>
      <c r="U950" s="552"/>
      <c r="V950" s="552"/>
      <c r="W950" s="552"/>
      <c r="X950" s="552"/>
      <c r="Y950" s="552"/>
      <c r="Z950" s="552"/>
    </row>
    <row r="951" spans="1:26" ht="12.75" customHeight="1">
      <c r="A951" s="553"/>
      <c r="B951" s="552"/>
      <c r="C951" s="554"/>
      <c r="D951" s="552"/>
      <c r="E951" s="552"/>
      <c r="F951" s="555"/>
      <c r="G951" s="552"/>
      <c r="H951" s="552"/>
      <c r="I951" s="552"/>
      <c r="J951" s="552"/>
      <c r="K951" s="552"/>
      <c r="L951" s="552"/>
      <c r="M951" s="552"/>
      <c r="N951" s="552"/>
      <c r="O951" s="552"/>
      <c r="P951" s="552"/>
      <c r="Q951" s="552"/>
      <c r="R951" s="552"/>
      <c r="S951" s="552"/>
      <c r="T951" s="552"/>
      <c r="U951" s="552"/>
      <c r="V951" s="552"/>
      <c r="W951" s="552"/>
      <c r="X951" s="552"/>
      <c r="Y951" s="552"/>
      <c r="Z951" s="552"/>
    </row>
    <row r="952" spans="1:26" ht="12.75" customHeight="1">
      <c r="A952" s="553"/>
      <c r="B952" s="552"/>
      <c r="C952" s="554"/>
      <c r="D952" s="552"/>
      <c r="E952" s="552"/>
      <c r="F952" s="555"/>
      <c r="G952" s="552"/>
      <c r="H952" s="552"/>
      <c r="I952" s="552"/>
      <c r="J952" s="552"/>
      <c r="K952" s="552"/>
      <c r="L952" s="552"/>
      <c r="M952" s="552"/>
      <c r="N952" s="552"/>
      <c r="O952" s="552"/>
      <c r="P952" s="552"/>
      <c r="Q952" s="552"/>
      <c r="R952" s="552"/>
      <c r="S952" s="552"/>
      <c r="T952" s="552"/>
      <c r="U952" s="552"/>
      <c r="V952" s="552"/>
      <c r="W952" s="552"/>
      <c r="X952" s="552"/>
      <c r="Y952" s="552"/>
      <c r="Z952" s="552"/>
    </row>
    <row r="953" spans="1:26" ht="12.75" customHeight="1">
      <c r="A953" s="553"/>
      <c r="B953" s="552"/>
      <c r="C953" s="554"/>
      <c r="D953" s="552"/>
      <c r="E953" s="552"/>
      <c r="F953" s="555"/>
      <c r="G953" s="552"/>
      <c r="H953" s="552"/>
      <c r="I953" s="552"/>
      <c r="J953" s="552"/>
      <c r="K953" s="552"/>
      <c r="L953" s="552"/>
      <c r="M953" s="552"/>
      <c r="N953" s="552"/>
      <c r="O953" s="552"/>
      <c r="P953" s="552"/>
      <c r="Q953" s="552"/>
      <c r="R953" s="552"/>
      <c r="S953" s="552"/>
      <c r="T953" s="552"/>
      <c r="U953" s="552"/>
      <c r="V953" s="552"/>
      <c r="W953" s="552"/>
      <c r="X953" s="552"/>
      <c r="Y953" s="552"/>
      <c r="Z953" s="552"/>
    </row>
    <row r="954" spans="1:26" ht="12.75" customHeight="1">
      <c r="A954" s="553"/>
      <c r="B954" s="552"/>
      <c r="C954" s="554"/>
      <c r="D954" s="552"/>
      <c r="E954" s="552"/>
      <c r="F954" s="555"/>
      <c r="G954" s="552"/>
      <c r="H954" s="552"/>
      <c r="I954" s="552"/>
      <c r="J954" s="552"/>
      <c r="K954" s="552"/>
      <c r="L954" s="552"/>
      <c r="M954" s="552"/>
      <c r="N954" s="552"/>
      <c r="O954" s="552"/>
      <c r="P954" s="552"/>
      <c r="Q954" s="552"/>
      <c r="R954" s="552"/>
      <c r="S954" s="552"/>
      <c r="T954" s="552"/>
      <c r="U954" s="552"/>
      <c r="V954" s="552"/>
      <c r="W954" s="552"/>
      <c r="X954" s="552"/>
      <c r="Y954" s="552"/>
      <c r="Z954" s="552"/>
    </row>
    <row r="955" spans="1:26" ht="12.75" customHeight="1">
      <c r="A955" s="553"/>
      <c r="B955" s="552"/>
      <c r="C955" s="554"/>
      <c r="D955" s="552"/>
      <c r="E955" s="552"/>
      <c r="F955" s="555"/>
      <c r="G955" s="552"/>
      <c r="H955" s="552"/>
      <c r="I955" s="552"/>
      <c r="J955" s="552"/>
      <c r="K955" s="552"/>
      <c r="L955" s="552"/>
      <c r="M955" s="552"/>
      <c r="N955" s="552"/>
      <c r="O955" s="552"/>
      <c r="P955" s="552"/>
      <c r="Q955" s="552"/>
      <c r="R955" s="552"/>
      <c r="S955" s="552"/>
      <c r="T955" s="552"/>
      <c r="U955" s="552"/>
      <c r="V955" s="552"/>
      <c r="W955" s="552"/>
      <c r="X955" s="552"/>
      <c r="Y955" s="552"/>
      <c r="Z955" s="552"/>
    </row>
    <row r="956" spans="1:26" ht="12.75" customHeight="1">
      <c r="A956" s="553"/>
      <c r="B956" s="552"/>
      <c r="C956" s="554"/>
      <c r="D956" s="552"/>
      <c r="E956" s="552"/>
      <c r="F956" s="555"/>
      <c r="G956" s="552"/>
      <c r="H956" s="552"/>
      <c r="I956" s="552"/>
      <c r="J956" s="552"/>
      <c r="K956" s="552"/>
      <c r="L956" s="552"/>
      <c r="M956" s="552"/>
      <c r="N956" s="552"/>
      <c r="O956" s="552"/>
      <c r="P956" s="552"/>
      <c r="Q956" s="552"/>
      <c r="R956" s="552"/>
      <c r="S956" s="552"/>
      <c r="T956" s="552"/>
      <c r="U956" s="552"/>
      <c r="V956" s="552"/>
      <c r="W956" s="552"/>
      <c r="X956" s="552"/>
      <c r="Y956" s="552"/>
      <c r="Z956" s="552"/>
    </row>
    <row r="957" spans="1:26" ht="12.75" customHeight="1">
      <c r="A957" s="553"/>
      <c r="B957" s="552"/>
      <c r="C957" s="554"/>
      <c r="D957" s="552"/>
      <c r="E957" s="552"/>
      <c r="F957" s="555"/>
      <c r="G957" s="552"/>
      <c r="H957" s="552"/>
      <c r="I957" s="552"/>
      <c r="J957" s="552"/>
      <c r="K957" s="552"/>
      <c r="L957" s="552"/>
      <c r="M957" s="552"/>
      <c r="N957" s="552"/>
      <c r="O957" s="552"/>
      <c r="P957" s="552"/>
      <c r="Q957" s="552"/>
      <c r="R957" s="552"/>
      <c r="S957" s="552"/>
      <c r="T957" s="552"/>
      <c r="U957" s="552"/>
      <c r="V957" s="552"/>
      <c r="W957" s="552"/>
      <c r="X957" s="552"/>
      <c r="Y957" s="552"/>
      <c r="Z957" s="552"/>
    </row>
    <row r="958" spans="1:26" ht="12.75" customHeight="1">
      <c r="A958" s="553"/>
      <c r="B958" s="552"/>
      <c r="C958" s="554"/>
      <c r="D958" s="552"/>
      <c r="E958" s="552"/>
      <c r="F958" s="555"/>
      <c r="G958" s="552"/>
      <c r="H958" s="552"/>
      <c r="I958" s="552"/>
      <c r="J958" s="552"/>
      <c r="K958" s="552"/>
      <c r="L958" s="552"/>
      <c r="M958" s="552"/>
      <c r="N958" s="552"/>
      <c r="O958" s="552"/>
      <c r="P958" s="552"/>
      <c r="Q958" s="552"/>
      <c r="R958" s="552"/>
      <c r="S958" s="552"/>
      <c r="T958" s="552"/>
      <c r="U958" s="552"/>
      <c r="V958" s="552"/>
      <c r="W958" s="552"/>
      <c r="X958" s="552"/>
      <c r="Y958" s="552"/>
      <c r="Z958" s="552"/>
    </row>
    <row r="959" spans="1:26" ht="12.75" customHeight="1">
      <c r="A959" s="553"/>
      <c r="B959" s="552"/>
      <c r="C959" s="554"/>
      <c r="D959" s="552"/>
      <c r="E959" s="552"/>
      <c r="F959" s="555"/>
      <c r="G959" s="552"/>
      <c r="H959" s="552"/>
      <c r="I959" s="552"/>
      <c r="J959" s="552"/>
      <c r="K959" s="552"/>
      <c r="L959" s="552"/>
      <c r="M959" s="552"/>
      <c r="N959" s="552"/>
      <c r="O959" s="552"/>
      <c r="P959" s="552"/>
      <c r="Q959" s="552"/>
      <c r="R959" s="552"/>
      <c r="S959" s="552"/>
      <c r="T959" s="552"/>
      <c r="U959" s="552"/>
      <c r="V959" s="552"/>
      <c r="W959" s="552"/>
      <c r="X959" s="552"/>
      <c r="Y959" s="552"/>
      <c r="Z959" s="552"/>
    </row>
    <row r="960" spans="1:26" ht="12.75" customHeight="1">
      <c r="A960" s="553"/>
      <c r="B960" s="552"/>
      <c r="C960" s="554"/>
      <c r="D960" s="552"/>
      <c r="E960" s="552"/>
      <c r="F960" s="555"/>
      <c r="G960" s="552"/>
      <c r="H960" s="552"/>
      <c r="I960" s="552"/>
      <c r="J960" s="552"/>
      <c r="K960" s="552"/>
      <c r="L960" s="552"/>
      <c r="M960" s="552"/>
      <c r="N960" s="552"/>
      <c r="O960" s="552"/>
      <c r="P960" s="552"/>
      <c r="Q960" s="552"/>
      <c r="R960" s="552"/>
      <c r="S960" s="552"/>
      <c r="T960" s="552"/>
      <c r="U960" s="552"/>
      <c r="V960" s="552"/>
      <c r="W960" s="552"/>
      <c r="X960" s="552"/>
      <c r="Y960" s="552"/>
      <c r="Z960" s="552"/>
    </row>
    <row r="961" spans="1:26" ht="12.75" customHeight="1">
      <c r="A961" s="553"/>
      <c r="B961" s="552"/>
      <c r="C961" s="554"/>
      <c r="D961" s="552"/>
      <c r="E961" s="552"/>
      <c r="F961" s="555"/>
      <c r="G961" s="552"/>
      <c r="H961" s="552"/>
      <c r="I961" s="552"/>
      <c r="J961" s="552"/>
      <c r="K961" s="552"/>
      <c r="L961" s="552"/>
      <c r="M961" s="552"/>
      <c r="N961" s="552"/>
      <c r="O961" s="552"/>
      <c r="P961" s="552"/>
      <c r="Q961" s="552"/>
      <c r="R961" s="552"/>
      <c r="S961" s="552"/>
      <c r="T961" s="552"/>
      <c r="U961" s="552"/>
      <c r="V961" s="552"/>
      <c r="W961" s="552"/>
      <c r="X961" s="552"/>
      <c r="Y961" s="552"/>
      <c r="Z961" s="552"/>
    </row>
    <row r="962" spans="1:26" ht="12.75" customHeight="1">
      <c r="A962" s="553"/>
      <c r="B962" s="552"/>
      <c r="C962" s="554"/>
      <c r="D962" s="552"/>
      <c r="E962" s="552"/>
      <c r="F962" s="555"/>
      <c r="G962" s="552"/>
      <c r="H962" s="552"/>
      <c r="I962" s="552"/>
      <c r="J962" s="552"/>
      <c r="K962" s="552"/>
      <c r="L962" s="552"/>
      <c r="M962" s="552"/>
      <c r="N962" s="552"/>
      <c r="O962" s="552"/>
      <c r="P962" s="552"/>
      <c r="Q962" s="552"/>
      <c r="R962" s="552"/>
      <c r="S962" s="552"/>
      <c r="T962" s="552"/>
      <c r="U962" s="552"/>
      <c r="V962" s="552"/>
      <c r="W962" s="552"/>
      <c r="X962" s="552"/>
      <c r="Y962" s="552"/>
      <c r="Z962" s="552"/>
    </row>
    <row r="963" spans="1:26" ht="12.75" customHeight="1">
      <c r="A963" s="553"/>
      <c r="B963" s="552"/>
      <c r="C963" s="554"/>
      <c r="D963" s="552"/>
      <c r="E963" s="552"/>
      <c r="F963" s="555"/>
      <c r="G963" s="552"/>
      <c r="H963" s="552"/>
      <c r="I963" s="552"/>
      <c r="J963" s="552"/>
      <c r="K963" s="552"/>
      <c r="L963" s="552"/>
      <c r="M963" s="552"/>
      <c r="N963" s="552"/>
      <c r="O963" s="552"/>
      <c r="P963" s="552"/>
      <c r="Q963" s="552"/>
      <c r="R963" s="552"/>
      <c r="S963" s="552"/>
      <c r="T963" s="552"/>
      <c r="U963" s="552"/>
      <c r="V963" s="552"/>
      <c r="W963" s="552"/>
      <c r="X963" s="552"/>
      <c r="Y963" s="552"/>
      <c r="Z963" s="552"/>
    </row>
    <row r="964" spans="1:26" ht="12.75" customHeight="1">
      <c r="A964" s="553"/>
      <c r="B964" s="552"/>
      <c r="C964" s="554"/>
      <c r="D964" s="552"/>
      <c r="E964" s="552"/>
      <c r="F964" s="555"/>
      <c r="G964" s="552"/>
      <c r="H964" s="552"/>
      <c r="I964" s="552"/>
      <c r="J964" s="552"/>
      <c r="K964" s="552"/>
      <c r="L964" s="552"/>
      <c r="M964" s="552"/>
      <c r="N964" s="552"/>
      <c r="O964" s="552"/>
      <c r="P964" s="552"/>
      <c r="Q964" s="552"/>
      <c r="R964" s="552"/>
      <c r="S964" s="552"/>
      <c r="T964" s="552"/>
      <c r="U964" s="552"/>
      <c r="V964" s="552"/>
      <c r="W964" s="552"/>
      <c r="X964" s="552"/>
      <c r="Y964" s="552"/>
      <c r="Z964" s="552"/>
    </row>
    <row r="965" spans="1:26" ht="12.75" customHeight="1">
      <c r="A965" s="553"/>
      <c r="B965" s="552"/>
      <c r="C965" s="554"/>
      <c r="D965" s="552"/>
      <c r="E965" s="552"/>
      <c r="F965" s="555"/>
      <c r="G965" s="552"/>
      <c r="H965" s="552"/>
      <c r="I965" s="552"/>
      <c r="J965" s="552"/>
      <c r="K965" s="552"/>
      <c r="L965" s="552"/>
      <c r="M965" s="552"/>
      <c r="N965" s="552"/>
      <c r="O965" s="552"/>
      <c r="P965" s="552"/>
      <c r="Q965" s="552"/>
      <c r="R965" s="552"/>
      <c r="S965" s="552"/>
      <c r="T965" s="552"/>
      <c r="U965" s="552"/>
      <c r="V965" s="552"/>
      <c r="W965" s="552"/>
      <c r="X965" s="552"/>
      <c r="Y965" s="552"/>
      <c r="Z965" s="552"/>
    </row>
    <row r="966" spans="1:26" ht="12.75" customHeight="1">
      <c r="A966" s="553"/>
      <c r="B966" s="552"/>
      <c r="C966" s="554"/>
      <c r="D966" s="552"/>
      <c r="E966" s="552"/>
      <c r="F966" s="555"/>
      <c r="G966" s="552"/>
      <c r="H966" s="552"/>
      <c r="I966" s="552"/>
      <c r="J966" s="552"/>
      <c r="K966" s="552"/>
      <c r="L966" s="552"/>
      <c r="M966" s="552"/>
      <c r="N966" s="552"/>
      <c r="O966" s="552"/>
      <c r="P966" s="552"/>
      <c r="Q966" s="552"/>
      <c r="R966" s="552"/>
      <c r="S966" s="552"/>
      <c r="T966" s="552"/>
      <c r="U966" s="552"/>
      <c r="V966" s="552"/>
      <c r="W966" s="552"/>
      <c r="X966" s="552"/>
      <c r="Y966" s="552"/>
      <c r="Z966" s="552"/>
    </row>
    <row r="967" spans="1:26" ht="12.75" customHeight="1">
      <c r="A967" s="553"/>
      <c r="B967" s="552"/>
      <c r="C967" s="554"/>
      <c r="D967" s="552"/>
      <c r="E967" s="552"/>
      <c r="F967" s="555"/>
      <c r="G967" s="552"/>
      <c r="H967" s="552"/>
      <c r="I967" s="552"/>
      <c r="J967" s="552"/>
      <c r="K967" s="552"/>
      <c r="L967" s="552"/>
      <c r="M967" s="552"/>
      <c r="N967" s="552"/>
      <c r="O967" s="552"/>
      <c r="P967" s="552"/>
      <c r="Q967" s="552"/>
      <c r="R967" s="552"/>
      <c r="S967" s="552"/>
      <c r="T967" s="552"/>
      <c r="U967" s="552"/>
      <c r="V967" s="552"/>
      <c r="W967" s="552"/>
      <c r="X967" s="552"/>
      <c r="Y967" s="552"/>
      <c r="Z967" s="552"/>
    </row>
    <row r="968" spans="1:26" ht="12.75" customHeight="1">
      <c r="A968" s="553"/>
      <c r="B968" s="552"/>
      <c r="C968" s="554"/>
      <c r="D968" s="552"/>
      <c r="E968" s="552"/>
      <c r="F968" s="555"/>
      <c r="G968" s="552"/>
      <c r="H968" s="552"/>
      <c r="I968" s="552"/>
      <c r="J968" s="552"/>
      <c r="K968" s="552"/>
      <c r="L968" s="552"/>
      <c r="M968" s="552"/>
      <c r="N968" s="552"/>
      <c r="O968" s="552"/>
      <c r="P968" s="552"/>
      <c r="Q968" s="552"/>
      <c r="R968" s="552"/>
      <c r="S968" s="552"/>
      <c r="T968" s="552"/>
      <c r="U968" s="552"/>
      <c r="V968" s="552"/>
      <c r="W968" s="552"/>
      <c r="X968" s="552"/>
      <c r="Y968" s="552"/>
      <c r="Z968" s="552"/>
    </row>
    <row r="969" spans="1:26" ht="12.75" customHeight="1">
      <c r="A969" s="553"/>
      <c r="B969" s="552"/>
      <c r="C969" s="554"/>
      <c r="D969" s="552"/>
      <c r="E969" s="552"/>
      <c r="F969" s="555"/>
      <c r="G969" s="552"/>
      <c r="H969" s="552"/>
      <c r="I969" s="552"/>
      <c r="J969" s="552"/>
      <c r="K969" s="552"/>
      <c r="L969" s="552"/>
      <c r="M969" s="552"/>
      <c r="N969" s="552"/>
      <c r="O969" s="552"/>
      <c r="P969" s="552"/>
      <c r="Q969" s="552"/>
      <c r="R969" s="552"/>
      <c r="S969" s="552"/>
      <c r="T969" s="552"/>
      <c r="U969" s="552"/>
      <c r="V969" s="552"/>
      <c r="W969" s="552"/>
      <c r="X969" s="552"/>
      <c r="Y969" s="552"/>
      <c r="Z969" s="552"/>
    </row>
    <row r="970" spans="1:26" ht="12.75" customHeight="1">
      <c r="A970" s="553"/>
      <c r="B970" s="552"/>
      <c r="C970" s="554"/>
      <c r="D970" s="552"/>
      <c r="E970" s="552"/>
      <c r="F970" s="555"/>
      <c r="G970" s="552"/>
      <c r="H970" s="552"/>
      <c r="I970" s="552"/>
      <c r="J970" s="552"/>
      <c r="K970" s="552"/>
      <c r="L970" s="552"/>
      <c r="M970" s="552"/>
      <c r="N970" s="552"/>
      <c r="O970" s="552"/>
      <c r="P970" s="552"/>
      <c r="Q970" s="552"/>
      <c r="R970" s="552"/>
      <c r="S970" s="552"/>
      <c r="T970" s="552"/>
      <c r="U970" s="552"/>
      <c r="V970" s="552"/>
      <c r="W970" s="552"/>
      <c r="X970" s="552"/>
      <c r="Y970" s="552"/>
      <c r="Z970" s="552"/>
    </row>
    <row r="971" spans="1:26" ht="12.75" customHeight="1">
      <c r="A971" s="553"/>
      <c r="B971" s="552"/>
      <c r="C971" s="554"/>
      <c r="D971" s="552"/>
      <c r="E971" s="552"/>
      <c r="F971" s="555"/>
      <c r="G971" s="552"/>
      <c r="H971" s="552"/>
      <c r="I971" s="552"/>
      <c r="J971" s="552"/>
      <c r="K971" s="552"/>
      <c r="L971" s="552"/>
      <c r="M971" s="552"/>
      <c r="N971" s="552"/>
      <c r="O971" s="552"/>
      <c r="P971" s="552"/>
      <c r="Q971" s="552"/>
      <c r="R971" s="552"/>
      <c r="S971" s="552"/>
      <c r="T971" s="552"/>
      <c r="U971" s="552"/>
      <c r="V971" s="552"/>
      <c r="W971" s="552"/>
      <c r="X971" s="552"/>
      <c r="Y971" s="552"/>
      <c r="Z971" s="552"/>
    </row>
    <row r="972" spans="1:26" ht="12.75" customHeight="1">
      <c r="A972" s="553"/>
      <c r="B972" s="552"/>
      <c r="C972" s="554"/>
      <c r="D972" s="552"/>
      <c r="E972" s="552"/>
      <c r="F972" s="555"/>
      <c r="G972" s="552"/>
      <c r="H972" s="552"/>
      <c r="I972" s="552"/>
      <c r="J972" s="552"/>
      <c r="K972" s="552"/>
      <c r="L972" s="552"/>
      <c r="M972" s="552"/>
      <c r="N972" s="552"/>
      <c r="O972" s="552"/>
      <c r="P972" s="552"/>
      <c r="Q972" s="552"/>
      <c r="R972" s="552"/>
      <c r="S972" s="552"/>
      <c r="T972" s="552"/>
      <c r="U972" s="552"/>
      <c r="V972" s="552"/>
      <c r="W972" s="552"/>
      <c r="X972" s="552"/>
      <c r="Y972" s="552"/>
      <c r="Z972" s="552"/>
    </row>
    <row r="973" spans="1:26" ht="12.75" customHeight="1">
      <c r="A973" s="553"/>
      <c r="B973" s="552"/>
      <c r="C973" s="554"/>
      <c r="D973" s="552"/>
      <c r="E973" s="552"/>
      <c r="F973" s="555"/>
      <c r="G973" s="552"/>
      <c r="H973" s="552"/>
      <c r="I973" s="552"/>
      <c r="J973" s="552"/>
      <c r="K973" s="552"/>
      <c r="L973" s="552"/>
      <c r="M973" s="552"/>
      <c r="N973" s="552"/>
      <c r="O973" s="552"/>
      <c r="P973" s="552"/>
      <c r="Q973" s="552"/>
      <c r="R973" s="552"/>
      <c r="S973" s="552"/>
      <c r="T973" s="552"/>
      <c r="U973" s="552"/>
      <c r="V973" s="552"/>
      <c r="W973" s="552"/>
      <c r="X973" s="552"/>
      <c r="Y973" s="552"/>
      <c r="Z973" s="552"/>
    </row>
    <row r="974" spans="1:26" ht="12.75" customHeight="1">
      <c r="A974" s="553"/>
      <c r="B974" s="552"/>
      <c r="C974" s="554"/>
      <c r="D974" s="552"/>
      <c r="E974" s="552"/>
      <c r="F974" s="555"/>
      <c r="G974" s="552"/>
      <c r="H974" s="552"/>
      <c r="I974" s="552"/>
      <c r="J974" s="552"/>
      <c r="K974" s="552"/>
      <c r="L974" s="552"/>
      <c r="M974" s="552"/>
      <c r="N974" s="552"/>
      <c r="O974" s="552"/>
      <c r="P974" s="552"/>
      <c r="Q974" s="552"/>
      <c r="R974" s="552"/>
      <c r="S974" s="552"/>
      <c r="T974" s="552"/>
      <c r="U974" s="552"/>
      <c r="V974" s="552"/>
      <c r="W974" s="552"/>
      <c r="X974" s="552"/>
      <c r="Y974" s="552"/>
      <c r="Z974" s="552"/>
    </row>
    <row r="975" spans="1:26" ht="12.75" customHeight="1">
      <c r="A975" s="553"/>
      <c r="B975" s="552"/>
      <c r="C975" s="554"/>
      <c r="D975" s="552"/>
      <c r="E975" s="552"/>
      <c r="F975" s="555"/>
      <c r="G975" s="552"/>
      <c r="H975" s="552"/>
      <c r="I975" s="552"/>
      <c r="J975" s="552"/>
      <c r="K975" s="552"/>
      <c r="L975" s="552"/>
      <c r="M975" s="552"/>
      <c r="N975" s="552"/>
      <c r="O975" s="552"/>
      <c r="P975" s="552"/>
      <c r="Q975" s="552"/>
      <c r="R975" s="552"/>
      <c r="S975" s="552"/>
      <c r="T975" s="552"/>
      <c r="U975" s="552"/>
      <c r="V975" s="552"/>
      <c r="W975" s="552"/>
      <c r="X975" s="552"/>
      <c r="Y975" s="552"/>
      <c r="Z975" s="552"/>
    </row>
    <row r="976" spans="1:26" ht="12.75" customHeight="1">
      <c r="A976" s="553"/>
      <c r="B976" s="552"/>
      <c r="C976" s="554"/>
      <c r="D976" s="552"/>
      <c r="E976" s="552"/>
      <c r="F976" s="555"/>
      <c r="G976" s="552"/>
      <c r="H976" s="552"/>
      <c r="I976" s="552"/>
      <c r="J976" s="552"/>
      <c r="K976" s="552"/>
      <c r="L976" s="552"/>
      <c r="M976" s="552"/>
      <c r="N976" s="552"/>
      <c r="O976" s="552"/>
      <c r="P976" s="552"/>
      <c r="Q976" s="552"/>
      <c r="R976" s="552"/>
      <c r="S976" s="552"/>
      <c r="T976" s="552"/>
      <c r="U976" s="552"/>
      <c r="V976" s="552"/>
      <c r="W976" s="552"/>
      <c r="X976" s="552"/>
      <c r="Y976" s="552"/>
      <c r="Z976" s="552"/>
    </row>
    <row r="977" spans="1:26" ht="12.75" customHeight="1">
      <c r="A977" s="553"/>
      <c r="B977" s="552"/>
      <c r="C977" s="554"/>
      <c r="D977" s="552"/>
      <c r="E977" s="552"/>
      <c r="F977" s="555"/>
      <c r="G977" s="552"/>
      <c r="H977" s="552"/>
      <c r="I977" s="552"/>
      <c r="J977" s="552"/>
      <c r="K977" s="552"/>
      <c r="L977" s="552"/>
      <c r="M977" s="552"/>
      <c r="N977" s="552"/>
      <c r="O977" s="552"/>
      <c r="P977" s="552"/>
      <c r="Q977" s="552"/>
      <c r="R977" s="552"/>
      <c r="S977" s="552"/>
      <c r="T977" s="552"/>
      <c r="U977" s="552"/>
      <c r="V977" s="552"/>
      <c r="W977" s="552"/>
      <c r="X977" s="552"/>
      <c r="Y977" s="552"/>
      <c r="Z977" s="552"/>
    </row>
    <row r="978" spans="1:26" ht="12.75" customHeight="1">
      <c r="A978" s="553"/>
      <c r="B978" s="552"/>
      <c r="C978" s="554"/>
      <c r="D978" s="552"/>
      <c r="E978" s="552"/>
      <c r="F978" s="555"/>
      <c r="G978" s="552"/>
      <c r="H978" s="552"/>
      <c r="I978" s="552"/>
      <c r="J978" s="552"/>
      <c r="K978" s="552"/>
      <c r="L978" s="552"/>
      <c r="M978" s="552"/>
      <c r="N978" s="552"/>
      <c r="O978" s="552"/>
      <c r="P978" s="552"/>
      <c r="Q978" s="552"/>
      <c r="R978" s="552"/>
      <c r="S978" s="552"/>
      <c r="T978" s="552"/>
      <c r="U978" s="552"/>
      <c r="V978" s="552"/>
      <c r="W978" s="552"/>
      <c r="X978" s="552"/>
      <c r="Y978" s="552"/>
      <c r="Z978" s="552"/>
    </row>
    <row r="979" spans="1:26" ht="12.75" customHeight="1">
      <c r="A979" s="553"/>
      <c r="B979" s="552"/>
      <c r="C979" s="554"/>
      <c r="D979" s="552"/>
      <c r="E979" s="552"/>
      <c r="F979" s="555"/>
      <c r="G979" s="552"/>
      <c r="H979" s="552"/>
      <c r="I979" s="552"/>
      <c r="J979" s="552"/>
      <c r="K979" s="552"/>
      <c r="L979" s="552"/>
      <c r="M979" s="552"/>
      <c r="N979" s="552"/>
      <c r="O979" s="552"/>
      <c r="P979" s="552"/>
      <c r="Q979" s="552"/>
      <c r="R979" s="552"/>
      <c r="S979" s="552"/>
      <c r="T979" s="552"/>
      <c r="U979" s="552"/>
      <c r="V979" s="552"/>
      <c r="W979" s="552"/>
      <c r="X979" s="552"/>
      <c r="Y979" s="552"/>
      <c r="Z979" s="552"/>
    </row>
    <row r="980" spans="1:26" ht="12.75" customHeight="1">
      <c r="A980" s="553"/>
      <c r="B980" s="552"/>
      <c r="C980" s="554"/>
      <c r="D980" s="552"/>
      <c r="E980" s="552"/>
      <c r="F980" s="555"/>
      <c r="G980" s="552"/>
      <c r="H980" s="552"/>
      <c r="I980" s="552"/>
      <c r="J980" s="552"/>
      <c r="K980" s="552"/>
      <c r="L980" s="552"/>
      <c r="M980" s="552"/>
      <c r="N980" s="552"/>
      <c r="O980" s="552"/>
      <c r="P980" s="552"/>
      <c r="Q980" s="552"/>
      <c r="R980" s="552"/>
      <c r="S980" s="552"/>
      <c r="T980" s="552"/>
      <c r="U980" s="552"/>
      <c r="V980" s="552"/>
      <c r="W980" s="552"/>
      <c r="X980" s="552"/>
      <c r="Y980" s="552"/>
      <c r="Z980" s="552"/>
    </row>
    <row r="981" spans="1:26" ht="12.75" customHeight="1">
      <c r="A981" s="553"/>
      <c r="B981" s="552"/>
      <c r="C981" s="554"/>
      <c r="D981" s="552"/>
      <c r="E981" s="552"/>
      <c r="F981" s="555"/>
      <c r="G981" s="552"/>
      <c r="H981" s="552"/>
      <c r="I981" s="552"/>
      <c r="J981" s="552"/>
      <c r="K981" s="552"/>
      <c r="L981" s="552"/>
      <c r="M981" s="552"/>
      <c r="N981" s="552"/>
      <c r="O981" s="552"/>
      <c r="P981" s="552"/>
      <c r="Q981" s="552"/>
      <c r="R981" s="552"/>
      <c r="S981" s="552"/>
      <c r="T981" s="552"/>
      <c r="U981" s="552"/>
      <c r="V981" s="552"/>
      <c r="W981" s="552"/>
      <c r="X981" s="552"/>
      <c r="Y981" s="552"/>
      <c r="Z981" s="552"/>
    </row>
    <row r="982" spans="1:26" ht="12.75" customHeight="1">
      <c r="A982" s="553"/>
      <c r="B982" s="552"/>
      <c r="C982" s="554"/>
      <c r="D982" s="552"/>
      <c r="E982" s="552"/>
      <c r="F982" s="555"/>
      <c r="G982" s="552"/>
      <c r="H982" s="552"/>
      <c r="I982" s="552"/>
      <c r="J982" s="552"/>
      <c r="K982" s="552"/>
      <c r="L982" s="552"/>
      <c r="M982" s="552"/>
      <c r="N982" s="552"/>
      <c r="O982" s="552"/>
      <c r="P982" s="552"/>
      <c r="Q982" s="552"/>
      <c r="R982" s="552"/>
      <c r="S982" s="552"/>
      <c r="T982" s="552"/>
      <c r="U982" s="552"/>
      <c r="V982" s="552"/>
      <c r="W982" s="552"/>
      <c r="X982" s="552"/>
      <c r="Y982" s="552"/>
      <c r="Z982" s="552"/>
    </row>
    <row r="983" spans="1:26" ht="12.75" customHeight="1">
      <c r="A983" s="553"/>
      <c r="B983" s="552"/>
      <c r="C983" s="554"/>
      <c r="D983" s="552"/>
      <c r="E983" s="552"/>
      <c r="F983" s="555"/>
      <c r="G983" s="552"/>
      <c r="H983" s="552"/>
      <c r="I983" s="552"/>
      <c r="J983" s="552"/>
      <c r="K983" s="552"/>
      <c r="L983" s="552"/>
      <c r="M983" s="552"/>
      <c r="N983" s="552"/>
      <c r="O983" s="552"/>
      <c r="P983" s="552"/>
      <c r="Q983" s="552"/>
      <c r="R983" s="552"/>
      <c r="S983" s="552"/>
      <c r="T983" s="552"/>
      <c r="U983" s="552"/>
      <c r="V983" s="552"/>
      <c r="W983" s="552"/>
      <c r="X983" s="552"/>
      <c r="Y983" s="552"/>
      <c r="Z983" s="552"/>
    </row>
    <row r="984" spans="1:26" ht="12.75" customHeight="1">
      <c r="A984" s="553"/>
      <c r="B984" s="552"/>
      <c r="C984" s="554"/>
      <c r="D984" s="552"/>
      <c r="E984" s="552"/>
      <c r="F984" s="555"/>
      <c r="G984" s="552"/>
      <c r="H984" s="552"/>
      <c r="I984" s="552"/>
      <c r="J984" s="552"/>
      <c r="K984" s="552"/>
      <c r="L984" s="552"/>
      <c r="M984" s="552"/>
      <c r="N984" s="552"/>
      <c r="O984" s="552"/>
      <c r="P984" s="552"/>
      <c r="Q984" s="552"/>
      <c r="R984" s="552"/>
      <c r="S984" s="552"/>
      <c r="T984" s="552"/>
      <c r="U984" s="552"/>
      <c r="V984" s="552"/>
      <c r="W984" s="552"/>
      <c r="X984" s="552"/>
      <c r="Y984" s="552"/>
      <c r="Z984" s="552"/>
    </row>
    <row r="985" spans="1:26" ht="12.75" customHeight="1">
      <c r="A985" s="553"/>
      <c r="B985" s="552"/>
      <c r="C985" s="554"/>
      <c r="D985" s="552"/>
      <c r="E985" s="552"/>
      <c r="F985" s="555"/>
      <c r="G985" s="552"/>
      <c r="H985" s="552"/>
      <c r="I985" s="552"/>
      <c r="J985" s="552"/>
      <c r="K985" s="552"/>
      <c r="L985" s="552"/>
      <c r="M985" s="552"/>
      <c r="N985" s="552"/>
      <c r="O985" s="552"/>
      <c r="P985" s="552"/>
      <c r="Q985" s="552"/>
      <c r="R985" s="552"/>
      <c r="S985" s="552"/>
      <c r="T985" s="552"/>
      <c r="U985" s="552"/>
      <c r="V985" s="552"/>
      <c r="W985" s="552"/>
      <c r="X985" s="552"/>
      <c r="Y985" s="552"/>
      <c r="Z985" s="552"/>
    </row>
    <row r="986" spans="1:26" ht="12.75" customHeight="1">
      <c r="A986" s="553"/>
      <c r="B986" s="552"/>
      <c r="C986" s="554"/>
      <c r="D986" s="552"/>
      <c r="E986" s="552"/>
      <c r="F986" s="555"/>
      <c r="G986" s="552"/>
      <c r="H986" s="552"/>
      <c r="I986" s="552"/>
      <c r="J986" s="552"/>
      <c r="K986" s="552"/>
      <c r="L986" s="552"/>
      <c r="M986" s="552"/>
      <c r="N986" s="552"/>
      <c r="O986" s="552"/>
      <c r="P986" s="552"/>
      <c r="Q986" s="552"/>
      <c r="R986" s="552"/>
      <c r="S986" s="552"/>
      <c r="T986" s="552"/>
      <c r="U986" s="552"/>
      <c r="V986" s="552"/>
      <c r="W986" s="552"/>
      <c r="X986" s="552"/>
      <c r="Y986" s="552"/>
      <c r="Z986" s="552"/>
    </row>
    <row r="987" spans="1:26" ht="12.75" customHeight="1">
      <c r="A987" s="553"/>
      <c r="B987" s="552"/>
      <c r="C987" s="554"/>
      <c r="D987" s="552"/>
      <c r="E987" s="552"/>
      <c r="F987" s="555"/>
      <c r="G987" s="552"/>
      <c r="H987" s="552"/>
      <c r="I987" s="552"/>
      <c r="J987" s="552"/>
      <c r="K987" s="552"/>
      <c r="L987" s="552"/>
      <c r="M987" s="552"/>
      <c r="N987" s="552"/>
      <c r="O987" s="552"/>
      <c r="P987" s="552"/>
      <c r="Q987" s="552"/>
      <c r="R987" s="552"/>
      <c r="S987" s="552"/>
      <c r="T987" s="552"/>
      <c r="U987" s="552"/>
      <c r="V987" s="552"/>
      <c r="W987" s="552"/>
      <c r="X987" s="552"/>
      <c r="Y987" s="552"/>
      <c r="Z987" s="552"/>
    </row>
    <row r="988" spans="1:26" ht="12.75" customHeight="1">
      <c r="A988" s="553"/>
      <c r="B988" s="552"/>
      <c r="C988" s="554"/>
      <c r="D988" s="552"/>
      <c r="E988" s="552"/>
      <c r="F988" s="555"/>
      <c r="G988" s="552"/>
      <c r="H988" s="552"/>
      <c r="I988" s="552"/>
      <c r="J988" s="552"/>
      <c r="K988" s="552"/>
      <c r="L988" s="552"/>
      <c r="M988" s="552"/>
      <c r="N988" s="552"/>
      <c r="O988" s="552"/>
      <c r="P988" s="552"/>
      <c r="Q988" s="552"/>
      <c r="R988" s="552"/>
      <c r="S988" s="552"/>
      <c r="T988" s="552"/>
      <c r="U988" s="552"/>
      <c r="V988" s="552"/>
      <c r="W988" s="552"/>
      <c r="X988" s="552"/>
      <c r="Y988" s="552"/>
      <c r="Z988" s="552"/>
    </row>
    <row r="989" spans="1:26" ht="12.75" customHeight="1">
      <c r="A989" s="553"/>
      <c r="B989" s="552"/>
      <c r="C989" s="554"/>
      <c r="D989" s="552"/>
      <c r="E989" s="552"/>
      <c r="F989" s="555"/>
      <c r="G989" s="552"/>
      <c r="H989" s="552"/>
      <c r="I989" s="552"/>
      <c r="J989" s="552"/>
      <c r="K989" s="552"/>
      <c r="L989" s="552"/>
      <c r="M989" s="552"/>
      <c r="N989" s="552"/>
      <c r="O989" s="552"/>
      <c r="P989" s="552"/>
      <c r="Q989" s="552"/>
      <c r="R989" s="552"/>
      <c r="S989" s="552"/>
      <c r="T989" s="552"/>
      <c r="U989" s="552"/>
      <c r="V989" s="552"/>
      <c r="W989" s="552"/>
      <c r="X989" s="552"/>
      <c r="Y989" s="552"/>
      <c r="Z989" s="552"/>
    </row>
    <row r="990" spans="1:26" ht="12.75" customHeight="1">
      <c r="A990" s="553"/>
      <c r="B990" s="552"/>
      <c r="C990" s="554"/>
      <c r="D990" s="552"/>
      <c r="E990" s="552"/>
      <c r="F990" s="555"/>
      <c r="G990" s="552"/>
      <c r="H990" s="552"/>
      <c r="I990" s="552"/>
      <c r="J990" s="552"/>
      <c r="K990" s="552"/>
      <c r="L990" s="552"/>
      <c r="M990" s="552"/>
      <c r="N990" s="552"/>
      <c r="O990" s="552"/>
      <c r="P990" s="552"/>
      <c r="Q990" s="552"/>
      <c r="R990" s="552"/>
      <c r="S990" s="552"/>
      <c r="T990" s="552"/>
      <c r="U990" s="552"/>
      <c r="V990" s="552"/>
      <c r="W990" s="552"/>
      <c r="X990" s="552"/>
      <c r="Y990" s="552"/>
      <c r="Z990" s="552"/>
    </row>
    <row r="991" spans="1:26" ht="12.75" customHeight="1">
      <c r="A991" s="553"/>
      <c r="B991" s="552"/>
      <c r="C991" s="554"/>
      <c r="D991" s="552"/>
      <c r="E991" s="552"/>
      <c r="F991" s="555"/>
      <c r="G991" s="552"/>
      <c r="H991" s="552"/>
      <c r="I991" s="552"/>
      <c r="J991" s="552"/>
      <c r="K991" s="552"/>
      <c r="L991" s="552"/>
      <c r="M991" s="552"/>
      <c r="N991" s="552"/>
      <c r="O991" s="552"/>
      <c r="P991" s="552"/>
      <c r="Q991" s="552"/>
      <c r="R991" s="552"/>
      <c r="S991" s="552"/>
      <c r="T991" s="552"/>
      <c r="U991" s="552"/>
      <c r="V991" s="552"/>
      <c r="W991" s="552"/>
      <c r="X991" s="552"/>
      <c r="Y991" s="552"/>
      <c r="Z991" s="552"/>
    </row>
    <row r="992" spans="1:26" ht="12.75" customHeight="1">
      <c r="A992" s="553"/>
      <c r="B992" s="552"/>
      <c r="C992" s="554"/>
      <c r="D992" s="552"/>
      <c r="E992" s="552"/>
      <c r="F992" s="555"/>
      <c r="G992" s="552"/>
      <c r="H992" s="552"/>
      <c r="I992" s="552"/>
      <c r="J992" s="552"/>
      <c r="K992" s="552"/>
      <c r="L992" s="552"/>
      <c r="M992" s="552"/>
      <c r="N992" s="552"/>
      <c r="O992" s="552"/>
      <c r="P992" s="552"/>
      <c r="Q992" s="552"/>
      <c r="R992" s="552"/>
      <c r="S992" s="552"/>
      <c r="T992" s="552"/>
      <c r="U992" s="552"/>
      <c r="V992" s="552"/>
      <c r="W992" s="552"/>
      <c r="X992" s="552"/>
      <c r="Y992" s="552"/>
      <c r="Z992" s="552"/>
    </row>
    <row r="993" spans="1:26" ht="12.75" customHeight="1">
      <c r="A993" s="553"/>
      <c r="B993" s="552"/>
      <c r="C993" s="554"/>
      <c r="D993" s="552"/>
      <c r="E993" s="552"/>
      <c r="F993" s="555"/>
      <c r="G993" s="552"/>
      <c r="H993" s="552"/>
      <c r="I993" s="552"/>
      <c r="J993" s="552"/>
      <c r="K993" s="552"/>
      <c r="L993" s="552"/>
      <c r="M993" s="552"/>
      <c r="N993" s="552"/>
      <c r="O993" s="552"/>
      <c r="P993" s="552"/>
      <c r="Q993" s="552"/>
      <c r="R993" s="552"/>
      <c r="S993" s="552"/>
      <c r="T993" s="552"/>
      <c r="U993" s="552"/>
      <c r="V993" s="552"/>
      <c r="W993" s="552"/>
      <c r="X993" s="552"/>
      <c r="Y993" s="552"/>
      <c r="Z993" s="552"/>
    </row>
    <row r="994" spans="1:26" ht="12.75" customHeight="1">
      <c r="A994" s="553"/>
      <c r="B994" s="552"/>
      <c r="C994" s="554"/>
      <c r="D994" s="552"/>
      <c r="E994" s="552"/>
      <c r="F994" s="555"/>
      <c r="G994" s="552"/>
      <c r="H994" s="552"/>
      <c r="I994" s="552"/>
      <c r="J994" s="552"/>
      <c r="K994" s="552"/>
      <c r="L994" s="552"/>
      <c r="M994" s="552"/>
      <c r="N994" s="552"/>
      <c r="O994" s="552"/>
      <c r="P994" s="552"/>
      <c r="Q994" s="552"/>
      <c r="R994" s="552"/>
      <c r="S994" s="552"/>
      <c r="T994" s="552"/>
      <c r="U994" s="552"/>
      <c r="V994" s="552"/>
      <c r="W994" s="552"/>
      <c r="X994" s="552"/>
      <c r="Y994" s="552"/>
      <c r="Z994" s="552"/>
    </row>
    <row r="995" spans="1:26" ht="12.75" customHeight="1">
      <c r="A995" s="553"/>
      <c r="B995" s="552"/>
      <c r="C995" s="554"/>
      <c r="D995" s="552"/>
      <c r="E995" s="552"/>
      <c r="F995" s="555"/>
      <c r="G995" s="552"/>
      <c r="H995" s="552"/>
      <c r="I995" s="552"/>
      <c r="J995" s="552"/>
      <c r="K995" s="552"/>
      <c r="L995" s="552"/>
      <c r="M995" s="552"/>
      <c r="N995" s="552"/>
      <c r="O995" s="552"/>
      <c r="P995" s="552"/>
      <c r="Q995" s="552"/>
      <c r="R995" s="552"/>
      <c r="S995" s="552"/>
      <c r="T995" s="552"/>
      <c r="U995" s="552"/>
      <c r="V995" s="552"/>
      <c r="W995" s="552"/>
      <c r="X995" s="552"/>
      <c r="Y995" s="552"/>
      <c r="Z995" s="552"/>
    </row>
    <row r="996" spans="1:26" ht="12.75" customHeight="1">
      <c r="A996" s="553"/>
      <c r="B996" s="552"/>
      <c r="C996" s="554"/>
      <c r="D996" s="552"/>
      <c r="E996" s="552"/>
      <c r="F996" s="555"/>
      <c r="G996" s="552"/>
      <c r="H996" s="552"/>
      <c r="I996" s="552"/>
      <c r="J996" s="552"/>
      <c r="K996" s="552"/>
      <c r="L996" s="552"/>
      <c r="M996" s="552"/>
      <c r="N996" s="552"/>
      <c r="O996" s="552"/>
      <c r="P996" s="552"/>
      <c r="Q996" s="552"/>
      <c r="R996" s="552"/>
      <c r="S996" s="552"/>
      <c r="T996" s="552"/>
      <c r="U996" s="552"/>
      <c r="V996" s="552"/>
      <c r="W996" s="552"/>
      <c r="X996" s="552"/>
      <c r="Y996" s="552"/>
      <c r="Z996" s="552"/>
    </row>
    <row r="997" spans="1:26" ht="12.75" customHeight="1">
      <c r="A997" s="553"/>
      <c r="B997" s="552"/>
      <c r="C997" s="554"/>
      <c r="D997" s="552"/>
      <c r="E997" s="552"/>
      <c r="F997" s="555"/>
      <c r="G997" s="552"/>
      <c r="H997" s="552"/>
      <c r="I997" s="552"/>
      <c r="J997" s="552"/>
      <c r="K997" s="552"/>
      <c r="L997" s="552"/>
      <c r="M997" s="552"/>
      <c r="N997" s="552"/>
      <c r="O997" s="552"/>
      <c r="P997" s="552"/>
      <c r="Q997" s="552"/>
      <c r="R997" s="552"/>
      <c r="S997" s="552"/>
      <c r="T997" s="552"/>
      <c r="U997" s="552"/>
      <c r="V997" s="552"/>
      <c r="W997" s="552"/>
      <c r="X997" s="552"/>
      <c r="Y997" s="552"/>
      <c r="Z997" s="552"/>
    </row>
    <row r="998" spans="1:26" ht="12.75" customHeight="1">
      <c r="A998" s="553"/>
      <c r="B998" s="552"/>
      <c r="C998" s="554"/>
      <c r="D998" s="552"/>
      <c r="E998" s="552"/>
      <c r="F998" s="555"/>
      <c r="G998" s="552"/>
      <c r="H998" s="552"/>
      <c r="I998" s="552"/>
      <c r="J998" s="552"/>
      <c r="K998" s="552"/>
      <c r="L998" s="552"/>
      <c r="M998" s="552"/>
      <c r="N998" s="552"/>
      <c r="O998" s="552"/>
      <c r="P998" s="552"/>
      <c r="Q998" s="552"/>
      <c r="R998" s="552"/>
      <c r="S998" s="552"/>
      <c r="T998" s="552"/>
      <c r="U998" s="552"/>
      <c r="V998" s="552"/>
      <c r="W998" s="552"/>
      <c r="X998" s="552"/>
      <c r="Y998" s="552"/>
      <c r="Z998" s="552"/>
    </row>
    <row r="999" spans="1:26" ht="12.75" customHeight="1">
      <c r="A999" s="553"/>
      <c r="B999" s="552"/>
      <c r="C999" s="554"/>
      <c r="D999" s="552"/>
      <c r="E999" s="552"/>
      <c r="F999" s="555"/>
      <c r="G999" s="552"/>
      <c r="H999" s="552"/>
      <c r="I999" s="552"/>
      <c r="J999" s="552"/>
      <c r="K999" s="552"/>
      <c r="L999" s="552"/>
      <c r="M999" s="552"/>
      <c r="N999" s="552"/>
      <c r="O999" s="552"/>
      <c r="P999" s="552"/>
      <c r="Q999" s="552"/>
      <c r="R999" s="552"/>
      <c r="S999" s="552"/>
      <c r="T999" s="552"/>
      <c r="U999" s="552"/>
      <c r="V999" s="552"/>
      <c r="W999" s="552"/>
      <c r="X999" s="552"/>
      <c r="Y999" s="552"/>
      <c r="Z999" s="552"/>
    </row>
    <row r="1000" spans="1:26" ht="12.75" customHeight="1">
      <c r="A1000" s="553"/>
      <c r="B1000" s="552"/>
      <c r="C1000" s="554"/>
      <c r="D1000" s="552"/>
      <c r="E1000" s="552"/>
      <c r="F1000" s="555"/>
      <c r="G1000" s="552"/>
      <c r="H1000" s="552"/>
      <c r="I1000" s="552"/>
      <c r="J1000" s="552"/>
      <c r="K1000" s="552"/>
      <c r="L1000" s="552"/>
      <c r="M1000" s="552"/>
      <c r="N1000" s="552"/>
      <c r="O1000" s="552"/>
      <c r="P1000" s="552"/>
      <c r="Q1000" s="552"/>
      <c r="R1000" s="552"/>
      <c r="S1000" s="552"/>
      <c r="T1000" s="552"/>
      <c r="U1000" s="552"/>
      <c r="V1000" s="552"/>
      <c r="W1000" s="552"/>
      <c r="X1000" s="552"/>
      <c r="Y1000" s="552"/>
      <c r="Z1000" s="552"/>
    </row>
  </sheetData>
  <mergeCells count="4">
    <mergeCell ref="A3:F3"/>
    <mergeCell ref="A2:F2"/>
    <mergeCell ref="A4:F4"/>
    <mergeCell ref="A1:B1"/>
  </mergeCell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sheetPr>
  <dimension ref="A1:C1000"/>
  <sheetViews>
    <sheetView showGridLines="0" workbookViewId="0"/>
  </sheetViews>
  <sheetFormatPr defaultColWidth="12.7265625" defaultRowHeight="15" customHeight="1"/>
  <cols>
    <col min="1" max="2" width="41" customWidth="1"/>
    <col min="3" max="3" width="47.7265625" customWidth="1"/>
    <col min="4" max="26" width="9.1796875" customWidth="1"/>
  </cols>
  <sheetData>
    <row r="1" spans="1:3" ht="12.75" customHeight="1">
      <c r="A1" s="89" t="s">
        <v>2308</v>
      </c>
      <c r="B1" s="89" t="s">
        <v>2309</v>
      </c>
      <c r="C1" s="89" t="s">
        <v>2310</v>
      </c>
    </row>
    <row r="2" spans="1:3" ht="12.75" customHeight="1">
      <c r="A2" s="556" t="s">
        <v>2311</v>
      </c>
      <c r="B2" s="556" t="s">
        <v>2312</v>
      </c>
      <c r="C2" s="557" t="s">
        <v>2313</v>
      </c>
    </row>
    <row r="3" spans="1:3" ht="12.75" customHeight="1">
      <c r="A3" s="556" t="s">
        <v>2314</v>
      </c>
      <c r="B3" s="556" t="s">
        <v>2315</v>
      </c>
      <c r="C3" s="557" t="s">
        <v>2316</v>
      </c>
    </row>
    <row r="4" spans="1:3" ht="12.75" customHeight="1">
      <c r="A4" s="556" t="s">
        <v>2317</v>
      </c>
      <c r="B4" s="556" t="s">
        <v>2318</v>
      </c>
      <c r="C4" s="557" t="s">
        <v>2319</v>
      </c>
    </row>
    <row r="5" spans="1:3" ht="12.75" customHeight="1">
      <c r="A5" s="556" t="s">
        <v>2320</v>
      </c>
      <c r="B5" s="556" t="s">
        <v>2321</v>
      </c>
      <c r="C5" s="557" t="s">
        <v>2322</v>
      </c>
    </row>
    <row r="6" spans="1:3" ht="12.75" customHeight="1">
      <c r="A6" s="556" t="s">
        <v>2323</v>
      </c>
      <c r="B6" s="556" t="s">
        <v>2324</v>
      </c>
      <c r="C6" s="558" t="s">
        <v>2325</v>
      </c>
    </row>
    <row r="7" spans="1:3" ht="12.75" customHeight="1">
      <c r="A7" s="339" t="s">
        <v>2326</v>
      </c>
      <c r="B7" s="339" t="s">
        <v>2327</v>
      </c>
      <c r="C7" s="339" t="s">
        <v>2328</v>
      </c>
    </row>
    <row r="8" spans="1:3" ht="12.75" customHeight="1">
      <c r="A8" s="339"/>
      <c r="B8" s="339"/>
      <c r="C8" s="339"/>
    </row>
    <row r="9" spans="1:3" ht="12.75" customHeight="1">
      <c r="A9" s="339"/>
      <c r="B9" s="339"/>
      <c r="C9" s="339"/>
    </row>
    <row r="10" spans="1:3" ht="12.75" customHeight="1">
      <c r="A10" s="339"/>
      <c r="B10" s="339"/>
      <c r="C10" s="339"/>
    </row>
    <row r="11" spans="1:3" ht="12.75" customHeight="1">
      <c r="A11" s="339"/>
      <c r="B11" s="339"/>
      <c r="C11" s="339"/>
    </row>
    <row r="12" spans="1:3" ht="12.75" customHeight="1">
      <c r="A12" s="339"/>
      <c r="B12" s="339"/>
      <c r="C12" s="339"/>
    </row>
    <row r="13" spans="1:3" ht="12.75" customHeight="1">
      <c r="A13" s="339"/>
      <c r="B13" s="339"/>
      <c r="C13" s="339"/>
    </row>
    <row r="14" spans="1:3" ht="12.75" customHeight="1">
      <c r="A14" s="339"/>
      <c r="B14" s="339"/>
      <c r="C14" s="339"/>
    </row>
    <row r="15" spans="1:3" ht="12.75" customHeight="1">
      <c r="A15" s="339"/>
      <c r="B15" s="339"/>
      <c r="C15" s="339"/>
    </row>
    <row r="16" spans="1:3" ht="12.75" customHeight="1">
      <c r="A16" s="547"/>
      <c r="B16" s="547"/>
      <c r="C16" s="547"/>
    </row>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 right="0.7" top="0.75" bottom="0.75" header="0" footer="0"/>
  <pageSetup paperSize="9"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1000"/>
  <sheetViews>
    <sheetView showGridLines="0" topLeftCell="A94" workbookViewId="0">
      <selection activeCell="A114" sqref="A114"/>
    </sheetView>
  </sheetViews>
  <sheetFormatPr defaultColWidth="12.7265625" defaultRowHeight="15" customHeight="1"/>
  <cols>
    <col min="1" max="1" width="144.7265625" customWidth="1"/>
    <col min="2" max="26" width="8.7265625" customWidth="1"/>
  </cols>
  <sheetData>
    <row r="1" spans="1:1" ht="12.75" customHeight="1">
      <c r="A1" s="559" t="s">
        <v>2329</v>
      </c>
    </row>
    <row r="2" spans="1:1" ht="12.75" customHeight="1">
      <c r="A2" s="560" t="s">
        <v>2330</v>
      </c>
    </row>
    <row r="3" spans="1:1" ht="12.75" customHeight="1">
      <c r="A3" s="547"/>
    </row>
    <row r="4" spans="1:1" ht="12.75" customHeight="1">
      <c r="A4" s="561" t="s">
        <v>2331</v>
      </c>
    </row>
    <row r="5" spans="1:1" ht="12.75" customHeight="1">
      <c r="A5" s="547"/>
    </row>
    <row r="6" spans="1:1" ht="12.75" customHeight="1">
      <c r="A6" s="562" t="s">
        <v>1432</v>
      </c>
    </row>
    <row r="7" spans="1:1" ht="12.75" customHeight="1">
      <c r="A7" s="547"/>
    </row>
    <row r="8" spans="1:1" ht="12.75" customHeight="1">
      <c r="A8" s="560" t="s">
        <v>2332</v>
      </c>
    </row>
    <row r="9" spans="1:1" ht="12.75" customHeight="1">
      <c r="A9" s="547"/>
    </row>
    <row r="10" spans="1:1" ht="12.75" customHeight="1">
      <c r="A10" s="562" t="s">
        <v>863</v>
      </c>
    </row>
    <row r="11" spans="1:1" ht="12.75" customHeight="1">
      <c r="A11" s="547"/>
    </row>
    <row r="12" spans="1:1" ht="12.75" customHeight="1">
      <c r="A12" s="560" t="s">
        <v>2333</v>
      </c>
    </row>
    <row r="13" spans="1:1" ht="12.75" customHeight="1">
      <c r="A13" s="547"/>
    </row>
    <row r="14" spans="1:1" ht="12.75" customHeight="1">
      <c r="A14" s="562" t="s">
        <v>665</v>
      </c>
    </row>
    <row r="15" spans="1:1" ht="12.75" customHeight="1">
      <c r="A15" s="547"/>
    </row>
    <row r="16" spans="1:1" ht="12.75" customHeight="1">
      <c r="A16" s="560" t="s">
        <v>2334</v>
      </c>
    </row>
    <row r="17" spans="1:1" ht="12.75" customHeight="1">
      <c r="A17" s="547"/>
    </row>
    <row r="18" spans="1:1" ht="12.75" customHeight="1">
      <c r="A18" s="562" t="s">
        <v>433</v>
      </c>
    </row>
    <row r="19" spans="1:1" ht="12.75" customHeight="1">
      <c r="A19" s="547"/>
    </row>
    <row r="20" spans="1:1" ht="12.75" customHeight="1">
      <c r="A20" s="560" t="s">
        <v>2335</v>
      </c>
    </row>
    <row r="21" spans="1:1" ht="12.75" customHeight="1">
      <c r="A21" s="547"/>
    </row>
    <row r="22" spans="1:1" ht="12.75" customHeight="1">
      <c r="A22" s="562" t="s">
        <v>825</v>
      </c>
    </row>
    <row r="23" spans="1:1" ht="12.75" customHeight="1">
      <c r="A23" s="547"/>
    </row>
    <row r="24" spans="1:1" ht="12.75" customHeight="1">
      <c r="A24" s="560" t="s">
        <v>2336</v>
      </c>
    </row>
    <row r="25" spans="1:1" ht="12.75" customHeight="1">
      <c r="A25" s="547"/>
    </row>
    <row r="26" spans="1:1" ht="12.75" customHeight="1">
      <c r="A26" s="562" t="s">
        <v>2337</v>
      </c>
    </row>
    <row r="27" spans="1:1" ht="12.75" customHeight="1">
      <c r="A27" s="547"/>
    </row>
    <row r="28" spans="1:1" ht="12.75" customHeight="1">
      <c r="A28" s="560" t="s">
        <v>2338</v>
      </c>
    </row>
    <row r="29" spans="1:1" ht="12.75" customHeight="1">
      <c r="A29" s="547"/>
    </row>
    <row r="30" spans="1:1" ht="12.75" customHeight="1">
      <c r="A30" s="562" t="s">
        <v>736</v>
      </c>
    </row>
    <row r="31" spans="1:1" ht="12.75" customHeight="1">
      <c r="A31" s="547"/>
    </row>
    <row r="32" spans="1:1" ht="12.75" customHeight="1">
      <c r="A32" s="560" t="s">
        <v>2339</v>
      </c>
    </row>
    <row r="33" spans="1:1" ht="12.75" customHeight="1">
      <c r="A33" s="547"/>
    </row>
    <row r="34" spans="1:1" ht="12.75" customHeight="1">
      <c r="A34" s="562" t="s">
        <v>2340</v>
      </c>
    </row>
    <row r="35" spans="1:1" ht="12.75" customHeight="1">
      <c r="A35" s="547"/>
    </row>
    <row r="36" spans="1:1" ht="12.75" customHeight="1">
      <c r="A36" s="560" t="s">
        <v>2341</v>
      </c>
    </row>
    <row r="37" spans="1:1" ht="12.75" customHeight="1">
      <c r="A37" s="547"/>
    </row>
    <row r="38" spans="1:1" ht="12.75" customHeight="1">
      <c r="A38" s="561" t="s">
        <v>2342</v>
      </c>
    </row>
    <row r="39" spans="1:1" ht="12.75" customHeight="1">
      <c r="A39" s="547"/>
    </row>
    <row r="40" spans="1:1" ht="12.75" customHeight="1">
      <c r="A40" s="562" t="s">
        <v>539</v>
      </c>
    </row>
    <row r="41" spans="1:1" ht="12.75" customHeight="1">
      <c r="A41" s="547"/>
    </row>
    <row r="42" spans="1:1" ht="12.75" customHeight="1">
      <c r="A42" s="560" t="s">
        <v>2343</v>
      </c>
    </row>
    <row r="43" spans="1:1" ht="12.75" customHeight="1">
      <c r="A43" s="547"/>
    </row>
    <row r="44" spans="1:1" ht="12.75" customHeight="1">
      <c r="A44" s="562" t="s">
        <v>1296</v>
      </c>
    </row>
    <row r="45" spans="1:1" ht="12.75" customHeight="1">
      <c r="A45" s="547"/>
    </row>
    <row r="46" spans="1:1" ht="12.75" customHeight="1">
      <c r="A46" s="560" t="s">
        <v>2344</v>
      </c>
    </row>
    <row r="47" spans="1:1" ht="12.75" customHeight="1">
      <c r="A47" s="547"/>
    </row>
    <row r="48" spans="1:1" ht="12.75" customHeight="1">
      <c r="A48" s="562" t="s">
        <v>1097</v>
      </c>
    </row>
    <row r="49" spans="1:1" ht="12.75" customHeight="1">
      <c r="A49" s="547"/>
    </row>
    <row r="50" spans="1:1" ht="12.75" customHeight="1">
      <c r="A50" s="560" t="s">
        <v>2345</v>
      </c>
    </row>
    <row r="51" spans="1:1" ht="12.75" customHeight="1">
      <c r="A51" s="547"/>
    </row>
    <row r="52" spans="1:1" ht="12.75" customHeight="1">
      <c r="A52" s="562" t="s">
        <v>2346</v>
      </c>
    </row>
    <row r="53" spans="1:1" ht="12.75" customHeight="1">
      <c r="A53" s="547"/>
    </row>
    <row r="54" spans="1:1" ht="12.75" customHeight="1">
      <c r="A54" s="560" t="s">
        <v>2347</v>
      </c>
    </row>
    <row r="55" spans="1:1" ht="12.75" customHeight="1">
      <c r="A55" s="547"/>
    </row>
    <row r="56" spans="1:1" ht="12.75" customHeight="1">
      <c r="A56" s="562" t="s">
        <v>2348</v>
      </c>
    </row>
    <row r="57" spans="1:1" ht="12.75" customHeight="1">
      <c r="A57" s="547"/>
    </row>
    <row r="58" spans="1:1" ht="12.75" customHeight="1">
      <c r="A58" s="560" t="s">
        <v>2349</v>
      </c>
    </row>
    <row r="59" spans="1:1" ht="12.75" customHeight="1">
      <c r="A59" s="547"/>
    </row>
    <row r="60" spans="1:1" ht="12.75" customHeight="1">
      <c r="A60" s="561" t="s">
        <v>2350</v>
      </c>
    </row>
    <row r="61" spans="1:1" ht="12.75" customHeight="1">
      <c r="A61" s="547"/>
    </row>
    <row r="62" spans="1:1" ht="12.75" customHeight="1">
      <c r="A62" s="562" t="s">
        <v>470</v>
      </c>
    </row>
    <row r="63" spans="1:1" ht="12.75" customHeight="1">
      <c r="A63" s="547"/>
    </row>
    <row r="64" spans="1:1" ht="12.75" customHeight="1">
      <c r="A64" s="560" t="s">
        <v>2351</v>
      </c>
    </row>
    <row r="65" spans="1:1" ht="12.75" customHeight="1">
      <c r="A65" s="547"/>
    </row>
    <row r="66" spans="1:1" ht="12.75" customHeight="1">
      <c r="A66" s="562" t="s">
        <v>1272</v>
      </c>
    </row>
    <row r="67" spans="1:1" ht="12.75" customHeight="1">
      <c r="A67" s="547"/>
    </row>
    <row r="68" spans="1:1" ht="12.75" customHeight="1">
      <c r="A68" s="560" t="s">
        <v>2352</v>
      </c>
    </row>
    <row r="69" spans="1:1" ht="12.75" customHeight="1">
      <c r="A69" s="547"/>
    </row>
    <row r="70" spans="1:1" ht="12.75" customHeight="1">
      <c r="A70" s="560" t="s">
        <v>2353</v>
      </c>
    </row>
    <row r="71" spans="1:1" ht="12.75" customHeight="1">
      <c r="A71" s="547"/>
    </row>
    <row r="72" spans="1:1" ht="12.75" customHeight="1">
      <c r="A72" s="560" t="s">
        <v>2354</v>
      </c>
    </row>
    <row r="73" spans="1:1" ht="12.75" customHeight="1">
      <c r="A73" s="547"/>
    </row>
    <row r="74" spans="1:1" ht="12.75" customHeight="1">
      <c r="A74" s="560" t="s">
        <v>2355</v>
      </c>
    </row>
    <row r="75" spans="1:1" ht="12.75" customHeight="1">
      <c r="A75" s="547"/>
    </row>
    <row r="76" spans="1:1" ht="12.75" customHeight="1">
      <c r="A76" s="560" t="s">
        <v>2356</v>
      </c>
    </row>
    <row r="77" spans="1:1" ht="12.75" customHeight="1">
      <c r="A77" s="547"/>
    </row>
    <row r="78" spans="1:1" ht="12.75" customHeight="1">
      <c r="A78" s="562" t="s">
        <v>2357</v>
      </c>
    </row>
    <row r="79" spans="1:1" ht="12.75" customHeight="1">
      <c r="A79" s="547"/>
    </row>
    <row r="80" spans="1:1" ht="12.75" customHeight="1">
      <c r="A80" s="560" t="s">
        <v>2358</v>
      </c>
    </row>
    <row r="81" spans="1:1" ht="12.75" customHeight="1">
      <c r="A81" s="547"/>
    </row>
    <row r="82" spans="1:1" ht="12.75" customHeight="1">
      <c r="A82" s="562" t="s">
        <v>2359</v>
      </c>
    </row>
    <row r="83" spans="1:1" ht="12.75" customHeight="1">
      <c r="A83" s="547"/>
    </row>
    <row r="84" spans="1:1" ht="12.75" customHeight="1">
      <c r="A84" s="560" t="s">
        <v>2360</v>
      </c>
    </row>
    <row r="85" spans="1:1" ht="12.75" customHeight="1">
      <c r="A85" s="547"/>
    </row>
    <row r="86" spans="1:1" ht="12.75" customHeight="1">
      <c r="A86" s="562" t="s">
        <v>2361</v>
      </c>
    </row>
    <row r="87" spans="1:1" ht="12.75" customHeight="1">
      <c r="A87" s="547"/>
    </row>
    <row r="88" spans="1:1" ht="12.75" customHeight="1">
      <c r="A88" s="560" t="s">
        <v>2362</v>
      </c>
    </row>
    <row r="89" spans="1:1" ht="12.75" customHeight="1">
      <c r="A89" s="547"/>
    </row>
    <row r="90" spans="1:1" ht="12.75" customHeight="1">
      <c r="A90" s="562" t="s">
        <v>816</v>
      </c>
    </row>
    <row r="91" spans="1:1" ht="12.75" customHeight="1">
      <c r="A91" s="547"/>
    </row>
    <row r="92" spans="1:1" ht="12.75" customHeight="1">
      <c r="A92" s="560" t="s">
        <v>2363</v>
      </c>
    </row>
    <row r="93" spans="1:1" ht="12.75" customHeight="1">
      <c r="A93" s="547"/>
    </row>
    <row r="94" spans="1:1" ht="12.75" customHeight="1">
      <c r="A94" s="560" t="s">
        <v>2364</v>
      </c>
    </row>
    <row r="95" spans="1:1" ht="12.75" customHeight="1">
      <c r="A95" s="547"/>
    </row>
    <row r="96" spans="1:1" ht="12.75" customHeight="1">
      <c r="A96" s="560" t="s">
        <v>2365</v>
      </c>
    </row>
    <row r="97" spans="1:1" ht="12.75" customHeight="1">
      <c r="A97" s="547"/>
    </row>
    <row r="98" spans="1:1" ht="12.75" customHeight="1">
      <c r="A98" s="560" t="s">
        <v>2366</v>
      </c>
    </row>
    <row r="99" spans="1:1" ht="12.75" customHeight="1">
      <c r="A99" s="547"/>
    </row>
    <row r="100" spans="1:1" ht="12.75" customHeight="1">
      <c r="A100" s="560" t="s">
        <v>2367</v>
      </c>
    </row>
    <row r="101" spans="1:1" ht="12.75" customHeight="1">
      <c r="A101" s="547"/>
    </row>
    <row r="102" spans="1:1" ht="12.75" customHeight="1">
      <c r="A102" s="560" t="s">
        <v>2368</v>
      </c>
    </row>
    <row r="103" spans="1:1" ht="12.75" customHeight="1">
      <c r="A103" s="547"/>
    </row>
    <row r="104" spans="1:1" ht="12.75" customHeight="1">
      <c r="A104" s="560" t="s">
        <v>2369</v>
      </c>
    </row>
    <row r="105" spans="1:1" ht="12.75" customHeight="1">
      <c r="A105" s="547"/>
    </row>
    <row r="106" spans="1:1" ht="12.75" customHeight="1">
      <c r="A106" s="560" t="s">
        <v>2370</v>
      </c>
    </row>
    <row r="107" spans="1:1" ht="12.75" customHeight="1">
      <c r="A107" s="547"/>
    </row>
    <row r="108" spans="1:1" ht="12.75" customHeight="1">
      <c r="A108" s="562" t="s">
        <v>458</v>
      </c>
    </row>
    <row r="109" spans="1:1" ht="12.75" customHeight="1">
      <c r="A109" s="547"/>
    </row>
    <row r="110" spans="1:1" ht="12.75" customHeight="1">
      <c r="A110" s="560" t="s">
        <v>2371</v>
      </c>
    </row>
    <row r="111" spans="1:1" ht="12.75" customHeight="1">
      <c r="A111" s="547"/>
    </row>
    <row r="112" spans="1:1" ht="12.75" customHeight="1">
      <c r="A112" s="562" t="s">
        <v>517</v>
      </c>
    </row>
    <row r="113" spans="1:1" ht="12.75" customHeight="1">
      <c r="A113" s="547"/>
    </row>
    <row r="114" spans="1:1" ht="12.75" customHeight="1">
      <c r="A114" s="560" t="s">
        <v>2372</v>
      </c>
    </row>
    <row r="115" spans="1:1" ht="12.75" customHeight="1">
      <c r="A115" s="547"/>
    </row>
    <row r="116" spans="1:1" ht="12.75" customHeight="1">
      <c r="A116" s="562" t="s">
        <v>497</v>
      </c>
    </row>
    <row r="117" spans="1:1" ht="12.75" customHeight="1">
      <c r="A117" s="547"/>
    </row>
    <row r="118" spans="1:1" ht="12.75" customHeight="1">
      <c r="A118" s="560" t="s">
        <v>2373</v>
      </c>
    </row>
    <row r="119" spans="1:1" ht="12.75" customHeight="1">
      <c r="A119" s="547"/>
    </row>
    <row r="120" spans="1:1" ht="12.75" customHeight="1">
      <c r="A120" s="562" t="s">
        <v>952</v>
      </c>
    </row>
    <row r="121" spans="1:1" ht="12.75" customHeight="1">
      <c r="A121" s="547"/>
    </row>
    <row r="122" spans="1:1" ht="12.75" customHeight="1">
      <c r="A122" s="560" t="s">
        <v>2374</v>
      </c>
    </row>
    <row r="123" spans="1:1" ht="12.75" customHeight="1">
      <c r="A123" s="560"/>
    </row>
    <row r="124" spans="1:1" ht="12.75" customHeight="1">
      <c r="A124" s="547"/>
    </row>
    <row r="125" spans="1:1" ht="12.75" customHeight="1">
      <c r="A125" s="547"/>
    </row>
    <row r="126" spans="1:1" ht="12.75" customHeight="1">
      <c r="A126" s="560" t="s">
        <v>2375</v>
      </c>
    </row>
    <row r="127" spans="1:1" ht="12.75" customHeight="1">
      <c r="A127" s="547"/>
    </row>
    <row r="128" spans="1:1" ht="12.75" customHeight="1">
      <c r="A128" s="560" t="s">
        <v>2376</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ef="A1" r:id="rId1" xr:uid="{00000000-0004-0000-0400-000000000000}"/>
    <hyperlink ref="A6" r:id="rId2" xr:uid="{00000000-0004-0000-0400-000001000000}"/>
    <hyperlink ref="A10" r:id="rId3" xr:uid="{00000000-0004-0000-0400-000002000000}"/>
    <hyperlink ref="A14" r:id="rId4" xr:uid="{00000000-0004-0000-0400-000003000000}"/>
    <hyperlink ref="A18" r:id="rId5" xr:uid="{00000000-0004-0000-0400-000004000000}"/>
    <hyperlink ref="A22" r:id="rId6" xr:uid="{00000000-0004-0000-0400-000005000000}"/>
    <hyperlink ref="A26" r:id="rId7" xr:uid="{00000000-0004-0000-0400-000006000000}"/>
    <hyperlink ref="A30" r:id="rId8" xr:uid="{00000000-0004-0000-0400-000007000000}"/>
    <hyperlink ref="A34" r:id="rId9" xr:uid="{00000000-0004-0000-0400-000008000000}"/>
    <hyperlink ref="A40" r:id="rId10" xr:uid="{00000000-0004-0000-0400-000009000000}"/>
    <hyperlink ref="A44" r:id="rId11" xr:uid="{00000000-0004-0000-0400-00000A000000}"/>
    <hyperlink ref="A48" r:id="rId12" xr:uid="{00000000-0004-0000-0400-00000B000000}"/>
    <hyperlink ref="A52" r:id="rId13" xr:uid="{00000000-0004-0000-0400-00000C000000}"/>
    <hyperlink ref="A56" r:id="rId14" xr:uid="{00000000-0004-0000-0400-00000D000000}"/>
    <hyperlink ref="A62" r:id="rId15" xr:uid="{00000000-0004-0000-0400-00000E000000}"/>
    <hyperlink ref="A66" r:id="rId16" xr:uid="{00000000-0004-0000-0400-00000F000000}"/>
    <hyperlink ref="A78" r:id="rId17" xr:uid="{00000000-0004-0000-0400-000010000000}"/>
    <hyperlink ref="A82" r:id="rId18" xr:uid="{00000000-0004-0000-0400-000011000000}"/>
    <hyperlink ref="A86" r:id="rId19" xr:uid="{00000000-0004-0000-0400-000012000000}"/>
    <hyperlink ref="A90" r:id="rId20" xr:uid="{00000000-0004-0000-0400-000013000000}"/>
    <hyperlink ref="A108" r:id="rId21" xr:uid="{00000000-0004-0000-0400-000014000000}"/>
    <hyperlink ref="A112" r:id="rId22" xr:uid="{00000000-0004-0000-0400-000015000000}"/>
    <hyperlink ref="A116" r:id="rId23" xr:uid="{00000000-0004-0000-0400-000016000000}"/>
    <hyperlink ref="A120" r:id="rId24" xr:uid="{00000000-0004-0000-0400-000017000000}"/>
  </hyperlink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0000"/>
    <outlinePr summaryBelow="0" summaryRight="0"/>
  </sheetPr>
  <dimension ref="A1:Z1000"/>
  <sheetViews>
    <sheetView showGridLines="0" topLeftCell="I1" zoomScale="80" zoomScaleNormal="80" workbookViewId="0">
      <pane ySplit="1" topLeftCell="A18" activePane="bottomLeft" state="frozen"/>
      <selection pane="bottomLeft" activeCell="L97" sqref="L97"/>
    </sheetView>
  </sheetViews>
  <sheetFormatPr defaultColWidth="12.7265625" defaultRowHeight="15" customHeight="1"/>
  <cols>
    <col min="1" max="1" width="16.26953125" customWidth="1"/>
    <col min="2" max="2" width="23.453125" customWidth="1"/>
    <col min="4" max="7" width="26.1796875" customWidth="1"/>
    <col min="8" max="8" width="38.1796875" customWidth="1"/>
    <col min="9" max="9" width="12.7265625" customWidth="1"/>
    <col min="10" max="10" width="21.7265625" customWidth="1"/>
    <col min="11" max="11" width="29.81640625" customWidth="1"/>
    <col min="12" max="12" width="42" style="19" customWidth="1"/>
    <col min="13" max="13" width="49.26953125" customWidth="1"/>
    <col min="14" max="14" width="25.1796875" customWidth="1"/>
    <col min="15" max="26" width="8.7265625" hidden="1" customWidth="1"/>
  </cols>
  <sheetData>
    <row r="1" spans="1:26" ht="41.25" customHeight="1">
      <c r="A1" s="563" t="s">
        <v>6</v>
      </c>
      <c r="B1" s="564" t="s">
        <v>7</v>
      </c>
      <c r="C1" s="564" t="s">
        <v>8</v>
      </c>
      <c r="D1" s="564" t="s">
        <v>2377</v>
      </c>
      <c r="E1" s="564" t="s">
        <v>10</v>
      </c>
      <c r="F1" s="565" t="s">
        <v>13</v>
      </c>
      <c r="G1" s="564" t="s">
        <v>16</v>
      </c>
      <c r="H1" s="564" t="s">
        <v>17</v>
      </c>
      <c r="I1" s="564" t="s">
        <v>18</v>
      </c>
      <c r="J1" s="564" t="s">
        <v>2295</v>
      </c>
      <c r="K1" s="564" t="s">
        <v>2378</v>
      </c>
      <c r="L1" s="564" t="s">
        <v>2379</v>
      </c>
      <c r="M1" s="564" t="s">
        <v>2380</v>
      </c>
      <c r="N1" s="587" t="s">
        <v>13</v>
      </c>
      <c r="O1" s="564"/>
      <c r="P1" s="564"/>
      <c r="Q1" s="564"/>
      <c r="R1" s="564"/>
      <c r="S1" s="564"/>
      <c r="T1" s="564"/>
      <c r="U1" s="564"/>
      <c r="V1" s="564"/>
      <c r="W1" s="564"/>
      <c r="X1" s="564"/>
      <c r="Y1" s="564"/>
      <c r="Z1" s="564"/>
    </row>
    <row r="2" spans="1:26" ht="25" customHeight="1">
      <c r="A2" s="556" t="s">
        <v>2381</v>
      </c>
      <c r="B2" s="556" t="s">
        <v>40</v>
      </c>
      <c r="C2" s="556" t="s">
        <v>2382</v>
      </c>
      <c r="D2" s="566" t="s">
        <v>607</v>
      </c>
      <c r="E2" s="556" t="s">
        <v>43</v>
      </c>
      <c r="F2" s="556" t="s">
        <v>1527</v>
      </c>
      <c r="G2" s="556" t="s">
        <v>2383</v>
      </c>
      <c r="H2" s="566" t="s">
        <v>2384</v>
      </c>
      <c r="I2" s="566" t="s">
        <v>2385</v>
      </c>
      <c r="J2" s="567" t="s">
        <v>2386</v>
      </c>
      <c r="K2" s="566" t="s">
        <v>469</v>
      </c>
      <c r="L2" s="568" t="s">
        <v>1432</v>
      </c>
      <c r="M2" s="569" t="s">
        <v>540</v>
      </c>
      <c r="N2" s="588" t="s">
        <v>2387</v>
      </c>
      <c r="O2" s="547"/>
      <c r="P2" s="547"/>
      <c r="Q2" s="547"/>
      <c r="R2" s="547"/>
      <c r="S2" s="547"/>
      <c r="T2" s="547"/>
      <c r="U2" s="547"/>
      <c r="V2" s="547"/>
      <c r="W2" s="547"/>
      <c r="X2" s="547"/>
      <c r="Y2" s="547"/>
      <c r="Z2" s="547"/>
    </row>
    <row r="3" spans="1:26" ht="29.15" customHeight="1">
      <c r="A3" s="556" t="s">
        <v>100</v>
      </c>
      <c r="B3" s="556" t="s">
        <v>85</v>
      </c>
      <c r="C3" s="556" t="s">
        <v>423</v>
      </c>
      <c r="D3" s="566" t="s">
        <v>474</v>
      </c>
      <c r="E3" s="556" t="s">
        <v>232</v>
      </c>
      <c r="F3" s="556" t="s">
        <v>2388</v>
      </c>
      <c r="G3" s="556" t="s">
        <v>136</v>
      </c>
      <c r="H3" s="566" t="s">
        <v>662</v>
      </c>
      <c r="I3" s="566" t="s">
        <v>813</v>
      </c>
      <c r="J3" s="567" t="s">
        <v>516</v>
      </c>
      <c r="K3" s="566" t="s">
        <v>735</v>
      </c>
      <c r="L3" s="568" t="s">
        <v>863</v>
      </c>
      <c r="M3" s="569" t="s">
        <v>1340</v>
      </c>
      <c r="N3" s="588" t="s">
        <v>2389</v>
      </c>
      <c r="O3" s="547"/>
      <c r="P3" s="547"/>
      <c r="Q3" s="547"/>
      <c r="R3" s="547"/>
      <c r="S3" s="547"/>
      <c r="T3" s="547"/>
      <c r="U3" s="547"/>
      <c r="V3" s="547"/>
      <c r="W3" s="547"/>
      <c r="X3" s="547"/>
      <c r="Y3" s="547"/>
      <c r="Z3" s="547"/>
    </row>
    <row r="4" spans="1:26" ht="29.15" customHeight="1">
      <c r="A4" s="556" t="s">
        <v>39</v>
      </c>
      <c r="B4" s="556" t="s">
        <v>115</v>
      </c>
      <c r="C4" s="556" t="s">
        <v>220</v>
      </c>
      <c r="D4" s="566" t="s">
        <v>102</v>
      </c>
      <c r="E4" s="570" t="s">
        <v>2390</v>
      </c>
      <c r="F4" s="556" t="s">
        <v>425</v>
      </c>
      <c r="G4" s="556" t="s">
        <v>145</v>
      </c>
      <c r="H4" s="566" t="s">
        <v>515</v>
      </c>
      <c r="I4" s="566" t="s">
        <v>1295</v>
      </c>
      <c r="J4" s="567" t="s">
        <v>2391</v>
      </c>
      <c r="K4" s="566" t="s">
        <v>432</v>
      </c>
      <c r="L4" s="568" t="s">
        <v>665</v>
      </c>
      <c r="M4" s="569" t="s">
        <v>826</v>
      </c>
      <c r="N4" s="588" t="s">
        <v>2392</v>
      </c>
      <c r="O4" s="547"/>
      <c r="P4" s="547"/>
      <c r="Q4" s="547"/>
      <c r="R4" s="547"/>
      <c r="S4" s="547"/>
      <c r="T4" s="547"/>
      <c r="U4" s="547"/>
      <c r="V4" s="547"/>
      <c r="W4" s="547"/>
      <c r="X4" s="547"/>
      <c r="Y4" s="547"/>
      <c r="Z4" s="547"/>
    </row>
    <row r="5" spans="1:26" ht="43.5" customHeight="1">
      <c r="A5" s="556" t="s">
        <v>2393</v>
      </c>
      <c r="B5" s="570" t="s">
        <v>101</v>
      </c>
      <c r="C5" s="556" t="s">
        <v>41</v>
      </c>
      <c r="D5" s="556" t="s">
        <v>42</v>
      </c>
      <c r="E5" s="551"/>
      <c r="F5" s="556" t="s">
        <v>1205</v>
      </c>
      <c r="G5" s="556" t="s">
        <v>1096</v>
      </c>
      <c r="H5" s="566" t="s">
        <v>2394</v>
      </c>
      <c r="I5" s="566" t="s">
        <v>861</v>
      </c>
      <c r="J5" s="567" t="s">
        <v>431</v>
      </c>
      <c r="K5" s="566" t="s">
        <v>2395</v>
      </c>
      <c r="L5" s="568" t="s">
        <v>433</v>
      </c>
      <c r="M5" s="569" t="s">
        <v>1364</v>
      </c>
      <c r="N5" s="588" t="s">
        <v>2396</v>
      </c>
      <c r="O5" s="547"/>
      <c r="P5" s="547"/>
      <c r="Q5" s="547"/>
      <c r="R5" s="547"/>
      <c r="S5" s="547"/>
      <c r="T5" s="547"/>
      <c r="U5" s="547"/>
      <c r="V5" s="547"/>
      <c r="W5" s="547"/>
      <c r="X5" s="547"/>
      <c r="Y5" s="547"/>
      <c r="Z5" s="547"/>
    </row>
    <row r="6" spans="1:26" ht="29.15" customHeight="1">
      <c r="A6" s="556" t="s">
        <v>2397</v>
      </c>
      <c r="B6" s="556" t="s">
        <v>545</v>
      </c>
      <c r="C6" s="551"/>
      <c r="D6" s="556" t="s">
        <v>86</v>
      </c>
      <c r="E6" s="556"/>
      <c r="F6" s="556"/>
      <c r="G6" s="556" t="s">
        <v>2398</v>
      </c>
      <c r="H6" s="566" t="s">
        <v>2399</v>
      </c>
      <c r="I6" s="566" t="s">
        <v>2400</v>
      </c>
      <c r="J6" s="567" t="s">
        <v>1158</v>
      </c>
      <c r="K6" s="566" t="s">
        <v>2401</v>
      </c>
      <c r="L6" s="568" t="s">
        <v>825</v>
      </c>
      <c r="M6" s="569" t="s">
        <v>953</v>
      </c>
      <c r="N6" s="588" t="s">
        <v>2402</v>
      </c>
      <c r="O6" s="547"/>
      <c r="P6" s="547"/>
      <c r="Q6" s="547"/>
      <c r="R6" s="547"/>
      <c r="S6" s="547"/>
      <c r="T6" s="547"/>
      <c r="U6" s="547"/>
      <c r="V6" s="547"/>
      <c r="W6" s="547"/>
      <c r="X6" s="547"/>
      <c r="Y6" s="547"/>
      <c r="Z6" s="547"/>
    </row>
    <row r="7" spans="1:26" ht="29.15" customHeight="1">
      <c r="A7" s="556" t="s">
        <v>283</v>
      </c>
      <c r="B7" s="551"/>
      <c r="C7" s="551"/>
      <c r="D7" s="551"/>
      <c r="E7" s="551"/>
      <c r="F7" s="551"/>
      <c r="G7" s="551"/>
      <c r="H7" s="566" t="s">
        <v>2403</v>
      </c>
      <c r="I7" s="566" t="s">
        <v>455</v>
      </c>
      <c r="J7" s="567" t="s">
        <v>2404</v>
      </c>
      <c r="K7" s="566" t="s">
        <v>487</v>
      </c>
      <c r="L7" s="568" t="s">
        <v>2337</v>
      </c>
      <c r="M7" s="569" t="s">
        <v>1098</v>
      </c>
      <c r="N7" s="588" t="s">
        <v>2405</v>
      </c>
      <c r="O7" s="547"/>
      <c r="P7" s="547"/>
      <c r="Q7" s="547"/>
      <c r="R7" s="547"/>
      <c r="S7" s="547"/>
      <c r="T7" s="547"/>
      <c r="U7" s="547"/>
      <c r="V7" s="547"/>
      <c r="W7" s="547"/>
      <c r="X7" s="547"/>
      <c r="Y7" s="547"/>
      <c r="Z7" s="547"/>
    </row>
    <row r="8" spans="1:26" ht="43.5" customHeight="1">
      <c r="A8" s="556" t="s">
        <v>245</v>
      </c>
      <c r="B8" s="551"/>
      <c r="C8" s="551"/>
      <c r="D8" s="551"/>
      <c r="E8" s="551"/>
      <c r="F8" s="551"/>
      <c r="G8" s="551"/>
      <c r="H8" s="566" t="s">
        <v>2406</v>
      </c>
      <c r="I8" s="566" t="s">
        <v>537</v>
      </c>
      <c r="J8" s="567" t="s">
        <v>430</v>
      </c>
      <c r="K8" s="566" t="s">
        <v>2407</v>
      </c>
      <c r="L8" s="568" t="s">
        <v>736</v>
      </c>
      <c r="M8" s="569" t="s">
        <v>1742</v>
      </c>
      <c r="N8" s="588" t="s">
        <v>2408</v>
      </c>
      <c r="O8" s="547"/>
      <c r="P8" s="547"/>
      <c r="Q8" s="547"/>
      <c r="R8" s="547"/>
      <c r="S8" s="547"/>
      <c r="T8" s="547"/>
      <c r="U8" s="547"/>
      <c r="V8" s="547"/>
      <c r="W8" s="547"/>
      <c r="X8" s="547"/>
      <c r="Y8" s="547"/>
      <c r="Z8" s="547"/>
    </row>
    <row r="9" spans="1:26" ht="43.5" customHeight="1">
      <c r="A9" s="547"/>
      <c r="B9" s="547"/>
      <c r="C9" s="547"/>
      <c r="D9" s="547"/>
      <c r="E9" s="547"/>
      <c r="F9" s="547"/>
      <c r="G9" s="547"/>
      <c r="H9" s="566" t="s">
        <v>2409</v>
      </c>
      <c r="I9" s="566" t="s">
        <v>663</v>
      </c>
      <c r="J9" s="571" t="s">
        <v>1687</v>
      </c>
      <c r="K9" s="566" t="s">
        <v>612</v>
      </c>
      <c r="L9" s="568" t="s">
        <v>2340</v>
      </c>
      <c r="M9" s="569" t="s">
        <v>845</v>
      </c>
      <c r="N9" s="589" t="s">
        <v>2410</v>
      </c>
      <c r="O9" s="547"/>
      <c r="P9" s="547"/>
      <c r="Q9" s="547"/>
      <c r="R9" s="547"/>
      <c r="S9" s="547"/>
      <c r="T9" s="547"/>
      <c r="U9" s="547"/>
      <c r="V9" s="547"/>
      <c r="W9" s="547"/>
      <c r="X9" s="547"/>
      <c r="Y9" s="547"/>
      <c r="Z9" s="547"/>
    </row>
    <row r="10" spans="1:26" ht="43.5" customHeight="1">
      <c r="A10" s="547"/>
      <c r="B10" s="547"/>
      <c r="C10" s="547"/>
      <c r="D10" s="547"/>
      <c r="E10" s="547"/>
      <c r="F10" s="547"/>
      <c r="G10" s="547"/>
      <c r="H10" s="566" t="s">
        <v>2411</v>
      </c>
      <c r="I10" s="566" t="s">
        <v>430</v>
      </c>
      <c r="J10" s="551"/>
      <c r="K10" s="566" t="s">
        <v>2412</v>
      </c>
      <c r="L10" s="568" t="s">
        <v>539</v>
      </c>
      <c r="M10" s="569" t="s">
        <v>1714</v>
      </c>
      <c r="N10" s="588" t="s">
        <v>2413</v>
      </c>
      <c r="O10" s="547"/>
      <c r="P10" s="547"/>
      <c r="Q10" s="547"/>
      <c r="R10" s="547"/>
      <c r="S10" s="547"/>
      <c r="T10" s="547"/>
      <c r="U10" s="547"/>
      <c r="V10" s="547"/>
      <c r="W10" s="547"/>
      <c r="X10" s="547"/>
      <c r="Y10" s="547"/>
      <c r="Z10" s="547"/>
    </row>
    <row r="11" spans="1:26" ht="37.5" customHeight="1">
      <c r="A11" s="547"/>
      <c r="B11" s="547"/>
      <c r="C11" s="547"/>
      <c r="D11" s="547"/>
      <c r="E11" s="547"/>
      <c r="F11" s="547"/>
      <c r="G11" s="547"/>
      <c r="H11" s="566" t="s">
        <v>468</v>
      </c>
      <c r="I11" s="571" t="s">
        <v>1687</v>
      </c>
      <c r="J11" s="551"/>
      <c r="K11" s="566" t="s">
        <v>1504</v>
      </c>
      <c r="L11" s="568" t="s">
        <v>1296</v>
      </c>
      <c r="M11" s="569" t="s">
        <v>943</v>
      </c>
      <c r="N11" s="588" t="s">
        <v>2414</v>
      </c>
      <c r="O11" s="547"/>
      <c r="P11" s="547"/>
      <c r="Q11" s="547"/>
      <c r="R11" s="547"/>
      <c r="S11" s="547"/>
      <c r="T11" s="547"/>
      <c r="U11" s="547"/>
      <c r="V11" s="547"/>
      <c r="W11" s="547"/>
      <c r="X11" s="547"/>
      <c r="Y11" s="547"/>
      <c r="Z11" s="547"/>
    </row>
    <row r="12" spans="1:26" ht="43.5" customHeight="1">
      <c r="A12" s="547"/>
      <c r="B12" s="547"/>
      <c r="C12" s="547"/>
      <c r="D12" s="547"/>
      <c r="E12" s="547"/>
      <c r="F12" s="547"/>
      <c r="G12" s="547"/>
      <c r="H12" s="566" t="s">
        <v>700</v>
      </c>
      <c r="I12" s="551"/>
      <c r="J12" s="551"/>
      <c r="K12" s="566" t="s">
        <v>538</v>
      </c>
      <c r="L12" s="568" t="s">
        <v>1097</v>
      </c>
      <c r="M12" s="569" t="s">
        <v>2415</v>
      </c>
      <c r="N12" s="589" t="s">
        <v>2416</v>
      </c>
      <c r="O12" s="547"/>
      <c r="P12" s="547"/>
      <c r="Q12" s="547"/>
      <c r="R12" s="547"/>
      <c r="S12" s="547"/>
      <c r="T12" s="547"/>
      <c r="U12" s="547"/>
      <c r="V12" s="547"/>
      <c r="W12" s="547"/>
      <c r="X12" s="547"/>
      <c r="Y12" s="547"/>
      <c r="Z12" s="547"/>
    </row>
    <row r="13" spans="1:26" ht="29.15" customHeight="1">
      <c r="A13" s="547"/>
      <c r="B13" s="547"/>
      <c r="C13" s="547"/>
      <c r="D13" s="547"/>
      <c r="E13" s="547"/>
      <c r="F13" s="547"/>
      <c r="G13" s="547"/>
      <c r="H13" s="566" t="s">
        <v>1183</v>
      </c>
      <c r="I13" s="551"/>
      <c r="J13" s="551"/>
      <c r="K13" s="566" t="s">
        <v>1357</v>
      </c>
      <c r="L13" s="568" t="s">
        <v>2346</v>
      </c>
      <c r="M13" s="569" t="s">
        <v>692</v>
      </c>
      <c r="N13" s="588" t="s">
        <v>2417</v>
      </c>
      <c r="O13" s="547"/>
      <c r="P13" s="547"/>
      <c r="Q13" s="547"/>
      <c r="R13" s="547"/>
      <c r="S13" s="547"/>
      <c r="T13" s="547"/>
      <c r="U13" s="547"/>
      <c r="V13" s="547"/>
      <c r="W13" s="547"/>
      <c r="X13" s="547"/>
      <c r="Y13" s="547"/>
      <c r="Z13" s="547"/>
    </row>
    <row r="14" spans="1:26" ht="37.5" customHeight="1">
      <c r="A14" s="547"/>
      <c r="B14" s="547"/>
      <c r="C14" s="547"/>
      <c r="D14" s="547"/>
      <c r="E14" s="547"/>
      <c r="F14" s="547"/>
      <c r="G14" s="547"/>
      <c r="H14" s="566" t="s">
        <v>2418</v>
      </c>
      <c r="I14" s="551"/>
      <c r="J14" s="551"/>
      <c r="K14" s="566" t="s">
        <v>2419</v>
      </c>
      <c r="L14" s="568" t="s">
        <v>2348</v>
      </c>
      <c r="M14" s="569" t="s">
        <v>1297</v>
      </c>
      <c r="N14" s="589" t="s">
        <v>2420</v>
      </c>
      <c r="O14" s="547"/>
      <c r="P14" s="547"/>
      <c r="Q14" s="547"/>
      <c r="R14" s="547"/>
      <c r="S14" s="547"/>
      <c r="T14" s="547"/>
      <c r="U14" s="547"/>
      <c r="V14" s="547"/>
      <c r="W14" s="547"/>
      <c r="X14" s="547"/>
      <c r="Y14" s="547"/>
      <c r="Z14" s="547"/>
    </row>
    <row r="15" spans="1:26" ht="43.5" customHeight="1">
      <c r="A15" s="547"/>
      <c r="B15" s="547"/>
      <c r="C15" s="547"/>
      <c r="D15" s="547"/>
      <c r="E15" s="547"/>
      <c r="F15" s="547"/>
      <c r="G15" s="547"/>
      <c r="H15" s="566" t="s">
        <v>2421</v>
      </c>
      <c r="I15" s="551"/>
      <c r="J15" s="551"/>
      <c r="K15" s="566" t="s">
        <v>702</v>
      </c>
      <c r="L15" s="568" t="s">
        <v>470</v>
      </c>
      <c r="M15" s="569" t="s">
        <v>666</v>
      </c>
      <c r="N15" s="589" t="s">
        <v>2422</v>
      </c>
      <c r="O15" s="547"/>
      <c r="P15" s="547"/>
      <c r="Q15" s="547"/>
      <c r="R15" s="547"/>
      <c r="S15" s="547"/>
      <c r="T15" s="547"/>
      <c r="U15" s="547"/>
      <c r="V15" s="547"/>
      <c r="W15" s="547"/>
      <c r="X15" s="547"/>
      <c r="Y15" s="547"/>
      <c r="Z15" s="547"/>
    </row>
    <row r="16" spans="1:26" ht="58" customHeight="1">
      <c r="A16" s="547"/>
      <c r="B16" s="547"/>
      <c r="C16" s="547"/>
      <c r="D16" s="547"/>
      <c r="E16" s="547"/>
      <c r="F16" s="547"/>
      <c r="G16" s="547"/>
      <c r="H16" s="566" t="s">
        <v>2423</v>
      </c>
      <c r="I16" s="551"/>
      <c r="J16" s="551"/>
      <c r="K16" s="566" t="s">
        <v>2424</v>
      </c>
      <c r="L16" s="568" t="s">
        <v>1272</v>
      </c>
      <c r="M16" s="569" t="s">
        <v>434</v>
      </c>
      <c r="N16" s="588" t="s">
        <v>2425</v>
      </c>
      <c r="O16" s="547"/>
      <c r="P16" s="547"/>
      <c r="Q16" s="547"/>
      <c r="R16" s="547"/>
      <c r="S16" s="547"/>
      <c r="T16" s="547"/>
      <c r="U16" s="547"/>
      <c r="V16" s="547"/>
      <c r="W16" s="547"/>
      <c r="X16" s="547"/>
      <c r="Y16" s="547"/>
      <c r="Z16" s="547"/>
    </row>
    <row r="17" spans="8:14" ht="72.650000000000006" customHeight="1">
      <c r="H17" s="566" t="s">
        <v>860</v>
      </c>
      <c r="I17" s="551"/>
      <c r="J17" s="551"/>
      <c r="K17" s="566" t="s">
        <v>1219</v>
      </c>
      <c r="L17" s="568" t="s">
        <v>2357</v>
      </c>
      <c r="M17" s="569" t="s">
        <v>459</v>
      </c>
      <c r="N17" s="588" t="s">
        <v>2426</v>
      </c>
    </row>
    <row r="18" spans="8:14" ht="43.5" customHeight="1">
      <c r="H18" s="566" t="s">
        <v>2427</v>
      </c>
      <c r="I18" s="551"/>
      <c r="J18" s="551"/>
      <c r="K18" s="566" t="s">
        <v>2428</v>
      </c>
      <c r="L18" s="568" t="s">
        <v>2359</v>
      </c>
      <c r="M18" s="569" t="s">
        <v>528</v>
      </c>
      <c r="N18" s="588" t="s">
        <v>2429</v>
      </c>
    </row>
    <row r="19" spans="8:14" ht="37.5" customHeight="1">
      <c r="H19" s="566" t="s">
        <v>2430</v>
      </c>
      <c r="I19" s="551"/>
      <c r="J19" s="551"/>
      <c r="K19" s="566" t="s">
        <v>1209</v>
      </c>
      <c r="L19" s="568" t="s">
        <v>2361</v>
      </c>
      <c r="M19" s="557"/>
      <c r="N19" s="588" t="s">
        <v>2431</v>
      </c>
    </row>
    <row r="20" spans="8:14" ht="37.5" customHeight="1">
      <c r="H20" s="566" t="s">
        <v>2432</v>
      </c>
      <c r="I20" s="551"/>
      <c r="J20" s="551"/>
      <c r="K20" s="566" t="s">
        <v>783</v>
      </c>
      <c r="L20" s="568" t="s">
        <v>816</v>
      </c>
      <c r="M20" s="557"/>
      <c r="N20" s="588" t="s">
        <v>2433</v>
      </c>
    </row>
    <row r="21" spans="8:14" ht="37.5" customHeight="1">
      <c r="H21" s="566" t="s">
        <v>2434</v>
      </c>
      <c r="I21" s="551"/>
      <c r="J21" s="551"/>
      <c r="K21" s="566" t="s">
        <v>803</v>
      </c>
      <c r="L21" s="568" t="s">
        <v>458</v>
      </c>
      <c r="M21" s="557"/>
      <c r="N21" s="588" t="s">
        <v>2435</v>
      </c>
    </row>
    <row r="22" spans="8:14" ht="25" customHeight="1">
      <c r="H22" s="566" t="s">
        <v>1338</v>
      </c>
      <c r="I22" s="551"/>
      <c r="J22" s="551"/>
      <c r="K22" s="566" t="s">
        <v>1593</v>
      </c>
      <c r="L22" s="568" t="s">
        <v>517</v>
      </c>
      <c r="M22" s="557"/>
      <c r="N22" s="588" t="s">
        <v>2436</v>
      </c>
    </row>
    <row r="23" spans="8:14" ht="37.5" customHeight="1">
      <c r="H23" s="566" t="s">
        <v>889</v>
      </c>
      <c r="I23" s="551"/>
      <c r="J23" s="551"/>
      <c r="K23" s="566" t="s">
        <v>880</v>
      </c>
      <c r="L23" s="568" t="s">
        <v>497</v>
      </c>
      <c r="M23" s="557"/>
      <c r="N23" s="588" t="s">
        <v>2437</v>
      </c>
    </row>
    <row r="24" spans="8:14" ht="37.5" customHeight="1">
      <c r="H24" s="566" t="s">
        <v>2438</v>
      </c>
      <c r="I24" s="551"/>
      <c r="J24" s="551"/>
      <c r="K24" s="566" t="s">
        <v>551</v>
      </c>
      <c r="L24" s="568" t="s">
        <v>952</v>
      </c>
      <c r="M24" s="557"/>
      <c r="N24" s="588" t="s">
        <v>2439</v>
      </c>
    </row>
    <row r="25" spans="8:14" ht="15.75" customHeight="1">
      <c r="H25" s="566" t="s">
        <v>2440</v>
      </c>
      <c r="I25" s="551"/>
      <c r="J25" s="551"/>
      <c r="K25" s="566" t="s">
        <v>527</v>
      </c>
      <c r="L25" s="572" t="s">
        <v>1687</v>
      </c>
      <c r="M25" s="572" t="s">
        <v>1687</v>
      </c>
      <c r="N25" s="588" t="s">
        <v>2441</v>
      </c>
    </row>
    <row r="26" spans="8:14" ht="15.75" customHeight="1">
      <c r="H26" s="566" t="s">
        <v>429</v>
      </c>
      <c r="I26" s="551"/>
      <c r="J26" s="551"/>
      <c r="K26" s="566" t="s">
        <v>2442</v>
      </c>
      <c r="L26" s="573"/>
      <c r="M26" s="557"/>
      <c r="N26" s="588" t="s">
        <v>2443</v>
      </c>
    </row>
    <row r="27" spans="8:14" ht="15.75" customHeight="1">
      <c r="H27" s="566" t="s">
        <v>2444</v>
      </c>
      <c r="I27" s="551"/>
      <c r="J27" s="551"/>
      <c r="K27" s="566" t="s">
        <v>457</v>
      </c>
      <c r="L27" s="573"/>
      <c r="M27" s="557"/>
      <c r="N27" s="588" t="s">
        <v>2445</v>
      </c>
    </row>
    <row r="28" spans="8:14" ht="15.75" customHeight="1">
      <c r="H28" s="566" t="s">
        <v>2446</v>
      </c>
      <c r="I28" s="551"/>
      <c r="J28" s="551"/>
      <c r="K28" s="566" t="s">
        <v>1665</v>
      </c>
      <c r="L28" s="573"/>
      <c r="M28" s="557"/>
      <c r="N28" s="588" t="s">
        <v>2447</v>
      </c>
    </row>
    <row r="29" spans="8:14" ht="15.75" customHeight="1">
      <c r="H29" s="566" t="s">
        <v>2448</v>
      </c>
      <c r="I29" s="551"/>
      <c r="J29" s="551"/>
      <c r="K29" s="566" t="s">
        <v>1107</v>
      </c>
      <c r="L29" s="573"/>
      <c r="M29" s="557"/>
      <c r="N29" s="588" t="s">
        <v>2449</v>
      </c>
    </row>
    <row r="30" spans="8:14" ht="15.75" customHeight="1">
      <c r="H30" s="566" t="s">
        <v>446</v>
      </c>
      <c r="I30" s="551"/>
      <c r="J30" s="551"/>
      <c r="K30" s="566" t="s">
        <v>745</v>
      </c>
      <c r="L30" s="573"/>
      <c r="M30" s="557"/>
      <c r="N30" s="588" t="s">
        <v>2450</v>
      </c>
    </row>
    <row r="31" spans="8:14" ht="15.75" customHeight="1">
      <c r="H31" s="566" t="s">
        <v>568</v>
      </c>
      <c r="I31" s="551"/>
      <c r="J31" s="551"/>
      <c r="K31" s="566" t="s">
        <v>815</v>
      </c>
      <c r="L31" s="573"/>
      <c r="M31" s="557"/>
      <c r="N31" s="588" t="s">
        <v>2451</v>
      </c>
    </row>
    <row r="32" spans="8:14" ht="15.75" customHeight="1">
      <c r="H32" s="566" t="s">
        <v>2452</v>
      </c>
      <c r="I32" s="551"/>
      <c r="J32" s="551"/>
      <c r="K32" s="571" t="s">
        <v>1687</v>
      </c>
      <c r="L32" s="573"/>
      <c r="M32" s="557"/>
      <c r="N32" s="588" t="s">
        <v>2453</v>
      </c>
    </row>
    <row r="33" spans="8:14" ht="15.75" customHeight="1">
      <c r="H33" s="566" t="s">
        <v>2454</v>
      </c>
      <c r="I33" s="551"/>
      <c r="J33" s="551"/>
      <c r="K33" s="551"/>
      <c r="L33" s="573"/>
      <c r="M33" s="557"/>
      <c r="N33" s="588" t="s">
        <v>2455</v>
      </c>
    </row>
    <row r="34" spans="8:14" ht="15.75" customHeight="1">
      <c r="H34" s="566" t="s">
        <v>2456</v>
      </c>
      <c r="I34" s="551"/>
      <c r="J34" s="551"/>
      <c r="K34" s="551"/>
      <c r="L34" s="573"/>
      <c r="M34" s="557"/>
      <c r="N34" s="588" t="s">
        <v>2457</v>
      </c>
    </row>
    <row r="35" spans="8:14" ht="15.75" customHeight="1">
      <c r="H35" s="566" t="s">
        <v>2458</v>
      </c>
      <c r="I35" s="551"/>
      <c r="J35" s="551"/>
      <c r="K35" s="551"/>
      <c r="L35" s="573"/>
      <c r="M35" s="557"/>
      <c r="N35" s="588" t="s">
        <v>2459</v>
      </c>
    </row>
    <row r="36" spans="8:14" ht="15.75" customHeight="1">
      <c r="H36" s="566" t="s">
        <v>2460</v>
      </c>
      <c r="I36" s="551"/>
      <c r="J36" s="551"/>
      <c r="K36" s="551"/>
      <c r="L36" s="573"/>
      <c r="M36" s="557"/>
      <c r="N36" s="588" t="s">
        <v>2461</v>
      </c>
    </row>
    <row r="37" spans="8:14" ht="15.75" customHeight="1">
      <c r="H37" s="566" t="s">
        <v>2462</v>
      </c>
      <c r="I37" s="551"/>
      <c r="J37" s="551"/>
      <c r="K37" s="551"/>
      <c r="L37" s="573"/>
      <c r="M37" s="557"/>
      <c r="N37" s="588" t="s">
        <v>2463</v>
      </c>
    </row>
    <row r="38" spans="8:14" ht="15.75" customHeight="1">
      <c r="H38" s="566" t="s">
        <v>2464</v>
      </c>
      <c r="I38" s="551"/>
      <c r="J38" s="551"/>
      <c r="K38" s="551"/>
      <c r="L38" s="573"/>
      <c r="M38" s="557"/>
      <c r="N38" s="588" t="s">
        <v>2465</v>
      </c>
    </row>
    <row r="39" spans="8:14" ht="15.75" customHeight="1">
      <c r="H39" s="566" t="s">
        <v>2466</v>
      </c>
      <c r="I39" s="551"/>
      <c r="J39" s="551"/>
      <c r="K39" s="551"/>
      <c r="L39" s="573"/>
      <c r="M39" s="557"/>
      <c r="N39" s="588" t="s">
        <v>2467</v>
      </c>
    </row>
    <row r="40" spans="8:14" ht="15.75" customHeight="1">
      <c r="H40" s="566" t="s">
        <v>2468</v>
      </c>
      <c r="I40" s="551"/>
      <c r="J40" s="551"/>
      <c r="K40" s="551"/>
      <c r="L40" s="573"/>
      <c r="M40" s="557"/>
      <c r="N40" s="588" t="s">
        <v>2469</v>
      </c>
    </row>
    <row r="41" spans="8:14" ht="15.75" customHeight="1">
      <c r="H41" s="566" t="s">
        <v>2470</v>
      </c>
      <c r="I41" s="551"/>
      <c r="J41" s="551"/>
      <c r="K41" s="551"/>
      <c r="L41" s="573"/>
      <c r="M41" s="557"/>
      <c r="N41" s="588" t="s">
        <v>2471</v>
      </c>
    </row>
    <row r="42" spans="8:14" ht="15.75" customHeight="1">
      <c r="H42" s="566" t="s">
        <v>2472</v>
      </c>
      <c r="I42" s="551"/>
      <c r="J42" s="551"/>
      <c r="K42" s="551"/>
      <c r="L42" s="573"/>
      <c r="M42" s="557"/>
      <c r="N42" s="588" t="s">
        <v>2473</v>
      </c>
    </row>
    <row r="43" spans="8:14" ht="15.75" customHeight="1">
      <c r="H43" s="566" t="s">
        <v>2474</v>
      </c>
      <c r="I43" s="551"/>
      <c r="J43" s="551"/>
      <c r="K43" s="551"/>
      <c r="L43" s="573"/>
      <c r="M43" s="557"/>
      <c r="N43" s="588" t="s">
        <v>2475</v>
      </c>
    </row>
    <row r="44" spans="8:14" ht="15.75" customHeight="1">
      <c r="H44" s="566" t="s">
        <v>2476</v>
      </c>
      <c r="I44" s="551"/>
      <c r="J44" s="551"/>
      <c r="K44" s="551"/>
      <c r="L44" s="573"/>
      <c r="M44" s="557"/>
      <c r="N44" s="588" t="s">
        <v>2477</v>
      </c>
    </row>
    <row r="45" spans="8:14" ht="15.75" customHeight="1">
      <c r="H45" s="566" t="s">
        <v>2478</v>
      </c>
      <c r="I45" s="551"/>
      <c r="J45" s="551"/>
      <c r="K45" s="551"/>
      <c r="L45" s="573"/>
      <c r="M45" s="557"/>
      <c r="N45" s="588" t="s">
        <v>296</v>
      </c>
    </row>
    <row r="46" spans="8:14" ht="15.75" customHeight="1">
      <c r="H46" s="566" t="s">
        <v>2479</v>
      </c>
      <c r="I46" s="551"/>
      <c r="J46" s="551"/>
      <c r="K46" s="551"/>
      <c r="L46" s="573"/>
      <c r="M46" s="557"/>
      <c r="N46" s="588" t="s">
        <v>2480</v>
      </c>
    </row>
    <row r="47" spans="8:14" ht="15.75" customHeight="1">
      <c r="H47" s="566" t="s">
        <v>2481</v>
      </c>
      <c r="I47" s="551"/>
      <c r="J47" s="551"/>
      <c r="K47" s="551"/>
      <c r="L47" s="573"/>
      <c r="M47" s="557"/>
      <c r="N47" s="588" t="s">
        <v>2482</v>
      </c>
    </row>
    <row r="48" spans="8:14" ht="15.75" customHeight="1">
      <c r="H48" s="566" t="s">
        <v>2483</v>
      </c>
      <c r="I48" s="551"/>
      <c r="J48" s="551"/>
      <c r="K48" s="551"/>
      <c r="L48" s="573"/>
      <c r="M48" s="557"/>
      <c r="N48" s="588" t="s">
        <v>2484</v>
      </c>
    </row>
    <row r="49" spans="8:14" ht="15.75" customHeight="1">
      <c r="H49" s="566" t="s">
        <v>2485</v>
      </c>
      <c r="I49" s="551"/>
      <c r="J49" s="551"/>
      <c r="K49" s="551"/>
      <c r="L49" s="573"/>
      <c r="M49" s="557"/>
      <c r="N49" s="588" t="s">
        <v>2486</v>
      </c>
    </row>
    <row r="50" spans="8:14" ht="15.75" customHeight="1">
      <c r="H50" s="566" t="s">
        <v>2487</v>
      </c>
      <c r="I50" s="551"/>
      <c r="J50" s="551"/>
      <c r="K50" s="551"/>
      <c r="L50" s="573"/>
      <c r="M50" s="557"/>
      <c r="N50" s="588" t="s">
        <v>2488</v>
      </c>
    </row>
    <row r="51" spans="8:14" ht="15.75" customHeight="1">
      <c r="H51" s="566" t="s">
        <v>2489</v>
      </c>
      <c r="I51" s="551"/>
      <c r="J51" s="551"/>
      <c r="K51" s="551"/>
      <c r="L51" s="573"/>
      <c r="M51" s="557"/>
      <c r="N51" s="588" t="s">
        <v>2490</v>
      </c>
    </row>
    <row r="52" spans="8:14" ht="15.75" customHeight="1">
      <c r="H52" s="566" t="s">
        <v>2491</v>
      </c>
      <c r="I52" s="551"/>
      <c r="J52" s="551"/>
      <c r="K52" s="551"/>
      <c r="L52" s="573"/>
      <c r="M52" s="557"/>
      <c r="N52" s="588" t="s">
        <v>2492</v>
      </c>
    </row>
    <row r="53" spans="8:14" ht="15.75" customHeight="1">
      <c r="H53" s="566" t="s">
        <v>2493</v>
      </c>
      <c r="I53" s="551"/>
      <c r="J53" s="551"/>
      <c r="K53" s="551"/>
      <c r="L53" s="573"/>
      <c r="M53" s="557"/>
      <c r="N53" s="588" t="s">
        <v>2494</v>
      </c>
    </row>
    <row r="54" spans="8:14" ht="15.75" customHeight="1">
      <c r="H54" s="566" t="s">
        <v>2495</v>
      </c>
      <c r="I54" s="551"/>
      <c r="J54" s="551"/>
      <c r="K54" s="551"/>
      <c r="L54" s="573"/>
      <c r="M54" s="557"/>
      <c r="N54" s="588" t="s">
        <v>2496</v>
      </c>
    </row>
    <row r="55" spans="8:14" ht="15.75" customHeight="1">
      <c r="H55" s="566" t="s">
        <v>2497</v>
      </c>
      <c r="I55" s="551"/>
      <c r="J55" s="551"/>
      <c r="K55" s="551"/>
      <c r="L55" s="573"/>
      <c r="M55" s="557"/>
      <c r="N55" s="588" t="s">
        <v>2498</v>
      </c>
    </row>
    <row r="56" spans="8:14" ht="15.75" customHeight="1">
      <c r="H56" s="566" t="s">
        <v>2499</v>
      </c>
      <c r="I56" s="551"/>
      <c r="J56" s="551"/>
      <c r="K56" s="551"/>
      <c r="L56" s="573"/>
      <c r="M56" s="557"/>
      <c r="N56" s="588" t="s">
        <v>2500</v>
      </c>
    </row>
    <row r="57" spans="8:14" ht="15.75" customHeight="1">
      <c r="H57" s="566" t="s">
        <v>2501</v>
      </c>
      <c r="I57" s="551"/>
      <c r="J57" s="551"/>
      <c r="K57" s="551"/>
      <c r="L57" s="573"/>
      <c r="M57" s="557"/>
      <c r="N57" s="588" t="s">
        <v>2502</v>
      </c>
    </row>
    <row r="58" spans="8:14" ht="15.75" customHeight="1">
      <c r="H58" s="566" t="s">
        <v>2503</v>
      </c>
      <c r="I58" s="551"/>
      <c r="J58" s="551"/>
      <c r="K58" s="551"/>
      <c r="L58" s="573"/>
      <c r="M58" s="557"/>
      <c r="N58" s="588" t="s">
        <v>2504</v>
      </c>
    </row>
    <row r="59" spans="8:14" ht="15.75" customHeight="1">
      <c r="H59" s="566" t="s">
        <v>2505</v>
      </c>
      <c r="I59" s="551"/>
      <c r="J59" s="551"/>
      <c r="K59" s="551"/>
      <c r="L59" s="573"/>
      <c r="M59" s="557"/>
      <c r="N59" s="588" t="s">
        <v>2506</v>
      </c>
    </row>
    <row r="60" spans="8:14" ht="15.75" customHeight="1">
      <c r="H60" s="566" t="s">
        <v>2507</v>
      </c>
      <c r="I60" s="551"/>
      <c r="J60" s="551"/>
      <c r="K60" s="551"/>
      <c r="L60" s="573"/>
      <c r="M60" s="557"/>
      <c r="N60" s="588" t="s">
        <v>2508</v>
      </c>
    </row>
    <row r="61" spans="8:14" ht="15.75" customHeight="1">
      <c r="H61" s="566" t="s">
        <v>1662</v>
      </c>
      <c r="I61" s="551"/>
      <c r="J61" s="551"/>
      <c r="K61" s="551"/>
      <c r="L61" s="573"/>
      <c r="M61" s="557"/>
      <c r="N61" s="588" t="s">
        <v>2509</v>
      </c>
    </row>
    <row r="62" spans="8:14" ht="15.75" customHeight="1">
      <c r="H62" s="566" t="s">
        <v>1915</v>
      </c>
      <c r="I62" s="551"/>
      <c r="J62" s="551"/>
      <c r="K62" s="551"/>
      <c r="L62" s="573"/>
      <c r="M62" s="557"/>
      <c r="N62" s="588" t="s">
        <v>2510</v>
      </c>
    </row>
    <row r="63" spans="8:14" ht="15.75" customHeight="1">
      <c r="H63" s="566" t="s">
        <v>2511</v>
      </c>
      <c r="I63" s="551"/>
      <c r="J63" s="551"/>
      <c r="K63" s="551"/>
      <c r="L63" s="573"/>
      <c r="M63" s="557"/>
      <c r="N63" s="588" t="s">
        <v>2512</v>
      </c>
    </row>
    <row r="64" spans="8:14" ht="15.75" customHeight="1">
      <c r="H64" s="571" t="s">
        <v>1687</v>
      </c>
      <c r="I64" s="551"/>
      <c r="J64" s="551"/>
      <c r="K64" s="551"/>
      <c r="L64" s="573"/>
      <c r="M64" s="557"/>
      <c r="N64" s="588" t="s">
        <v>2513</v>
      </c>
    </row>
    <row r="65" spans="13:14" ht="15.75" customHeight="1">
      <c r="M65" s="558"/>
      <c r="N65" s="588" t="s">
        <v>2514</v>
      </c>
    </row>
    <row r="66" spans="13:14" ht="15.75" customHeight="1">
      <c r="M66" s="558"/>
      <c r="N66" s="588" t="s">
        <v>2515</v>
      </c>
    </row>
    <row r="67" spans="13:14" ht="15.75" customHeight="1">
      <c r="M67" s="558"/>
      <c r="N67" s="588" t="s">
        <v>2516</v>
      </c>
    </row>
    <row r="68" spans="13:14" ht="15.75" customHeight="1">
      <c r="M68" s="558"/>
      <c r="N68" s="588" t="s">
        <v>442</v>
      </c>
    </row>
    <row r="69" spans="13:14" ht="15.75" customHeight="1">
      <c r="M69" s="558"/>
      <c r="N69" s="588" t="s">
        <v>2517</v>
      </c>
    </row>
    <row r="70" spans="13:14" ht="15.75" customHeight="1">
      <c r="M70" s="558"/>
      <c r="N70" s="588" t="s">
        <v>2518</v>
      </c>
    </row>
    <row r="71" spans="13:14" ht="15.75" customHeight="1">
      <c r="M71" s="558"/>
      <c r="N71" s="588" t="s">
        <v>1935</v>
      </c>
    </row>
    <row r="72" spans="13:14" ht="15.75" customHeight="1">
      <c r="M72" s="558"/>
      <c r="N72" s="588" t="s">
        <v>2519</v>
      </c>
    </row>
    <row r="73" spans="13:14" ht="15.75" customHeight="1">
      <c r="M73" s="558"/>
      <c r="N73" s="588" t="s">
        <v>2520</v>
      </c>
    </row>
    <row r="74" spans="13:14" ht="15.75" customHeight="1">
      <c r="M74" s="558"/>
      <c r="N74" s="588" t="s">
        <v>2521</v>
      </c>
    </row>
    <row r="75" spans="13:14" ht="15.75" customHeight="1">
      <c r="M75" s="558"/>
      <c r="N75" s="588" t="s">
        <v>2522</v>
      </c>
    </row>
    <row r="76" spans="13:14" ht="15.75" customHeight="1">
      <c r="M76" s="558"/>
      <c r="N76" s="588" t="s">
        <v>2523</v>
      </c>
    </row>
    <row r="77" spans="13:14" ht="15.75" customHeight="1">
      <c r="M77" s="558"/>
      <c r="N77" s="588" t="s">
        <v>2524</v>
      </c>
    </row>
    <row r="78" spans="13:14" ht="15.75" customHeight="1">
      <c r="M78" s="558"/>
      <c r="N78" s="588" t="s">
        <v>2525</v>
      </c>
    </row>
    <row r="79" spans="13:14" ht="15.75" customHeight="1">
      <c r="M79" s="558"/>
      <c r="N79" s="588" t="s">
        <v>2526</v>
      </c>
    </row>
    <row r="80" spans="13:14" ht="15.75" customHeight="1">
      <c r="M80" s="558"/>
      <c r="N80" s="588" t="s">
        <v>2527</v>
      </c>
    </row>
    <row r="81" spans="13:14" ht="15.75" customHeight="1">
      <c r="M81" s="558"/>
      <c r="N81" s="588" t="s">
        <v>2528</v>
      </c>
    </row>
    <row r="82" spans="13:14" ht="15.75" customHeight="1">
      <c r="M82" s="558"/>
      <c r="N82" s="588" t="s">
        <v>2529</v>
      </c>
    </row>
    <row r="83" spans="13:14" ht="15.75" customHeight="1">
      <c r="M83" s="558"/>
      <c r="N83" s="588" t="s">
        <v>2530</v>
      </c>
    </row>
    <row r="84" spans="13:14" ht="15.75" customHeight="1">
      <c r="M84" s="558"/>
      <c r="N84" s="588" t="s">
        <v>2531</v>
      </c>
    </row>
    <row r="85" spans="13:14" ht="15.75" customHeight="1">
      <c r="M85" s="558"/>
      <c r="N85" s="588" t="s">
        <v>2532</v>
      </c>
    </row>
    <row r="86" spans="13:14" ht="15.75" customHeight="1">
      <c r="M86" s="558"/>
      <c r="N86" s="588" t="s">
        <v>2533</v>
      </c>
    </row>
    <row r="87" spans="13:14" ht="15.75" customHeight="1">
      <c r="M87" s="558"/>
      <c r="N87" s="588" t="s">
        <v>2534</v>
      </c>
    </row>
    <row r="88" spans="13:14" ht="15.75" customHeight="1">
      <c r="M88" s="558"/>
      <c r="N88" s="588" t="s">
        <v>2535</v>
      </c>
    </row>
    <row r="89" spans="13:14" ht="15.75" customHeight="1">
      <c r="M89" s="558"/>
      <c r="N89" s="588" t="s">
        <v>2536</v>
      </c>
    </row>
    <row r="90" spans="13:14" ht="15.75" customHeight="1">
      <c r="M90" s="558"/>
      <c r="N90" s="588" t="s">
        <v>2537</v>
      </c>
    </row>
    <row r="91" spans="13:14" ht="15.75" customHeight="1">
      <c r="M91" s="558"/>
      <c r="N91" s="588" t="s">
        <v>2538</v>
      </c>
    </row>
    <row r="92" spans="13:14" ht="15.75" customHeight="1">
      <c r="M92" s="558"/>
      <c r="N92" s="588" t="s">
        <v>2539</v>
      </c>
    </row>
    <row r="93" spans="13:14" ht="15.75" customHeight="1">
      <c r="M93" s="558"/>
      <c r="N93" s="588" t="s">
        <v>2540</v>
      </c>
    </row>
    <row r="94" spans="13:14" ht="15.75" customHeight="1">
      <c r="M94" s="558"/>
      <c r="N94" s="588" t="s">
        <v>2541</v>
      </c>
    </row>
    <row r="95" spans="13:14" ht="15.75" customHeight="1">
      <c r="M95" s="558"/>
      <c r="N95" s="588" t="s">
        <v>1948</v>
      </c>
    </row>
    <row r="96" spans="13:14" ht="15.75" customHeight="1">
      <c r="M96" s="558"/>
      <c r="N96" s="588" t="s">
        <v>2542</v>
      </c>
    </row>
    <row r="97" spans="13:14" ht="15.75" customHeight="1">
      <c r="M97" s="558"/>
      <c r="N97" s="588" t="s">
        <v>2543</v>
      </c>
    </row>
    <row r="98" spans="13:14" ht="15.75" customHeight="1">
      <c r="M98" s="558"/>
      <c r="N98" s="588" t="s">
        <v>2544</v>
      </c>
    </row>
    <row r="99" spans="13:14" ht="15.75" customHeight="1">
      <c r="M99" s="558"/>
      <c r="N99" s="588" t="s">
        <v>2545</v>
      </c>
    </row>
    <row r="100" spans="13:14" ht="15.75" customHeight="1">
      <c r="M100" s="558"/>
      <c r="N100" s="588" t="s">
        <v>2546</v>
      </c>
    </row>
    <row r="101" spans="13:14" ht="15.75" customHeight="1">
      <c r="M101" s="558"/>
      <c r="N101" s="588" t="s">
        <v>2547</v>
      </c>
    </row>
    <row r="102" spans="13:14" ht="15.75" customHeight="1">
      <c r="M102" s="558"/>
      <c r="N102" s="588" t="s">
        <v>2548</v>
      </c>
    </row>
    <row r="103" spans="13:14" ht="15.75" customHeight="1">
      <c r="M103" s="558"/>
      <c r="N103" s="588" t="s">
        <v>2549</v>
      </c>
    </row>
    <row r="104" spans="13:14" ht="15.75" customHeight="1">
      <c r="M104" s="558"/>
      <c r="N104" s="588" t="s">
        <v>2550</v>
      </c>
    </row>
    <row r="105" spans="13:14" ht="15.75" customHeight="1">
      <c r="M105" s="558"/>
      <c r="N105" s="588" t="s">
        <v>2551</v>
      </c>
    </row>
    <row r="106" spans="13:14" ht="15.75" customHeight="1">
      <c r="M106" s="558"/>
      <c r="N106" s="588" t="s">
        <v>2552</v>
      </c>
    </row>
    <row r="107" spans="13:14" ht="15.75" customHeight="1">
      <c r="M107" s="558"/>
      <c r="N107" s="588" t="s">
        <v>2553</v>
      </c>
    </row>
    <row r="108" spans="13:14" ht="15.75" customHeight="1">
      <c r="M108" s="558"/>
      <c r="N108" s="588" t="s">
        <v>2554</v>
      </c>
    </row>
    <row r="109" spans="13:14" ht="15.75" customHeight="1">
      <c r="M109" s="558"/>
      <c r="N109" s="588" t="s">
        <v>2555</v>
      </c>
    </row>
    <row r="110" spans="13:14" ht="15.75" customHeight="1">
      <c r="M110" s="558"/>
      <c r="N110" s="588" t="s">
        <v>2556</v>
      </c>
    </row>
    <row r="111" spans="13:14" ht="15.75" customHeight="1">
      <c r="M111" s="558"/>
      <c r="N111" s="588" t="s">
        <v>1205</v>
      </c>
    </row>
    <row r="112" spans="13:14" ht="15.75" customHeight="1">
      <c r="M112" s="558"/>
      <c r="N112" s="588" t="s">
        <v>2557</v>
      </c>
    </row>
    <row r="113" spans="13:14" ht="15.75" customHeight="1">
      <c r="M113" s="558"/>
      <c r="N113" s="588" t="s">
        <v>2558</v>
      </c>
    </row>
    <row r="114" spans="13:14" ht="15.75" customHeight="1">
      <c r="M114" s="558"/>
      <c r="N114" s="588" t="s">
        <v>2559</v>
      </c>
    </row>
    <row r="115" spans="13:14" ht="15.75" customHeight="1">
      <c r="M115" s="558"/>
      <c r="N115" s="588" t="s">
        <v>2560</v>
      </c>
    </row>
    <row r="116" spans="13:14" ht="15.75" customHeight="1">
      <c r="M116" s="558"/>
      <c r="N116" s="588" t="s">
        <v>2561</v>
      </c>
    </row>
    <row r="117" spans="13:14" ht="15.75" customHeight="1">
      <c r="M117" s="558"/>
      <c r="N117" s="588" t="s">
        <v>2562</v>
      </c>
    </row>
    <row r="118" spans="13:14" ht="15.75" customHeight="1">
      <c r="M118" s="558"/>
      <c r="N118" s="588" t="s">
        <v>2563</v>
      </c>
    </row>
    <row r="119" spans="13:14" ht="15.75" customHeight="1">
      <c r="M119" s="558"/>
      <c r="N119" s="588" t="s">
        <v>2564</v>
      </c>
    </row>
    <row r="120" spans="13:14" ht="15.75" customHeight="1">
      <c r="M120" s="558"/>
      <c r="N120" s="588" t="s">
        <v>2565</v>
      </c>
    </row>
    <row r="121" spans="13:14" ht="15.75" customHeight="1">
      <c r="M121" s="558"/>
      <c r="N121" s="588" t="s">
        <v>2566</v>
      </c>
    </row>
    <row r="122" spans="13:14" ht="15.75" customHeight="1">
      <c r="M122" s="558"/>
      <c r="N122" s="588" t="s">
        <v>2567</v>
      </c>
    </row>
    <row r="123" spans="13:14" ht="15.75" customHeight="1">
      <c r="M123" s="558"/>
      <c r="N123" s="588" t="s">
        <v>2568</v>
      </c>
    </row>
    <row r="124" spans="13:14" ht="15.75" customHeight="1">
      <c r="M124" s="558"/>
      <c r="N124" s="588" t="s">
        <v>2569</v>
      </c>
    </row>
    <row r="125" spans="13:14" ht="15.75" customHeight="1">
      <c r="M125" s="558"/>
      <c r="N125" s="588" t="s">
        <v>2570</v>
      </c>
    </row>
    <row r="126" spans="13:14" ht="15.75" customHeight="1">
      <c r="M126" s="558"/>
      <c r="N126" s="588" t="s">
        <v>2571</v>
      </c>
    </row>
    <row r="127" spans="13:14" ht="15.75" customHeight="1">
      <c r="M127" s="558"/>
      <c r="N127" s="588" t="s">
        <v>2572</v>
      </c>
    </row>
    <row r="128" spans="13:14" ht="15.75" customHeight="1">
      <c r="M128" s="558"/>
      <c r="N128" s="588" t="s">
        <v>2573</v>
      </c>
    </row>
    <row r="129" spans="13:14" ht="15.75" customHeight="1">
      <c r="M129" s="558"/>
      <c r="N129" s="588" t="s">
        <v>2574</v>
      </c>
    </row>
    <row r="130" spans="13:14" ht="15.75" customHeight="1">
      <c r="M130" s="558"/>
      <c r="N130" s="588" t="s">
        <v>2575</v>
      </c>
    </row>
    <row r="131" spans="13:14" ht="15.75" customHeight="1">
      <c r="M131" s="558"/>
      <c r="N131" s="588" t="s">
        <v>2576</v>
      </c>
    </row>
    <row r="132" spans="13:14" ht="15.75" customHeight="1">
      <c r="M132" s="558"/>
      <c r="N132" s="588" t="s">
        <v>2577</v>
      </c>
    </row>
    <row r="133" spans="13:14" ht="15.75" customHeight="1">
      <c r="M133" s="558"/>
      <c r="N133" s="588" t="s">
        <v>2578</v>
      </c>
    </row>
    <row r="134" spans="13:14" ht="15.75" customHeight="1">
      <c r="M134" s="558"/>
      <c r="N134" s="588" t="s">
        <v>2579</v>
      </c>
    </row>
    <row r="135" spans="13:14" ht="15.75" customHeight="1">
      <c r="M135" s="558"/>
      <c r="N135" s="588" t="s">
        <v>2580</v>
      </c>
    </row>
    <row r="136" spans="13:14" ht="15.75" customHeight="1">
      <c r="M136" s="558"/>
      <c r="N136" s="588" t="s">
        <v>2581</v>
      </c>
    </row>
    <row r="137" spans="13:14" ht="15.75" customHeight="1">
      <c r="M137" s="558"/>
      <c r="N137" s="588" t="s">
        <v>2582</v>
      </c>
    </row>
    <row r="138" spans="13:14" ht="15.75" customHeight="1">
      <c r="M138" s="558"/>
      <c r="N138" s="588" t="s">
        <v>2583</v>
      </c>
    </row>
    <row r="139" spans="13:14" ht="15.75" customHeight="1">
      <c r="M139" s="558"/>
      <c r="N139" s="588" t="s">
        <v>2584</v>
      </c>
    </row>
    <row r="140" spans="13:14" ht="15.75" customHeight="1">
      <c r="M140" s="558"/>
      <c r="N140" s="588" t="s">
        <v>2585</v>
      </c>
    </row>
    <row r="141" spans="13:14" ht="15.75" customHeight="1">
      <c r="M141" s="558"/>
      <c r="N141" s="588" t="s">
        <v>2586</v>
      </c>
    </row>
    <row r="142" spans="13:14" ht="15.75" customHeight="1">
      <c r="M142" s="558"/>
      <c r="N142" s="588" t="s">
        <v>2587</v>
      </c>
    </row>
    <row r="143" spans="13:14" ht="15.75" customHeight="1">
      <c r="M143" s="558"/>
      <c r="N143" s="588" t="s">
        <v>2588</v>
      </c>
    </row>
    <row r="144" spans="13:14" ht="15.75" customHeight="1">
      <c r="M144" s="558"/>
      <c r="N144" s="588" t="s">
        <v>2589</v>
      </c>
    </row>
    <row r="145" spans="13:14" ht="15.75" customHeight="1">
      <c r="M145" s="558"/>
      <c r="N145" s="588" t="s">
        <v>2590</v>
      </c>
    </row>
    <row r="146" spans="13:14" ht="15.75" customHeight="1">
      <c r="M146" s="558"/>
      <c r="N146" s="588" t="s">
        <v>2591</v>
      </c>
    </row>
    <row r="147" spans="13:14" ht="15.75" customHeight="1">
      <c r="M147" s="558"/>
      <c r="N147" s="588" t="s">
        <v>2592</v>
      </c>
    </row>
    <row r="148" spans="13:14" ht="15.75" customHeight="1">
      <c r="M148" s="558"/>
      <c r="N148" s="588" t="s">
        <v>2593</v>
      </c>
    </row>
    <row r="149" spans="13:14" ht="15.75" customHeight="1">
      <c r="M149" s="558"/>
      <c r="N149" s="588" t="s">
        <v>2594</v>
      </c>
    </row>
    <row r="150" spans="13:14" ht="15.75" customHeight="1">
      <c r="M150" s="558"/>
      <c r="N150" s="588" t="s">
        <v>2595</v>
      </c>
    </row>
    <row r="151" spans="13:14" ht="15.75" customHeight="1">
      <c r="M151" s="558"/>
      <c r="N151" s="588" t="s">
        <v>2596</v>
      </c>
    </row>
    <row r="152" spans="13:14" ht="15.75" customHeight="1">
      <c r="M152" s="558"/>
      <c r="N152" s="588" t="s">
        <v>2597</v>
      </c>
    </row>
    <row r="153" spans="13:14" ht="15.75" customHeight="1">
      <c r="M153" s="558"/>
      <c r="N153" s="588" t="s">
        <v>2598</v>
      </c>
    </row>
    <row r="154" spans="13:14" ht="15.75" customHeight="1">
      <c r="M154" s="558"/>
      <c r="N154" s="588" t="s">
        <v>2599</v>
      </c>
    </row>
    <row r="155" spans="13:14" ht="15.75" customHeight="1">
      <c r="M155" s="558"/>
      <c r="N155" s="588" t="s">
        <v>2600</v>
      </c>
    </row>
    <row r="156" spans="13:14" ht="15.75" customHeight="1">
      <c r="M156" s="558"/>
      <c r="N156" s="588" t="s">
        <v>2601</v>
      </c>
    </row>
    <row r="157" spans="13:14" ht="15.75" customHeight="1">
      <c r="M157" s="558"/>
      <c r="N157" s="588" t="s">
        <v>2602</v>
      </c>
    </row>
    <row r="158" spans="13:14" ht="15.75" customHeight="1">
      <c r="M158" s="558"/>
      <c r="N158" s="588" t="s">
        <v>2603</v>
      </c>
    </row>
    <row r="159" spans="13:14" ht="15.75" customHeight="1">
      <c r="M159" s="558"/>
      <c r="N159" s="588" t="s">
        <v>2604</v>
      </c>
    </row>
    <row r="160" spans="13:14" ht="15.75" customHeight="1">
      <c r="M160" s="558"/>
      <c r="N160" s="588" t="s">
        <v>2605</v>
      </c>
    </row>
    <row r="161" spans="13:14" ht="15.75" customHeight="1">
      <c r="M161" s="558"/>
      <c r="N161" s="588" t="s">
        <v>2606</v>
      </c>
    </row>
    <row r="162" spans="13:14" ht="15.75" customHeight="1">
      <c r="M162" s="558"/>
      <c r="N162" s="588" t="s">
        <v>2607</v>
      </c>
    </row>
    <row r="163" spans="13:14" ht="15.75" customHeight="1">
      <c r="M163" s="558"/>
      <c r="N163" s="588" t="s">
        <v>2608</v>
      </c>
    </row>
    <row r="164" spans="13:14" ht="15.75" customHeight="1">
      <c r="M164" s="558"/>
      <c r="N164" s="588" t="s">
        <v>2609</v>
      </c>
    </row>
    <row r="165" spans="13:14" ht="15.75" customHeight="1">
      <c r="M165" s="558"/>
      <c r="N165" s="588" t="s">
        <v>2610</v>
      </c>
    </row>
    <row r="166" spans="13:14" ht="15.75" customHeight="1">
      <c r="M166" s="558"/>
      <c r="N166" s="588" t="s">
        <v>2611</v>
      </c>
    </row>
    <row r="167" spans="13:14" ht="15.75" customHeight="1">
      <c r="M167" s="558"/>
      <c r="N167" s="588" t="s">
        <v>2612</v>
      </c>
    </row>
    <row r="168" spans="13:14" ht="15.75" customHeight="1">
      <c r="M168" s="558"/>
      <c r="N168" s="588" t="s">
        <v>2613</v>
      </c>
    </row>
    <row r="169" spans="13:14" ht="15.75" customHeight="1">
      <c r="M169" s="558"/>
      <c r="N169" s="588" t="s">
        <v>2614</v>
      </c>
    </row>
    <row r="170" spans="13:14" ht="15.75" customHeight="1">
      <c r="M170" s="558"/>
      <c r="N170" s="588" t="s">
        <v>2615</v>
      </c>
    </row>
    <row r="171" spans="13:14" ht="15.75" customHeight="1">
      <c r="M171" s="558"/>
      <c r="N171" s="588" t="s">
        <v>2616</v>
      </c>
    </row>
    <row r="172" spans="13:14" ht="15.75" customHeight="1">
      <c r="M172" s="558"/>
      <c r="N172" s="588" t="s">
        <v>2617</v>
      </c>
    </row>
    <row r="173" spans="13:14" ht="15.75" customHeight="1">
      <c r="M173" s="558"/>
      <c r="N173" s="588" t="s">
        <v>2618</v>
      </c>
    </row>
    <row r="174" spans="13:14" ht="15.75" customHeight="1">
      <c r="M174" s="558"/>
      <c r="N174" s="588" t="s">
        <v>2619</v>
      </c>
    </row>
    <row r="175" spans="13:14" ht="15.75" customHeight="1">
      <c r="M175" s="558"/>
      <c r="N175" s="588" t="s">
        <v>2620</v>
      </c>
    </row>
    <row r="176" spans="13:14" ht="15.75" customHeight="1">
      <c r="M176" s="558"/>
      <c r="N176" s="588" t="s">
        <v>2621</v>
      </c>
    </row>
    <row r="177" spans="13:14" ht="15.75" customHeight="1">
      <c r="M177" s="558"/>
      <c r="N177" s="588" t="s">
        <v>2622</v>
      </c>
    </row>
    <row r="178" spans="13:14" ht="15.75" customHeight="1">
      <c r="M178" s="558"/>
      <c r="N178" s="588" t="s">
        <v>2623</v>
      </c>
    </row>
    <row r="179" spans="13:14" ht="15.75" customHeight="1">
      <c r="M179" s="558"/>
      <c r="N179" s="588" t="s">
        <v>2624</v>
      </c>
    </row>
    <row r="180" spans="13:14" ht="15.75" customHeight="1">
      <c r="M180" s="558"/>
      <c r="N180" s="588" t="s">
        <v>2625</v>
      </c>
    </row>
    <row r="181" spans="13:14" ht="15.75" customHeight="1">
      <c r="M181" s="558"/>
      <c r="N181" s="588" t="s">
        <v>2626</v>
      </c>
    </row>
    <row r="182" spans="13:14" ht="15.75" customHeight="1">
      <c r="M182" s="558"/>
      <c r="N182" s="588" t="s">
        <v>2627</v>
      </c>
    </row>
    <row r="183" spans="13:14" ht="15.75" customHeight="1">
      <c r="M183" s="558"/>
      <c r="N183" s="588" t="s">
        <v>2628</v>
      </c>
    </row>
    <row r="184" spans="13:14" ht="15.75" customHeight="1">
      <c r="M184" s="558"/>
      <c r="N184" s="588" t="s">
        <v>2629</v>
      </c>
    </row>
    <row r="185" spans="13:14" ht="15.75" customHeight="1">
      <c r="M185" s="558"/>
      <c r="N185" s="588" t="s">
        <v>2630</v>
      </c>
    </row>
    <row r="186" spans="13:14" ht="15.75" customHeight="1">
      <c r="M186" s="558"/>
      <c r="N186" s="588" t="s">
        <v>2631</v>
      </c>
    </row>
    <row r="187" spans="13:14" ht="15.75" customHeight="1">
      <c r="M187" s="558"/>
      <c r="N187" s="588" t="s">
        <v>2632</v>
      </c>
    </row>
    <row r="188" spans="13:14" ht="15.75" customHeight="1">
      <c r="M188" s="558"/>
      <c r="N188" s="588" t="s">
        <v>2633</v>
      </c>
    </row>
    <row r="189" spans="13:14" ht="15.75" customHeight="1">
      <c r="M189" s="558"/>
      <c r="N189" s="588" t="s">
        <v>2634</v>
      </c>
    </row>
    <row r="190" spans="13:14" ht="15.75" customHeight="1">
      <c r="M190" s="558"/>
      <c r="N190" s="588" t="s">
        <v>2635</v>
      </c>
    </row>
    <row r="191" spans="13:14" ht="15.75" customHeight="1">
      <c r="M191" s="558"/>
      <c r="N191" s="588" t="s">
        <v>2636</v>
      </c>
    </row>
    <row r="192" spans="13:14" ht="15.75" customHeight="1">
      <c r="M192" s="558"/>
      <c r="N192" s="588" t="s">
        <v>2637</v>
      </c>
    </row>
    <row r="193" spans="13:14" ht="15.75" customHeight="1">
      <c r="M193" s="558"/>
      <c r="N193" s="588" t="s">
        <v>2638</v>
      </c>
    </row>
    <row r="194" spans="13:14" ht="15.75" customHeight="1">
      <c r="M194" s="558"/>
      <c r="N194" s="588" t="s">
        <v>2639</v>
      </c>
    </row>
    <row r="195" spans="13:14" ht="15.75" customHeight="1">
      <c r="M195" s="558"/>
      <c r="N195" s="588" t="s">
        <v>2640</v>
      </c>
    </row>
    <row r="196" spans="13:14" ht="15.75" customHeight="1">
      <c r="M196" s="558"/>
      <c r="N196" s="588" t="s">
        <v>2641</v>
      </c>
    </row>
    <row r="197" spans="13:14" ht="15.75" customHeight="1">
      <c r="M197" s="558"/>
      <c r="N197" s="588" t="s">
        <v>2642</v>
      </c>
    </row>
    <row r="198" spans="13:14" ht="15.75" customHeight="1">
      <c r="M198" s="558"/>
      <c r="N198" s="588" t="s">
        <v>2643</v>
      </c>
    </row>
    <row r="199" spans="13:14" ht="15.75" customHeight="1">
      <c r="M199" s="558"/>
      <c r="N199" s="588" t="s">
        <v>2644</v>
      </c>
    </row>
    <row r="200" spans="13:14" ht="15.75" customHeight="1">
      <c r="M200" s="558"/>
      <c r="N200" s="588" t="s">
        <v>2645</v>
      </c>
    </row>
    <row r="201" spans="13:14" ht="15.75" customHeight="1">
      <c r="M201" s="558"/>
      <c r="N201" s="588" t="s">
        <v>2646</v>
      </c>
    </row>
    <row r="202" spans="13:14" ht="15.75" customHeight="1">
      <c r="M202" s="558"/>
      <c r="N202" s="588" t="s">
        <v>2647</v>
      </c>
    </row>
    <row r="203" spans="13:14" ht="15.75" customHeight="1">
      <c r="M203" s="558"/>
      <c r="N203" s="588" t="s">
        <v>2648</v>
      </c>
    </row>
    <row r="204" spans="13:14" ht="15.75" customHeight="1">
      <c r="M204" s="558"/>
      <c r="N204" s="588" t="s">
        <v>2649</v>
      </c>
    </row>
    <row r="205" spans="13:14" ht="15.75" customHeight="1">
      <c r="M205" s="558"/>
      <c r="N205" s="588" t="s">
        <v>2650</v>
      </c>
    </row>
    <row r="206" spans="13:14" ht="15.75" customHeight="1">
      <c r="M206" s="558"/>
      <c r="N206" s="588" t="s">
        <v>2651</v>
      </c>
    </row>
    <row r="207" spans="13:14" ht="15.75" customHeight="1">
      <c r="M207" s="558"/>
      <c r="N207" s="588" t="s">
        <v>2652</v>
      </c>
    </row>
    <row r="208" spans="13:14" ht="15.75" customHeight="1">
      <c r="M208" s="558"/>
      <c r="N208" s="588" t="s">
        <v>2653</v>
      </c>
    </row>
    <row r="209" spans="13:14" ht="15.75" customHeight="1">
      <c r="M209" s="558"/>
      <c r="N209" s="588" t="s">
        <v>2654</v>
      </c>
    </row>
    <row r="210" spans="13:14" ht="15.75" customHeight="1">
      <c r="M210" s="558"/>
      <c r="N210" s="588" t="s">
        <v>2655</v>
      </c>
    </row>
    <row r="211" spans="13:14" ht="15.75" customHeight="1">
      <c r="M211" s="558"/>
      <c r="N211" s="588" t="s">
        <v>2656</v>
      </c>
    </row>
    <row r="212" spans="13:14" ht="15.75" customHeight="1">
      <c r="M212" s="558"/>
      <c r="N212" s="588" t="s">
        <v>2657</v>
      </c>
    </row>
    <row r="213" spans="13:14" ht="15.75" customHeight="1">
      <c r="M213" s="558"/>
      <c r="N213" s="588" t="s">
        <v>2658</v>
      </c>
    </row>
    <row r="214" spans="13:14" ht="15.75" customHeight="1">
      <c r="M214" s="558"/>
      <c r="N214" s="588" t="s">
        <v>2659</v>
      </c>
    </row>
    <row r="215" spans="13:14" ht="15.75" customHeight="1">
      <c r="M215" s="558"/>
      <c r="N215" s="588" t="s">
        <v>2660</v>
      </c>
    </row>
    <row r="216" spans="13:14" ht="15.75" customHeight="1">
      <c r="M216" s="558"/>
      <c r="N216" s="588" t="s">
        <v>2661</v>
      </c>
    </row>
    <row r="217" spans="13:14" ht="15.75" customHeight="1">
      <c r="M217" s="558"/>
      <c r="N217" s="588" t="s">
        <v>2662</v>
      </c>
    </row>
    <row r="218" spans="13:14" ht="15.75" customHeight="1">
      <c r="M218" s="558"/>
      <c r="N218" s="588" t="s">
        <v>117</v>
      </c>
    </row>
    <row r="219" spans="13:14" ht="15.75" customHeight="1">
      <c r="M219" s="558"/>
      <c r="N219" s="588" t="s">
        <v>2663</v>
      </c>
    </row>
    <row r="220" spans="13:14" ht="15.75" customHeight="1">
      <c r="M220" s="558"/>
      <c r="N220" s="588" t="s">
        <v>2664</v>
      </c>
    </row>
    <row r="221" spans="13:14" ht="15.75" customHeight="1">
      <c r="M221" s="558"/>
      <c r="N221" s="588" t="s">
        <v>2665</v>
      </c>
    </row>
    <row r="222" spans="13:14" ht="15.75" customHeight="1">
      <c r="M222" s="558"/>
      <c r="N222" s="588" t="s">
        <v>2666</v>
      </c>
    </row>
    <row r="223" spans="13:14" ht="15.75" customHeight="1">
      <c r="M223" s="558"/>
      <c r="N223" s="588" t="s">
        <v>2667</v>
      </c>
    </row>
    <row r="224" spans="13:14" ht="15.75" customHeight="1">
      <c r="M224" s="558"/>
      <c r="N224" s="588" t="s">
        <v>2668</v>
      </c>
    </row>
    <row r="225" spans="13:14" ht="15.75" customHeight="1">
      <c r="M225" s="558"/>
      <c r="N225" s="588" t="s">
        <v>2669</v>
      </c>
    </row>
    <row r="226" spans="13:14" ht="15.75" customHeight="1">
      <c r="M226" s="558"/>
      <c r="N226" s="588" t="s">
        <v>2670</v>
      </c>
    </row>
    <row r="227" spans="13:14" ht="15.75" customHeight="1">
      <c r="M227" s="558"/>
      <c r="N227" s="588" t="s">
        <v>1527</v>
      </c>
    </row>
    <row r="228" spans="13:14" ht="15.75" customHeight="1">
      <c r="M228" s="558"/>
      <c r="N228" s="588" t="s">
        <v>2671</v>
      </c>
    </row>
    <row r="229" spans="13:14" ht="15.75" customHeight="1">
      <c r="M229" s="558"/>
      <c r="N229" s="588" t="s">
        <v>2672</v>
      </c>
    </row>
    <row r="230" spans="13:14" ht="15.75" customHeight="1">
      <c r="M230" s="558"/>
      <c r="N230" s="588" t="s">
        <v>2673</v>
      </c>
    </row>
    <row r="231" spans="13:14" ht="15.75" customHeight="1">
      <c r="M231" s="558"/>
      <c r="N231" s="588" t="s">
        <v>2674</v>
      </c>
    </row>
    <row r="232" spans="13:14" ht="15.75" customHeight="1">
      <c r="M232" s="558"/>
      <c r="N232" s="588" t="s">
        <v>2675</v>
      </c>
    </row>
    <row r="233" spans="13:14" ht="15.75" customHeight="1">
      <c r="M233" s="558"/>
      <c r="N233" s="588" t="s">
        <v>2676</v>
      </c>
    </row>
    <row r="234" spans="13:14" ht="15.75" customHeight="1">
      <c r="M234" s="558"/>
      <c r="N234" s="588" t="s">
        <v>511</v>
      </c>
    </row>
    <row r="235" spans="13:14" ht="15.75" customHeight="1">
      <c r="M235" s="558"/>
      <c r="N235" s="588" t="s">
        <v>2677</v>
      </c>
    </row>
    <row r="236" spans="13:14" ht="15.75" customHeight="1">
      <c r="M236" s="558"/>
      <c r="N236" s="588" t="s">
        <v>2678</v>
      </c>
    </row>
    <row r="237" spans="13:14" ht="15.75" customHeight="1">
      <c r="M237" s="558"/>
      <c r="N237" s="588" t="s">
        <v>2679</v>
      </c>
    </row>
    <row r="238" spans="13:14" ht="15.75" customHeight="1">
      <c r="M238" s="558"/>
      <c r="N238" s="588" t="s">
        <v>2680</v>
      </c>
    </row>
    <row r="239" spans="13:14" ht="15.75" customHeight="1">
      <c r="M239" s="558"/>
      <c r="N239" s="588" t="s">
        <v>2681</v>
      </c>
    </row>
    <row r="240" spans="13:14" ht="15.75" customHeight="1">
      <c r="M240" s="558"/>
      <c r="N240" s="588" t="s">
        <v>2682</v>
      </c>
    </row>
    <row r="241" spans="13:14" ht="15.75" customHeight="1">
      <c r="M241" s="558"/>
      <c r="N241" s="588" t="s">
        <v>2683</v>
      </c>
    </row>
    <row r="242" spans="13:14" ht="15.75" customHeight="1">
      <c r="M242" s="558"/>
      <c r="N242" s="588" t="s">
        <v>2684</v>
      </c>
    </row>
    <row r="243" spans="13:14" ht="15.75" customHeight="1">
      <c r="M243" s="558"/>
      <c r="N243" s="588" t="s">
        <v>2685</v>
      </c>
    </row>
    <row r="244" spans="13:14" ht="15.75" customHeight="1">
      <c r="M244" s="558"/>
      <c r="N244" s="588" t="s">
        <v>2686</v>
      </c>
    </row>
    <row r="245" spans="13:14" ht="15.75" customHeight="1">
      <c r="M245" s="558"/>
      <c r="N245" s="588" t="s">
        <v>2687</v>
      </c>
    </row>
    <row r="246" spans="13:14" ht="15.75" customHeight="1">
      <c r="M246" s="558"/>
      <c r="N246" s="588" t="s">
        <v>2688</v>
      </c>
    </row>
    <row r="247" spans="13:14" ht="15.75" customHeight="1">
      <c r="M247" s="558"/>
      <c r="N247" s="588" t="s">
        <v>2689</v>
      </c>
    </row>
    <row r="248" spans="13:14" ht="15.75" customHeight="1">
      <c r="M248" s="558"/>
      <c r="N248" s="588" t="s">
        <v>2690</v>
      </c>
    </row>
    <row r="249" spans="13:14" ht="15.75" customHeight="1">
      <c r="M249" s="558"/>
      <c r="N249" s="588" t="s">
        <v>2691</v>
      </c>
    </row>
    <row r="250" spans="13:14" ht="15.75" customHeight="1">
      <c r="M250" s="558"/>
      <c r="N250" s="588" t="s">
        <v>2692</v>
      </c>
    </row>
    <row r="251" spans="13:14" ht="15.75" customHeight="1">
      <c r="M251" s="558"/>
      <c r="N251" s="588" t="s">
        <v>2693</v>
      </c>
    </row>
    <row r="252" spans="13:14" ht="15.75" customHeight="1">
      <c r="M252" s="558"/>
      <c r="N252" s="588" t="s">
        <v>2694</v>
      </c>
    </row>
    <row r="253" spans="13:14" ht="15.75" customHeight="1">
      <c r="M253" s="558"/>
      <c r="N253" s="588" t="s">
        <v>2695</v>
      </c>
    </row>
    <row r="254" spans="13:14" ht="15.75" customHeight="1">
      <c r="M254" s="558"/>
      <c r="N254" s="588" t="s">
        <v>2696</v>
      </c>
    </row>
    <row r="255" spans="13:14" ht="15.75" customHeight="1">
      <c r="M255" s="558"/>
      <c r="N255" s="588" t="s">
        <v>2697</v>
      </c>
    </row>
    <row r="256" spans="13:14" ht="15.75" customHeight="1">
      <c r="M256" s="558"/>
      <c r="N256" s="588" t="s">
        <v>2698</v>
      </c>
    </row>
    <row r="257" spans="13:14" ht="15.75" customHeight="1">
      <c r="M257" s="558"/>
      <c r="N257" s="588" t="s">
        <v>2699</v>
      </c>
    </row>
    <row r="258" spans="13:14" ht="15.75" customHeight="1">
      <c r="M258" s="558"/>
      <c r="N258" s="588" t="s">
        <v>2700</v>
      </c>
    </row>
    <row r="259" spans="13:14" ht="15.75" customHeight="1">
      <c r="M259" s="558"/>
      <c r="N259" s="588" t="s">
        <v>2701</v>
      </c>
    </row>
    <row r="260" spans="13:14" ht="15.75" customHeight="1">
      <c r="M260" s="558"/>
      <c r="N260" s="588" t="s">
        <v>2702</v>
      </c>
    </row>
    <row r="261" spans="13:14" ht="15.75" customHeight="1">
      <c r="M261" s="558"/>
      <c r="N261" s="588" t="s">
        <v>2703</v>
      </c>
    </row>
    <row r="262" spans="13:14" ht="15.75" customHeight="1">
      <c r="M262" s="558"/>
      <c r="N262" s="588" t="s">
        <v>2704</v>
      </c>
    </row>
    <row r="263" spans="13:14" ht="15.75" customHeight="1">
      <c r="M263" s="558"/>
      <c r="N263" s="588" t="s">
        <v>2705</v>
      </c>
    </row>
    <row r="264" spans="13:14" ht="15.75" customHeight="1">
      <c r="M264" s="558"/>
      <c r="N264" s="588" t="s">
        <v>2706</v>
      </c>
    </row>
    <row r="265" spans="13:14" ht="15.75" customHeight="1">
      <c r="M265" s="558"/>
      <c r="N265" s="588" t="s">
        <v>2707</v>
      </c>
    </row>
    <row r="266" spans="13:14" ht="15.75" customHeight="1">
      <c r="M266" s="558"/>
      <c r="N266" s="588" t="s">
        <v>2708</v>
      </c>
    </row>
    <row r="267" spans="13:14" ht="15.75" customHeight="1">
      <c r="M267" s="558"/>
      <c r="N267" s="588" t="s">
        <v>2709</v>
      </c>
    </row>
    <row r="268" spans="13:14" ht="15.75" customHeight="1">
      <c r="M268" s="558"/>
      <c r="N268" s="588" t="s">
        <v>2710</v>
      </c>
    </row>
    <row r="269" spans="13:14" ht="15.75" customHeight="1">
      <c r="M269" s="558"/>
      <c r="N269" s="588" t="s">
        <v>2711</v>
      </c>
    </row>
    <row r="270" spans="13:14" ht="15.75" customHeight="1">
      <c r="M270" s="558"/>
      <c r="N270" s="588" t="s">
        <v>2712</v>
      </c>
    </row>
    <row r="271" spans="13:14" ht="15.75" customHeight="1">
      <c r="M271" s="558"/>
      <c r="N271" s="588" t="s">
        <v>2713</v>
      </c>
    </row>
    <row r="272" spans="13:14" ht="15.75" customHeight="1">
      <c r="M272" s="558"/>
      <c r="N272" s="588" t="s">
        <v>2714</v>
      </c>
    </row>
    <row r="273" spans="13:14" ht="15.75" customHeight="1">
      <c r="M273" s="558"/>
      <c r="N273" s="588" t="s">
        <v>2715</v>
      </c>
    </row>
    <row r="274" spans="13:14" ht="15.75" customHeight="1">
      <c r="M274" s="558"/>
      <c r="N274" s="588" t="s">
        <v>2716</v>
      </c>
    </row>
    <row r="275" spans="13:14" ht="15.75" customHeight="1">
      <c r="M275" s="558"/>
      <c r="N275" s="588" t="s">
        <v>2717</v>
      </c>
    </row>
    <row r="276" spans="13:14" ht="15.75" customHeight="1">
      <c r="M276" s="558"/>
      <c r="N276" s="588" t="s">
        <v>2718</v>
      </c>
    </row>
    <row r="277" spans="13:14" ht="15.75" customHeight="1">
      <c r="M277" s="558"/>
      <c r="N277" s="588" t="s">
        <v>2719</v>
      </c>
    </row>
    <row r="278" spans="13:14" ht="15.75" customHeight="1">
      <c r="M278" s="558"/>
      <c r="N278" s="588" t="s">
        <v>2720</v>
      </c>
    </row>
    <row r="279" spans="13:14" ht="15.75" customHeight="1">
      <c r="M279" s="558"/>
      <c r="N279" s="588" t="s">
        <v>2721</v>
      </c>
    </row>
    <row r="280" spans="13:14" ht="15.75" customHeight="1">
      <c r="M280" s="558"/>
      <c r="N280" s="588" t="s">
        <v>2722</v>
      </c>
    </row>
    <row r="281" spans="13:14" ht="15.75" customHeight="1">
      <c r="M281" s="558"/>
      <c r="N281" s="588" t="s">
        <v>2723</v>
      </c>
    </row>
    <row r="282" spans="13:14" ht="15.75" customHeight="1">
      <c r="M282" s="558"/>
      <c r="N282" s="588" t="s">
        <v>2724</v>
      </c>
    </row>
    <row r="283" spans="13:14" ht="15.75" customHeight="1">
      <c r="M283" s="558"/>
      <c r="N283" s="588" t="s">
        <v>2725</v>
      </c>
    </row>
    <row r="284" spans="13:14" ht="15.75" customHeight="1">
      <c r="M284" s="558"/>
      <c r="N284" s="588" t="s">
        <v>2726</v>
      </c>
    </row>
    <row r="285" spans="13:14" ht="15.75" customHeight="1">
      <c r="M285" s="558"/>
      <c r="N285" s="588" t="s">
        <v>2727</v>
      </c>
    </row>
    <row r="286" spans="13:14" ht="15.75" customHeight="1">
      <c r="M286" s="558"/>
      <c r="N286" s="588" t="s">
        <v>2728</v>
      </c>
    </row>
    <row r="287" spans="13:14" ht="15.75" customHeight="1">
      <c r="M287" s="558"/>
      <c r="N287" s="588" t="s">
        <v>2729</v>
      </c>
    </row>
    <row r="288" spans="13:14" ht="15.75" customHeight="1">
      <c r="M288" s="558"/>
      <c r="N288" s="588" t="s">
        <v>2730</v>
      </c>
    </row>
    <row r="289" spans="13:14" ht="15.75" customHeight="1">
      <c r="M289" s="558"/>
      <c r="N289" s="588" t="s">
        <v>2731</v>
      </c>
    </row>
    <row r="290" spans="13:14" ht="15.75" customHeight="1">
      <c r="M290" s="558"/>
      <c r="N290" s="588" t="s">
        <v>2732</v>
      </c>
    </row>
    <row r="291" spans="13:14" ht="15.75" customHeight="1">
      <c r="M291" s="558"/>
      <c r="N291" s="588" t="s">
        <v>2733</v>
      </c>
    </row>
    <row r="292" spans="13:14" ht="15.75" customHeight="1">
      <c r="M292" s="558"/>
      <c r="N292" s="588" t="s">
        <v>2734</v>
      </c>
    </row>
    <row r="293" spans="13:14" ht="15.75" customHeight="1">
      <c r="M293" s="558"/>
      <c r="N293" s="588" t="s">
        <v>2735</v>
      </c>
    </row>
    <row r="294" spans="13:14" ht="15.75" customHeight="1">
      <c r="M294" s="558"/>
      <c r="N294" s="588" t="s">
        <v>2736</v>
      </c>
    </row>
    <row r="295" spans="13:14" ht="15.75" customHeight="1">
      <c r="M295" s="558"/>
      <c r="N295" s="588" t="s">
        <v>2737</v>
      </c>
    </row>
    <row r="296" spans="13:14" ht="15.75" customHeight="1">
      <c r="M296" s="558"/>
      <c r="N296" s="588" t="s">
        <v>2738</v>
      </c>
    </row>
    <row r="297" spans="13:14" ht="15.75" customHeight="1">
      <c r="M297" s="558"/>
      <c r="N297" s="588" t="s">
        <v>2739</v>
      </c>
    </row>
    <row r="298" spans="13:14" ht="15.75" customHeight="1">
      <c r="M298" s="558"/>
      <c r="N298" s="588" t="s">
        <v>2740</v>
      </c>
    </row>
    <row r="299" spans="13:14" ht="15.75" customHeight="1">
      <c r="M299" s="558"/>
      <c r="N299" s="588" t="s">
        <v>2741</v>
      </c>
    </row>
    <row r="300" spans="13:14" ht="15.75" customHeight="1">
      <c r="M300" s="558"/>
      <c r="N300" s="588" t="s">
        <v>2742</v>
      </c>
    </row>
    <row r="301" spans="13:14" ht="15.75" customHeight="1">
      <c r="M301" s="558"/>
      <c r="N301" s="588" t="s">
        <v>2743</v>
      </c>
    </row>
    <row r="302" spans="13:14" ht="15.75" customHeight="1">
      <c r="M302" s="558"/>
      <c r="N302" s="588" t="s">
        <v>2744</v>
      </c>
    </row>
    <row r="303" spans="13:14" ht="15.75" customHeight="1">
      <c r="M303" s="558"/>
      <c r="N303" s="588" t="s">
        <v>2745</v>
      </c>
    </row>
    <row r="304" spans="13:14" ht="15.75" customHeight="1">
      <c r="M304" s="558"/>
      <c r="N304" s="588" t="s">
        <v>2746</v>
      </c>
    </row>
    <row r="305" spans="13:14" ht="15.75" customHeight="1">
      <c r="M305" s="558"/>
      <c r="N305" s="588" t="s">
        <v>2747</v>
      </c>
    </row>
    <row r="306" spans="13:14" ht="15.75" customHeight="1">
      <c r="M306" s="558"/>
      <c r="N306" s="588" t="s">
        <v>2748</v>
      </c>
    </row>
    <row r="307" spans="13:14" ht="15.75" customHeight="1">
      <c r="M307" s="558"/>
      <c r="N307" s="588" t="s">
        <v>2749</v>
      </c>
    </row>
    <row r="308" spans="13:14" ht="15.75" customHeight="1">
      <c r="M308" s="558"/>
      <c r="N308" s="547"/>
    </row>
    <row r="309" spans="13:14" ht="15.75" customHeight="1">
      <c r="M309" s="558"/>
      <c r="N309" s="547"/>
    </row>
    <row r="310" spans="13:14" ht="15.75" customHeight="1">
      <c r="M310" s="558"/>
      <c r="N310" s="547"/>
    </row>
    <row r="311" spans="13:14" ht="15.75" customHeight="1">
      <c r="M311" s="558"/>
      <c r="N311" s="547"/>
    </row>
    <row r="312" spans="13:14" ht="15.75" customHeight="1">
      <c r="M312" s="558"/>
      <c r="N312" s="547"/>
    </row>
    <row r="313" spans="13:14" ht="15.75" customHeight="1">
      <c r="M313" s="558"/>
      <c r="N313" s="547"/>
    </row>
    <row r="314" spans="13:14" ht="15.75" customHeight="1">
      <c r="M314" s="558"/>
      <c r="N314" s="547"/>
    </row>
    <row r="315" spans="13:14" ht="15.75" customHeight="1">
      <c r="M315" s="558"/>
      <c r="N315" s="547"/>
    </row>
    <row r="316" spans="13:14" ht="15.75" customHeight="1">
      <c r="M316" s="558"/>
      <c r="N316" s="547"/>
    </row>
    <row r="317" spans="13:14" ht="15.75" customHeight="1">
      <c r="M317" s="558"/>
      <c r="N317" s="547"/>
    </row>
    <row r="318" spans="13:14" ht="15.75" customHeight="1">
      <c r="M318" s="558"/>
      <c r="N318" s="547"/>
    </row>
    <row r="319" spans="13:14" ht="15.75" customHeight="1">
      <c r="M319" s="558"/>
      <c r="N319" s="547"/>
    </row>
    <row r="320" spans="13:14" ht="15.75" customHeight="1">
      <c r="M320" s="558"/>
      <c r="N320" s="547"/>
    </row>
    <row r="321" spans="13:13" ht="15.75" customHeight="1">
      <c r="M321" s="558"/>
    </row>
    <row r="322" spans="13:13" ht="15.75" customHeight="1">
      <c r="M322" s="558"/>
    </row>
    <row r="323" spans="13:13" ht="15.75" customHeight="1">
      <c r="M323" s="558"/>
    </row>
    <row r="324" spans="13:13" ht="15.75" customHeight="1">
      <c r="M324" s="558"/>
    </row>
    <row r="325" spans="13:13" ht="15.75" customHeight="1">
      <c r="M325" s="558"/>
    </row>
    <row r="326" spans="13:13" ht="15.75" customHeight="1">
      <c r="M326" s="558"/>
    </row>
    <row r="327" spans="13:13" ht="15.75" customHeight="1">
      <c r="M327" s="558"/>
    </row>
    <row r="328" spans="13:13" ht="15.75" customHeight="1">
      <c r="M328" s="558"/>
    </row>
    <row r="329" spans="13:13" ht="15.75" customHeight="1">
      <c r="M329" s="558"/>
    </row>
    <row r="330" spans="13:13" ht="15.75" customHeight="1">
      <c r="M330" s="558"/>
    </row>
    <row r="331" spans="13:13" ht="15.75" customHeight="1">
      <c r="M331" s="558"/>
    </row>
    <row r="332" spans="13:13" ht="15.75" customHeight="1">
      <c r="M332" s="558"/>
    </row>
    <row r="333" spans="13:13" ht="15.75" customHeight="1">
      <c r="M333" s="558"/>
    </row>
    <row r="334" spans="13:13" ht="15.75" customHeight="1">
      <c r="M334" s="558"/>
    </row>
    <row r="335" spans="13:13" ht="15.75" customHeight="1">
      <c r="M335" s="558"/>
    </row>
    <row r="336" spans="13:13" ht="15.75" customHeight="1">
      <c r="M336" s="558"/>
    </row>
    <row r="337" spans="13:13" ht="15.75" customHeight="1">
      <c r="M337" s="558"/>
    </row>
    <row r="338" spans="13:13" ht="15.75" customHeight="1">
      <c r="M338" s="558"/>
    </row>
    <row r="339" spans="13:13" ht="15.75" customHeight="1">
      <c r="M339" s="558"/>
    </row>
    <row r="340" spans="13:13" ht="15.75" customHeight="1">
      <c r="M340" s="558"/>
    </row>
    <row r="341" spans="13:13" ht="15.75" customHeight="1">
      <c r="M341" s="558"/>
    </row>
    <row r="342" spans="13:13" ht="15.75" customHeight="1">
      <c r="M342" s="558"/>
    </row>
    <row r="343" spans="13:13" ht="15.75" customHeight="1">
      <c r="M343" s="558"/>
    </row>
    <row r="344" spans="13:13" ht="15.75" customHeight="1">
      <c r="M344" s="558"/>
    </row>
    <row r="345" spans="13:13" ht="15.75" customHeight="1">
      <c r="M345" s="558"/>
    </row>
    <row r="346" spans="13:13" ht="15.75" customHeight="1">
      <c r="M346" s="558"/>
    </row>
    <row r="347" spans="13:13" ht="15.75" customHeight="1">
      <c r="M347" s="558"/>
    </row>
    <row r="348" spans="13:13" ht="15.75" customHeight="1">
      <c r="M348" s="558"/>
    </row>
    <row r="349" spans="13:13" ht="15.75" customHeight="1">
      <c r="M349" s="558"/>
    </row>
    <row r="350" spans="13:13" ht="15.75" customHeight="1">
      <c r="M350" s="558"/>
    </row>
    <row r="351" spans="13:13" ht="15.75" customHeight="1">
      <c r="M351" s="558"/>
    </row>
    <row r="352" spans="13:13" ht="15.75" customHeight="1">
      <c r="M352" s="558"/>
    </row>
    <row r="353" spans="13:13" ht="15.75" customHeight="1">
      <c r="M353" s="558"/>
    </row>
    <row r="354" spans="13:13" ht="15.75" customHeight="1">
      <c r="M354" s="558"/>
    </row>
    <row r="355" spans="13:13" ht="15.75" customHeight="1">
      <c r="M355" s="558"/>
    </row>
    <row r="356" spans="13:13" ht="15.75" customHeight="1">
      <c r="M356" s="558"/>
    </row>
    <row r="357" spans="13:13" ht="15.75" customHeight="1">
      <c r="M357" s="558"/>
    </row>
    <row r="358" spans="13:13" ht="15.75" customHeight="1">
      <c r="M358" s="558"/>
    </row>
    <row r="359" spans="13:13" ht="15.75" customHeight="1">
      <c r="M359" s="558"/>
    </row>
    <row r="360" spans="13:13" ht="15.75" customHeight="1">
      <c r="M360" s="558"/>
    </row>
    <row r="361" spans="13:13" ht="15.75" customHeight="1">
      <c r="M361" s="558"/>
    </row>
    <row r="362" spans="13:13" ht="15.75" customHeight="1">
      <c r="M362" s="558"/>
    </row>
    <row r="363" spans="13:13" ht="15.75" customHeight="1">
      <c r="M363" s="558"/>
    </row>
    <row r="364" spans="13:13" ht="15.75" customHeight="1">
      <c r="M364" s="558"/>
    </row>
    <row r="365" spans="13:13" ht="15.75" customHeight="1">
      <c r="M365" s="558"/>
    </row>
    <row r="366" spans="13:13" ht="15.75" customHeight="1">
      <c r="M366" s="558"/>
    </row>
    <row r="367" spans="13:13" ht="15.75" customHeight="1">
      <c r="M367" s="558"/>
    </row>
    <row r="368" spans="13:13" ht="15.75" customHeight="1">
      <c r="M368" s="558"/>
    </row>
    <row r="369" spans="13:13" ht="15.75" customHeight="1">
      <c r="M369" s="558"/>
    </row>
    <row r="370" spans="13:13" ht="15.75" customHeight="1">
      <c r="M370" s="558"/>
    </row>
    <row r="371" spans="13:13" ht="15.75" customHeight="1">
      <c r="M371" s="558"/>
    </row>
    <row r="372" spans="13:13" ht="15.75" customHeight="1">
      <c r="M372" s="558"/>
    </row>
    <row r="373" spans="13:13" ht="15.75" customHeight="1">
      <c r="M373" s="558"/>
    </row>
    <row r="374" spans="13:13" ht="15.75" customHeight="1">
      <c r="M374" s="558"/>
    </row>
    <row r="375" spans="13:13" ht="15.75" customHeight="1">
      <c r="M375" s="558"/>
    </row>
    <row r="376" spans="13:13" ht="15.75" customHeight="1">
      <c r="M376" s="558"/>
    </row>
    <row r="377" spans="13:13" ht="15.75" customHeight="1">
      <c r="M377" s="558"/>
    </row>
    <row r="378" spans="13:13" ht="15.75" customHeight="1">
      <c r="M378" s="558"/>
    </row>
    <row r="379" spans="13:13" ht="15.75" customHeight="1">
      <c r="M379" s="558"/>
    </row>
    <row r="380" spans="13:13" ht="15.75" customHeight="1">
      <c r="M380" s="558"/>
    </row>
    <row r="381" spans="13:13" ht="15.75" customHeight="1">
      <c r="M381" s="558"/>
    </row>
    <row r="382" spans="13:13" ht="15.75" customHeight="1">
      <c r="M382" s="558"/>
    </row>
    <row r="383" spans="13:13" ht="15.75" customHeight="1">
      <c r="M383" s="558"/>
    </row>
    <row r="384" spans="13:13" ht="15.75" customHeight="1">
      <c r="M384" s="558"/>
    </row>
    <row r="385" spans="13:13" ht="15.75" customHeight="1">
      <c r="M385" s="558"/>
    </row>
    <row r="386" spans="13:13" ht="15.75" customHeight="1">
      <c r="M386" s="558"/>
    </row>
    <row r="387" spans="13:13" ht="15.75" customHeight="1">
      <c r="M387" s="558"/>
    </row>
    <row r="388" spans="13:13" ht="15.75" customHeight="1">
      <c r="M388" s="558"/>
    </row>
    <row r="389" spans="13:13" ht="15.75" customHeight="1">
      <c r="M389" s="558"/>
    </row>
    <row r="390" spans="13:13" ht="15.75" customHeight="1">
      <c r="M390" s="558"/>
    </row>
    <row r="391" spans="13:13" ht="15.75" customHeight="1">
      <c r="M391" s="558"/>
    </row>
    <row r="392" spans="13:13" ht="15.75" customHeight="1">
      <c r="M392" s="558"/>
    </row>
    <row r="393" spans="13:13" ht="15.75" customHeight="1">
      <c r="M393" s="558"/>
    </row>
    <row r="394" spans="13:13" ht="15.75" customHeight="1">
      <c r="M394" s="558"/>
    </row>
    <row r="395" spans="13:13" ht="15.75" customHeight="1">
      <c r="M395" s="558"/>
    </row>
    <row r="396" spans="13:13" ht="15.75" customHeight="1">
      <c r="M396" s="558"/>
    </row>
    <row r="397" spans="13:13" ht="15.75" customHeight="1">
      <c r="M397" s="558"/>
    </row>
    <row r="398" spans="13:13" ht="15.75" customHeight="1">
      <c r="M398" s="558"/>
    </row>
    <row r="399" spans="13:13" ht="15.75" customHeight="1">
      <c r="M399" s="558"/>
    </row>
    <row r="400" spans="13:13" ht="15.75" customHeight="1">
      <c r="M400" s="558"/>
    </row>
    <row r="401" spans="13:13" ht="15.75" customHeight="1">
      <c r="M401" s="558"/>
    </row>
    <row r="402" spans="13:13" ht="15.75" customHeight="1">
      <c r="M402" s="558"/>
    </row>
    <row r="403" spans="13:13" ht="15.75" customHeight="1">
      <c r="M403" s="558"/>
    </row>
    <row r="404" spans="13:13" ht="15.75" customHeight="1">
      <c r="M404" s="558"/>
    </row>
    <row r="405" spans="13:13" ht="15.75" customHeight="1">
      <c r="M405" s="558"/>
    </row>
    <row r="406" spans="13:13" ht="15.75" customHeight="1">
      <c r="M406" s="558"/>
    </row>
    <row r="407" spans="13:13" ht="15.75" customHeight="1">
      <c r="M407" s="558"/>
    </row>
    <row r="408" spans="13:13" ht="15.75" customHeight="1">
      <c r="M408" s="558"/>
    </row>
    <row r="409" spans="13:13" ht="15.75" customHeight="1">
      <c r="M409" s="558"/>
    </row>
    <row r="410" spans="13:13" ht="15.75" customHeight="1">
      <c r="M410" s="558"/>
    </row>
    <row r="411" spans="13:13" ht="15.75" customHeight="1">
      <c r="M411" s="558"/>
    </row>
    <row r="412" spans="13:13" ht="15.75" customHeight="1">
      <c r="M412" s="558"/>
    </row>
    <row r="413" spans="13:13" ht="15.75" customHeight="1">
      <c r="M413" s="558"/>
    </row>
    <row r="414" spans="13:13" ht="15.75" customHeight="1">
      <c r="M414" s="558"/>
    </row>
    <row r="415" spans="13:13" ht="15.75" customHeight="1">
      <c r="M415" s="558"/>
    </row>
    <row r="416" spans="13:13" ht="15.75" customHeight="1">
      <c r="M416" s="558"/>
    </row>
    <row r="417" spans="13:13" ht="15.75" customHeight="1">
      <c r="M417" s="558"/>
    </row>
    <row r="418" spans="13:13" ht="15.75" customHeight="1">
      <c r="M418" s="558"/>
    </row>
    <row r="419" spans="13:13" ht="15.75" customHeight="1">
      <c r="M419" s="558"/>
    </row>
    <row r="420" spans="13:13" ht="15.75" customHeight="1">
      <c r="M420" s="558"/>
    </row>
    <row r="421" spans="13:13" ht="15.75" customHeight="1">
      <c r="M421" s="558"/>
    </row>
    <row r="422" spans="13:13" ht="15.75" customHeight="1">
      <c r="M422" s="558"/>
    </row>
    <row r="423" spans="13:13" ht="15.75" customHeight="1">
      <c r="M423" s="558"/>
    </row>
    <row r="424" spans="13:13" ht="15.75" customHeight="1">
      <c r="M424" s="558"/>
    </row>
    <row r="425" spans="13:13" ht="15.75" customHeight="1">
      <c r="M425" s="558"/>
    </row>
    <row r="426" spans="13:13" ht="15.75" customHeight="1">
      <c r="M426" s="558"/>
    </row>
    <row r="427" spans="13:13" ht="15.75" customHeight="1">
      <c r="M427" s="558"/>
    </row>
    <row r="428" spans="13:13" ht="15.75" customHeight="1">
      <c r="M428" s="558"/>
    </row>
    <row r="429" spans="13:13" ht="15.75" customHeight="1">
      <c r="M429" s="558"/>
    </row>
    <row r="430" spans="13:13" ht="15.75" customHeight="1">
      <c r="M430" s="558"/>
    </row>
    <row r="431" spans="13:13" ht="15.75" customHeight="1">
      <c r="M431" s="558"/>
    </row>
    <row r="432" spans="13:13" ht="15.75" customHeight="1">
      <c r="M432" s="558"/>
    </row>
    <row r="433" spans="13:13" ht="15.75" customHeight="1">
      <c r="M433" s="558"/>
    </row>
    <row r="434" spans="13:13" ht="15.75" customHeight="1">
      <c r="M434" s="558"/>
    </row>
    <row r="435" spans="13:13" ht="15.75" customHeight="1">
      <c r="M435" s="558"/>
    </row>
    <row r="436" spans="13:13" ht="15.75" customHeight="1">
      <c r="M436" s="558"/>
    </row>
    <row r="437" spans="13:13" ht="15.75" customHeight="1">
      <c r="M437" s="558"/>
    </row>
    <row r="438" spans="13:13" ht="15.75" customHeight="1">
      <c r="M438" s="558"/>
    </row>
    <row r="439" spans="13:13" ht="15.75" customHeight="1">
      <c r="M439" s="558"/>
    </row>
    <row r="440" spans="13:13" ht="15.75" customHeight="1">
      <c r="M440" s="558"/>
    </row>
    <row r="441" spans="13:13" ht="15.75" customHeight="1">
      <c r="M441" s="558"/>
    </row>
    <row r="442" spans="13:13" ht="15.75" customHeight="1">
      <c r="M442" s="558"/>
    </row>
    <row r="443" spans="13:13" ht="15.75" customHeight="1">
      <c r="M443" s="558"/>
    </row>
    <row r="444" spans="13:13" ht="15.75" customHeight="1">
      <c r="M444" s="558"/>
    </row>
    <row r="445" spans="13:13" ht="15.75" customHeight="1">
      <c r="M445" s="558"/>
    </row>
    <row r="446" spans="13:13" ht="15.75" customHeight="1">
      <c r="M446" s="558"/>
    </row>
    <row r="447" spans="13:13" ht="15.75" customHeight="1">
      <c r="M447" s="558"/>
    </row>
    <row r="448" spans="13:13" ht="15.75" customHeight="1">
      <c r="M448" s="558"/>
    </row>
    <row r="449" spans="13:13" ht="15.75" customHeight="1">
      <c r="M449" s="558"/>
    </row>
    <row r="450" spans="13:13" ht="15.75" customHeight="1">
      <c r="M450" s="558"/>
    </row>
    <row r="451" spans="13:13" ht="15.75" customHeight="1">
      <c r="M451" s="558"/>
    </row>
    <row r="452" spans="13:13" ht="15.75" customHeight="1">
      <c r="M452" s="558"/>
    </row>
    <row r="453" spans="13:13" ht="15.75" customHeight="1">
      <c r="M453" s="558"/>
    </row>
    <row r="454" spans="13:13" ht="15.75" customHeight="1">
      <c r="M454" s="558"/>
    </row>
    <row r="455" spans="13:13" ht="15.75" customHeight="1">
      <c r="M455" s="558"/>
    </row>
    <row r="456" spans="13:13" ht="15.75" customHeight="1">
      <c r="M456" s="558"/>
    </row>
    <row r="457" spans="13:13" ht="15.75" customHeight="1">
      <c r="M457" s="558"/>
    </row>
    <row r="458" spans="13:13" ht="15.75" customHeight="1">
      <c r="M458" s="558"/>
    </row>
    <row r="459" spans="13:13" ht="15.75" customHeight="1">
      <c r="M459" s="558"/>
    </row>
    <row r="460" spans="13:13" ht="15.75" customHeight="1">
      <c r="M460" s="558"/>
    </row>
    <row r="461" spans="13:13" ht="15.75" customHeight="1">
      <c r="M461" s="558"/>
    </row>
    <row r="462" spans="13:13" ht="15.75" customHeight="1">
      <c r="M462" s="558"/>
    </row>
    <row r="463" spans="13:13" ht="15.75" customHeight="1">
      <c r="M463" s="558"/>
    </row>
    <row r="464" spans="13:13" ht="15.75" customHeight="1">
      <c r="M464" s="558"/>
    </row>
    <row r="465" spans="13:13" ht="15.75" customHeight="1">
      <c r="M465" s="558"/>
    </row>
    <row r="466" spans="13:13" ht="15.75" customHeight="1">
      <c r="M466" s="558"/>
    </row>
    <row r="467" spans="13:13" ht="15.75" customHeight="1">
      <c r="M467" s="558"/>
    </row>
    <row r="468" spans="13:13" ht="15.75" customHeight="1">
      <c r="M468" s="558"/>
    </row>
    <row r="469" spans="13:13" ht="15.75" customHeight="1">
      <c r="M469" s="558"/>
    </row>
    <row r="470" spans="13:13" ht="15.75" customHeight="1">
      <c r="M470" s="558"/>
    </row>
    <row r="471" spans="13:13" ht="15.75" customHeight="1">
      <c r="M471" s="558"/>
    </row>
    <row r="472" spans="13:13" ht="15.75" customHeight="1">
      <c r="M472" s="558"/>
    </row>
    <row r="473" spans="13:13" ht="15.75" customHeight="1">
      <c r="M473" s="558"/>
    </row>
    <row r="474" spans="13:13" ht="15.75" customHeight="1">
      <c r="M474" s="558"/>
    </row>
    <row r="475" spans="13:13" ht="15.75" customHeight="1">
      <c r="M475" s="558"/>
    </row>
    <row r="476" spans="13:13" ht="15.75" customHeight="1">
      <c r="M476" s="558"/>
    </row>
    <row r="477" spans="13:13" ht="15.75" customHeight="1">
      <c r="M477" s="558"/>
    </row>
    <row r="478" spans="13:13" ht="15.75" customHeight="1">
      <c r="M478" s="558"/>
    </row>
    <row r="479" spans="13:13" ht="15.75" customHeight="1">
      <c r="M479" s="558"/>
    </row>
    <row r="480" spans="13:13" ht="15.75" customHeight="1">
      <c r="M480" s="558"/>
    </row>
    <row r="481" spans="13:13" ht="15.75" customHeight="1">
      <c r="M481" s="558"/>
    </row>
    <row r="482" spans="13:13" ht="15.75" customHeight="1">
      <c r="M482" s="558"/>
    </row>
    <row r="483" spans="13:13" ht="15.75" customHeight="1">
      <c r="M483" s="558"/>
    </row>
    <row r="484" spans="13:13" ht="15.75" customHeight="1">
      <c r="M484" s="558"/>
    </row>
    <row r="485" spans="13:13" ht="15.75" customHeight="1">
      <c r="M485" s="558"/>
    </row>
    <row r="486" spans="13:13" ht="15.75" customHeight="1">
      <c r="M486" s="558"/>
    </row>
    <row r="487" spans="13:13" ht="15.75" customHeight="1">
      <c r="M487" s="558"/>
    </row>
    <row r="488" spans="13:13" ht="15.75" customHeight="1">
      <c r="M488" s="558"/>
    </row>
    <row r="489" spans="13:13" ht="15.75" customHeight="1">
      <c r="M489" s="558"/>
    </row>
    <row r="490" spans="13:13" ht="15.75" customHeight="1">
      <c r="M490" s="558"/>
    </row>
    <row r="491" spans="13:13" ht="15.75" customHeight="1">
      <c r="M491" s="558"/>
    </row>
    <row r="492" spans="13:13" ht="15.75" customHeight="1">
      <c r="M492" s="558"/>
    </row>
    <row r="493" spans="13:13" ht="15.75" customHeight="1">
      <c r="M493" s="558"/>
    </row>
    <row r="494" spans="13:13" ht="15.75" customHeight="1">
      <c r="M494" s="558"/>
    </row>
    <row r="495" spans="13:13" ht="15.75" customHeight="1">
      <c r="M495" s="558"/>
    </row>
    <row r="496" spans="13:13" ht="15.75" customHeight="1">
      <c r="M496" s="558"/>
    </row>
    <row r="497" spans="13:13" ht="15.75" customHeight="1">
      <c r="M497" s="558"/>
    </row>
    <row r="498" spans="13:13" ht="15.75" customHeight="1">
      <c r="M498" s="558"/>
    </row>
    <row r="499" spans="13:13" ht="15.75" customHeight="1">
      <c r="M499" s="558"/>
    </row>
    <row r="500" spans="13:13" ht="15.75" customHeight="1">
      <c r="M500" s="558"/>
    </row>
    <row r="501" spans="13:13" ht="15.75" customHeight="1">
      <c r="M501" s="558"/>
    </row>
    <row r="502" spans="13:13" ht="15.75" customHeight="1">
      <c r="M502" s="558"/>
    </row>
    <row r="503" spans="13:13" ht="15.75" customHeight="1">
      <c r="M503" s="558"/>
    </row>
    <row r="504" spans="13:13" ht="15.75" customHeight="1">
      <c r="M504" s="558"/>
    </row>
    <row r="505" spans="13:13" ht="15.75" customHeight="1">
      <c r="M505" s="558"/>
    </row>
    <row r="506" spans="13:13" ht="15.75" customHeight="1">
      <c r="M506" s="558"/>
    </row>
    <row r="507" spans="13:13" ht="15.75" customHeight="1">
      <c r="M507" s="558"/>
    </row>
    <row r="508" spans="13:13" ht="15.75" customHeight="1">
      <c r="M508" s="558"/>
    </row>
    <row r="509" spans="13:13" ht="15.75" customHeight="1">
      <c r="M509" s="558"/>
    </row>
    <row r="510" spans="13:13" ht="15.75" customHeight="1">
      <c r="M510" s="558"/>
    </row>
    <row r="511" spans="13:13" ht="15.75" customHeight="1">
      <c r="M511" s="558"/>
    </row>
    <row r="512" spans="13:13" ht="15.75" customHeight="1">
      <c r="M512" s="558"/>
    </row>
    <row r="513" spans="13:13" ht="15.75" customHeight="1">
      <c r="M513" s="558"/>
    </row>
    <row r="514" spans="13:13" ht="15.75" customHeight="1">
      <c r="M514" s="558"/>
    </row>
    <row r="515" spans="13:13" ht="15.75" customHeight="1">
      <c r="M515" s="558"/>
    </row>
    <row r="516" spans="13:13" ht="15.75" customHeight="1">
      <c r="M516" s="558"/>
    </row>
    <row r="517" spans="13:13" ht="15.75" customHeight="1">
      <c r="M517" s="558"/>
    </row>
    <row r="518" spans="13:13" ht="15.75" customHeight="1">
      <c r="M518" s="558"/>
    </row>
    <row r="519" spans="13:13" ht="15.75" customHeight="1">
      <c r="M519" s="558"/>
    </row>
    <row r="520" spans="13:13" ht="15.75" customHeight="1">
      <c r="M520" s="558"/>
    </row>
    <row r="521" spans="13:13" ht="15.75" customHeight="1">
      <c r="M521" s="558"/>
    </row>
    <row r="522" spans="13:13" ht="15.75" customHeight="1">
      <c r="M522" s="558"/>
    </row>
    <row r="523" spans="13:13" ht="15.75" customHeight="1">
      <c r="M523" s="558"/>
    </row>
    <row r="524" spans="13:13" ht="15.75" customHeight="1">
      <c r="M524" s="558"/>
    </row>
    <row r="525" spans="13:13" ht="15.75" customHeight="1">
      <c r="M525" s="558"/>
    </row>
    <row r="526" spans="13:13" ht="15.75" customHeight="1">
      <c r="M526" s="558"/>
    </row>
    <row r="527" spans="13:13" ht="15.75" customHeight="1">
      <c r="M527" s="558"/>
    </row>
    <row r="528" spans="13:13" ht="15.75" customHeight="1">
      <c r="M528" s="558"/>
    </row>
    <row r="529" spans="13:13" ht="15.75" customHeight="1">
      <c r="M529" s="558"/>
    </row>
    <row r="530" spans="13:13" ht="15.75" customHeight="1">
      <c r="M530" s="558"/>
    </row>
    <row r="531" spans="13:13" ht="15.75" customHeight="1">
      <c r="M531" s="558"/>
    </row>
    <row r="532" spans="13:13" ht="15.75" customHeight="1">
      <c r="M532" s="558"/>
    </row>
    <row r="533" spans="13:13" ht="15.75" customHeight="1">
      <c r="M533" s="558"/>
    </row>
    <row r="534" spans="13:13" ht="15.75" customHeight="1">
      <c r="M534" s="558"/>
    </row>
    <row r="535" spans="13:13" ht="15.75" customHeight="1">
      <c r="M535" s="558"/>
    </row>
    <row r="536" spans="13:13" ht="15.75" customHeight="1">
      <c r="M536" s="558"/>
    </row>
    <row r="537" spans="13:13" ht="15.75" customHeight="1">
      <c r="M537" s="558"/>
    </row>
    <row r="538" spans="13:13" ht="15.75" customHeight="1">
      <c r="M538" s="558"/>
    </row>
    <row r="539" spans="13:13" ht="15.75" customHeight="1">
      <c r="M539" s="558"/>
    </row>
    <row r="540" spans="13:13" ht="15.75" customHeight="1">
      <c r="M540" s="558"/>
    </row>
    <row r="541" spans="13:13" ht="15.75" customHeight="1">
      <c r="M541" s="558"/>
    </row>
    <row r="542" spans="13:13" ht="15.75" customHeight="1">
      <c r="M542" s="558"/>
    </row>
    <row r="543" spans="13:13" ht="15.75" customHeight="1">
      <c r="M543" s="558"/>
    </row>
    <row r="544" spans="13:13" ht="15.75" customHeight="1">
      <c r="M544" s="558"/>
    </row>
    <row r="545" spans="13:13" ht="15.75" customHeight="1">
      <c r="M545" s="558"/>
    </row>
    <row r="546" spans="13:13" ht="15.75" customHeight="1">
      <c r="M546" s="558"/>
    </row>
    <row r="547" spans="13:13" ht="15.75" customHeight="1">
      <c r="M547" s="558"/>
    </row>
    <row r="548" spans="13:13" ht="15.75" customHeight="1">
      <c r="M548" s="558"/>
    </row>
    <row r="549" spans="13:13" ht="15.75" customHeight="1">
      <c r="M549" s="558"/>
    </row>
    <row r="550" spans="13:13" ht="15.75" customHeight="1">
      <c r="M550" s="558"/>
    </row>
    <row r="551" spans="13:13" ht="15.75" customHeight="1">
      <c r="M551" s="558"/>
    </row>
    <row r="552" spans="13:13" ht="15.75" customHeight="1">
      <c r="M552" s="558"/>
    </row>
    <row r="553" spans="13:13" ht="15.75" customHeight="1">
      <c r="M553" s="558"/>
    </row>
    <row r="554" spans="13:13" ht="15.75" customHeight="1">
      <c r="M554" s="558"/>
    </row>
    <row r="555" spans="13:13" ht="15.75" customHeight="1">
      <c r="M555" s="558"/>
    </row>
    <row r="556" spans="13:13" ht="15.75" customHeight="1">
      <c r="M556" s="558"/>
    </row>
    <row r="557" spans="13:13" ht="15.75" customHeight="1">
      <c r="M557" s="558"/>
    </row>
    <row r="558" spans="13:13" ht="15.75" customHeight="1">
      <c r="M558" s="558"/>
    </row>
    <row r="559" spans="13:13" ht="15.75" customHeight="1">
      <c r="M559" s="558"/>
    </row>
    <row r="560" spans="13:13" ht="15.75" customHeight="1">
      <c r="M560" s="558"/>
    </row>
    <row r="561" spans="13:13" ht="15.75" customHeight="1">
      <c r="M561" s="558"/>
    </row>
    <row r="562" spans="13:13" ht="15.75" customHeight="1">
      <c r="M562" s="558"/>
    </row>
    <row r="563" spans="13:13" ht="15.75" customHeight="1">
      <c r="M563" s="558"/>
    </row>
    <row r="564" spans="13:13" ht="15.75" customHeight="1">
      <c r="M564" s="558"/>
    </row>
    <row r="565" spans="13:13" ht="15.75" customHeight="1">
      <c r="M565" s="558"/>
    </row>
    <row r="566" spans="13:13" ht="15.75" customHeight="1">
      <c r="M566" s="558"/>
    </row>
    <row r="567" spans="13:13" ht="15.75" customHeight="1">
      <c r="M567" s="558"/>
    </row>
    <row r="568" spans="13:13" ht="15.75" customHeight="1">
      <c r="M568" s="558"/>
    </row>
    <row r="569" spans="13:13" ht="15.75" customHeight="1">
      <c r="M569" s="558"/>
    </row>
    <row r="570" spans="13:13" ht="15.75" customHeight="1">
      <c r="M570" s="558"/>
    </row>
    <row r="571" spans="13:13" ht="15.75" customHeight="1">
      <c r="M571" s="558"/>
    </row>
    <row r="572" spans="13:13" ht="15.75" customHeight="1">
      <c r="M572" s="558"/>
    </row>
    <row r="573" spans="13:13" ht="15.75" customHeight="1">
      <c r="M573" s="558"/>
    </row>
    <row r="574" spans="13:13" ht="15.75" customHeight="1">
      <c r="M574" s="558"/>
    </row>
    <row r="575" spans="13:13" ht="15.75" customHeight="1">
      <c r="M575" s="558"/>
    </row>
    <row r="576" spans="13:13" ht="15.75" customHeight="1">
      <c r="M576" s="558"/>
    </row>
    <row r="577" spans="13:13" ht="15.75" customHeight="1">
      <c r="M577" s="558"/>
    </row>
    <row r="578" spans="13:13" ht="15.75" customHeight="1">
      <c r="M578" s="558"/>
    </row>
    <row r="579" spans="13:13" ht="15.75" customHeight="1">
      <c r="M579" s="558"/>
    </row>
    <row r="580" spans="13:13" ht="15.75" customHeight="1">
      <c r="M580" s="558"/>
    </row>
    <row r="581" spans="13:13" ht="15.75" customHeight="1">
      <c r="M581" s="558"/>
    </row>
    <row r="582" spans="13:13" ht="15.75" customHeight="1">
      <c r="M582" s="558"/>
    </row>
    <row r="583" spans="13:13" ht="15.75" customHeight="1">
      <c r="M583" s="558"/>
    </row>
    <row r="584" spans="13:13" ht="15.75" customHeight="1">
      <c r="M584" s="558"/>
    </row>
    <row r="585" spans="13:13" ht="15.75" customHeight="1">
      <c r="M585" s="558"/>
    </row>
    <row r="586" spans="13:13" ht="15.75" customHeight="1">
      <c r="M586" s="558"/>
    </row>
    <row r="587" spans="13:13" ht="15.75" customHeight="1">
      <c r="M587" s="558"/>
    </row>
    <row r="588" spans="13:13" ht="15.75" customHeight="1">
      <c r="M588" s="558"/>
    </row>
    <row r="589" spans="13:13" ht="15.75" customHeight="1">
      <c r="M589" s="558"/>
    </row>
    <row r="590" spans="13:13" ht="15.75" customHeight="1">
      <c r="M590" s="558"/>
    </row>
    <row r="591" spans="13:13" ht="15.75" customHeight="1">
      <c r="M591" s="558"/>
    </row>
    <row r="592" spans="13:13" ht="15.75" customHeight="1">
      <c r="M592" s="558"/>
    </row>
    <row r="593" spans="13:13" ht="15.75" customHeight="1">
      <c r="M593" s="558"/>
    </row>
    <row r="594" spans="13:13" ht="15.75" customHeight="1">
      <c r="M594" s="558"/>
    </row>
    <row r="595" spans="13:13" ht="15.75" customHeight="1">
      <c r="M595" s="558"/>
    </row>
    <row r="596" spans="13:13" ht="15.75" customHeight="1">
      <c r="M596" s="558"/>
    </row>
    <row r="597" spans="13:13" ht="15.75" customHeight="1">
      <c r="M597" s="558"/>
    </row>
    <row r="598" spans="13:13" ht="15.75" customHeight="1">
      <c r="M598" s="558"/>
    </row>
    <row r="599" spans="13:13" ht="15.75" customHeight="1">
      <c r="M599" s="558"/>
    </row>
    <row r="600" spans="13:13" ht="15.75" customHeight="1">
      <c r="M600" s="558"/>
    </row>
    <row r="601" spans="13:13" ht="15.75" customHeight="1">
      <c r="M601" s="558"/>
    </row>
    <row r="602" spans="13:13" ht="15.75" customHeight="1">
      <c r="M602" s="558"/>
    </row>
    <row r="603" spans="13:13" ht="15.75" customHeight="1">
      <c r="M603" s="558"/>
    </row>
    <row r="604" spans="13:13" ht="15.75" customHeight="1">
      <c r="M604" s="558"/>
    </row>
    <row r="605" spans="13:13" ht="15.75" customHeight="1">
      <c r="M605" s="558"/>
    </row>
    <row r="606" spans="13:13" ht="15.75" customHeight="1">
      <c r="M606" s="558"/>
    </row>
    <row r="607" spans="13:13" ht="15.75" customHeight="1">
      <c r="M607" s="558"/>
    </row>
    <row r="608" spans="13:13" ht="15.75" customHeight="1">
      <c r="M608" s="558"/>
    </row>
    <row r="609" spans="13:13" ht="15.75" customHeight="1">
      <c r="M609" s="558"/>
    </row>
    <row r="610" spans="13:13" ht="15.75" customHeight="1">
      <c r="M610" s="558"/>
    </row>
    <row r="611" spans="13:13" ht="15.75" customHeight="1">
      <c r="M611" s="558"/>
    </row>
    <row r="612" spans="13:13" ht="15.75" customHeight="1">
      <c r="M612" s="558"/>
    </row>
    <row r="613" spans="13:13" ht="15.75" customHeight="1">
      <c r="M613" s="558"/>
    </row>
    <row r="614" spans="13:13" ht="15.75" customHeight="1">
      <c r="M614" s="558"/>
    </row>
    <row r="615" spans="13:13" ht="15.75" customHeight="1">
      <c r="M615" s="558"/>
    </row>
    <row r="616" spans="13:13" ht="15.75" customHeight="1">
      <c r="M616" s="558"/>
    </row>
    <row r="617" spans="13:13" ht="15.75" customHeight="1">
      <c r="M617" s="558"/>
    </row>
    <row r="618" spans="13:13" ht="15.75" customHeight="1">
      <c r="M618" s="558"/>
    </row>
    <row r="619" spans="13:13" ht="15.75" customHeight="1">
      <c r="M619" s="558"/>
    </row>
    <row r="620" spans="13:13" ht="15.75" customHeight="1">
      <c r="M620" s="558"/>
    </row>
    <row r="621" spans="13:13" ht="15.75" customHeight="1">
      <c r="M621" s="558"/>
    </row>
    <row r="622" spans="13:13" ht="15.75" customHeight="1">
      <c r="M622" s="558"/>
    </row>
    <row r="623" spans="13:13" ht="15.75" customHeight="1">
      <c r="M623" s="558"/>
    </row>
    <row r="624" spans="13:13" ht="15.75" customHeight="1">
      <c r="M624" s="558"/>
    </row>
    <row r="625" spans="13:13" ht="15.75" customHeight="1">
      <c r="M625" s="558"/>
    </row>
    <row r="626" spans="13:13" ht="15.75" customHeight="1">
      <c r="M626" s="558"/>
    </row>
    <row r="627" spans="13:13" ht="15.75" customHeight="1">
      <c r="M627" s="558"/>
    </row>
    <row r="628" spans="13:13" ht="15.75" customHeight="1">
      <c r="M628" s="558"/>
    </row>
    <row r="629" spans="13:13" ht="15.75" customHeight="1">
      <c r="M629" s="558"/>
    </row>
    <row r="630" spans="13:13" ht="15.75" customHeight="1">
      <c r="M630" s="558"/>
    </row>
    <row r="631" spans="13:13" ht="15.75" customHeight="1">
      <c r="M631" s="558"/>
    </row>
    <row r="632" spans="13:13" ht="15.75" customHeight="1">
      <c r="M632" s="558"/>
    </row>
    <row r="633" spans="13:13" ht="15.75" customHeight="1">
      <c r="M633" s="558"/>
    </row>
    <row r="634" spans="13:13" ht="15.75" customHeight="1">
      <c r="M634" s="558"/>
    </row>
    <row r="635" spans="13:13" ht="15.75" customHeight="1">
      <c r="M635" s="558"/>
    </row>
    <row r="636" spans="13:13" ht="15.75" customHeight="1">
      <c r="M636" s="558"/>
    </row>
    <row r="637" spans="13:13" ht="15.75" customHeight="1">
      <c r="M637" s="558"/>
    </row>
    <row r="638" spans="13:13" ht="15.75" customHeight="1">
      <c r="M638" s="558"/>
    </row>
    <row r="639" spans="13:13" ht="15.75" customHeight="1">
      <c r="M639" s="558"/>
    </row>
    <row r="640" spans="13:13" ht="15.75" customHeight="1">
      <c r="M640" s="558"/>
    </row>
    <row r="641" spans="13:13" ht="15.75" customHeight="1">
      <c r="M641" s="558"/>
    </row>
    <row r="642" spans="13:13" ht="15.75" customHeight="1">
      <c r="M642" s="558"/>
    </row>
    <row r="643" spans="13:13" ht="15.75" customHeight="1">
      <c r="M643" s="558"/>
    </row>
    <row r="644" spans="13:13" ht="15.75" customHeight="1">
      <c r="M644" s="558"/>
    </row>
    <row r="645" spans="13:13" ht="15.75" customHeight="1">
      <c r="M645" s="558"/>
    </row>
    <row r="646" spans="13:13" ht="15.75" customHeight="1">
      <c r="M646" s="558"/>
    </row>
    <row r="647" spans="13:13" ht="15.75" customHeight="1">
      <c r="M647" s="558"/>
    </row>
    <row r="648" spans="13:13" ht="15.75" customHeight="1">
      <c r="M648" s="558"/>
    </row>
    <row r="649" spans="13:13" ht="15.75" customHeight="1">
      <c r="M649" s="558"/>
    </row>
    <row r="650" spans="13:13" ht="15.75" customHeight="1">
      <c r="M650" s="558"/>
    </row>
    <row r="651" spans="13:13" ht="15.75" customHeight="1">
      <c r="M651" s="558"/>
    </row>
    <row r="652" spans="13:13" ht="15.75" customHeight="1">
      <c r="M652" s="558"/>
    </row>
    <row r="653" spans="13:13" ht="15.75" customHeight="1">
      <c r="M653" s="558"/>
    </row>
    <row r="654" spans="13:13" ht="15.75" customHeight="1">
      <c r="M654" s="558"/>
    </row>
    <row r="655" spans="13:13" ht="15.75" customHeight="1">
      <c r="M655" s="558"/>
    </row>
    <row r="656" spans="13:13" ht="15.75" customHeight="1">
      <c r="M656" s="558"/>
    </row>
    <row r="657" spans="13:13" ht="15.75" customHeight="1">
      <c r="M657" s="558"/>
    </row>
    <row r="658" spans="13:13" ht="15.75" customHeight="1">
      <c r="M658" s="558"/>
    </row>
    <row r="659" spans="13:13" ht="15.75" customHeight="1">
      <c r="M659" s="558"/>
    </row>
    <row r="660" spans="13:13" ht="15.75" customHeight="1">
      <c r="M660" s="558"/>
    </row>
    <row r="661" spans="13:13" ht="15.75" customHeight="1">
      <c r="M661" s="558"/>
    </row>
    <row r="662" spans="13:13" ht="15.75" customHeight="1">
      <c r="M662" s="558"/>
    </row>
    <row r="663" spans="13:13" ht="15.75" customHeight="1">
      <c r="M663" s="558"/>
    </row>
    <row r="664" spans="13:13" ht="15.75" customHeight="1">
      <c r="M664" s="558"/>
    </row>
    <row r="665" spans="13:13" ht="15.75" customHeight="1">
      <c r="M665" s="558"/>
    </row>
    <row r="666" spans="13:13" ht="15.75" customHeight="1">
      <c r="M666" s="558"/>
    </row>
    <row r="667" spans="13:13" ht="15.75" customHeight="1">
      <c r="M667" s="558"/>
    </row>
    <row r="668" spans="13:13" ht="15.75" customHeight="1">
      <c r="M668" s="558"/>
    </row>
    <row r="669" spans="13:13" ht="15.75" customHeight="1">
      <c r="M669" s="558"/>
    </row>
    <row r="670" spans="13:13" ht="15.75" customHeight="1">
      <c r="M670" s="558"/>
    </row>
    <row r="671" spans="13:13" ht="15.75" customHeight="1">
      <c r="M671" s="558"/>
    </row>
    <row r="672" spans="13:13" ht="15.75" customHeight="1">
      <c r="M672" s="558"/>
    </row>
    <row r="673" spans="13:13" ht="15.75" customHeight="1">
      <c r="M673" s="558"/>
    </row>
    <row r="674" spans="13:13" ht="15.75" customHeight="1">
      <c r="M674" s="558"/>
    </row>
    <row r="675" spans="13:13" ht="15.75" customHeight="1">
      <c r="M675" s="558"/>
    </row>
    <row r="676" spans="13:13" ht="15.75" customHeight="1">
      <c r="M676" s="558"/>
    </row>
    <row r="677" spans="13:13" ht="15.75" customHeight="1">
      <c r="M677" s="558"/>
    </row>
    <row r="678" spans="13:13" ht="15.75" customHeight="1">
      <c r="M678" s="558"/>
    </row>
    <row r="679" spans="13:13" ht="15.75" customHeight="1">
      <c r="M679" s="558"/>
    </row>
    <row r="680" spans="13:13" ht="15.75" customHeight="1">
      <c r="M680" s="558"/>
    </row>
    <row r="681" spans="13:13" ht="15.75" customHeight="1">
      <c r="M681" s="558"/>
    </row>
    <row r="682" spans="13:13" ht="15.75" customHeight="1">
      <c r="M682" s="558"/>
    </row>
    <row r="683" spans="13:13" ht="15.75" customHeight="1">
      <c r="M683" s="558"/>
    </row>
    <row r="684" spans="13:13" ht="15.75" customHeight="1">
      <c r="M684" s="558"/>
    </row>
    <row r="685" spans="13:13" ht="15.75" customHeight="1">
      <c r="M685" s="558"/>
    </row>
    <row r="686" spans="13:13" ht="15.75" customHeight="1">
      <c r="M686" s="558"/>
    </row>
    <row r="687" spans="13:13" ht="15.75" customHeight="1">
      <c r="M687" s="558"/>
    </row>
    <row r="688" spans="13:13" ht="15.75" customHeight="1">
      <c r="M688" s="558"/>
    </row>
    <row r="689" spans="13:13" ht="15.75" customHeight="1">
      <c r="M689" s="558"/>
    </row>
    <row r="690" spans="13:13" ht="15.75" customHeight="1">
      <c r="M690" s="558"/>
    </row>
    <row r="691" spans="13:13" ht="15.75" customHeight="1">
      <c r="M691" s="558"/>
    </row>
    <row r="692" spans="13:13" ht="15.75" customHeight="1">
      <c r="M692" s="558"/>
    </row>
    <row r="693" spans="13:13" ht="15.75" customHeight="1">
      <c r="M693" s="558"/>
    </row>
    <row r="694" spans="13:13" ht="15.75" customHeight="1">
      <c r="M694" s="558"/>
    </row>
    <row r="695" spans="13:13" ht="15.75" customHeight="1">
      <c r="M695" s="558"/>
    </row>
    <row r="696" spans="13:13" ht="15.75" customHeight="1">
      <c r="M696" s="558"/>
    </row>
    <row r="697" spans="13:13" ht="15.75" customHeight="1">
      <c r="M697" s="558"/>
    </row>
    <row r="698" spans="13:13" ht="15.75" customHeight="1">
      <c r="M698" s="558"/>
    </row>
    <row r="699" spans="13:13" ht="15.75" customHeight="1">
      <c r="M699" s="558"/>
    </row>
    <row r="700" spans="13:13" ht="15.75" customHeight="1">
      <c r="M700" s="558"/>
    </row>
    <row r="701" spans="13:13" ht="15.75" customHeight="1">
      <c r="M701" s="558"/>
    </row>
    <row r="702" spans="13:13" ht="15.75" customHeight="1">
      <c r="M702" s="558"/>
    </row>
    <row r="703" spans="13:13" ht="15.75" customHeight="1">
      <c r="M703" s="558"/>
    </row>
    <row r="704" spans="13:13" ht="15.75" customHeight="1">
      <c r="M704" s="558"/>
    </row>
    <row r="705" spans="13:13" ht="15.75" customHeight="1">
      <c r="M705" s="558"/>
    </row>
    <row r="706" spans="13:13" ht="15.75" customHeight="1">
      <c r="M706" s="558"/>
    </row>
    <row r="707" spans="13:13" ht="15.75" customHeight="1">
      <c r="M707" s="558"/>
    </row>
    <row r="708" spans="13:13" ht="15.75" customHeight="1">
      <c r="M708" s="558"/>
    </row>
    <row r="709" spans="13:13" ht="15.75" customHeight="1">
      <c r="M709" s="558"/>
    </row>
    <row r="710" spans="13:13" ht="15.75" customHeight="1">
      <c r="M710" s="558"/>
    </row>
    <row r="711" spans="13:13" ht="15.75" customHeight="1">
      <c r="M711" s="558"/>
    </row>
    <row r="712" spans="13:13" ht="15.75" customHeight="1">
      <c r="M712" s="558"/>
    </row>
    <row r="713" spans="13:13" ht="15.75" customHeight="1">
      <c r="M713" s="558"/>
    </row>
    <row r="714" spans="13:13" ht="15.75" customHeight="1">
      <c r="M714" s="558"/>
    </row>
    <row r="715" spans="13:13" ht="15.75" customHeight="1">
      <c r="M715" s="558"/>
    </row>
    <row r="716" spans="13:13" ht="15.75" customHeight="1">
      <c r="M716" s="558"/>
    </row>
    <row r="717" spans="13:13" ht="15.75" customHeight="1">
      <c r="M717" s="558"/>
    </row>
    <row r="718" spans="13:13" ht="15.75" customHeight="1">
      <c r="M718" s="558"/>
    </row>
    <row r="719" spans="13:13" ht="15.75" customHeight="1">
      <c r="M719" s="558"/>
    </row>
    <row r="720" spans="13:13" ht="15.75" customHeight="1">
      <c r="M720" s="558"/>
    </row>
    <row r="721" spans="13:13" ht="15.75" customHeight="1">
      <c r="M721" s="558"/>
    </row>
    <row r="722" spans="13:13" ht="15.75" customHeight="1">
      <c r="M722" s="558"/>
    </row>
    <row r="723" spans="13:13" ht="15.75" customHeight="1">
      <c r="M723" s="558"/>
    </row>
    <row r="724" spans="13:13" ht="15.75" customHeight="1">
      <c r="M724" s="558"/>
    </row>
    <row r="725" spans="13:13" ht="15.75" customHeight="1">
      <c r="M725" s="558"/>
    </row>
    <row r="726" spans="13:13" ht="15.75" customHeight="1">
      <c r="M726" s="558"/>
    </row>
    <row r="727" spans="13:13" ht="15.75" customHeight="1">
      <c r="M727" s="558"/>
    </row>
    <row r="728" spans="13:13" ht="15.75" customHeight="1">
      <c r="M728" s="558"/>
    </row>
    <row r="729" spans="13:13" ht="15.75" customHeight="1">
      <c r="M729" s="558"/>
    </row>
    <row r="730" spans="13:13" ht="15.75" customHeight="1">
      <c r="M730" s="558"/>
    </row>
    <row r="731" spans="13:13" ht="15.75" customHeight="1">
      <c r="M731" s="558"/>
    </row>
    <row r="732" spans="13:13" ht="15.75" customHeight="1">
      <c r="M732" s="558"/>
    </row>
    <row r="733" spans="13:13" ht="15.75" customHeight="1">
      <c r="M733" s="558"/>
    </row>
    <row r="734" spans="13:13" ht="15.75" customHeight="1">
      <c r="M734" s="558"/>
    </row>
    <row r="735" spans="13:13" ht="15.75" customHeight="1">
      <c r="M735" s="558"/>
    </row>
    <row r="736" spans="13:13" ht="15.75" customHeight="1">
      <c r="M736" s="558"/>
    </row>
    <row r="737" spans="13:13" ht="15.75" customHeight="1">
      <c r="M737" s="558"/>
    </row>
    <row r="738" spans="13:13" ht="15.75" customHeight="1">
      <c r="M738" s="558"/>
    </row>
    <row r="739" spans="13:13" ht="15.75" customHeight="1">
      <c r="M739" s="558"/>
    </row>
    <row r="740" spans="13:13" ht="15.75" customHeight="1">
      <c r="M740" s="558"/>
    </row>
    <row r="741" spans="13:13" ht="15.75" customHeight="1">
      <c r="M741" s="558"/>
    </row>
    <row r="742" spans="13:13" ht="15.75" customHeight="1">
      <c r="M742" s="558"/>
    </row>
    <row r="743" spans="13:13" ht="15.75" customHeight="1">
      <c r="M743" s="558"/>
    </row>
    <row r="744" spans="13:13" ht="15.75" customHeight="1">
      <c r="M744" s="558"/>
    </row>
    <row r="745" spans="13:13" ht="15.75" customHeight="1">
      <c r="M745" s="558"/>
    </row>
    <row r="746" spans="13:13" ht="15.75" customHeight="1">
      <c r="M746" s="558"/>
    </row>
    <row r="747" spans="13:13" ht="15.75" customHeight="1">
      <c r="M747" s="558"/>
    </row>
    <row r="748" spans="13:13" ht="15.75" customHeight="1">
      <c r="M748" s="558"/>
    </row>
    <row r="749" spans="13:13" ht="15.75" customHeight="1">
      <c r="M749" s="558"/>
    </row>
    <row r="750" spans="13:13" ht="15.75" customHeight="1">
      <c r="M750" s="558"/>
    </row>
    <row r="751" spans="13:13" ht="15.75" customHeight="1">
      <c r="M751" s="558"/>
    </row>
    <row r="752" spans="13:13" ht="15.75" customHeight="1">
      <c r="M752" s="558"/>
    </row>
    <row r="753" spans="13:13" ht="15.75" customHeight="1">
      <c r="M753" s="558"/>
    </row>
    <row r="754" spans="13:13" ht="15.75" customHeight="1">
      <c r="M754" s="558"/>
    </row>
    <row r="755" spans="13:13" ht="15.75" customHeight="1">
      <c r="M755" s="558"/>
    </row>
    <row r="756" spans="13:13" ht="15.75" customHeight="1">
      <c r="M756" s="558"/>
    </row>
    <row r="757" spans="13:13" ht="15.75" customHeight="1">
      <c r="M757" s="558"/>
    </row>
    <row r="758" spans="13:13" ht="15.75" customHeight="1">
      <c r="M758" s="558"/>
    </row>
    <row r="759" spans="13:13" ht="15.75" customHeight="1">
      <c r="M759" s="558"/>
    </row>
    <row r="760" spans="13:13" ht="15.75" customHeight="1">
      <c r="M760" s="558"/>
    </row>
    <row r="761" spans="13:13" ht="15.75" customHeight="1">
      <c r="M761" s="558"/>
    </row>
    <row r="762" spans="13:13" ht="15.75" customHeight="1">
      <c r="M762" s="558"/>
    </row>
    <row r="763" spans="13:13" ht="15.75" customHeight="1">
      <c r="M763" s="558"/>
    </row>
    <row r="764" spans="13:13" ht="15.75" customHeight="1">
      <c r="M764" s="558"/>
    </row>
    <row r="765" spans="13:13" ht="15.75" customHeight="1">
      <c r="M765" s="558"/>
    </row>
    <row r="766" spans="13:13" ht="15.75" customHeight="1">
      <c r="M766" s="558"/>
    </row>
    <row r="767" spans="13:13" ht="15.75" customHeight="1">
      <c r="M767" s="558"/>
    </row>
    <row r="768" spans="13:13" ht="15.75" customHeight="1">
      <c r="M768" s="558"/>
    </row>
    <row r="769" spans="13:13" ht="15.75" customHeight="1">
      <c r="M769" s="558"/>
    </row>
    <row r="770" spans="13:13" ht="15.75" customHeight="1">
      <c r="M770" s="558"/>
    </row>
    <row r="771" spans="13:13" ht="15.75" customHeight="1">
      <c r="M771" s="558"/>
    </row>
    <row r="772" spans="13:13" ht="15.75" customHeight="1">
      <c r="M772" s="558"/>
    </row>
    <row r="773" spans="13:13" ht="15.75" customHeight="1">
      <c r="M773" s="558"/>
    </row>
    <row r="774" spans="13:13" ht="15.75" customHeight="1">
      <c r="M774" s="558"/>
    </row>
    <row r="775" spans="13:13" ht="15.75" customHeight="1">
      <c r="M775" s="558"/>
    </row>
    <row r="776" spans="13:13" ht="15.75" customHeight="1">
      <c r="M776" s="558"/>
    </row>
    <row r="777" spans="13:13" ht="15.75" customHeight="1">
      <c r="M777" s="558"/>
    </row>
    <row r="778" spans="13:13" ht="15.75" customHeight="1">
      <c r="M778" s="558"/>
    </row>
    <row r="779" spans="13:13" ht="15.75" customHeight="1">
      <c r="M779" s="558"/>
    </row>
    <row r="780" spans="13:13" ht="15.75" customHeight="1">
      <c r="M780" s="558"/>
    </row>
    <row r="781" spans="13:13" ht="15.75" customHeight="1">
      <c r="M781" s="558"/>
    </row>
    <row r="782" spans="13:13" ht="15.75" customHeight="1">
      <c r="M782" s="558"/>
    </row>
    <row r="783" spans="13:13" ht="15.75" customHeight="1">
      <c r="M783" s="558"/>
    </row>
    <row r="784" spans="13:13" ht="15.75" customHeight="1">
      <c r="M784" s="558"/>
    </row>
    <row r="785" spans="13:13" ht="15.75" customHeight="1">
      <c r="M785" s="558"/>
    </row>
    <row r="786" spans="13:13" ht="15.75" customHeight="1">
      <c r="M786" s="558"/>
    </row>
    <row r="787" spans="13:13" ht="15.75" customHeight="1">
      <c r="M787" s="558"/>
    </row>
    <row r="788" spans="13:13" ht="15.75" customHeight="1">
      <c r="M788" s="558"/>
    </row>
    <row r="789" spans="13:13" ht="15.75" customHeight="1">
      <c r="M789" s="558"/>
    </row>
    <row r="790" spans="13:13" ht="15.75" customHeight="1">
      <c r="M790" s="558"/>
    </row>
    <row r="791" spans="13:13" ht="15.75" customHeight="1">
      <c r="M791" s="558"/>
    </row>
    <row r="792" spans="13:13" ht="15.75" customHeight="1">
      <c r="M792" s="558"/>
    </row>
    <row r="793" spans="13:13" ht="15.75" customHeight="1">
      <c r="M793" s="558"/>
    </row>
    <row r="794" spans="13:13" ht="15.75" customHeight="1">
      <c r="M794" s="558"/>
    </row>
    <row r="795" spans="13:13" ht="15.75" customHeight="1">
      <c r="M795" s="558"/>
    </row>
    <row r="796" spans="13:13" ht="15.75" customHeight="1">
      <c r="M796" s="558"/>
    </row>
    <row r="797" spans="13:13" ht="15.75" customHeight="1">
      <c r="M797" s="558"/>
    </row>
    <row r="798" spans="13:13" ht="15.75" customHeight="1">
      <c r="M798" s="558"/>
    </row>
    <row r="799" spans="13:13" ht="15.75" customHeight="1">
      <c r="M799" s="558"/>
    </row>
    <row r="800" spans="13:13" ht="15.75" customHeight="1">
      <c r="M800" s="558"/>
    </row>
    <row r="801" spans="13:13" ht="15.75" customHeight="1">
      <c r="M801" s="558"/>
    </row>
    <row r="802" spans="13:13" ht="15.75" customHeight="1">
      <c r="M802" s="558"/>
    </row>
    <row r="803" spans="13:13" ht="15.75" customHeight="1">
      <c r="M803" s="558"/>
    </row>
    <row r="804" spans="13:13" ht="15.75" customHeight="1">
      <c r="M804" s="558"/>
    </row>
    <row r="805" spans="13:13" ht="15.75" customHeight="1">
      <c r="M805" s="558"/>
    </row>
    <row r="806" spans="13:13" ht="15.75" customHeight="1">
      <c r="M806" s="558"/>
    </row>
    <row r="807" spans="13:13" ht="15.75" customHeight="1">
      <c r="M807" s="558"/>
    </row>
    <row r="808" spans="13:13" ht="15.75" customHeight="1">
      <c r="M808" s="558"/>
    </row>
    <row r="809" spans="13:13" ht="15.75" customHeight="1">
      <c r="M809" s="558"/>
    </row>
    <row r="810" spans="13:13" ht="15.75" customHeight="1">
      <c r="M810" s="558"/>
    </row>
    <row r="811" spans="13:13" ht="15.75" customHeight="1">
      <c r="M811" s="558"/>
    </row>
    <row r="812" spans="13:13" ht="15.75" customHeight="1">
      <c r="M812" s="558"/>
    </row>
    <row r="813" spans="13:13" ht="15.75" customHeight="1">
      <c r="M813" s="558"/>
    </row>
    <row r="814" spans="13:13" ht="15.75" customHeight="1">
      <c r="M814" s="558"/>
    </row>
    <row r="815" spans="13:13" ht="15.75" customHeight="1">
      <c r="M815" s="558"/>
    </row>
    <row r="816" spans="13:13" ht="15.75" customHeight="1">
      <c r="M816" s="558"/>
    </row>
    <row r="817" spans="13:13" ht="15.75" customHeight="1">
      <c r="M817" s="558"/>
    </row>
    <row r="818" spans="13:13" ht="15.75" customHeight="1">
      <c r="M818" s="558"/>
    </row>
    <row r="819" spans="13:13" ht="15.75" customHeight="1">
      <c r="M819" s="558"/>
    </row>
    <row r="820" spans="13:13" ht="15.75" customHeight="1">
      <c r="M820" s="558"/>
    </row>
    <row r="821" spans="13:13" ht="15.75" customHeight="1">
      <c r="M821" s="558"/>
    </row>
    <row r="822" spans="13:13" ht="15.75" customHeight="1">
      <c r="M822" s="558"/>
    </row>
    <row r="823" spans="13:13" ht="15.75" customHeight="1">
      <c r="M823" s="558"/>
    </row>
    <row r="824" spans="13:13" ht="15.75" customHeight="1">
      <c r="M824" s="558"/>
    </row>
    <row r="825" spans="13:13" ht="15.75" customHeight="1">
      <c r="M825" s="558"/>
    </row>
    <row r="826" spans="13:13" ht="15.75" customHeight="1">
      <c r="M826" s="558"/>
    </row>
    <row r="827" spans="13:13" ht="15.75" customHeight="1">
      <c r="M827" s="558"/>
    </row>
    <row r="828" spans="13:13" ht="15.75" customHeight="1">
      <c r="M828" s="558"/>
    </row>
    <row r="829" spans="13:13" ht="15.75" customHeight="1">
      <c r="M829" s="558"/>
    </row>
    <row r="830" spans="13:13" ht="15.75" customHeight="1">
      <c r="M830" s="558"/>
    </row>
    <row r="831" spans="13:13" ht="15.75" customHeight="1">
      <c r="M831" s="558"/>
    </row>
    <row r="832" spans="13:13" ht="15.75" customHeight="1">
      <c r="M832" s="558"/>
    </row>
    <row r="833" spans="13:13" ht="15.75" customHeight="1">
      <c r="M833" s="558"/>
    </row>
    <row r="834" spans="13:13" ht="15.75" customHeight="1">
      <c r="M834" s="558"/>
    </row>
    <row r="835" spans="13:13" ht="15.75" customHeight="1">
      <c r="M835" s="558"/>
    </row>
    <row r="836" spans="13:13" ht="15.75" customHeight="1">
      <c r="M836" s="558"/>
    </row>
    <row r="837" spans="13:13" ht="15.75" customHeight="1">
      <c r="M837" s="558"/>
    </row>
    <row r="838" spans="13:13" ht="15.75" customHeight="1">
      <c r="M838" s="558"/>
    </row>
    <row r="839" spans="13:13" ht="15.75" customHeight="1">
      <c r="M839" s="558"/>
    </row>
    <row r="840" spans="13:13" ht="15.75" customHeight="1">
      <c r="M840" s="558"/>
    </row>
    <row r="841" spans="13:13" ht="15.75" customHeight="1">
      <c r="M841" s="558"/>
    </row>
    <row r="842" spans="13:13" ht="15.75" customHeight="1">
      <c r="M842" s="558"/>
    </row>
    <row r="843" spans="13:13" ht="15.75" customHeight="1">
      <c r="M843" s="558"/>
    </row>
    <row r="844" spans="13:13" ht="15.75" customHeight="1">
      <c r="M844" s="558"/>
    </row>
    <row r="845" spans="13:13" ht="15.75" customHeight="1">
      <c r="M845" s="558"/>
    </row>
    <row r="846" spans="13:13" ht="15.75" customHeight="1">
      <c r="M846" s="558"/>
    </row>
    <row r="847" spans="13:13" ht="15.75" customHeight="1">
      <c r="M847" s="558"/>
    </row>
    <row r="848" spans="13:13" ht="15.75" customHeight="1">
      <c r="M848" s="558"/>
    </row>
    <row r="849" spans="13:13" ht="15.75" customHeight="1">
      <c r="M849" s="558"/>
    </row>
    <row r="850" spans="13:13" ht="15.75" customHeight="1">
      <c r="M850" s="558"/>
    </row>
    <row r="851" spans="13:13" ht="15.75" customHeight="1">
      <c r="M851" s="558"/>
    </row>
    <row r="852" spans="13:13" ht="15.75" customHeight="1">
      <c r="M852" s="558"/>
    </row>
    <row r="853" spans="13:13" ht="15.75" customHeight="1">
      <c r="M853" s="558"/>
    </row>
    <row r="854" spans="13:13" ht="15.75" customHeight="1">
      <c r="M854" s="558"/>
    </row>
    <row r="855" spans="13:13" ht="15.75" customHeight="1">
      <c r="M855" s="558"/>
    </row>
    <row r="856" spans="13:13" ht="15.75" customHeight="1">
      <c r="M856" s="558"/>
    </row>
    <row r="857" spans="13:13" ht="15.75" customHeight="1">
      <c r="M857" s="558"/>
    </row>
    <row r="858" spans="13:13" ht="15.75" customHeight="1">
      <c r="M858" s="558"/>
    </row>
    <row r="859" spans="13:13" ht="15.75" customHeight="1">
      <c r="M859" s="558"/>
    </row>
    <row r="860" spans="13:13" ht="15.75" customHeight="1">
      <c r="M860" s="558"/>
    </row>
    <row r="861" spans="13:13" ht="15.75" customHeight="1">
      <c r="M861" s="558"/>
    </row>
    <row r="862" spans="13:13" ht="15.75" customHeight="1">
      <c r="M862" s="558"/>
    </row>
    <row r="863" spans="13:13" ht="15.75" customHeight="1">
      <c r="M863" s="558"/>
    </row>
    <row r="864" spans="13:13" ht="15.75" customHeight="1">
      <c r="M864" s="558"/>
    </row>
    <row r="865" spans="13:13" ht="15.75" customHeight="1">
      <c r="M865" s="558"/>
    </row>
    <row r="866" spans="13:13" ht="15.75" customHeight="1">
      <c r="M866" s="558"/>
    </row>
    <row r="867" spans="13:13" ht="15.75" customHeight="1">
      <c r="M867" s="558"/>
    </row>
    <row r="868" spans="13:13" ht="15.75" customHeight="1">
      <c r="M868" s="558"/>
    </row>
    <row r="869" spans="13:13" ht="15.75" customHeight="1">
      <c r="M869" s="558"/>
    </row>
    <row r="870" spans="13:13" ht="15.75" customHeight="1">
      <c r="M870" s="558"/>
    </row>
    <row r="871" spans="13:13" ht="15.75" customHeight="1">
      <c r="M871" s="558"/>
    </row>
    <row r="872" spans="13:13" ht="15.75" customHeight="1">
      <c r="M872" s="558"/>
    </row>
    <row r="873" spans="13:13" ht="15.75" customHeight="1">
      <c r="M873" s="558"/>
    </row>
    <row r="874" spans="13:13" ht="15.75" customHeight="1">
      <c r="M874" s="558"/>
    </row>
    <row r="875" spans="13:13" ht="15.75" customHeight="1">
      <c r="M875" s="558"/>
    </row>
    <row r="876" spans="13:13" ht="15.75" customHeight="1">
      <c r="M876" s="558"/>
    </row>
    <row r="877" spans="13:13" ht="15.75" customHeight="1">
      <c r="M877" s="558"/>
    </row>
    <row r="878" spans="13:13" ht="15.75" customHeight="1">
      <c r="M878" s="558"/>
    </row>
    <row r="879" spans="13:13" ht="15.75" customHeight="1">
      <c r="M879" s="558"/>
    </row>
    <row r="880" spans="13:13" ht="15.75" customHeight="1">
      <c r="M880" s="558"/>
    </row>
    <row r="881" spans="13:13" ht="15.75" customHeight="1">
      <c r="M881" s="558"/>
    </row>
    <row r="882" spans="13:13" ht="15.75" customHeight="1">
      <c r="M882" s="558"/>
    </row>
    <row r="883" spans="13:13" ht="15.75" customHeight="1">
      <c r="M883" s="558"/>
    </row>
    <row r="884" spans="13:13" ht="15.75" customHeight="1">
      <c r="M884" s="558"/>
    </row>
    <row r="885" spans="13:13" ht="15.75" customHeight="1">
      <c r="M885" s="558"/>
    </row>
    <row r="886" spans="13:13" ht="15.75" customHeight="1">
      <c r="M886" s="558"/>
    </row>
    <row r="887" spans="13:13" ht="15.75" customHeight="1">
      <c r="M887" s="558"/>
    </row>
    <row r="888" spans="13:13" ht="15.75" customHeight="1">
      <c r="M888" s="558"/>
    </row>
    <row r="889" spans="13:13" ht="15.75" customHeight="1">
      <c r="M889" s="558"/>
    </row>
    <row r="890" spans="13:13" ht="15.75" customHeight="1">
      <c r="M890" s="558"/>
    </row>
    <row r="891" spans="13:13" ht="15.75" customHeight="1">
      <c r="M891" s="558"/>
    </row>
    <row r="892" spans="13:13" ht="15.75" customHeight="1">
      <c r="M892" s="558"/>
    </row>
    <row r="893" spans="13:13" ht="15.75" customHeight="1">
      <c r="M893" s="558"/>
    </row>
    <row r="894" spans="13:13" ht="15.75" customHeight="1">
      <c r="M894" s="558"/>
    </row>
    <row r="895" spans="13:13" ht="15.75" customHeight="1">
      <c r="M895" s="558"/>
    </row>
    <row r="896" spans="13:13" ht="15.75" customHeight="1">
      <c r="M896" s="558"/>
    </row>
    <row r="897" spans="13:13" ht="15.75" customHeight="1">
      <c r="M897" s="558"/>
    </row>
    <row r="898" spans="13:13" ht="15.75" customHeight="1">
      <c r="M898" s="558"/>
    </row>
    <row r="899" spans="13:13" ht="15.75" customHeight="1">
      <c r="M899" s="558"/>
    </row>
    <row r="900" spans="13:13" ht="15.75" customHeight="1">
      <c r="M900" s="558"/>
    </row>
    <row r="901" spans="13:13" ht="15.75" customHeight="1">
      <c r="M901" s="558"/>
    </row>
    <row r="902" spans="13:13" ht="15.75" customHeight="1">
      <c r="M902" s="558"/>
    </row>
    <row r="903" spans="13:13" ht="15.75" customHeight="1">
      <c r="M903" s="558"/>
    </row>
    <row r="904" spans="13:13" ht="15.75" customHeight="1">
      <c r="M904" s="558"/>
    </row>
    <row r="905" spans="13:13" ht="15.75" customHeight="1">
      <c r="M905" s="558"/>
    </row>
    <row r="906" spans="13:13" ht="15.75" customHeight="1">
      <c r="M906" s="558"/>
    </row>
    <row r="907" spans="13:13" ht="15.75" customHeight="1">
      <c r="M907" s="558"/>
    </row>
    <row r="908" spans="13:13" ht="15.75" customHeight="1">
      <c r="M908" s="558"/>
    </row>
    <row r="909" spans="13:13" ht="15.75" customHeight="1">
      <c r="M909" s="558"/>
    </row>
    <row r="910" spans="13:13" ht="15.75" customHeight="1">
      <c r="M910" s="558"/>
    </row>
    <row r="911" spans="13:13" ht="15.75" customHeight="1">
      <c r="M911" s="558"/>
    </row>
    <row r="912" spans="13:13" ht="15.75" customHeight="1">
      <c r="M912" s="558"/>
    </row>
    <row r="913" spans="13:13" ht="15.75" customHeight="1">
      <c r="M913" s="558"/>
    </row>
    <row r="914" spans="13:13" ht="15.75" customHeight="1">
      <c r="M914" s="558"/>
    </row>
    <row r="915" spans="13:13" ht="15.75" customHeight="1">
      <c r="M915" s="558"/>
    </row>
    <row r="916" spans="13:13" ht="15.75" customHeight="1">
      <c r="M916" s="558"/>
    </row>
    <row r="917" spans="13:13" ht="15.75" customHeight="1">
      <c r="M917" s="558"/>
    </row>
    <row r="918" spans="13:13" ht="15.75" customHeight="1">
      <c r="M918" s="558"/>
    </row>
    <row r="919" spans="13:13" ht="15.75" customHeight="1">
      <c r="M919" s="558"/>
    </row>
    <row r="920" spans="13:13" ht="15.75" customHeight="1">
      <c r="M920" s="558"/>
    </row>
    <row r="921" spans="13:13" ht="15.75" customHeight="1">
      <c r="M921" s="558"/>
    </row>
    <row r="922" spans="13:13" ht="15.75" customHeight="1">
      <c r="M922" s="558"/>
    </row>
    <row r="923" spans="13:13" ht="15.75" customHeight="1">
      <c r="M923" s="558"/>
    </row>
    <row r="924" spans="13:13" ht="15.75" customHeight="1">
      <c r="M924" s="558"/>
    </row>
    <row r="925" spans="13:13" ht="15.75" customHeight="1">
      <c r="M925" s="558"/>
    </row>
    <row r="926" spans="13:13" ht="15.75" customHeight="1">
      <c r="M926" s="558"/>
    </row>
    <row r="927" spans="13:13" ht="15.75" customHeight="1">
      <c r="M927" s="558"/>
    </row>
    <row r="928" spans="13:13" ht="15.75" customHeight="1">
      <c r="M928" s="558"/>
    </row>
    <row r="929" spans="13:13" ht="15.75" customHeight="1">
      <c r="M929" s="558"/>
    </row>
    <row r="930" spans="13:13" ht="15.75" customHeight="1">
      <c r="M930" s="558"/>
    </row>
    <row r="931" spans="13:13" ht="15.75" customHeight="1">
      <c r="M931" s="558"/>
    </row>
    <row r="932" spans="13:13" ht="15.75" customHeight="1">
      <c r="M932" s="558"/>
    </row>
    <row r="933" spans="13:13" ht="15.75" customHeight="1">
      <c r="M933" s="558"/>
    </row>
    <row r="934" spans="13:13" ht="15.75" customHeight="1">
      <c r="M934" s="558"/>
    </row>
    <row r="935" spans="13:13" ht="15.75" customHeight="1">
      <c r="M935" s="558"/>
    </row>
    <row r="936" spans="13:13" ht="15.75" customHeight="1">
      <c r="M936" s="558"/>
    </row>
    <row r="937" spans="13:13" ht="15.75" customHeight="1">
      <c r="M937" s="558"/>
    </row>
    <row r="938" spans="13:13" ht="15.75" customHeight="1">
      <c r="M938" s="558"/>
    </row>
    <row r="939" spans="13:13" ht="15.75" customHeight="1">
      <c r="M939" s="558"/>
    </row>
    <row r="940" spans="13:13" ht="15.75" customHeight="1">
      <c r="M940" s="558"/>
    </row>
    <row r="941" spans="13:13" ht="15.75" customHeight="1">
      <c r="M941" s="558"/>
    </row>
    <row r="942" spans="13:13" ht="15.75" customHeight="1">
      <c r="M942" s="558"/>
    </row>
    <row r="943" spans="13:13" ht="15.75" customHeight="1">
      <c r="M943" s="558"/>
    </row>
    <row r="944" spans="13:13" ht="15.75" customHeight="1">
      <c r="M944" s="558"/>
    </row>
    <row r="945" spans="13:13" ht="15.75" customHeight="1">
      <c r="M945" s="558"/>
    </row>
    <row r="946" spans="13:13" ht="15.75" customHeight="1">
      <c r="M946" s="558"/>
    </row>
    <row r="947" spans="13:13" ht="15.75" customHeight="1">
      <c r="M947" s="558"/>
    </row>
    <row r="948" spans="13:13" ht="15.75" customHeight="1">
      <c r="M948" s="558"/>
    </row>
    <row r="949" spans="13:13" ht="15.75" customHeight="1">
      <c r="M949" s="558"/>
    </row>
    <row r="950" spans="13:13" ht="15.75" customHeight="1">
      <c r="M950" s="558"/>
    </row>
    <row r="951" spans="13:13" ht="15.75" customHeight="1">
      <c r="M951" s="558"/>
    </row>
    <row r="952" spans="13:13" ht="15.75" customHeight="1">
      <c r="M952" s="558"/>
    </row>
    <row r="953" spans="13:13" ht="15.75" customHeight="1">
      <c r="M953" s="558"/>
    </row>
    <row r="954" spans="13:13" ht="15.75" customHeight="1">
      <c r="M954" s="558"/>
    </row>
    <row r="955" spans="13:13" ht="15.75" customHeight="1">
      <c r="M955" s="558"/>
    </row>
    <row r="956" spans="13:13" ht="15.75" customHeight="1">
      <c r="M956" s="558"/>
    </row>
    <row r="957" spans="13:13" ht="15.75" customHeight="1">
      <c r="M957" s="558"/>
    </row>
    <row r="958" spans="13:13" ht="15.75" customHeight="1">
      <c r="M958" s="558"/>
    </row>
    <row r="959" spans="13:13" ht="15.75" customHeight="1">
      <c r="M959" s="558"/>
    </row>
    <row r="960" spans="13:13" ht="15.75" customHeight="1">
      <c r="M960" s="558"/>
    </row>
    <row r="961" spans="13:13" ht="15.75" customHeight="1">
      <c r="M961" s="558"/>
    </row>
    <row r="962" spans="13:13" ht="15.75" customHeight="1">
      <c r="M962" s="558"/>
    </row>
    <row r="963" spans="13:13" ht="15.75" customHeight="1">
      <c r="M963" s="558"/>
    </row>
    <row r="964" spans="13:13" ht="15.75" customHeight="1">
      <c r="M964" s="558"/>
    </row>
    <row r="965" spans="13:13" ht="15.75" customHeight="1">
      <c r="M965" s="558"/>
    </row>
    <row r="966" spans="13:13" ht="15.75" customHeight="1">
      <c r="M966" s="558"/>
    </row>
    <row r="967" spans="13:13" ht="15.75" customHeight="1">
      <c r="M967" s="558"/>
    </row>
    <row r="968" spans="13:13" ht="15.75" customHeight="1">
      <c r="M968" s="558"/>
    </row>
    <row r="969" spans="13:13" ht="15.75" customHeight="1">
      <c r="M969" s="558"/>
    </row>
    <row r="970" spans="13:13" ht="15.75" customHeight="1">
      <c r="M970" s="558"/>
    </row>
    <row r="971" spans="13:13" ht="15.75" customHeight="1">
      <c r="M971" s="558"/>
    </row>
    <row r="972" spans="13:13" ht="15.75" customHeight="1">
      <c r="M972" s="558"/>
    </row>
    <row r="973" spans="13:13" ht="15.75" customHeight="1">
      <c r="M973" s="558"/>
    </row>
    <row r="974" spans="13:13" ht="15.75" customHeight="1">
      <c r="M974" s="558"/>
    </row>
    <row r="975" spans="13:13" ht="15.75" customHeight="1">
      <c r="M975" s="558"/>
    </row>
    <row r="976" spans="13:13" ht="15.75" customHeight="1">
      <c r="M976" s="558"/>
    </row>
    <row r="977" spans="13:13" ht="15.75" customHeight="1">
      <c r="M977" s="558"/>
    </row>
    <row r="978" spans="13:13" ht="15.75" customHeight="1">
      <c r="M978" s="558"/>
    </row>
    <row r="979" spans="13:13" ht="15.75" customHeight="1">
      <c r="M979" s="558"/>
    </row>
    <row r="980" spans="13:13" ht="15.75" customHeight="1">
      <c r="M980" s="558"/>
    </row>
    <row r="981" spans="13:13" ht="15.75" customHeight="1">
      <c r="M981" s="558"/>
    </row>
    <row r="982" spans="13:13" ht="15.75" customHeight="1">
      <c r="M982" s="558"/>
    </row>
    <row r="983" spans="13:13" ht="15.75" customHeight="1">
      <c r="M983" s="558"/>
    </row>
    <row r="984" spans="13:13" ht="15.75" customHeight="1">
      <c r="M984" s="558"/>
    </row>
    <row r="985" spans="13:13" ht="15.75" customHeight="1">
      <c r="M985" s="558"/>
    </row>
    <row r="986" spans="13:13" ht="15.75" customHeight="1">
      <c r="M986" s="558"/>
    </row>
    <row r="987" spans="13:13" ht="15.75" customHeight="1">
      <c r="M987" s="558"/>
    </row>
    <row r="988" spans="13:13" ht="15.75" customHeight="1">
      <c r="M988" s="558"/>
    </row>
    <row r="989" spans="13:13" ht="15.75" customHeight="1">
      <c r="M989" s="558"/>
    </row>
    <row r="990" spans="13:13" ht="15.75" customHeight="1">
      <c r="M990" s="558"/>
    </row>
    <row r="991" spans="13:13" ht="15.75" customHeight="1">
      <c r="M991" s="558"/>
    </row>
    <row r="992" spans="13:13" ht="15.75" customHeight="1">
      <c r="M992" s="558"/>
    </row>
    <row r="993" spans="13:13" ht="15.75" customHeight="1">
      <c r="M993" s="558"/>
    </row>
    <row r="994" spans="13:13" ht="15.75" customHeight="1">
      <c r="M994" s="558"/>
    </row>
    <row r="995" spans="13:13" ht="15.75" customHeight="1">
      <c r="M995" s="558"/>
    </row>
    <row r="996" spans="13:13" ht="15.75" customHeight="1">
      <c r="M996" s="558"/>
    </row>
    <row r="997" spans="13:13" ht="15.75" customHeight="1">
      <c r="M997" s="558"/>
    </row>
    <row r="998" spans="13:13" ht="15.75" customHeight="1">
      <c r="M998" s="558"/>
    </row>
    <row r="999" spans="13:13" ht="15.75" customHeight="1">
      <c r="M999" s="558"/>
    </row>
    <row r="1000" spans="13:13" ht="15.75" customHeight="1">
      <c r="M1000" s="558"/>
    </row>
  </sheetData>
  <autoFilter ref="N1:N1000" xr:uid="{00000000-0001-0000-0500-000000000000}"/>
  <conditionalFormatting sqref="N1">
    <cfRule type="duplicateValues" dxfId="1" priority="2"/>
  </conditionalFormatting>
  <conditionalFormatting sqref="N2:N307">
    <cfRule type="duplicateValues" dxfId="0" priority="1"/>
  </conditionalFormatting>
  <pageMargins left="0.7" right="0.7" top="0.75" bottom="0.75"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A4"/>
  <sheetViews>
    <sheetView topLeftCell="A4" workbookViewId="0">
      <selection activeCell="A3" sqref="A3"/>
    </sheetView>
  </sheetViews>
  <sheetFormatPr defaultRowHeight="12.5"/>
  <cols>
    <col min="1" max="1" width="13.54296875" bestFit="1" customWidth="1"/>
  </cols>
  <sheetData>
    <row r="3" spans="1:1">
      <c r="A3" s="105" t="s">
        <v>2750</v>
      </c>
    </row>
    <row r="4" spans="1:1">
      <c r="A4" s="106">
        <v>71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72"/>
  <sheetViews>
    <sheetView topLeftCell="D40" workbookViewId="0">
      <selection activeCell="E58" sqref="E58"/>
    </sheetView>
  </sheetViews>
  <sheetFormatPr defaultColWidth="8.7265625" defaultRowHeight="14.5"/>
  <cols>
    <col min="1" max="1" width="13" style="101" hidden="1" customWidth="1"/>
    <col min="2" max="2" width="13" style="102" hidden="1" customWidth="1"/>
    <col min="3" max="3" width="13" style="103" hidden="1" customWidth="1"/>
    <col min="4" max="4" width="16" style="102" customWidth="1"/>
    <col min="5" max="6" width="14" style="102" customWidth="1"/>
    <col min="7" max="7" width="27" style="102" customWidth="1"/>
    <col min="8" max="8" width="14" style="102" customWidth="1"/>
    <col min="9" max="9" width="17" style="102" customWidth="1"/>
    <col min="10" max="10" width="22" style="104" customWidth="1"/>
    <col min="11" max="12" width="8.7265625" style="101" customWidth="1"/>
    <col min="13" max="16384" width="8.7265625" style="101"/>
  </cols>
  <sheetData>
    <row r="1" spans="1:10">
      <c r="A1" s="101" t="s">
        <v>2751</v>
      </c>
      <c r="B1" s="101" t="s">
        <v>2752</v>
      </c>
      <c r="C1" s="101" t="s">
        <v>2753</v>
      </c>
      <c r="D1" s="101" t="s">
        <v>2754</v>
      </c>
      <c r="E1" s="101" t="s">
        <v>423</v>
      </c>
      <c r="F1" s="101" t="s">
        <v>2058</v>
      </c>
      <c r="G1" s="101" t="s">
        <v>2066</v>
      </c>
      <c r="H1" s="101" t="s">
        <v>2755</v>
      </c>
      <c r="I1" s="101" t="s">
        <v>2756</v>
      </c>
      <c r="J1" s="101" t="s">
        <v>2757</v>
      </c>
    </row>
    <row r="2" spans="1:10">
      <c r="A2" s="101" t="s">
        <v>2758</v>
      </c>
      <c r="B2" s="102" t="s">
        <v>2759</v>
      </c>
      <c r="C2" s="103">
        <v>46059.456828703696</v>
      </c>
      <c r="D2" s="102" t="s">
        <v>269</v>
      </c>
      <c r="E2" s="102" t="s">
        <v>2760</v>
      </c>
      <c r="F2" s="102" t="s">
        <v>2761</v>
      </c>
      <c r="G2" s="102" t="s">
        <v>2762</v>
      </c>
      <c r="I2" s="102" t="s">
        <v>2763</v>
      </c>
      <c r="J2" s="104">
        <v>45838</v>
      </c>
    </row>
    <row r="3" spans="1:10">
      <c r="A3" s="101" t="s">
        <v>2764</v>
      </c>
      <c r="B3" s="102" t="s">
        <v>2765</v>
      </c>
      <c r="C3" s="103">
        <v>46063.540937500002</v>
      </c>
      <c r="D3" s="102" t="s">
        <v>1061</v>
      </c>
      <c r="E3" s="102" t="s">
        <v>2766</v>
      </c>
      <c r="F3" s="102" t="s">
        <v>2767</v>
      </c>
      <c r="G3" s="102" t="s">
        <v>2762</v>
      </c>
      <c r="I3" s="102" t="s">
        <v>2763</v>
      </c>
      <c r="J3" s="104">
        <v>45838</v>
      </c>
    </row>
    <row r="4" spans="1:10">
      <c r="A4" s="101" t="s">
        <v>2768</v>
      </c>
      <c r="B4" s="102" t="s">
        <v>2769</v>
      </c>
      <c r="C4" s="103">
        <v>46063.480324074073</v>
      </c>
      <c r="D4" s="102" t="s">
        <v>890</v>
      </c>
      <c r="E4" s="102" t="s">
        <v>2770</v>
      </c>
      <c r="F4" s="102" t="s">
        <v>2771</v>
      </c>
      <c r="G4" s="102" t="s">
        <v>2762</v>
      </c>
      <c r="H4" s="102" t="s">
        <v>2772</v>
      </c>
      <c r="I4" s="102" t="s">
        <v>2773</v>
      </c>
      <c r="J4" s="104">
        <v>45838</v>
      </c>
    </row>
    <row r="5" spans="1:10">
      <c r="A5" s="101" t="s">
        <v>2774</v>
      </c>
      <c r="B5" s="102" t="s">
        <v>2775</v>
      </c>
      <c r="C5" s="103">
        <v>46058.537175925929</v>
      </c>
      <c r="D5" s="102" t="s">
        <v>447</v>
      </c>
      <c r="E5" s="102" t="s">
        <v>448</v>
      </c>
      <c r="F5" s="102" t="s">
        <v>2776</v>
      </c>
      <c r="G5" s="102" t="s">
        <v>2762</v>
      </c>
      <c r="I5" s="102" t="s">
        <v>2777</v>
      </c>
      <c r="J5" s="104">
        <v>45838</v>
      </c>
    </row>
    <row r="6" spans="1:10">
      <c r="A6" s="101" t="s">
        <v>2778</v>
      </c>
      <c r="B6" s="102" t="s">
        <v>2779</v>
      </c>
      <c r="C6" s="103">
        <v>46074.035520833328</v>
      </c>
      <c r="D6" s="102" t="s">
        <v>1118</v>
      </c>
      <c r="E6" s="102" t="s">
        <v>2780</v>
      </c>
      <c r="F6" s="102" t="s">
        <v>2781</v>
      </c>
      <c r="G6" s="102" t="s">
        <v>2762</v>
      </c>
      <c r="I6" s="102" t="s">
        <v>2782</v>
      </c>
      <c r="J6" s="104">
        <v>45838</v>
      </c>
    </row>
    <row r="7" spans="1:10">
      <c r="A7" s="101" t="s">
        <v>2783</v>
      </c>
      <c r="B7" s="102" t="s">
        <v>2784</v>
      </c>
      <c r="C7" s="103">
        <v>46074.035601851851</v>
      </c>
      <c r="D7" s="102" t="s">
        <v>972</v>
      </c>
      <c r="E7" s="102" t="s">
        <v>2785</v>
      </c>
      <c r="F7" s="102" t="s">
        <v>2786</v>
      </c>
      <c r="G7" s="102" t="s">
        <v>2762</v>
      </c>
      <c r="I7" s="102" t="s">
        <v>2787</v>
      </c>
      <c r="J7" s="104">
        <v>45838</v>
      </c>
    </row>
    <row r="8" spans="1:10">
      <c r="A8" s="101" t="s">
        <v>2788</v>
      </c>
      <c r="B8" s="102" t="s">
        <v>2789</v>
      </c>
      <c r="C8" s="103">
        <v>46063.484444444453</v>
      </c>
      <c r="D8" s="102" t="s">
        <v>908</v>
      </c>
      <c r="E8" s="102" t="s">
        <v>2790</v>
      </c>
      <c r="F8" s="102" t="s">
        <v>2791</v>
      </c>
      <c r="G8" s="102" t="s">
        <v>2762</v>
      </c>
      <c r="H8" s="102" t="s">
        <v>2772</v>
      </c>
      <c r="I8" s="102" t="s">
        <v>2763</v>
      </c>
      <c r="J8" s="104">
        <v>45838</v>
      </c>
    </row>
    <row r="9" spans="1:10">
      <c r="A9" s="101" t="s">
        <v>2792</v>
      </c>
      <c r="B9" s="102" t="s">
        <v>2793</v>
      </c>
      <c r="C9" s="103">
        <v>46058.612222222233</v>
      </c>
      <c r="D9" s="102" t="s">
        <v>585</v>
      </c>
      <c r="E9" s="102" t="s">
        <v>586</v>
      </c>
      <c r="F9" s="102" t="s">
        <v>2794</v>
      </c>
      <c r="G9" s="102" t="s">
        <v>2795</v>
      </c>
      <c r="I9" s="102" t="s">
        <v>2777</v>
      </c>
      <c r="J9" s="104">
        <v>45838</v>
      </c>
    </row>
    <row r="10" spans="1:10">
      <c r="A10" s="101" t="s">
        <v>2796</v>
      </c>
      <c r="B10" s="102" t="s">
        <v>2797</v>
      </c>
      <c r="C10" s="103">
        <v>46058.514652777783</v>
      </c>
      <c r="D10" s="102" t="s">
        <v>419</v>
      </c>
      <c r="E10" s="102" t="s">
        <v>420</v>
      </c>
      <c r="F10" s="102" t="s">
        <v>2798</v>
      </c>
      <c r="G10" s="102" t="s">
        <v>2762</v>
      </c>
      <c r="I10" s="102" t="s">
        <v>2763</v>
      </c>
      <c r="J10" s="104">
        <v>45838</v>
      </c>
    </row>
    <row r="11" spans="1:10">
      <c r="A11" s="101" t="s">
        <v>2799</v>
      </c>
      <c r="B11" s="102" t="s">
        <v>2800</v>
      </c>
      <c r="C11" s="103">
        <v>46079.233182870368</v>
      </c>
      <c r="D11" s="102" t="s">
        <v>541</v>
      </c>
      <c r="E11" s="102" t="s">
        <v>542</v>
      </c>
      <c r="F11" s="102" t="s">
        <v>2801</v>
      </c>
      <c r="G11" s="102" t="s">
        <v>2762</v>
      </c>
      <c r="I11" s="102" t="s">
        <v>2777</v>
      </c>
      <c r="J11" s="104">
        <v>45838</v>
      </c>
    </row>
    <row r="12" spans="1:10">
      <c r="A12" s="101" t="s">
        <v>2802</v>
      </c>
      <c r="B12" s="102" t="s">
        <v>2803</v>
      </c>
      <c r="C12" s="103">
        <v>46074.035520833328</v>
      </c>
      <c r="D12" s="102" t="s">
        <v>1126</v>
      </c>
      <c r="E12" s="102" t="s">
        <v>1127</v>
      </c>
      <c r="F12" s="102" t="s">
        <v>2781</v>
      </c>
      <c r="G12" s="102" t="s">
        <v>2762</v>
      </c>
      <c r="I12" s="102" t="s">
        <v>2782</v>
      </c>
      <c r="J12" s="104">
        <v>45838</v>
      </c>
    </row>
    <row r="13" spans="1:10">
      <c r="A13" s="101" t="s">
        <v>2804</v>
      </c>
      <c r="B13" s="102" t="s">
        <v>2805</v>
      </c>
      <c r="C13" s="103">
        <v>46062.584733796299</v>
      </c>
      <c r="D13" s="102" t="s">
        <v>805</v>
      </c>
      <c r="E13" s="102" t="s">
        <v>2806</v>
      </c>
      <c r="F13" s="102" t="s">
        <v>2807</v>
      </c>
      <c r="G13" s="102" t="s">
        <v>2795</v>
      </c>
      <c r="I13" s="102" t="s">
        <v>2777</v>
      </c>
      <c r="J13" s="104">
        <v>45838</v>
      </c>
    </row>
    <row r="14" spans="1:10">
      <c r="A14" s="101" t="s">
        <v>2808</v>
      </c>
      <c r="B14" s="102" t="s">
        <v>2809</v>
      </c>
      <c r="C14" s="103">
        <v>46074.035543981481</v>
      </c>
      <c r="D14" s="102" t="s">
        <v>1019</v>
      </c>
      <c r="E14" s="102" t="s">
        <v>2810</v>
      </c>
      <c r="F14" s="102" t="s">
        <v>2811</v>
      </c>
      <c r="G14" s="102" t="s">
        <v>2762</v>
      </c>
      <c r="I14" s="102" t="s">
        <v>2812</v>
      </c>
      <c r="J14" s="104">
        <v>45838</v>
      </c>
    </row>
    <row r="15" spans="1:10">
      <c r="A15" s="101" t="s">
        <v>2813</v>
      </c>
      <c r="B15" s="102" t="s">
        <v>2814</v>
      </c>
      <c r="C15" s="103">
        <v>46063.566874999997</v>
      </c>
      <c r="D15" s="102" t="s">
        <v>1150</v>
      </c>
      <c r="E15" s="102" t="s">
        <v>2815</v>
      </c>
      <c r="F15" s="102" t="s">
        <v>2816</v>
      </c>
      <c r="G15" s="102" t="s">
        <v>2817</v>
      </c>
      <c r="I15" s="102" t="s">
        <v>2763</v>
      </c>
      <c r="J15" s="104">
        <v>45838</v>
      </c>
    </row>
    <row r="16" spans="1:10">
      <c r="A16" s="101" t="s">
        <v>2818</v>
      </c>
      <c r="B16" s="102" t="s">
        <v>2819</v>
      </c>
      <c r="C16" s="103">
        <v>46074.034375000003</v>
      </c>
      <c r="D16" s="102" t="s">
        <v>1036</v>
      </c>
      <c r="E16" s="102" t="s">
        <v>1037</v>
      </c>
      <c r="F16" s="102" t="s">
        <v>2820</v>
      </c>
      <c r="G16" s="102" t="s">
        <v>2762</v>
      </c>
      <c r="I16" s="102" t="s">
        <v>2773</v>
      </c>
      <c r="J16" s="104">
        <v>45838</v>
      </c>
    </row>
    <row r="17" spans="1:10">
      <c r="A17" s="101" t="s">
        <v>2821</v>
      </c>
      <c r="B17" s="102" t="s">
        <v>2822</v>
      </c>
      <c r="C17" s="103">
        <v>46074.034375000003</v>
      </c>
      <c r="D17" s="102" t="s">
        <v>1159</v>
      </c>
      <c r="E17" s="102" t="s">
        <v>2823</v>
      </c>
      <c r="F17" s="102" t="s">
        <v>2824</v>
      </c>
      <c r="G17" s="102" t="s">
        <v>2762</v>
      </c>
      <c r="I17" s="102" t="s">
        <v>2773</v>
      </c>
      <c r="J17" s="104">
        <v>45838</v>
      </c>
    </row>
    <row r="18" spans="1:10">
      <c r="A18" s="101" t="s">
        <v>2825</v>
      </c>
      <c r="B18" s="102" t="s">
        <v>2826</v>
      </c>
      <c r="C18" s="103">
        <v>46079.226851851847</v>
      </c>
      <c r="D18" s="102" t="s">
        <v>1045</v>
      </c>
      <c r="E18" s="102" t="s">
        <v>2827</v>
      </c>
      <c r="F18" s="102" t="s">
        <v>2828</v>
      </c>
      <c r="G18" s="102" t="s">
        <v>2762</v>
      </c>
      <c r="I18" s="102" t="s">
        <v>2777</v>
      </c>
      <c r="J18" s="104">
        <v>45838</v>
      </c>
    </row>
    <row r="19" spans="1:10">
      <c r="A19" s="101" t="s">
        <v>2829</v>
      </c>
      <c r="B19" s="102" t="s">
        <v>2830</v>
      </c>
      <c r="C19" s="103">
        <v>46063.561944444453</v>
      </c>
      <c r="D19" s="102" t="s">
        <v>1135</v>
      </c>
      <c r="E19" s="102" t="s">
        <v>2831</v>
      </c>
      <c r="F19" s="102" t="s">
        <v>2832</v>
      </c>
      <c r="G19" s="102" t="s">
        <v>2817</v>
      </c>
      <c r="I19" s="102" t="s">
        <v>2763</v>
      </c>
      <c r="J19" s="104">
        <v>45838</v>
      </c>
    </row>
    <row r="20" spans="1:10">
      <c r="A20" s="101" t="s">
        <v>2833</v>
      </c>
      <c r="B20" s="102" t="s">
        <v>2834</v>
      </c>
      <c r="C20" s="103">
        <v>46074.035578703697</v>
      </c>
      <c r="D20" s="102" t="s">
        <v>1070</v>
      </c>
      <c r="E20" s="102" t="s">
        <v>1071</v>
      </c>
      <c r="F20" s="102" t="s">
        <v>2835</v>
      </c>
      <c r="G20" s="102" t="s">
        <v>2762</v>
      </c>
      <c r="I20" s="102" t="s">
        <v>2836</v>
      </c>
      <c r="J20" s="104">
        <v>45838</v>
      </c>
    </row>
    <row r="21" spans="1:10">
      <c r="A21" s="101" t="s">
        <v>2837</v>
      </c>
      <c r="B21" s="102" t="s">
        <v>2838</v>
      </c>
      <c r="C21" s="103">
        <v>46074.035590277781</v>
      </c>
      <c r="D21" s="102" t="s">
        <v>1053</v>
      </c>
      <c r="E21" s="102" t="s">
        <v>2839</v>
      </c>
      <c r="F21" s="102" t="s">
        <v>2840</v>
      </c>
      <c r="G21" s="102" t="s">
        <v>2762</v>
      </c>
      <c r="I21" s="102" t="s">
        <v>2841</v>
      </c>
      <c r="J21" s="104">
        <v>45838</v>
      </c>
    </row>
    <row r="22" spans="1:10">
      <c r="A22" s="101" t="s">
        <v>2842</v>
      </c>
      <c r="B22" s="102" t="s">
        <v>2843</v>
      </c>
      <c r="C22" s="103">
        <v>46063.563321759262</v>
      </c>
      <c r="D22" s="102" t="s">
        <v>1143</v>
      </c>
      <c r="E22" s="102" t="s">
        <v>2844</v>
      </c>
      <c r="F22" s="102" t="s">
        <v>2832</v>
      </c>
      <c r="G22" s="102" t="s">
        <v>2817</v>
      </c>
      <c r="I22" s="102" t="s">
        <v>2763</v>
      </c>
      <c r="J22" s="104">
        <v>45838</v>
      </c>
    </row>
    <row r="23" spans="1:10">
      <c r="A23" s="101" t="s">
        <v>2845</v>
      </c>
      <c r="B23" s="102" t="s">
        <v>2846</v>
      </c>
      <c r="C23" s="103">
        <v>46074.035567129627</v>
      </c>
      <c r="D23" s="102" t="s">
        <v>1099</v>
      </c>
      <c r="E23" s="102" t="s">
        <v>1100</v>
      </c>
      <c r="F23" s="102" t="s">
        <v>2847</v>
      </c>
      <c r="G23" s="102" t="s">
        <v>2762</v>
      </c>
      <c r="I23" s="102" t="s">
        <v>2848</v>
      </c>
      <c r="J23" s="104">
        <v>45838</v>
      </c>
    </row>
    <row r="24" spans="1:10">
      <c r="A24" s="101" t="s">
        <v>2849</v>
      </c>
      <c r="B24" s="102" t="s">
        <v>2850</v>
      </c>
      <c r="C24" s="103">
        <v>46074.035601851851</v>
      </c>
      <c r="D24" s="102" t="s">
        <v>1028</v>
      </c>
      <c r="E24" s="102" t="s">
        <v>2851</v>
      </c>
      <c r="F24" s="102" t="s">
        <v>2852</v>
      </c>
      <c r="G24" s="102" t="s">
        <v>2762</v>
      </c>
      <c r="I24" s="102" t="s">
        <v>2787</v>
      </c>
      <c r="J24" s="104">
        <v>45838</v>
      </c>
    </row>
    <row r="25" spans="1:10">
      <c r="A25" s="101" t="s">
        <v>2853</v>
      </c>
      <c r="B25" s="102" t="s">
        <v>2854</v>
      </c>
      <c r="C25" s="103">
        <v>46074.035543981481</v>
      </c>
      <c r="D25" s="102" t="s">
        <v>1012</v>
      </c>
      <c r="E25" s="102" t="s">
        <v>2855</v>
      </c>
      <c r="F25" s="102" t="s">
        <v>2856</v>
      </c>
      <c r="G25" s="102" t="s">
        <v>2762</v>
      </c>
      <c r="I25" s="102" t="s">
        <v>2812</v>
      </c>
      <c r="J25" s="104">
        <v>45838</v>
      </c>
    </row>
    <row r="26" spans="1:10">
      <c r="A26" s="101" t="s">
        <v>2857</v>
      </c>
      <c r="B26" s="102" t="s">
        <v>2858</v>
      </c>
      <c r="C26" s="103">
        <v>46063.552222222221</v>
      </c>
      <c r="D26" s="102" t="s">
        <v>1080</v>
      </c>
      <c r="E26" s="102" t="s">
        <v>1081</v>
      </c>
      <c r="F26" s="102" t="s">
        <v>2859</v>
      </c>
      <c r="G26" s="102" t="s">
        <v>2795</v>
      </c>
      <c r="I26" s="102" t="s">
        <v>2860</v>
      </c>
      <c r="J26" s="104">
        <v>45838</v>
      </c>
    </row>
    <row r="27" spans="1:10">
      <c r="A27" s="101" t="s">
        <v>2861</v>
      </c>
      <c r="B27" s="102" t="s">
        <v>2862</v>
      </c>
      <c r="C27" s="103">
        <v>46074.034375000003</v>
      </c>
      <c r="D27" s="102" t="s">
        <v>1109</v>
      </c>
      <c r="E27" s="102" t="s">
        <v>2863</v>
      </c>
      <c r="F27" s="102" t="s">
        <v>2864</v>
      </c>
      <c r="G27" s="102" t="s">
        <v>2762</v>
      </c>
      <c r="I27" s="102" t="s">
        <v>2773</v>
      </c>
      <c r="J27" s="104">
        <v>45838</v>
      </c>
    </row>
    <row r="28" spans="1:10">
      <c r="A28" s="101" t="s">
        <v>2865</v>
      </c>
      <c r="B28" s="102" t="s">
        <v>2866</v>
      </c>
      <c r="C28" s="103">
        <v>46063.515289351853</v>
      </c>
      <c r="D28" s="102" t="s">
        <v>998</v>
      </c>
      <c r="E28" s="102" t="s">
        <v>2867</v>
      </c>
      <c r="F28" s="102" t="s">
        <v>2852</v>
      </c>
      <c r="G28" s="102" t="s">
        <v>2762</v>
      </c>
      <c r="I28" s="102" t="s">
        <v>2868</v>
      </c>
      <c r="J28" s="104">
        <v>45838</v>
      </c>
    </row>
    <row r="29" spans="1:10">
      <c r="A29" s="101" t="s">
        <v>2869</v>
      </c>
      <c r="B29" s="102" t="s">
        <v>2870</v>
      </c>
      <c r="C29" s="103">
        <v>46062.623912037037</v>
      </c>
      <c r="D29" s="102" t="s">
        <v>872</v>
      </c>
      <c r="E29" s="102" t="s">
        <v>2871</v>
      </c>
      <c r="F29" s="102" t="s">
        <v>2872</v>
      </c>
      <c r="G29" s="102" t="s">
        <v>2762</v>
      </c>
      <c r="I29" s="102" t="s">
        <v>2763</v>
      </c>
      <c r="J29" s="104">
        <v>45838</v>
      </c>
    </row>
    <row r="30" spans="1:10">
      <c r="A30" s="101" t="s">
        <v>2873</v>
      </c>
      <c r="B30" s="102" t="s">
        <v>2874</v>
      </c>
      <c r="C30" s="103">
        <v>46063.511122685188</v>
      </c>
      <c r="D30" s="102" t="s">
        <v>990</v>
      </c>
      <c r="E30" s="102" t="s">
        <v>2875</v>
      </c>
      <c r="F30" s="102" t="s">
        <v>2847</v>
      </c>
      <c r="G30" s="102" t="s">
        <v>2762</v>
      </c>
      <c r="I30" s="102" t="s">
        <v>2812</v>
      </c>
      <c r="J30" s="104">
        <v>45838</v>
      </c>
    </row>
    <row r="31" spans="1:10">
      <c r="A31" s="101" t="s">
        <v>2876</v>
      </c>
      <c r="B31" s="102" t="s">
        <v>2877</v>
      </c>
      <c r="C31" s="103">
        <v>46058.55678240741</v>
      </c>
      <c r="D31" s="102" t="s">
        <v>460</v>
      </c>
      <c r="E31" s="102" t="s">
        <v>461</v>
      </c>
      <c r="F31" s="102" t="s">
        <v>2878</v>
      </c>
      <c r="G31" s="102" t="s">
        <v>2762</v>
      </c>
      <c r="I31" s="102" t="s">
        <v>2763</v>
      </c>
      <c r="J31" s="104">
        <v>45838</v>
      </c>
    </row>
    <row r="32" spans="1:10">
      <c r="A32" s="101" t="s">
        <v>2879</v>
      </c>
      <c r="B32" s="102" t="s">
        <v>2880</v>
      </c>
      <c r="C32" s="103">
        <v>46058.60119212963</v>
      </c>
      <c r="D32" s="102" t="s">
        <v>569</v>
      </c>
      <c r="E32" s="102" t="s">
        <v>570</v>
      </c>
      <c r="F32" s="102" t="s">
        <v>2878</v>
      </c>
      <c r="G32" s="102" t="s">
        <v>2762</v>
      </c>
      <c r="I32" s="102" t="s">
        <v>2763</v>
      </c>
      <c r="J32" s="104">
        <v>45838</v>
      </c>
    </row>
    <row r="33" spans="1:10">
      <c r="A33" s="101" t="s">
        <v>2881</v>
      </c>
      <c r="B33" s="102" t="s">
        <v>2882</v>
      </c>
      <c r="C33" s="103">
        <v>46062.576921296299</v>
      </c>
      <c r="D33" s="102" t="s">
        <v>784</v>
      </c>
      <c r="E33" s="102" t="s">
        <v>2883</v>
      </c>
      <c r="F33" s="102" t="s">
        <v>2884</v>
      </c>
      <c r="G33" s="102" t="s">
        <v>2762</v>
      </c>
      <c r="I33" s="102" t="s">
        <v>2777</v>
      </c>
      <c r="J33" s="104">
        <v>45838</v>
      </c>
    </row>
    <row r="34" spans="1:10">
      <c r="A34" s="101" t="s">
        <v>2885</v>
      </c>
      <c r="B34" s="102" t="s">
        <v>2886</v>
      </c>
      <c r="C34" s="103">
        <v>46079.233182870368</v>
      </c>
      <c r="D34" s="102" t="s">
        <v>711</v>
      </c>
      <c r="E34" s="102" t="s">
        <v>712</v>
      </c>
      <c r="F34" s="102" t="s">
        <v>2801</v>
      </c>
      <c r="G34" s="102" t="s">
        <v>2762</v>
      </c>
      <c r="H34" s="102" t="s">
        <v>2887</v>
      </c>
      <c r="I34" s="102" t="s">
        <v>2777</v>
      </c>
      <c r="J34" s="104">
        <v>45838</v>
      </c>
    </row>
    <row r="35" spans="1:10">
      <c r="A35" s="101" t="s">
        <v>2888</v>
      </c>
      <c r="B35" s="102" t="s">
        <v>2889</v>
      </c>
      <c r="C35" s="103">
        <v>46066.280057870368</v>
      </c>
      <c r="D35" s="102" t="s">
        <v>711</v>
      </c>
      <c r="E35" s="102" t="s">
        <v>712</v>
      </c>
      <c r="G35" s="102" t="s">
        <v>2762</v>
      </c>
      <c r="H35" s="102" t="s">
        <v>2887</v>
      </c>
      <c r="I35" s="102" t="s">
        <v>2777</v>
      </c>
      <c r="J35" s="104">
        <v>45838</v>
      </c>
    </row>
    <row r="36" spans="1:10">
      <c r="A36" s="101" t="s">
        <v>2890</v>
      </c>
      <c r="B36" s="102" t="s">
        <v>2891</v>
      </c>
      <c r="C36" s="103">
        <v>46063.500462962962</v>
      </c>
      <c r="D36" s="102" t="s">
        <v>944</v>
      </c>
      <c r="E36" s="102" t="s">
        <v>2892</v>
      </c>
      <c r="F36" s="102" t="s">
        <v>2893</v>
      </c>
      <c r="G36" s="102" t="s">
        <v>2817</v>
      </c>
      <c r="I36" s="102" t="s">
        <v>2763</v>
      </c>
      <c r="J36" s="104">
        <v>45838</v>
      </c>
    </row>
    <row r="37" spans="1:10">
      <c r="A37" s="101" t="s">
        <v>2894</v>
      </c>
      <c r="B37" s="102" t="s">
        <v>2895</v>
      </c>
      <c r="C37" s="103">
        <v>46079.233182870368</v>
      </c>
      <c r="D37" s="102" t="s">
        <v>236</v>
      </c>
      <c r="E37" s="102" t="s">
        <v>761</v>
      </c>
      <c r="F37" s="102" t="s">
        <v>2896</v>
      </c>
      <c r="G37" s="102" t="s">
        <v>2762</v>
      </c>
      <c r="I37" s="102" t="s">
        <v>2777</v>
      </c>
      <c r="J37" s="104">
        <v>45838</v>
      </c>
    </row>
    <row r="38" spans="1:10">
      <c r="A38" s="101" t="s">
        <v>2897</v>
      </c>
      <c r="B38" s="102" t="s">
        <v>2898</v>
      </c>
      <c r="C38" s="103">
        <v>46066.280057870368</v>
      </c>
      <c r="D38" s="102" t="s">
        <v>727</v>
      </c>
      <c r="E38" s="102" t="s">
        <v>728</v>
      </c>
      <c r="G38" s="102" t="s">
        <v>2762</v>
      </c>
      <c r="H38" s="102" t="s">
        <v>2887</v>
      </c>
      <c r="I38" s="102" t="s">
        <v>2777</v>
      </c>
      <c r="J38" s="104">
        <v>45838</v>
      </c>
    </row>
    <row r="39" spans="1:10">
      <c r="A39" s="101" t="s">
        <v>2899</v>
      </c>
      <c r="B39" s="102" t="s">
        <v>2900</v>
      </c>
      <c r="C39" s="103">
        <v>46059.466967592591</v>
      </c>
      <c r="D39" s="102" t="s">
        <v>684</v>
      </c>
      <c r="E39" s="102" t="s">
        <v>2901</v>
      </c>
      <c r="F39" s="102" t="s">
        <v>2902</v>
      </c>
      <c r="G39" s="102" t="s">
        <v>2762</v>
      </c>
      <c r="H39" s="102" t="s">
        <v>2887</v>
      </c>
      <c r="I39" s="102" t="s">
        <v>2777</v>
      </c>
      <c r="J39" s="104">
        <v>45838</v>
      </c>
    </row>
    <row r="40" spans="1:10">
      <c r="A40" s="101" t="s">
        <v>2903</v>
      </c>
      <c r="B40" s="102" t="s">
        <v>2904</v>
      </c>
      <c r="C40" s="103">
        <v>46074.035381944443</v>
      </c>
      <c r="D40" s="102" t="s">
        <v>746</v>
      </c>
      <c r="E40" s="102" t="s">
        <v>2905</v>
      </c>
      <c r="F40" s="102" t="s">
        <v>2771</v>
      </c>
      <c r="G40" s="102" t="s">
        <v>2762</v>
      </c>
      <c r="H40" s="102" t="s">
        <v>2887</v>
      </c>
      <c r="I40" s="102" t="s">
        <v>2777</v>
      </c>
      <c r="J40" s="104">
        <v>45838</v>
      </c>
    </row>
    <row r="41" spans="1:10">
      <c r="A41" s="101" t="s">
        <v>2906</v>
      </c>
      <c r="B41" s="102" t="s">
        <v>2907</v>
      </c>
      <c r="C41" s="103">
        <v>46066.280057870368</v>
      </c>
      <c r="D41" s="102" t="s">
        <v>291</v>
      </c>
      <c r="E41" s="102" t="s">
        <v>2908</v>
      </c>
      <c r="G41" s="102" t="s">
        <v>2762</v>
      </c>
      <c r="H41" s="102" t="s">
        <v>2887</v>
      </c>
      <c r="I41" s="102" t="s">
        <v>2777</v>
      </c>
      <c r="J41" s="104">
        <v>45838</v>
      </c>
    </row>
    <row r="42" spans="1:10">
      <c r="A42" s="101" t="s">
        <v>2909</v>
      </c>
      <c r="B42" s="102" t="s">
        <v>2910</v>
      </c>
      <c r="C42" s="103">
        <v>46058.526932870373</v>
      </c>
      <c r="D42" s="102" t="s">
        <v>437</v>
      </c>
      <c r="E42" s="102" t="s">
        <v>438</v>
      </c>
      <c r="F42" s="102" t="s">
        <v>2911</v>
      </c>
      <c r="G42" s="102" t="s">
        <v>2762</v>
      </c>
      <c r="I42" s="102" t="s">
        <v>2763</v>
      </c>
      <c r="J42" s="104">
        <v>45838</v>
      </c>
    </row>
    <row r="43" spans="1:10">
      <c r="A43" s="101" t="s">
        <v>2912</v>
      </c>
      <c r="B43" s="102" t="s">
        <v>2913</v>
      </c>
      <c r="C43" s="103">
        <v>46058.616319444453</v>
      </c>
      <c r="D43" s="102" t="s">
        <v>594</v>
      </c>
      <c r="E43" s="102" t="s">
        <v>2914</v>
      </c>
      <c r="F43" s="102" t="s">
        <v>2915</v>
      </c>
      <c r="G43" s="102" t="s">
        <v>2762</v>
      </c>
      <c r="I43" s="102" t="s">
        <v>2763</v>
      </c>
      <c r="J43" s="104">
        <v>45838</v>
      </c>
    </row>
    <row r="44" spans="1:10">
      <c r="A44" s="101" t="s">
        <v>2916</v>
      </c>
      <c r="B44" s="102" t="s">
        <v>2917</v>
      </c>
      <c r="C44" s="103">
        <v>46058.560879629629</v>
      </c>
      <c r="D44" s="102" t="s">
        <v>489</v>
      </c>
      <c r="E44" s="102" t="s">
        <v>490</v>
      </c>
      <c r="F44" s="102" t="s">
        <v>2918</v>
      </c>
      <c r="G44" s="102" t="s">
        <v>2762</v>
      </c>
      <c r="I44" s="102" t="s">
        <v>2763</v>
      </c>
      <c r="J44" s="104">
        <v>45838</v>
      </c>
    </row>
    <row r="45" spans="1:10">
      <c r="A45" s="101" t="s">
        <v>2919</v>
      </c>
      <c r="B45" s="102" t="s">
        <v>2920</v>
      </c>
      <c r="C45" s="103">
        <v>46063.48778935185</v>
      </c>
      <c r="D45" s="102" t="s">
        <v>916</v>
      </c>
      <c r="E45" s="102" t="s">
        <v>2921</v>
      </c>
      <c r="F45" s="102" t="s">
        <v>2922</v>
      </c>
      <c r="G45" s="102" t="s">
        <v>2762</v>
      </c>
      <c r="H45" s="102" t="s">
        <v>2772</v>
      </c>
      <c r="I45" s="102" t="s">
        <v>2773</v>
      </c>
      <c r="J45" s="104">
        <v>45838</v>
      </c>
    </row>
    <row r="46" spans="1:10">
      <c r="A46" s="101" t="s">
        <v>2923</v>
      </c>
      <c r="B46" s="102" t="s">
        <v>2924</v>
      </c>
      <c r="C46" s="103">
        <v>46074.035393518519</v>
      </c>
      <c r="D46" s="102" t="s">
        <v>852</v>
      </c>
      <c r="E46" s="102" t="s">
        <v>2925</v>
      </c>
      <c r="F46" s="102" t="s">
        <v>2926</v>
      </c>
      <c r="G46" s="102" t="s">
        <v>2762</v>
      </c>
      <c r="I46" s="102" t="s">
        <v>2777</v>
      </c>
      <c r="J46" s="104">
        <v>45838</v>
      </c>
    </row>
    <row r="47" spans="1:10">
      <c r="A47" s="101" t="s">
        <v>2927</v>
      </c>
      <c r="B47" s="102" t="s">
        <v>2928</v>
      </c>
      <c r="C47" s="103">
        <v>46074.035555555558</v>
      </c>
      <c r="D47" s="102" t="s">
        <v>560</v>
      </c>
      <c r="E47" s="102" t="s">
        <v>561</v>
      </c>
      <c r="F47" s="102" t="s">
        <v>2929</v>
      </c>
      <c r="G47" s="102" t="s">
        <v>2762</v>
      </c>
      <c r="I47" s="102" t="s">
        <v>2812</v>
      </c>
      <c r="J47" s="104">
        <v>45838</v>
      </c>
    </row>
    <row r="48" spans="1:10">
      <c r="A48" s="101" t="s">
        <v>2930</v>
      </c>
      <c r="B48" s="102" t="s">
        <v>2931</v>
      </c>
      <c r="C48" s="103">
        <v>46074.034375000003</v>
      </c>
      <c r="D48" s="102" t="s">
        <v>955</v>
      </c>
      <c r="E48" s="102" t="s">
        <v>2932</v>
      </c>
      <c r="F48" s="102" t="s">
        <v>2791</v>
      </c>
      <c r="G48" s="102" t="s">
        <v>2762</v>
      </c>
      <c r="I48" s="102" t="s">
        <v>2773</v>
      </c>
      <c r="J48" s="104">
        <v>45838</v>
      </c>
    </row>
    <row r="49" spans="1:10">
      <c r="A49" s="101" t="s">
        <v>2933</v>
      </c>
      <c r="B49" s="102" t="s">
        <v>2934</v>
      </c>
      <c r="C49" s="103">
        <v>46062.575289351851</v>
      </c>
      <c r="D49" s="102" t="s">
        <v>776</v>
      </c>
      <c r="E49" s="102" t="s">
        <v>777</v>
      </c>
      <c r="F49" s="102" t="s">
        <v>2935</v>
      </c>
      <c r="G49" s="102" t="s">
        <v>2936</v>
      </c>
      <c r="I49" s="102" t="s">
        <v>2777</v>
      </c>
      <c r="J49" s="104">
        <v>45838</v>
      </c>
    </row>
    <row r="50" spans="1:10">
      <c r="A50" s="101" t="s">
        <v>2937</v>
      </c>
      <c r="B50" s="102" t="s">
        <v>2938</v>
      </c>
      <c r="C50" s="103">
        <v>46074.035416666673</v>
      </c>
      <c r="D50" s="102" t="s">
        <v>817</v>
      </c>
      <c r="E50" s="102" t="s">
        <v>2939</v>
      </c>
      <c r="F50" s="102" t="s">
        <v>2940</v>
      </c>
      <c r="G50" s="102" t="s">
        <v>2762</v>
      </c>
      <c r="I50" s="102" t="s">
        <v>2777</v>
      </c>
      <c r="J50" s="104">
        <v>45838</v>
      </c>
    </row>
    <row r="51" spans="1:10">
      <c r="A51" s="101" t="s">
        <v>2941</v>
      </c>
      <c r="B51" s="102" t="s">
        <v>2942</v>
      </c>
      <c r="C51" s="103">
        <v>46062.622546296298</v>
      </c>
      <c r="D51" s="102" t="s">
        <v>864</v>
      </c>
      <c r="E51" s="102" t="s">
        <v>865</v>
      </c>
      <c r="F51" s="102" t="s">
        <v>2943</v>
      </c>
      <c r="G51" s="102" t="s">
        <v>2762</v>
      </c>
      <c r="I51" s="102" t="s">
        <v>2763</v>
      </c>
      <c r="J51" s="104">
        <v>45838</v>
      </c>
    </row>
    <row r="52" spans="1:10">
      <c r="A52" s="101" t="s">
        <v>2944</v>
      </c>
      <c r="B52" s="102" t="s">
        <v>2945</v>
      </c>
      <c r="C52" s="103">
        <v>46074.035416666673</v>
      </c>
      <c r="D52" s="102" t="s">
        <v>552</v>
      </c>
      <c r="E52" s="102" t="s">
        <v>2946</v>
      </c>
      <c r="F52" s="102" t="s">
        <v>2947</v>
      </c>
      <c r="G52" s="102" t="s">
        <v>2762</v>
      </c>
      <c r="I52" s="102" t="s">
        <v>2777</v>
      </c>
      <c r="J52" s="104">
        <v>45838</v>
      </c>
    </row>
    <row r="53" spans="1:10">
      <c r="A53" s="101" t="s">
        <v>2948</v>
      </c>
      <c r="B53" s="102" t="s">
        <v>2949</v>
      </c>
      <c r="C53" s="103">
        <v>46074.035543981481</v>
      </c>
      <c r="D53" s="102" t="s">
        <v>828</v>
      </c>
      <c r="E53" s="102" t="s">
        <v>2950</v>
      </c>
      <c r="F53" s="102" t="s">
        <v>2951</v>
      </c>
      <c r="G53" s="102" t="s">
        <v>2762</v>
      </c>
      <c r="H53" s="102" t="s">
        <v>2887</v>
      </c>
      <c r="I53" s="102" t="s">
        <v>2952</v>
      </c>
      <c r="J53" s="104">
        <v>45838</v>
      </c>
    </row>
    <row r="54" spans="1:10">
      <c r="A54" s="101" t="s">
        <v>2953</v>
      </c>
      <c r="B54" s="102" t="s">
        <v>2954</v>
      </c>
      <c r="C54" s="103">
        <v>46058.626307870371</v>
      </c>
      <c r="D54" s="102" t="s">
        <v>640</v>
      </c>
      <c r="E54" s="102" t="s">
        <v>641</v>
      </c>
      <c r="F54" s="102" t="s">
        <v>2955</v>
      </c>
      <c r="G54" s="102" t="s">
        <v>2762</v>
      </c>
      <c r="I54" s="102" t="s">
        <v>2763</v>
      </c>
      <c r="J54" s="104">
        <v>45838</v>
      </c>
    </row>
    <row r="55" spans="1:10">
      <c r="A55" s="101" t="s">
        <v>2956</v>
      </c>
      <c r="B55" s="102" t="s">
        <v>2957</v>
      </c>
      <c r="C55" s="103">
        <v>46074.035416666673</v>
      </c>
      <c r="D55" s="102" t="s">
        <v>298</v>
      </c>
      <c r="E55" s="102" t="s">
        <v>2958</v>
      </c>
      <c r="F55" s="102" t="s">
        <v>2959</v>
      </c>
      <c r="G55" s="102" t="s">
        <v>2762</v>
      </c>
      <c r="I55" s="102" t="s">
        <v>2777</v>
      </c>
      <c r="J55" s="104">
        <v>45838</v>
      </c>
    </row>
    <row r="56" spans="1:10">
      <c r="A56" s="101" t="s">
        <v>2960</v>
      </c>
      <c r="B56" s="102" t="s">
        <v>2961</v>
      </c>
      <c r="C56" s="103">
        <v>46066.280057870368</v>
      </c>
      <c r="D56" s="102" t="s">
        <v>719</v>
      </c>
      <c r="E56" s="102" t="s">
        <v>720</v>
      </c>
      <c r="G56" s="102" t="s">
        <v>2762</v>
      </c>
      <c r="H56" s="102" t="s">
        <v>2887</v>
      </c>
      <c r="I56" s="102" t="s">
        <v>2777</v>
      </c>
      <c r="J56" s="104">
        <v>45838</v>
      </c>
    </row>
    <row r="57" spans="1:10">
      <c r="A57" s="101" t="s">
        <v>2962</v>
      </c>
      <c r="B57" s="102" t="s">
        <v>2963</v>
      </c>
      <c r="C57" s="103">
        <v>46074.035532407397</v>
      </c>
      <c r="D57" s="102" t="s">
        <v>881</v>
      </c>
      <c r="E57" s="102" t="s">
        <v>882</v>
      </c>
      <c r="F57" s="102" t="s">
        <v>2964</v>
      </c>
      <c r="G57" s="102" t="s">
        <v>2762</v>
      </c>
      <c r="H57" s="102" t="s">
        <v>2772</v>
      </c>
      <c r="I57" s="102" t="s">
        <v>2782</v>
      </c>
      <c r="J57" s="104">
        <v>45838</v>
      </c>
    </row>
    <row r="58" spans="1:10">
      <c r="A58" s="101" t="s">
        <v>2965</v>
      </c>
      <c r="B58" s="102" t="s">
        <v>2966</v>
      </c>
      <c r="C58" s="103">
        <v>46074.035555555558</v>
      </c>
      <c r="D58" s="102" t="s">
        <v>1006</v>
      </c>
      <c r="E58" s="102" t="s">
        <v>2967</v>
      </c>
      <c r="F58" s="102" t="s">
        <v>2968</v>
      </c>
      <c r="G58" s="102" t="s">
        <v>2762</v>
      </c>
      <c r="I58" s="102" t="s">
        <v>2812</v>
      </c>
      <c r="J58" s="104">
        <v>45838</v>
      </c>
    </row>
    <row r="59" spans="1:10">
      <c r="A59" s="101" t="s">
        <v>2969</v>
      </c>
      <c r="B59" s="102" t="s">
        <v>2970</v>
      </c>
      <c r="C59" s="103">
        <v>46066.280057870368</v>
      </c>
      <c r="D59" s="102" t="s">
        <v>667</v>
      </c>
      <c r="E59" s="102" t="s">
        <v>668</v>
      </c>
      <c r="G59" s="102" t="s">
        <v>2762</v>
      </c>
      <c r="H59" s="102" t="s">
        <v>2887</v>
      </c>
      <c r="I59" s="102" t="s">
        <v>2777</v>
      </c>
      <c r="J59" s="104">
        <v>45838</v>
      </c>
    </row>
    <row r="60" spans="1:10">
      <c r="A60" s="101" t="s">
        <v>2971</v>
      </c>
      <c r="B60" s="102" t="s">
        <v>2972</v>
      </c>
      <c r="C60" s="103">
        <v>46062.581956018519</v>
      </c>
      <c r="D60" s="102" t="s">
        <v>794</v>
      </c>
      <c r="E60" s="102" t="s">
        <v>2973</v>
      </c>
      <c r="F60" s="102" t="s">
        <v>2974</v>
      </c>
      <c r="G60" s="102" t="s">
        <v>2762</v>
      </c>
      <c r="I60" s="102" t="s">
        <v>2812</v>
      </c>
      <c r="J60" s="104">
        <v>45838</v>
      </c>
    </row>
    <row r="61" spans="1:10">
      <c r="A61" s="101" t="s">
        <v>2975</v>
      </c>
      <c r="B61" s="102" t="s">
        <v>2976</v>
      </c>
      <c r="C61" s="103">
        <v>46066.280057870368</v>
      </c>
      <c r="D61" s="102" t="s">
        <v>899</v>
      </c>
      <c r="E61" s="102" t="s">
        <v>900</v>
      </c>
      <c r="G61" s="102" t="s">
        <v>2762</v>
      </c>
      <c r="H61" s="102" t="s">
        <v>2772</v>
      </c>
      <c r="I61" s="102" t="s">
        <v>2836</v>
      </c>
      <c r="J61" s="104">
        <v>45838</v>
      </c>
    </row>
    <row r="62" spans="1:10">
      <c r="A62" s="101" t="s">
        <v>2977</v>
      </c>
      <c r="B62" s="102" t="s">
        <v>2978</v>
      </c>
      <c r="C62" s="103">
        <v>46058.619259259263</v>
      </c>
      <c r="D62" s="102" t="s">
        <v>2979</v>
      </c>
      <c r="E62" s="102" t="s">
        <v>604</v>
      </c>
      <c r="F62" s="102" t="s">
        <v>2980</v>
      </c>
      <c r="G62" s="102" t="s">
        <v>2762</v>
      </c>
      <c r="I62" s="102" t="s">
        <v>2981</v>
      </c>
      <c r="J62" s="104">
        <v>45838</v>
      </c>
    </row>
    <row r="63" spans="1:10">
      <c r="A63" s="101" t="s">
        <v>2982</v>
      </c>
      <c r="B63" s="102" t="s">
        <v>2983</v>
      </c>
      <c r="C63" s="103">
        <v>46071.855462962973</v>
      </c>
      <c r="D63" s="102" t="s">
        <v>982</v>
      </c>
      <c r="E63" s="102" t="s">
        <v>2984</v>
      </c>
      <c r="F63" s="102" t="s">
        <v>2985</v>
      </c>
      <c r="G63" s="102" t="s">
        <v>2795</v>
      </c>
      <c r="I63" s="102" t="s">
        <v>2777</v>
      </c>
      <c r="J63" s="104">
        <v>45838</v>
      </c>
    </row>
    <row r="64" spans="1:10">
      <c r="A64" s="101" t="s">
        <v>2986</v>
      </c>
      <c r="B64" s="102" t="s">
        <v>2987</v>
      </c>
      <c r="C64" s="103">
        <v>46074.035567129627</v>
      </c>
      <c r="D64" s="102" t="s">
        <v>2988</v>
      </c>
      <c r="E64" s="102" t="s">
        <v>623</v>
      </c>
      <c r="F64" s="102" t="s">
        <v>2989</v>
      </c>
      <c r="G64" s="102" t="s">
        <v>2762</v>
      </c>
      <c r="I64" s="102" t="s">
        <v>2848</v>
      </c>
      <c r="J64" s="104">
        <v>45838</v>
      </c>
    </row>
    <row r="65" spans="1:10">
      <c r="A65" s="101" t="s">
        <v>2990</v>
      </c>
      <c r="B65" s="102" t="s">
        <v>2991</v>
      </c>
      <c r="C65" s="103">
        <v>46074.035590277781</v>
      </c>
      <c r="D65" s="102" t="s">
        <v>934</v>
      </c>
      <c r="E65" s="102" t="s">
        <v>2992</v>
      </c>
      <c r="F65" s="102" t="s">
        <v>2993</v>
      </c>
      <c r="G65" s="102" t="s">
        <v>2762</v>
      </c>
      <c r="I65" s="102" t="s">
        <v>2994</v>
      </c>
      <c r="J65" s="104">
        <v>45838</v>
      </c>
    </row>
    <row r="66" spans="1:10">
      <c r="A66" s="101" t="s">
        <v>2995</v>
      </c>
      <c r="B66" s="102" t="s">
        <v>2996</v>
      </c>
      <c r="C66" s="103">
        <v>46074.035474537042</v>
      </c>
      <c r="D66" s="102" t="s">
        <v>754</v>
      </c>
      <c r="E66" s="102" t="s">
        <v>755</v>
      </c>
      <c r="F66" s="102" t="s">
        <v>2997</v>
      </c>
      <c r="G66" s="102" t="s">
        <v>2762</v>
      </c>
      <c r="H66" s="102" t="s">
        <v>2887</v>
      </c>
      <c r="I66" s="102" t="s">
        <v>2777</v>
      </c>
      <c r="J66" s="104">
        <v>45838</v>
      </c>
    </row>
    <row r="67" spans="1:10">
      <c r="A67" s="101" t="s">
        <v>2998</v>
      </c>
      <c r="B67" s="102" t="s">
        <v>2999</v>
      </c>
      <c r="C67" s="103">
        <v>46074.034398148149</v>
      </c>
      <c r="D67" s="102" t="s">
        <v>837</v>
      </c>
      <c r="E67" s="102" t="s">
        <v>3000</v>
      </c>
      <c r="F67" s="102" t="s">
        <v>2811</v>
      </c>
      <c r="G67" s="102" t="s">
        <v>2762</v>
      </c>
      <c r="I67" s="102" t="s">
        <v>2773</v>
      </c>
      <c r="J67" s="104">
        <v>45838</v>
      </c>
    </row>
    <row r="68" spans="1:10">
      <c r="A68" s="101" t="s">
        <v>3001</v>
      </c>
      <c r="B68" s="102" t="s">
        <v>3002</v>
      </c>
      <c r="C68" s="103">
        <v>46074.035486111112</v>
      </c>
      <c r="D68" s="102" t="s">
        <v>529</v>
      </c>
      <c r="E68" s="102" t="s">
        <v>3003</v>
      </c>
      <c r="F68" s="102" t="s">
        <v>3004</v>
      </c>
      <c r="G68" s="102" t="s">
        <v>2762</v>
      </c>
      <c r="I68" s="102" t="s">
        <v>2777</v>
      </c>
      <c r="J68" s="104">
        <v>45838</v>
      </c>
    </row>
    <row r="69" spans="1:10">
      <c r="A69" s="101" t="s">
        <v>3005</v>
      </c>
      <c r="B69" s="102" t="s">
        <v>3006</v>
      </c>
      <c r="C69" s="103">
        <v>46058.558344907397</v>
      </c>
      <c r="D69" s="102" t="s">
        <v>1689</v>
      </c>
      <c r="E69" s="102" t="s">
        <v>480</v>
      </c>
      <c r="F69" s="102" t="s">
        <v>3007</v>
      </c>
      <c r="G69" s="102" t="s">
        <v>2762</v>
      </c>
      <c r="I69" s="102" t="s">
        <v>2763</v>
      </c>
      <c r="J69" s="104">
        <v>45838</v>
      </c>
    </row>
    <row r="70" spans="1:10">
      <c r="A70" s="101" t="s">
        <v>3008</v>
      </c>
      <c r="B70" s="102" t="s">
        <v>3009</v>
      </c>
      <c r="C70" s="103">
        <v>46063.599479166667</v>
      </c>
      <c r="D70" s="102" t="s">
        <v>1167</v>
      </c>
      <c r="E70" s="102" t="s">
        <v>3010</v>
      </c>
      <c r="F70" s="102" t="s">
        <v>2872</v>
      </c>
      <c r="G70" s="102" t="s">
        <v>2762</v>
      </c>
      <c r="I70" s="102" t="s">
        <v>2763</v>
      </c>
      <c r="J70" s="104">
        <v>45838</v>
      </c>
    </row>
    <row r="71" spans="1:10">
      <c r="A71" s="101" t="s">
        <v>3011</v>
      </c>
      <c r="B71" s="102" t="s">
        <v>3012</v>
      </c>
      <c r="C71" s="103">
        <v>46074.035590277781</v>
      </c>
      <c r="D71" s="102" t="s">
        <v>3013</v>
      </c>
      <c r="E71" s="102" t="s">
        <v>3014</v>
      </c>
      <c r="F71" s="102" t="s">
        <v>3015</v>
      </c>
      <c r="G71" s="102" t="s">
        <v>2762</v>
      </c>
      <c r="I71" s="102" t="s">
        <v>3016</v>
      </c>
      <c r="J71" s="104">
        <v>45838</v>
      </c>
    </row>
    <row r="72" spans="1:10">
      <c r="A72" s="101" t="s">
        <v>3017</v>
      </c>
      <c r="B72" s="102" t="s">
        <v>3018</v>
      </c>
      <c r="C72" s="103">
        <v>46074.035497685189</v>
      </c>
      <c r="D72" s="102" t="s">
        <v>737</v>
      </c>
      <c r="E72" s="102" t="s">
        <v>738</v>
      </c>
      <c r="F72" s="102" t="s">
        <v>3019</v>
      </c>
      <c r="G72" s="102" t="s">
        <v>2762</v>
      </c>
      <c r="H72" s="102" t="s">
        <v>2887</v>
      </c>
      <c r="I72" s="102" t="s">
        <v>2777</v>
      </c>
      <c r="J72" s="104">
        <v>45838</v>
      </c>
    </row>
  </sheetData>
  <dataValidations count="7">
    <dataValidation type="date" operator="greaterThanOrEqual" showInputMessage="1" showErrorMessage="1" errorTitle="Invalid Date" error="Baseline Value Date must be in the correct date format." promptTitle="Date (required)" prompt=" " sqref="J2:J1048576" xr:uid="{00000000-0002-0000-0700-000000000000}">
      <formula1>1</formula1>
    </dataValidation>
    <dataValidation type="textLength" operator="lessThanOrEqual" allowBlank="1" showInputMessage="1" showErrorMessage="1" errorTitle="Length Exceeded" error="This value must be less than or equal to 200 characters long." promptTitle="Text" prompt="Maximum Length: 200 characters." sqref="I2:I1048576" xr:uid="{00000000-0002-0000-0700-000001000000}">
      <formula1>200</formula1>
    </dataValidation>
    <dataValidation allowBlank="1" showInputMessage="1" showErrorMessage="1" error=" " promptTitle="Lookup" prompt="This Landscape record must already exist in Microsoft Dynamics 365 or in this source file." sqref="H2:H1048576" xr:uid="{00000000-0002-0000-0700-000002000000}"/>
    <dataValidation showInputMessage="1" showErrorMessage="1" error=" " promptTitle="Lookup (required)" prompt="This Indicator record must already exist in Microsoft Dynamics 365 or in this source file." sqref="F2:F1048576" xr:uid="{00000000-0002-0000-0700-000003000000}"/>
    <dataValidation showInputMessage="1" showErrorMessage="1" error=" " promptTitle="Lookup (required)" prompt="This Output record must already exist in Microsoft Dynamics 365 or in this source file." sqref="E2:E1048576" xr:uid="{00000000-0002-0000-0700-000004000000}"/>
    <dataValidation type="textLength" operator="lessThanOrEqual" allowBlank="1" showInputMessage="1" showErrorMessage="1" errorTitle="Length Exceeded" error="This value must be less than or equal to 100 characters long." promptTitle="Text" prompt="Maximum Length: 100 characters." sqref="D2:D1048576" xr:uid="{00000000-0002-0000-0700-000005000000}">
      <formula1>100</formula1>
    </dataValidation>
    <dataValidation type="date" operator="greaterThanOrEqual" allowBlank="1" showInputMessage="1" showErrorMessage="1" errorTitle="Invalid Date" error="(Do Not Modify) Modified On must be in the correct date and time format." promptTitle="Date and time" prompt=" " sqref="C2:C1048576" xr:uid="{00000000-0002-0000-0700-000006000000}">
      <formula1>1</formula1>
    </dataValidation>
  </dataValidations>
  <pageMargins left="0" right="0" top="0" bottom="0" header="0" footer="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filterMode="1">
    <outlinePr summaryBelow="0" summaryRight="0"/>
  </sheetPr>
  <dimension ref="A1:X135"/>
  <sheetViews>
    <sheetView topLeftCell="I1" zoomScale="110" zoomScaleNormal="110" workbookViewId="0">
      <pane xSplit="1" ySplit="1" topLeftCell="J34" activePane="bottomRight" state="frozen"/>
      <selection pane="topRight" activeCell="J1" sqref="J1"/>
      <selection pane="bottomLeft" activeCell="I2" sqref="I2"/>
      <selection pane="bottomRight" activeCell="J52" sqref="J52"/>
    </sheetView>
  </sheetViews>
  <sheetFormatPr defaultColWidth="12.81640625" defaultRowHeight="15.75" customHeight="1" outlineLevelCol="1"/>
  <cols>
    <col min="1" max="6" width="17.81640625" style="156" customWidth="1"/>
    <col min="7" max="7" width="8.1796875" style="156" customWidth="1"/>
    <col min="8" max="8" width="22.453125" style="338" customWidth="1"/>
    <col min="9" max="9" width="32.453125" style="338" customWidth="1"/>
    <col min="10" max="10" width="26" style="156" customWidth="1" outlineLevel="1"/>
    <col min="11" max="11" width="23.81640625" style="156" customWidth="1" outlineLevel="1"/>
    <col min="12" max="12" width="17" style="338" customWidth="1" outlineLevel="1"/>
    <col min="13" max="13" width="16.1796875" style="156" customWidth="1" outlineLevel="1"/>
    <col min="14" max="14" width="16.453125" style="156" customWidth="1" outlineLevel="1"/>
    <col min="15" max="15" width="23.1796875" style="156" customWidth="1"/>
    <col min="16" max="16" width="45.7265625" style="156" customWidth="1"/>
    <col min="17" max="17" width="26.1796875" style="156" customWidth="1"/>
    <col min="18" max="18" width="18.453125" style="156" customWidth="1"/>
    <col min="19" max="19" width="18.1796875" style="156" customWidth="1"/>
    <col min="20" max="20" width="20.81640625" style="156" customWidth="1"/>
    <col min="21" max="21" width="23.81640625" style="156" customWidth="1"/>
    <col min="22" max="22" width="27" style="156" customWidth="1"/>
    <col min="23" max="23" width="25.1796875" style="156" customWidth="1"/>
    <col min="24" max="25" width="12.81640625" style="156" customWidth="1"/>
    <col min="26" max="16384" width="12.81640625" style="156"/>
  </cols>
  <sheetData>
    <row r="1" spans="1:24" s="113" customFormat="1" ht="43.5" customHeight="1" thickBot="1">
      <c r="A1" s="107" t="s">
        <v>3020</v>
      </c>
      <c r="B1" s="108" t="s">
        <v>3021</v>
      </c>
      <c r="C1" s="108" t="s">
        <v>3022</v>
      </c>
      <c r="D1" s="108" t="s">
        <v>3023</v>
      </c>
      <c r="E1" s="109" t="s">
        <v>3024</v>
      </c>
      <c r="F1" s="109" t="s">
        <v>3025</v>
      </c>
      <c r="G1" s="109" t="s">
        <v>3026</v>
      </c>
      <c r="H1" s="110" t="s">
        <v>3027</v>
      </c>
      <c r="I1" s="109" t="s">
        <v>3028</v>
      </c>
      <c r="J1" s="109" t="s">
        <v>2058</v>
      </c>
      <c r="K1" s="109" t="s">
        <v>2057</v>
      </c>
      <c r="L1" s="109" t="s">
        <v>3029</v>
      </c>
      <c r="M1" s="109" t="s">
        <v>14</v>
      </c>
      <c r="N1" s="109" t="s">
        <v>2066</v>
      </c>
      <c r="O1" s="109" t="s">
        <v>3030</v>
      </c>
      <c r="P1" s="109" t="s">
        <v>26</v>
      </c>
      <c r="Q1" s="109" t="s">
        <v>2059</v>
      </c>
      <c r="R1" s="109" t="s">
        <v>2060</v>
      </c>
      <c r="S1" s="109" t="s">
        <v>2061</v>
      </c>
      <c r="T1" s="109" t="s">
        <v>2062</v>
      </c>
      <c r="U1" s="109" t="s">
        <v>2063</v>
      </c>
      <c r="V1" s="109" t="s">
        <v>2068</v>
      </c>
      <c r="W1" s="111" t="s">
        <v>2069</v>
      </c>
      <c r="X1" s="112"/>
    </row>
    <row r="2" spans="1:24" s="113" customFormat="1" ht="72.650000000000006" hidden="1" customHeight="1">
      <c r="A2" s="757" t="s">
        <v>3031</v>
      </c>
      <c r="B2" s="769" t="s">
        <v>3032</v>
      </c>
      <c r="C2" s="779">
        <v>1</v>
      </c>
      <c r="D2" s="771" t="s">
        <v>3033</v>
      </c>
      <c r="E2" s="771" t="s">
        <v>3034</v>
      </c>
      <c r="F2" s="783"/>
      <c r="G2" s="810">
        <v>1.1000000000000001</v>
      </c>
      <c r="H2" s="782" t="s">
        <v>3035</v>
      </c>
      <c r="I2" s="782" t="s">
        <v>36</v>
      </c>
      <c r="J2" s="118" t="s">
        <v>37</v>
      </c>
      <c r="K2" s="119" t="s">
        <v>38</v>
      </c>
      <c r="L2" s="120" t="s">
        <v>44</v>
      </c>
      <c r="M2" s="120" t="s">
        <v>46</v>
      </c>
      <c r="N2" s="120" t="s">
        <v>3036</v>
      </c>
      <c r="O2" s="806" t="s">
        <v>3037</v>
      </c>
      <c r="P2" s="122" t="s">
        <v>3038</v>
      </c>
      <c r="Q2" s="123" t="s">
        <v>3039</v>
      </c>
      <c r="R2" s="123" t="s">
        <v>3039</v>
      </c>
      <c r="S2" s="124" t="s">
        <v>3039</v>
      </c>
      <c r="T2" s="124" t="s">
        <v>3039</v>
      </c>
      <c r="U2" s="122" t="s">
        <v>3038</v>
      </c>
      <c r="V2" s="122" t="s">
        <v>3040</v>
      </c>
      <c r="W2" s="123" t="s">
        <v>50</v>
      </c>
      <c r="X2" s="112"/>
    </row>
    <row r="3" spans="1:24" s="113" customFormat="1" ht="72.650000000000006" hidden="1" customHeight="1">
      <c r="A3" s="758"/>
      <c r="B3" s="770"/>
      <c r="C3" s="770"/>
      <c r="D3" s="772"/>
      <c r="E3" s="772"/>
      <c r="F3" s="767"/>
      <c r="G3" s="767"/>
      <c r="H3" s="767"/>
      <c r="I3" s="767"/>
      <c r="J3" s="118" t="s">
        <v>47</v>
      </c>
      <c r="K3" s="119" t="s">
        <v>48</v>
      </c>
      <c r="L3" s="120" t="s">
        <v>44</v>
      </c>
      <c r="M3" s="120" t="s">
        <v>46</v>
      </c>
      <c r="N3" s="120" t="s">
        <v>49</v>
      </c>
      <c r="O3" s="770"/>
      <c r="P3" s="122" t="s">
        <v>3041</v>
      </c>
      <c r="Q3" s="123"/>
      <c r="R3" s="123"/>
      <c r="S3" s="124"/>
      <c r="T3" s="124"/>
      <c r="U3" s="122" t="s">
        <v>3041</v>
      </c>
      <c r="V3" s="122" t="s">
        <v>3040</v>
      </c>
      <c r="W3" s="122" t="s">
        <v>50</v>
      </c>
      <c r="X3" s="112"/>
    </row>
    <row r="4" spans="1:24" s="113" customFormat="1" ht="87" hidden="1" customHeight="1">
      <c r="A4" s="758"/>
      <c r="B4" s="770"/>
      <c r="C4" s="770"/>
      <c r="D4" s="772"/>
      <c r="E4" s="772"/>
      <c r="F4" s="767"/>
      <c r="G4" s="767"/>
      <c r="H4" s="767"/>
      <c r="I4" s="767"/>
      <c r="J4" s="118" t="s">
        <v>51</v>
      </c>
      <c r="K4" s="119" t="s">
        <v>52</v>
      </c>
      <c r="L4" s="120" t="s">
        <v>44</v>
      </c>
      <c r="M4" s="120" t="s">
        <v>54</v>
      </c>
      <c r="N4" s="120" t="s">
        <v>53</v>
      </c>
      <c r="O4" s="770"/>
      <c r="P4" s="122" t="s">
        <v>3042</v>
      </c>
      <c r="Q4" s="123"/>
      <c r="R4" s="123"/>
      <c r="S4" s="124"/>
      <c r="T4" s="124"/>
      <c r="U4" s="122" t="s">
        <v>3042</v>
      </c>
      <c r="V4" s="122" t="s">
        <v>3040</v>
      </c>
      <c r="W4" s="122" t="s">
        <v>50</v>
      </c>
      <c r="X4" s="112"/>
    </row>
    <row r="5" spans="1:24" s="113" customFormat="1" ht="72.650000000000006" hidden="1" customHeight="1">
      <c r="A5" s="758"/>
      <c r="B5" s="770"/>
      <c r="C5" s="770"/>
      <c r="D5" s="772"/>
      <c r="E5" s="772"/>
      <c r="F5" s="767"/>
      <c r="G5" s="767"/>
      <c r="H5" s="767"/>
      <c r="I5" s="767"/>
      <c r="J5" s="118" t="s">
        <v>55</v>
      </c>
      <c r="K5" s="119" t="s">
        <v>56</v>
      </c>
      <c r="L5" s="120" t="s">
        <v>44</v>
      </c>
      <c r="M5" s="120" t="s">
        <v>57</v>
      </c>
      <c r="N5" s="120" t="s">
        <v>53</v>
      </c>
      <c r="O5" s="770"/>
      <c r="P5" s="122" t="s">
        <v>3043</v>
      </c>
      <c r="Q5" s="123"/>
      <c r="R5" s="123"/>
      <c r="S5" s="124"/>
      <c r="T5" s="124"/>
      <c r="U5" s="122" t="s">
        <v>3043</v>
      </c>
      <c r="V5" s="122" t="s">
        <v>3040</v>
      </c>
      <c r="W5" s="122" t="s">
        <v>50</v>
      </c>
      <c r="X5" s="112"/>
    </row>
    <row r="6" spans="1:24" s="113" customFormat="1" ht="116.15" hidden="1" customHeight="1">
      <c r="A6" s="758"/>
      <c r="B6" s="760"/>
      <c r="C6" s="760"/>
      <c r="D6" s="762"/>
      <c r="E6" s="762"/>
      <c r="F6" s="768"/>
      <c r="G6" s="768"/>
      <c r="H6" s="768"/>
      <c r="I6" s="768"/>
      <c r="J6" s="127" t="s">
        <v>58</v>
      </c>
      <c r="K6" s="128" t="s">
        <v>59</v>
      </c>
      <c r="L6" s="129" t="s">
        <v>44</v>
      </c>
      <c r="M6" s="129" t="s">
        <v>60</v>
      </c>
      <c r="N6" s="128" t="s">
        <v>53</v>
      </c>
      <c r="O6" s="760"/>
      <c r="P6" s="121" t="s">
        <v>3044</v>
      </c>
      <c r="Q6" s="115"/>
      <c r="R6" s="115"/>
      <c r="S6" s="114"/>
      <c r="T6" s="114"/>
      <c r="U6" s="121" t="s">
        <v>3044</v>
      </c>
      <c r="V6" s="121" t="s">
        <v>3045</v>
      </c>
      <c r="W6" s="122" t="s">
        <v>50</v>
      </c>
      <c r="X6" s="112"/>
    </row>
    <row r="7" spans="1:24" s="113" customFormat="1" ht="72.650000000000006" hidden="1" customHeight="1">
      <c r="A7" s="758"/>
      <c r="B7" s="802" t="s">
        <v>3032</v>
      </c>
      <c r="C7" s="823">
        <v>1</v>
      </c>
      <c r="D7" s="807" t="s">
        <v>3046</v>
      </c>
      <c r="E7" s="771" t="s">
        <v>3034</v>
      </c>
      <c r="F7" s="130"/>
      <c r="G7" s="810">
        <v>1.2</v>
      </c>
      <c r="H7" s="782" t="s">
        <v>3047</v>
      </c>
      <c r="I7" s="782" t="s">
        <v>61</v>
      </c>
      <c r="J7" s="131" t="s">
        <v>62</v>
      </c>
      <c r="K7" s="119" t="s">
        <v>38</v>
      </c>
      <c r="L7" s="120" t="s">
        <v>63</v>
      </c>
      <c r="M7" s="120" t="s">
        <v>46</v>
      </c>
      <c r="N7" s="119" t="s">
        <v>3036</v>
      </c>
      <c r="O7" s="806" t="s">
        <v>3048</v>
      </c>
      <c r="P7" s="132" t="s">
        <v>3049</v>
      </c>
      <c r="Q7" s="133"/>
      <c r="R7" s="133"/>
      <c r="S7" s="134"/>
      <c r="T7" s="134"/>
      <c r="U7" s="132" t="s">
        <v>3049</v>
      </c>
      <c r="V7" s="122" t="s">
        <v>3040</v>
      </c>
      <c r="W7" s="122" t="s">
        <v>50</v>
      </c>
      <c r="X7" s="112"/>
    </row>
    <row r="8" spans="1:24" s="113" customFormat="1" ht="72" hidden="1" customHeight="1">
      <c r="A8" s="758"/>
      <c r="B8" s="770"/>
      <c r="C8" s="770"/>
      <c r="D8" s="772"/>
      <c r="E8" s="772"/>
      <c r="F8" s="130"/>
      <c r="G8" s="767"/>
      <c r="H8" s="767"/>
      <c r="I8" s="767"/>
      <c r="J8" s="131" t="s">
        <v>65</v>
      </c>
      <c r="K8" s="119" t="s">
        <v>48</v>
      </c>
      <c r="L8" s="120" t="s">
        <v>66</v>
      </c>
      <c r="M8" s="120" t="s">
        <v>67</v>
      </c>
      <c r="N8" s="119" t="s">
        <v>49</v>
      </c>
      <c r="O8" s="770"/>
      <c r="P8" s="132" t="s">
        <v>3050</v>
      </c>
      <c r="Q8" s="133"/>
      <c r="R8" s="133"/>
      <c r="S8" s="134"/>
      <c r="T8" s="134"/>
      <c r="U8" s="132" t="s">
        <v>3050</v>
      </c>
      <c r="V8" s="122" t="s">
        <v>3040</v>
      </c>
      <c r="W8" s="122" t="s">
        <v>50</v>
      </c>
      <c r="X8" s="112"/>
    </row>
    <row r="9" spans="1:24" s="113" customFormat="1" ht="132.65" hidden="1" customHeight="1">
      <c r="A9" s="758"/>
      <c r="B9" s="770"/>
      <c r="C9" s="770"/>
      <c r="D9" s="772"/>
      <c r="E9" s="772"/>
      <c r="F9" s="130"/>
      <c r="G9" s="767"/>
      <c r="H9" s="767"/>
      <c r="I9" s="767"/>
      <c r="J9" s="131" t="s">
        <v>68</v>
      </c>
      <c r="K9" s="119" t="s">
        <v>52</v>
      </c>
      <c r="L9" s="120" t="s">
        <v>66</v>
      </c>
      <c r="M9" s="120" t="s">
        <v>54</v>
      </c>
      <c r="N9" s="119" t="s">
        <v>53</v>
      </c>
      <c r="O9" s="770"/>
      <c r="P9" s="132" t="s">
        <v>3051</v>
      </c>
      <c r="Q9" s="133"/>
      <c r="R9" s="133"/>
      <c r="S9" s="134"/>
      <c r="T9" s="134"/>
      <c r="U9" s="132" t="s">
        <v>3051</v>
      </c>
      <c r="V9" s="122" t="s">
        <v>3040</v>
      </c>
      <c r="W9" s="122" t="s">
        <v>50</v>
      </c>
      <c r="X9" s="112"/>
    </row>
    <row r="10" spans="1:24" s="113" customFormat="1" ht="72.650000000000006" hidden="1" customHeight="1">
      <c r="A10" s="758"/>
      <c r="B10" s="770"/>
      <c r="C10" s="770"/>
      <c r="D10" s="772"/>
      <c r="E10" s="772"/>
      <c r="F10" s="130"/>
      <c r="G10" s="767"/>
      <c r="H10" s="767"/>
      <c r="I10" s="767"/>
      <c r="J10" s="131" t="s">
        <v>69</v>
      </c>
      <c r="K10" s="119" t="s">
        <v>56</v>
      </c>
      <c r="L10" s="120" t="s">
        <v>63</v>
      </c>
      <c r="M10" s="120" t="s">
        <v>57</v>
      </c>
      <c r="N10" s="119" t="s">
        <v>53</v>
      </c>
      <c r="O10" s="770"/>
      <c r="P10" s="132" t="s">
        <v>3052</v>
      </c>
      <c r="Q10" s="133"/>
      <c r="R10" s="133"/>
      <c r="S10" s="134"/>
      <c r="T10" s="134"/>
      <c r="U10" s="132" t="s">
        <v>3052</v>
      </c>
      <c r="V10" s="122" t="s">
        <v>3040</v>
      </c>
      <c r="W10" s="122" t="s">
        <v>50</v>
      </c>
      <c r="X10" s="112"/>
    </row>
    <row r="11" spans="1:24" s="113" customFormat="1" ht="116.15" hidden="1" customHeight="1">
      <c r="A11" s="758"/>
      <c r="B11" s="770"/>
      <c r="C11" s="770"/>
      <c r="D11" s="772"/>
      <c r="E11" s="762"/>
      <c r="F11" s="130"/>
      <c r="G11" s="768"/>
      <c r="H11" s="768"/>
      <c r="I11" s="768"/>
      <c r="J11" s="135" t="s">
        <v>70</v>
      </c>
      <c r="K11" s="128" t="s">
        <v>59</v>
      </c>
      <c r="L11" s="129" t="s">
        <v>63</v>
      </c>
      <c r="M11" s="129" t="s">
        <v>60</v>
      </c>
      <c r="N11" s="128" t="s">
        <v>53</v>
      </c>
      <c r="O11" s="760"/>
      <c r="P11" s="132" t="s">
        <v>3053</v>
      </c>
      <c r="Q11" s="136"/>
      <c r="R11" s="136"/>
      <c r="S11" s="137"/>
      <c r="T11" s="137"/>
      <c r="U11" s="132" t="s">
        <v>3053</v>
      </c>
      <c r="V11" s="121" t="s">
        <v>3045</v>
      </c>
      <c r="W11" s="122" t="s">
        <v>50</v>
      </c>
      <c r="X11" s="112"/>
    </row>
    <row r="12" spans="1:24" s="113" customFormat="1" ht="72.650000000000006" hidden="1" customHeight="1">
      <c r="A12" s="758"/>
      <c r="B12" s="769" t="s">
        <v>3032</v>
      </c>
      <c r="C12" s="779">
        <v>1</v>
      </c>
      <c r="D12" s="804" t="s">
        <v>3054</v>
      </c>
      <c r="E12" s="771" t="s">
        <v>3034</v>
      </c>
      <c r="F12" s="130"/>
      <c r="G12" s="810">
        <v>1.3</v>
      </c>
      <c r="H12" s="782" t="s">
        <v>3055</v>
      </c>
      <c r="I12" s="782" t="s">
        <v>71</v>
      </c>
      <c r="J12" s="139" t="s">
        <v>72</v>
      </c>
      <c r="K12" s="120" t="s">
        <v>38</v>
      </c>
      <c r="L12" s="120" t="s">
        <v>73</v>
      </c>
      <c r="M12" s="120" t="s">
        <v>46</v>
      </c>
      <c r="N12" s="128" t="s">
        <v>119</v>
      </c>
      <c r="O12" s="806" t="s">
        <v>3056</v>
      </c>
      <c r="P12" s="122" t="s">
        <v>3057</v>
      </c>
      <c r="Q12" s="123"/>
      <c r="R12" s="123"/>
      <c r="S12" s="124"/>
      <c r="T12" s="124"/>
      <c r="U12" s="122" t="s">
        <v>3057</v>
      </c>
      <c r="V12" s="122" t="s">
        <v>3040</v>
      </c>
      <c r="W12" s="122" t="s">
        <v>50</v>
      </c>
      <c r="X12" s="112"/>
    </row>
    <row r="13" spans="1:24" s="113" customFormat="1" ht="72.650000000000006" hidden="1" customHeight="1">
      <c r="A13" s="758"/>
      <c r="B13" s="770"/>
      <c r="C13" s="770"/>
      <c r="D13" s="772"/>
      <c r="E13" s="772"/>
      <c r="F13" s="130"/>
      <c r="G13" s="767"/>
      <c r="H13" s="767"/>
      <c r="I13" s="767"/>
      <c r="J13" s="139" t="s">
        <v>75</v>
      </c>
      <c r="K13" s="120" t="s">
        <v>48</v>
      </c>
      <c r="L13" s="120" t="s">
        <v>73</v>
      </c>
      <c r="M13" s="120" t="s">
        <v>76</v>
      </c>
      <c r="N13" s="119" t="s">
        <v>49</v>
      </c>
      <c r="O13" s="770"/>
      <c r="P13" s="120" t="s">
        <v>3058</v>
      </c>
      <c r="Q13" s="123"/>
      <c r="R13" s="123"/>
      <c r="S13" s="124"/>
      <c r="T13" s="124"/>
      <c r="U13" s="120" t="s">
        <v>3058</v>
      </c>
      <c r="V13" s="122" t="s">
        <v>3040</v>
      </c>
      <c r="W13" s="122" t="s">
        <v>50</v>
      </c>
      <c r="X13" s="112"/>
    </row>
    <row r="14" spans="1:24" s="113" customFormat="1" ht="87" hidden="1" customHeight="1">
      <c r="A14" s="758"/>
      <c r="B14" s="770"/>
      <c r="C14" s="770"/>
      <c r="D14" s="772"/>
      <c r="E14" s="772"/>
      <c r="F14" s="130"/>
      <c r="G14" s="767"/>
      <c r="H14" s="767"/>
      <c r="I14" s="767"/>
      <c r="J14" s="139" t="s">
        <v>77</v>
      </c>
      <c r="K14" s="120" t="s">
        <v>52</v>
      </c>
      <c r="L14" s="120" t="s">
        <v>73</v>
      </c>
      <c r="M14" s="120" t="s">
        <v>78</v>
      </c>
      <c r="N14" s="119" t="s">
        <v>53</v>
      </c>
      <c r="O14" s="770"/>
      <c r="P14" s="122" t="s">
        <v>3059</v>
      </c>
      <c r="Q14" s="123"/>
      <c r="R14" s="123"/>
      <c r="S14" s="124"/>
      <c r="T14" s="124"/>
      <c r="U14" s="122" t="s">
        <v>3059</v>
      </c>
      <c r="V14" s="122" t="s">
        <v>3040</v>
      </c>
      <c r="W14" s="122" t="s">
        <v>50</v>
      </c>
      <c r="X14" s="112"/>
    </row>
    <row r="15" spans="1:24" s="113" customFormat="1" ht="72.650000000000006" hidden="1" customHeight="1">
      <c r="A15" s="758"/>
      <c r="B15" s="770"/>
      <c r="C15" s="770"/>
      <c r="D15" s="772"/>
      <c r="E15" s="772"/>
      <c r="F15" s="130"/>
      <c r="G15" s="767"/>
      <c r="H15" s="767"/>
      <c r="I15" s="767"/>
      <c r="J15" s="139" t="s">
        <v>79</v>
      </c>
      <c r="K15" s="120" t="s">
        <v>80</v>
      </c>
      <c r="L15" s="120" t="s">
        <v>73</v>
      </c>
      <c r="M15" s="120" t="s">
        <v>57</v>
      </c>
      <c r="N15" s="119" t="s">
        <v>53</v>
      </c>
      <c r="O15" s="770"/>
      <c r="P15" s="122" t="s">
        <v>3060</v>
      </c>
      <c r="Q15" s="123"/>
      <c r="R15" s="123"/>
      <c r="S15" s="124"/>
      <c r="T15" s="124"/>
      <c r="U15" s="122" t="s">
        <v>3060</v>
      </c>
      <c r="V15" s="122" t="s">
        <v>3040</v>
      </c>
      <c r="W15" s="122" t="s">
        <v>50</v>
      </c>
      <c r="X15" s="112"/>
    </row>
    <row r="16" spans="1:24" s="113" customFormat="1" ht="116.15" hidden="1" customHeight="1">
      <c r="A16" s="758"/>
      <c r="B16" s="760"/>
      <c r="C16" s="760"/>
      <c r="D16" s="762"/>
      <c r="E16" s="762"/>
      <c r="F16" s="130"/>
      <c r="G16" s="768"/>
      <c r="H16" s="768"/>
      <c r="I16" s="768"/>
      <c r="J16" s="139" t="s">
        <v>81</v>
      </c>
      <c r="K16" s="120" t="s">
        <v>59</v>
      </c>
      <c r="L16" s="120" t="s">
        <v>73</v>
      </c>
      <c r="M16" s="120" t="s">
        <v>60</v>
      </c>
      <c r="N16" s="119" t="s">
        <v>53</v>
      </c>
      <c r="O16" s="760"/>
      <c r="P16" s="132" t="s">
        <v>3061</v>
      </c>
      <c r="Q16" s="123"/>
      <c r="R16" s="123"/>
      <c r="S16" s="124"/>
      <c r="T16" s="124"/>
      <c r="U16" s="132" t="s">
        <v>3061</v>
      </c>
      <c r="V16" s="121" t="s">
        <v>3045</v>
      </c>
      <c r="W16" s="122" t="s">
        <v>50</v>
      </c>
      <c r="X16" s="112"/>
    </row>
    <row r="17" spans="1:24" s="113" customFormat="1" ht="130.5" hidden="1" customHeight="1">
      <c r="A17" s="758"/>
      <c r="B17" s="124" t="s">
        <v>3062</v>
      </c>
      <c r="C17" s="123">
        <v>1</v>
      </c>
      <c r="D17" s="138" t="s">
        <v>3063</v>
      </c>
      <c r="E17" s="138" t="s">
        <v>2887</v>
      </c>
      <c r="F17" s="130"/>
      <c r="G17" s="116">
        <v>1.4</v>
      </c>
      <c r="H17" s="132" t="s">
        <v>3064</v>
      </c>
      <c r="I17" s="132" t="s">
        <v>82</v>
      </c>
      <c r="J17" s="140" t="s">
        <v>83</v>
      </c>
      <c r="K17" s="120" t="s">
        <v>84</v>
      </c>
      <c r="L17" s="120" t="s">
        <v>87</v>
      </c>
      <c r="M17" s="120" t="s">
        <v>89</v>
      </c>
      <c r="N17" s="119" t="s">
        <v>53</v>
      </c>
      <c r="O17" s="141" t="s">
        <v>3065</v>
      </c>
      <c r="P17" s="122" t="s">
        <v>3066</v>
      </c>
      <c r="Q17" s="123"/>
      <c r="R17" s="123"/>
      <c r="S17" s="124"/>
      <c r="T17" s="124"/>
      <c r="U17" s="122" t="s">
        <v>3066</v>
      </c>
      <c r="V17" s="122" t="s">
        <v>3067</v>
      </c>
      <c r="W17" s="122" t="s">
        <v>50</v>
      </c>
      <c r="X17" s="112"/>
    </row>
    <row r="18" spans="1:24" s="113" customFormat="1" ht="188.5" hidden="1" customHeight="1">
      <c r="A18" s="758"/>
      <c r="B18" s="125" t="s">
        <v>3068</v>
      </c>
      <c r="C18" s="126" t="s">
        <v>3069</v>
      </c>
      <c r="D18" s="142" t="s">
        <v>3070</v>
      </c>
      <c r="E18" s="143" t="s">
        <v>3034</v>
      </c>
      <c r="F18" s="130"/>
      <c r="G18" s="116">
        <v>3.1</v>
      </c>
      <c r="H18" s="117" t="s">
        <v>3071</v>
      </c>
      <c r="I18" s="117" t="s">
        <v>90</v>
      </c>
      <c r="J18" s="144" t="s">
        <v>91</v>
      </c>
      <c r="K18" s="129" t="s">
        <v>92</v>
      </c>
      <c r="L18" s="129" t="s">
        <v>93</v>
      </c>
      <c r="M18" s="129" t="s">
        <v>95</v>
      </c>
      <c r="N18" s="120" t="s">
        <v>119</v>
      </c>
      <c r="O18" s="145" t="s">
        <v>3072</v>
      </c>
      <c r="P18" s="122" t="s">
        <v>3073</v>
      </c>
      <c r="Q18" s="146"/>
      <c r="R18" s="123"/>
      <c r="S18" s="124"/>
      <c r="T18" s="147"/>
      <c r="U18" s="122" t="s">
        <v>3074</v>
      </c>
      <c r="V18" s="122" t="s">
        <v>3075</v>
      </c>
      <c r="W18" s="122" t="s">
        <v>50</v>
      </c>
      <c r="X18" s="112"/>
    </row>
    <row r="19" spans="1:24" ht="117.75" hidden="1" customHeight="1">
      <c r="A19" s="816" t="s">
        <v>3076</v>
      </c>
      <c r="B19" s="803" t="s">
        <v>3032</v>
      </c>
      <c r="C19" s="822">
        <v>1</v>
      </c>
      <c r="D19" s="773" t="s">
        <v>3077</v>
      </c>
      <c r="E19" s="824" t="s">
        <v>3034</v>
      </c>
      <c r="F19" s="774" t="s">
        <v>3078</v>
      </c>
      <c r="G19" s="786" t="s">
        <v>419</v>
      </c>
      <c r="H19" s="790" t="s">
        <v>3079</v>
      </c>
      <c r="I19" s="821" t="s">
        <v>207</v>
      </c>
      <c r="J19" s="150" t="s">
        <v>208</v>
      </c>
      <c r="K19" s="151" t="s">
        <v>209</v>
      </c>
      <c r="L19" s="152" t="s">
        <v>210</v>
      </c>
      <c r="M19" s="152" t="s">
        <v>211</v>
      </c>
      <c r="N19" s="153" t="s">
        <v>109</v>
      </c>
      <c r="O19" s="805" t="s">
        <v>212</v>
      </c>
      <c r="P19" s="154" t="s">
        <v>3080</v>
      </c>
      <c r="Q19" s="154" t="s">
        <v>3080</v>
      </c>
      <c r="R19" s="154" t="s">
        <v>3081</v>
      </c>
      <c r="S19" s="154" t="s">
        <v>3082</v>
      </c>
      <c r="T19" s="154" t="s">
        <v>3082</v>
      </c>
      <c r="U19" s="154" t="s">
        <v>3082</v>
      </c>
      <c r="V19" s="154" t="s">
        <v>3083</v>
      </c>
      <c r="W19" s="800" t="s">
        <v>213</v>
      </c>
      <c r="X19" s="155"/>
    </row>
    <row r="20" spans="1:24" ht="66" hidden="1" customHeight="1">
      <c r="A20" s="817"/>
      <c r="B20" s="760"/>
      <c r="C20" s="760"/>
      <c r="D20" s="762"/>
      <c r="E20" s="760"/>
      <c r="F20" s="762"/>
      <c r="G20" s="768"/>
      <c r="H20" s="768"/>
      <c r="I20" s="798"/>
      <c r="J20" s="158" t="s">
        <v>214</v>
      </c>
      <c r="K20" s="159" t="s">
        <v>215</v>
      </c>
      <c r="L20" s="160" t="s">
        <v>210</v>
      </c>
      <c r="M20" s="160" t="s">
        <v>211</v>
      </c>
      <c r="N20" s="161" t="s">
        <v>216</v>
      </c>
      <c r="O20" s="760"/>
      <c r="P20" s="161" t="s">
        <v>3084</v>
      </c>
      <c r="Q20" s="161" t="s">
        <v>3085</v>
      </c>
      <c r="R20" s="161" t="s">
        <v>3085</v>
      </c>
      <c r="S20" s="161" t="s">
        <v>3085</v>
      </c>
      <c r="T20" s="161" t="s">
        <v>3085</v>
      </c>
      <c r="U20" s="161" t="s">
        <v>3085</v>
      </c>
      <c r="V20" s="162" t="s">
        <v>3086</v>
      </c>
      <c r="W20" s="762"/>
      <c r="X20" s="155"/>
    </row>
    <row r="21" spans="1:24" ht="63" hidden="1" customHeight="1">
      <c r="A21" s="817"/>
      <c r="B21" s="819" t="s">
        <v>3032</v>
      </c>
      <c r="C21" s="809">
        <v>1</v>
      </c>
      <c r="D21" s="818" t="s">
        <v>3077</v>
      </c>
      <c r="E21" s="814" t="s">
        <v>3034</v>
      </c>
      <c r="F21" s="789" t="s">
        <v>3087</v>
      </c>
      <c r="G21" s="786" t="s">
        <v>217</v>
      </c>
      <c r="H21" s="790" t="s">
        <v>3088</v>
      </c>
      <c r="I21" s="787" t="s">
        <v>3089</v>
      </c>
      <c r="J21" s="161" t="s">
        <v>3090</v>
      </c>
      <c r="K21" s="164" t="s">
        <v>215</v>
      </c>
      <c r="L21" s="161" t="s">
        <v>221</v>
      </c>
      <c r="M21" s="161" t="s">
        <v>223</v>
      </c>
      <c r="N21" s="161" t="s">
        <v>109</v>
      </c>
      <c r="O21" s="795" t="s">
        <v>3091</v>
      </c>
      <c r="P21" s="166"/>
      <c r="Q21" s="166" t="s">
        <v>3092</v>
      </c>
      <c r="R21" s="166" t="s">
        <v>3093</v>
      </c>
      <c r="S21" s="166" t="s">
        <v>3094</v>
      </c>
      <c r="T21" s="166" t="s">
        <v>3095</v>
      </c>
      <c r="U21" s="166" t="s">
        <v>3096</v>
      </c>
      <c r="V21" s="162" t="s">
        <v>3086</v>
      </c>
      <c r="W21" s="800" t="s">
        <v>213</v>
      </c>
      <c r="X21" s="155"/>
    </row>
    <row r="22" spans="1:24" ht="108.75" hidden="1" customHeight="1">
      <c r="A22" s="817"/>
      <c r="B22" s="760"/>
      <c r="C22" s="770"/>
      <c r="D22" s="772"/>
      <c r="E22" s="760"/>
      <c r="F22" s="762"/>
      <c r="G22" s="768"/>
      <c r="H22" s="768"/>
      <c r="I22" s="788"/>
      <c r="J22" s="168" t="s">
        <v>224</v>
      </c>
      <c r="K22" s="169" t="s">
        <v>225</v>
      </c>
      <c r="L22" s="168" t="s">
        <v>226</v>
      </c>
      <c r="M22" s="168" t="s">
        <v>227</v>
      </c>
      <c r="N22" s="168" t="s">
        <v>109</v>
      </c>
      <c r="O22" s="760"/>
      <c r="P22" s="171" t="s">
        <v>3097</v>
      </c>
      <c r="Q22" s="166" t="s">
        <v>3098</v>
      </c>
      <c r="R22" s="166" t="s">
        <v>3099</v>
      </c>
      <c r="S22" s="166" t="s">
        <v>3100</v>
      </c>
      <c r="T22" s="166" t="s">
        <v>3101</v>
      </c>
      <c r="U22" s="166" t="s">
        <v>3102</v>
      </c>
      <c r="V22" s="162" t="s">
        <v>3086</v>
      </c>
      <c r="W22" s="762"/>
      <c r="X22" s="155"/>
    </row>
    <row r="23" spans="1:24" ht="108.75" hidden="1" customHeight="1">
      <c r="A23" s="817"/>
      <c r="B23" s="172" t="s">
        <v>3103</v>
      </c>
      <c r="C23" s="173">
        <v>1</v>
      </c>
      <c r="D23" s="174" t="s">
        <v>3104</v>
      </c>
      <c r="E23" s="175" t="s">
        <v>3034</v>
      </c>
      <c r="F23" s="174" t="s">
        <v>3105</v>
      </c>
      <c r="G23" s="176" t="s">
        <v>228</v>
      </c>
      <c r="H23" s="148" t="s">
        <v>3106</v>
      </c>
      <c r="I23" s="157" t="s">
        <v>229</v>
      </c>
      <c r="J23" s="160" t="s">
        <v>230</v>
      </c>
      <c r="K23" s="177" t="s">
        <v>231</v>
      </c>
      <c r="L23" s="160" t="s">
        <v>233</v>
      </c>
      <c r="M23" s="160" t="s">
        <v>235</v>
      </c>
      <c r="N23" s="160" t="s">
        <v>53</v>
      </c>
      <c r="O23" s="178" t="s">
        <v>3107</v>
      </c>
      <c r="P23" s="178" t="s">
        <v>3108</v>
      </c>
      <c r="Q23" s="178" t="s">
        <v>3109</v>
      </c>
      <c r="R23" s="178" t="s">
        <v>3110</v>
      </c>
      <c r="S23" s="178" t="s">
        <v>3111</v>
      </c>
      <c r="T23" s="178" t="s">
        <v>3112</v>
      </c>
      <c r="U23" s="178" t="s">
        <v>3113</v>
      </c>
      <c r="V23" s="179" t="s">
        <v>3114</v>
      </c>
      <c r="W23" s="179" t="s">
        <v>50</v>
      </c>
      <c r="X23" s="155"/>
    </row>
    <row r="24" spans="1:24" ht="108.75" hidden="1" customHeight="1">
      <c r="A24" s="817"/>
      <c r="B24" s="172" t="s">
        <v>3032</v>
      </c>
      <c r="C24" s="173">
        <v>1</v>
      </c>
      <c r="D24" s="174" t="s">
        <v>3063</v>
      </c>
      <c r="E24" s="175" t="s">
        <v>2887</v>
      </c>
      <c r="F24" s="174" t="s">
        <v>3115</v>
      </c>
      <c r="G24" s="176" t="s">
        <v>236</v>
      </c>
      <c r="H24" s="148" t="s">
        <v>3116</v>
      </c>
      <c r="I24" s="157" t="s">
        <v>237</v>
      </c>
      <c r="J24" s="160" t="s">
        <v>238</v>
      </c>
      <c r="K24" s="177" t="s">
        <v>239</v>
      </c>
      <c r="L24" s="160" t="s">
        <v>87</v>
      </c>
      <c r="M24" s="160" t="s">
        <v>3117</v>
      </c>
      <c r="N24" s="160" t="s">
        <v>109</v>
      </c>
      <c r="O24" s="178" t="s">
        <v>3118</v>
      </c>
      <c r="P24" s="180" t="s">
        <v>3119</v>
      </c>
      <c r="Q24" s="178" t="s">
        <v>3120</v>
      </c>
      <c r="R24" s="178" t="s">
        <v>3121</v>
      </c>
      <c r="S24" s="178" t="s">
        <v>3122</v>
      </c>
      <c r="T24" s="178" t="s">
        <v>3123</v>
      </c>
      <c r="U24" s="178" t="s">
        <v>3124</v>
      </c>
      <c r="V24" s="179" t="s">
        <v>3067</v>
      </c>
      <c r="W24" s="179" t="s">
        <v>3125</v>
      </c>
      <c r="X24" s="155"/>
    </row>
    <row r="25" spans="1:24" ht="108.75" hidden="1" customHeight="1">
      <c r="A25" s="817"/>
      <c r="B25" s="172" t="s">
        <v>3032</v>
      </c>
      <c r="C25" s="173">
        <v>1</v>
      </c>
      <c r="D25" s="174" t="s">
        <v>3063</v>
      </c>
      <c r="E25" s="175" t="s">
        <v>2887</v>
      </c>
      <c r="F25" s="174" t="s">
        <v>3126</v>
      </c>
      <c r="G25" s="176" t="s">
        <v>241</v>
      </c>
      <c r="H25" s="148" t="s">
        <v>3127</v>
      </c>
      <c r="I25" s="157" t="s">
        <v>242</v>
      </c>
      <c r="J25" s="160" t="s">
        <v>3128</v>
      </c>
      <c r="K25" s="177" t="s">
        <v>244</v>
      </c>
      <c r="L25" s="160" t="s">
        <v>87</v>
      </c>
      <c r="M25" s="160" t="s">
        <v>247</v>
      </c>
      <c r="N25" s="160" t="s">
        <v>109</v>
      </c>
      <c r="O25" s="178" t="s">
        <v>3129</v>
      </c>
      <c r="P25" s="180" t="s">
        <v>3130</v>
      </c>
      <c r="Q25" s="178" t="s">
        <v>3131</v>
      </c>
      <c r="R25" s="178" t="s">
        <v>3132</v>
      </c>
      <c r="S25" s="178" t="s">
        <v>3133</v>
      </c>
      <c r="T25" s="178" t="s">
        <v>3134</v>
      </c>
      <c r="U25" s="178" t="s">
        <v>3135</v>
      </c>
      <c r="V25" s="179" t="s">
        <v>3067</v>
      </c>
      <c r="W25" s="179" t="s">
        <v>3125</v>
      </c>
      <c r="X25" s="155"/>
    </row>
    <row r="26" spans="1:24" ht="108.75" hidden="1" customHeight="1">
      <c r="A26" s="817"/>
      <c r="B26" s="181" t="s">
        <v>3032</v>
      </c>
      <c r="C26" s="182">
        <v>1</v>
      </c>
      <c r="D26" s="174" t="s">
        <v>3104</v>
      </c>
      <c r="E26" s="175" t="s">
        <v>3136</v>
      </c>
      <c r="F26" s="174" t="s">
        <v>3137</v>
      </c>
      <c r="G26" s="176" t="s">
        <v>228</v>
      </c>
      <c r="H26" s="148" t="s">
        <v>3138</v>
      </c>
      <c r="I26" s="157" t="s">
        <v>3139</v>
      </c>
      <c r="J26" s="160" t="s">
        <v>249</v>
      </c>
      <c r="K26" s="158" t="s">
        <v>3140</v>
      </c>
      <c r="L26" s="160" t="s">
        <v>250</v>
      </c>
      <c r="M26" s="160" t="s">
        <v>252</v>
      </c>
      <c r="N26" s="160" t="s">
        <v>53</v>
      </c>
      <c r="O26" s="178" t="s">
        <v>3141</v>
      </c>
      <c r="P26" s="180" t="s">
        <v>3142</v>
      </c>
      <c r="Q26" s="178" t="s">
        <v>3143</v>
      </c>
      <c r="R26" s="178" t="s">
        <v>3144</v>
      </c>
      <c r="S26" s="178" t="s">
        <v>3145</v>
      </c>
      <c r="T26" s="178" t="s">
        <v>3146</v>
      </c>
      <c r="U26" s="178" t="s">
        <v>3147</v>
      </c>
      <c r="V26" s="179" t="s">
        <v>3075</v>
      </c>
      <c r="W26" s="179" t="s">
        <v>50</v>
      </c>
      <c r="X26" s="155"/>
    </row>
    <row r="27" spans="1:24" ht="81" hidden="1" customHeight="1">
      <c r="A27" s="817"/>
      <c r="B27" s="808" t="s">
        <v>3032</v>
      </c>
      <c r="C27" s="801">
        <v>1</v>
      </c>
      <c r="D27" s="789" t="s">
        <v>3046</v>
      </c>
      <c r="E27" s="785" t="s">
        <v>3136</v>
      </c>
      <c r="F27" s="789" t="s">
        <v>3148</v>
      </c>
      <c r="G27" s="781" t="s">
        <v>253</v>
      </c>
      <c r="H27" s="790" t="s">
        <v>3149</v>
      </c>
      <c r="I27" s="820" t="s">
        <v>3150</v>
      </c>
      <c r="J27" s="160" t="s">
        <v>255</v>
      </c>
      <c r="K27" s="160" t="s">
        <v>256</v>
      </c>
      <c r="L27" s="160" t="s">
        <v>257</v>
      </c>
      <c r="M27" s="160" t="s">
        <v>259</v>
      </c>
      <c r="N27" s="160" t="s">
        <v>109</v>
      </c>
      <c r="O27" s="777" t="s">
        <v>3151</v>
      </c>
      <c r="P27" s="160" t="s">
        <v>3152</v>
      </c>
      <c r="Q27" s="178" t="s">
        <v>3153</v>
      </c>
      <c r="R27" s="178" t="s">
        <v>3154</v>
      </c>
      <c r="S27" s="178" t="s">
        <v>3155</v>
      </c>
      <c r="T27" s="178" t="s">
        <v>3156</v>
      </c>
      <c r="U27" s="178" t="s">
        <v>3157</v>
      </c>
      <c r="V27" s="179" t="s">
        <v>3075</v>
      </c>
      <c r="W27" s="179" t="s">
        <v>50</v>
      </c>
      <c r="X27" s="155"/>
    </row>
    <row r="28" spans="1:24" ht="59.5" hidden="1" customHeight="1">
      <c r="A28" s="817"/>
      <c r="B28" s="760"/>
      <c r="C28" s="760"/>
      <c r="D28" s="762"/>
      <c r="E28" s="760"/>
      <c r="F28" s="762"/>
      <c r="G28" s="768"/>
      <c r="H28" s="768"/>
      <c r="I28" s="798"/>
      <c r="J28" s="160" t="s">
        <v>260</v>
      </c>
      <c r="K28" s="160" t="s">
        <v>261</v>
      </c>
      <c r="L28" s="160" t="s">
        <v>257</v>
      </c>
      <c r="M28" s="160" t="s">
        <v>259</v>
      </c>
      <c r="N28" s="160" t="s">
        <v>109</v>
      </c>
      <c r="O28" s="760"/>
      <c r="P28" s="160" t="s">
        <v>3158</v>
      </c>
      <c r="Q28" s="178" t="s">
        <v>3159</v>
      </c>
      <c r="R28" s="178" t="s">
        <v>3160</v>
      </c>
      <c r="S28" s="178" t="s">
        <v>3161</v>
      </c>
      <c r="T28" s="178" t="s">
        <v>3162</v>
      </c>
      <c r="U28" s="178" t="s">
        <v>3163</v>
      </c>
      <c r="V28" s="179" t="s">
        <v>3075</v>
      </c>
      <c r="W28" s="179" t="s">
        <v>50</v>
      </c>
      <c r="X28" s="155"/>
    </row>
    <row r="29" spans="1:24" ht="65.150000000000006" hidden="1" customHeight="1">
      <c r="A29" s="817"/>
      <c r="B29" s="808" t="s">
        <v>3032</v>
      </c>
      <c r="C29" s="801">
        <v>1</v>
      </c>
      <c r="D29" s="789" t="s">
        <v>3104</v>
      </c>
      <c r="E29" s="785" t="s">
        <v>3034</v>
      </c>
      <c r="F29" s="789" t="s">
        <v>3164</v>
      </c>
      <c r="G29" s="781" t="s">
        <v>228</v>
      </c>
      <c r="H29" s="790" t="s">
        <v>3165</v>
      </c>
      <c r="I29" s="820" t="s">
        <v>262</v>
      </c>
      <c r="J29" s="796" t="s">
        <v>263</v>
      </c>
      <c r="K29" s="815" t="s">
        <v>264</v>
      </c>
      <c r="L29" s="795" t="s">
        <v>265</v>
      </c>
      <c r="M29" s="795" t="s">
        <v>267</v>
      </c>
      <c r="N29" s="795" t="s">
        <v>216</v>
      </c>
      <c r="O29" s="777" t="s">
        <v>3166</v>
      </c>
      <c r="P29" s="777" t="s">
        <v>3167</v>
      </c>
      <c r="Q29" s="777" t="s">
        <v>3168</v>
      </c>
      <c r="R29" s="777" t="s">
        <v>3169</v>
      </c>
      <c r="S29" s="777" t="s">
        <v>3170</v>
      </c>
      <c r="T29" s="777" t="s">
        <v>3171</v>
      </c>
      <c r="U29" s="777" t="s">
        <v>3172</v>
      </c>
      <c r="V29" s="763" t="s">
        <v>3173</v>
      </c>
      <c r="W29" s="763" t="s">
        <v>3174</v>
      </c>
      <c r="X29" s="155"/>
    </row>
    <row r="30" spans="1:24" ht="64" hidden="1" customHeight="1">
      <c r="A30" s="817"/>
      <c r="B30" s="760"/>
      <c r="C30" s="760"/>
      <c r="D30" s="762"/>
      <c r="E30" s="760"/>
      <c r="F30" s="762"/>
      <c r="G30" s="768"/>
      <c r="H30" s="768"/>
      <c r="I30" s="798"/>
      <c r="J30" s="760"/>
      <c r="K30" s="760"/>
      <c r="L30" s="760"/>
      <c r="M30" s="760"/>
      <c r="N30" s="760"/>
      <c r="O30" s="760"/>
      <c r="P30" s="760"/>
      <c r="Q30" s="760"/>
      <c r="R30" s="760"/>
      <c r="S30" s="760"/>
      <c r="T30" s="760"/>
      <c r="U30" s="760"/>
      <c r="V30" s="760"/>
      <c r="W30" s="760"/>
      <c r="X30" s="155"/>
    </row>
    <row r="31" spans="1:24" ht="159.65" hidden="1" customHeight="1">
      <c r="A31" s="817"/>
      <c r="B31" s="808" t="s">
        <v>3068</v>
      </c>
      <c r="C31" s="801"/>
      <c r="D31" s="789" t="s">
        <v>3175</v>
      </c>
      <c r="E31" s="785" t="s">
        <v>3034</v>
      </c>
      <c r="F31" s="789" t="s">
        <v>3176</v>
      </c>
      <c r="G31" s="781" t="s">
        <v>269</v>
      </c>
      <c r="H31" s="794" t="s">
        <v>3177</v>
      </c>
      <c r="I31" s="813" t="s">
        <v>270</v>
      </c>
      <c r="J31" s="187" t="s">
        <v>271</v>
      </c>
      <c r="K31" s="188" t="s">
        <v>272</v>
      </c>
      <c r="L31" s="186" t="s">
        <v>226</v>
      </c>
      <c r="M31" s="165" t="s">
        <v>227</v>
      </c>
      <c r="N31" s="165" t="s">
        <v>109</v>
      </c>
      <c r="O31" s="777" t="s">
        <v>3178</v>
      </c>
      <c r="P31" s="178" t="s">
        <v>3179</v>
      </c>
      <c r="Q31" s="178" t="s">
        <v>3180</v>
      </c>
      <c r="R31" s="178" t="s">
        <v>3181</v>
      </c>
      <c r="S31" s="178" t="s">
        <v>3182</v>
      </c>
      <c r="T31" s="178" t="s">
        <v>3183</v>
      </c>
      <c r="U31" s="178" t="s">
        <v>3184</v>
      </c>
      <c r="V31" s="179" t="s">
        <v>3185</v>
      </c>
      <c r="W31" s="179" t="s">
        <v>274</v>
      </c>
      <c r="X31" s="155"/>
    </row>
    <row r="32" spans="1:24" ht="90.75" hidden="1" customHeight="1">
      <c r="A32" s="817"/>
      <c r="B32" s="760"/>
      <c r="C32" s="760"/>
      <c r="D32" s="762"/>
      <c r="E32" s="760"/>
      <c r="F32" s="762"/>
      <c r="G32" s="768"/>
      <c r="H32" s="768"/>
      <c r="I32" s="798"/>
      <c r="J32" s="189" t="s">
        <v>273</v>
      </c>
      <c r="K32" s="190"/>
      <c r="L32" s="160"/>
      <c r="M32" s="160"/>
      <c r="N32" s="160"/>
      <c r="O32" s="760"/>
      <c r="P32" s="160" t="s">
        <v>3186</v>
      </c>
      <c r="Q32" s="178" t="s">
        <v>3187</v>
      </c>
      <c r="R32" s="178" t="s">
        <v>3188</v>
      </c>
      <c r="S32" s="178" t="s">
        <v>3189</v>
      </c>
      <c r="T32" s="178" t="s">
        <v>3190</v>
      </c>
      <c r="U32" s="178" t="s">
        <v>3191</v>
      </c>
      <c r="V32" s="179" t="s">
        <v>3185</v>
      </c>
      <c r="W32" s="179" t="s">
        <v>274</v>
      </c>
      <c r="X32" s="155"/>
    </row>
    <row r="33" spans="1:24" ht="114" hidden="1" customHeight="1">
      <c r="A33" s="817"/>
      <c r="B33" s="172" t="s">
        <v>3068</v>
      </c>
      <c r="C33" s="175"/>
      <c r="D33" s="174" t="s">
        <v>3192</v>
      </c>
      <c r="E33" s="175" t="s">
        <v>3034</v>
      </c>
      <c r="F33" s="174" t="s">
        <v>3193</v>
      </c>
      <c r="G33" s="191" t="s">
        <v>275</v>
      </c>
      <c r="H33" s="148" t="s">
        <v>3194</v>
      </c>
      <c r="I33" s="157" t="s">
        <v>276</v>
      </c>
      <c r="J33" s="170" t="s">
        <v>277</v>
      </c>
      <c r="K33" s="160" t="s">
        <v>278</v>
      </c>
      <c r="L33" s="168" t="s">
        <v>221</v>
      </c>
      <c r="M33" s="168" t="s">
        <v>223</v>
      </c>
      <c r="N33" s="168" t="s">
        <v>109</v>
      </c>
      <c r="O33" s="178" t="s">
        <v>3195</v>
      </c>
      <c r="P33" s="178">
        <v>0</v>
      </c>
      <c r="Q33" s="178" t="s">
        <v>3196</v>
      </c>
      <c r="R33" s="178" t="s">
        <v>3197</v>
      </c>
      <c r="S33" s="178" t="s">
        <v>3198</v>
      </c>
      <c r="T33" s="178" t="s">
        <v>3199</v>
      </c>
      <c r="U33" s="178" t="s">
        <v>3200</v>
      </c>
      <c r="V33" s="179" t="s">
        <v>3185</v>
      </c>
      <c r="W33" s="179" t="s">
        <v>290</v>
      </c>
      <c r="X33" s="155"/>
    </row>
    <row r="34" spans="1:24" ht="85.4" hidden="1" customHeight="1">
      <c r="A34" s="817"/>
      <c r="B34" s="808" t="s">
        <v>3068</v>
      </c>
      <c r="C34" s="801"/>
      <c r="D34" s="789" t="s">
        <v>3201</v>
      </c>
      <c r="E34" s="785" t="s">
        <v>3034</v>
      </c>
      <c r="F34" s="789" t="s">
        <v>3202</v>
      </c>
      <c r="G34" s="781" t="s">
        <v>279</v>
      </c>
      <c r="H34" s="790" t="s">
        <v>3203</v>
      </c>
      <c r="I34" s="820" t="s">
        <v>3204</v>
      </c>
      <c r="J34" s="184" t="s">
        <v>3205</v>
      </c>
      <c r="K34" s="192" t="s">
        <v>282</v>
      </c>
      <c r="L34" s="193" t="s">
        <v>284</v>
      </c>
      <c r="M34" s="193" t="s">
        <v>285</v>
      </c>
      <c r="N34" s="189" t="s">
        <v>109</v>
      </c>
      <c r="O34" s="795" t="s">
        <v>3206</v>
      </c>
      <c r="P34" s="178" t="s">
        <v>3207</v>
      </c>
      <c r="Q34" s="178" t="s">
        <v>3208</v>
      </c>
      <c r="R34" s="178" t="s">
        <v>3209</v>
      </c>
      <c r="S34" s="178" t="s">
        <v>3210</v>
      </c>
      <c r="T34" s="178" t="s">
        <v>3211</v>
      </c>
      <c r="U34" s="178" t="s">
        <v>3212</v>
      </c>
      <c r="V34" s="179" t="s">
        <v>3185</v>
      </c>
      <c r="W34" s="179" t="s">
        <v>290</v>
      </c>
      <c r="X34" s="155"/>
    </row>
    <row r="35" spans="1:24" ht="100" hidden="1" customHeight="1">
      <c r="A35" s="817"/>
      <c r="B35" s="760"/>
      <c r="C35" s="760"/>
      <c r="D35" s="762"/>
      <c r="E35" s="760"/>
      <c r="F35" s="762"/>
      <c r="G35" s="768"/>
      <c r="H35" s="768"/>
      <c r="I35" s="798"/>
      <c r="J35" s="170" t="s">
        <v>286</v>
      </c>
      <c r="K35" s="192" t="s">
        <v>287</v>
      </c>
      <c r="L35" s="193" t="s">
        <v>288</v>
      </c>
      <c r="M35" s="194" t="s">
        <v>289</v>
      </c>
      <c r="N35" s="184" t="s">
        <v>109</v>
      </c>
      <c r="O35" s="760"/>
      <c r="P35" s="178" t="str">
        <f>'[1]Program M&amp;E Plan'!$J$29</f>
        <v>TNS:&gt;20millionXAF
CFP
RRT: 1,000,000XAF
Local Conservation Support Staff (LCSS): 400,000XAF
Cluster Facilitators: 1,000,000XAF
Average: 800,000XAF</v>
      </c>
      <c r="Q35" s="178" t="s">
        <v>3213</v>
      </c>
      <c r="R35" s="178" t="s">
        <v>3214</v>
      </c>
      <c r="S35" s="178" t="s">
        <v>3215</v>
      </c>
      <c r="T35" s="178" t="s">
        <v>3216</v>
      </c>
      <c r="U35" s="178" t="s">
        <v>3217</v>
      </c>
      <c r="V35" s="179" t="s">
        <v>3185</v>
      </c>
      <c r="W35" s="179" t="s">
        <v>290</v>
      </c>
      <c r="X35" s="155"/>
    </row>
    <row r="36" spans="1:24" ht="109" hidden="1" customHeight="1">
      <c r="A36" s="817"/>
      <c r="B36" s="172" t="s">
        <v>3068</v>
      </c>
      <c r="C36" s="183"/>
      <c r="D36" s="167" t="s">
        <v>3218</v>
      </c>
      <c r="E36" s="175" t="s">
        <v>3034</v>
      </c>
      <c r="F36" s="174" t="s">
        <v>3202</v>
      </c>
      <c r="G36" s="176" t="s">
        <v>291</v>
      </c>
      <c r="H36" s="185" t="s">
        <v>3219</v>
      </c>
      <c r="I36" s="161" t="s">
        <v>292</v>
      </c>
      <c r="J36" s="170" t="s">
        <v>293</v>
      </c>
      <c r="K36" s="195" t="s">
        <v>294</v>
      </c>
      <c r="L36" s="194" t="s">
        <v>295</v>
      </c>
      <c r="M36" s="194" t="s">
        <v>297</v>
      </c>
      <c r="N36" s="184" t="s">
        <v>109</v>
      </c>
      <c r="O36" s="196" t="s">
        <v>3220</v>
      </c>
      <c r="P36" s="178" t="s">
        <v>3221</v>
      </c>
      <c r="Q36" s="178" t="s">
        <v>3222</v>
      </c>
      <c r="R36" s="178" t="s">
        <v>3223</v>
      </c>
      <c r="S36" s="178" t="s">
        <v>3224</v>
      </c>
      <c r="T36" s="178" t="s">
        <v>3225</v>
      </c>
      <c r="U36" s="178" t="s">
        <v>3226</v>
      </c>
      <c r="V36" s="179" t="s">
        <v>3075</v>
      </c>
      <c r="W36" s="179" t="s">
        <v>290</v>
      </c>
      <c r="X36" s="155"/>
    </row>
    <row r="37" spans="1:24" s="203" customFormat="1" ht="123" hidden="1" customHeight="1">
      <c r="A37" s="817"/>
      <c r="B37" s="197" t="s">
        <v>3068</v>
      </c>
      <c r="C37" s="198" t="s">
        <v>3227</v>
      </c>
      <c r="D37" s="199" t="s">
        <v>3228</v>
      </c>
      <c r="E37" s="200" t="s">
        <v>3034</v>
      </c>
      <c r="F37" s="201" t="s">
        <v>3229</v>
      </c>
      <c r="G37" s="176" t="s">
        <v>298</v>
      </c>
      <c r="H37" s="148" t="s">
        <v>3230</v>
      </c>
      <c r="I37" s="149" t="s">
        <v>3231</v>
      </c>
      <c r="J37" s="184" t="s">
        <v>300</v>
      </c>
      <c r="K37" s="163" t="s">
        <v>301</v>
      </c>
      <c r="L37" s="194" t="s">
        <v>302</v>
      </c>
      <c r="M37" s="194" t="s">
        <v>304</v>
      </c>
      <c r="N37" s="184" t="s">
        <v>109</v>
      </c>
      <c r="O37" s="202" t="s">
        <v>3232</v>
      </c>
      <c r="P37" s="178" t="s">
        <v>3233</v>
      </c>
      <c r="Q37" s="178" t="s">
        <v>3234</v>
      </c>
      <c r="R37" s="178" t="s">
        <v>3234</v>
      </c>
      <c r="S37" s="178" t="s">
        <v>3234</v>
      </c>
      <c r="T37" s="178" t="s">
        <v>3234</v>
      </c>
      <c r="U37" s="178" t="s">
        <v>3234</v>
      </c>
      <c r="V37" s="179" t="s">
        <v>3075</v>
      </c>
      <c r="W37" s="179" t="s">
        <v>3235</v>
      </c>
      <c r="X37" s="155"/>
    </row>
    <row r="38" spans="1:24" s="222" customFormat="1" ht="72.650000000000006" hidden="1" customHeight="1">
      <c r="A38" s="204"/>
      <c r="B38" s="205"/>
      <c r="C38" s="206"/>
      <c r="D38" s="207"/>
      <c r="E38" s="208"/>
      <c r="F38" s="209"/>
      <c r="G38" s="210"/>
      <c r="H38" s="211" t="s">
        <v>3079</v>
      </c>
      <c r="I38" s="212" t="s">
        <v>207</v>
      </c>
      <c r="J38" s="213"/>
      <c r="K38" s="214"/>
      <c r="L38" s="215"/>
      <c r="M38" s="215"/>
      <c r="N38" s="216"/>
      <c r="O38" s="217"/>
      <c r="P38" s="218"/>
      <c r="Q38" s="218"/>
      <c r="R38" s="218"/>
      <c r="S38" s="218"/>
      <c r="T38" s="218"/>
      <c r="U38" s="218"/>
      <c r="V38" s="219"/>
      <c r="W38" s="220"/>
      <c r="X38" s="221"/>
    </row>
    <row r="39" spans="1:24" s="235" customFormat="1" ht="43" hidden="1" customHeight="1">
      <c r="A39" s="811"/>
      <c r="B39" s="223"/>
      <c r="C39" s="224"/>
      <c r="D39" s="225"/>
      <c r="E39" s="226"/>
      <c r="F39" s="791"/>
      <c r="G39" s="228" t="s">
        <v>3236</v>
      </c>
      <c r="H39" s="229"/>
      <c r="I39" s="230" t="s">
        <v>3237</v>
      </c>
      <c r="J39" s="230" t="s">
        <v>3238</v>
      </c>
      <c r="K39" s="230" t="s">
        <v>3239</v>
      </c>
      <c r="L39" s="230" t="s">
        <v>424</v>
      </c>
      <c r="M39" s="230" t="s">
        <v>3240</v>
      </c>
      <c r="N39" s="230" t="s">
        <v>3241</v>
      </c>
      <c r="O39" s="230" t="s">
        <v>3242</v>
      </c>
      <c r="P39" s="231" t="s">
        <v>3243</v>
      </c>
      <c r="Q39" s="232"/>
      <c r="R39" s="232"/>
      <c r="S39" s="232"/>
      <c r="T39" s="232"/>
      <c r="U39" s="232"/>
      <c r="V39" s="232"/>
      <c r="W39" s="233"/>
      <c r="X39" s="234"/>
    </row>
    <row r="40" spans="1:24" s="235" customFormat="1" ht="72.650000000000006" hidden="1" customHeight="1">
      <c r="A40" s="758"/>
      <c r="B40" s="236"/>
      <c r="C40" s="237"/>
      <c r="D40" s="237"/>
      <c r="E40" s="226"/>
      <c r="F40" s="770"/>
      <c r="G40" s="228" t="s">
        <v>3244</v>
      </c>
      <c r="H40" s="229"/>
      <c r="I40" s="230" t="s">
        <v>438</v>
      </c>
      <c r="J40" s="230" t="s">
        <v>3245</v>
      </c>
      <c r="K40" s="230" t="s">
        <v>3246</v>
      </c>
      <c r="L40" s="230" t="s">
        <v>441</v>
      </c>
      <c r="M40" s="230" t="s">
        <v>3247</v>
      </c>
      <c r="N40" s="230" t="s">
        <v>2817</v>
      </c>
      <c r="O40" s="230" t="s">
        <v>3248</v>
      </c>
      <c r="P40" s="238" t="s">
        <v>3249</v>
      </c>
      <c r="Q40" s="232"/>
      <c r="R40" s="232"/>
      <c r="S40" s="232"/>
      <c r="T40" s="232"/>
      <c r="U40" s="232"/>
      <c r="V40" s="232"/>
      <c r="W40" s="233"/>
      <c r="X40" s="234"/>
    </row>
    <row r="41" spans="1:24" s="235" customFormat="1" ht="87" hidden="1" customHeight="1">
      <c r="A41" s="758"/>
      <c r="B41" s="223"/>
      <c r="C41" s="224"/>
      <c r="D41" s="225"/>
      <c r="E41" s="226"/>
      <c r="F41" s="770"/>
      <c r="G41" s="228" t="s">
        <v>3250</v>
      </c>
      <c r="H41" s="229"/>
      <c r="I41" s="230" t="s">
        <v>448</v>
      </c>
      <c r="J41" s="230" t="s">
        <v>3251</v>
      </c>
      <c r="K41" s="230" t="s">
        <v>3252</v>
      </c>
      <c r="L41" s="230" t="s">
        <v>3253</v>
      </c>
      <c r="M41" s="230" t="s">
        <v>3254</v>
      </c>
      <c r="N41" s="230" t="s">
        <v>3255</v>
      </c>
      <c r="O41" s="230" t="s">
        <v>3256</v>
      </c>
      <c r="P41" s="230" t="s">
        <v>3257</v>
      </c>
      <c r="Q41" s="232"/>
      <c r="R41" s="232"/>
      <c r="S41" s="232"/>
      <c r="T41" s="232"/>
      <c r="U41" s="232"/>
      <c r="V41" s="232"/>
      <c r="W41" s="233"/>
      <c r="X41" s="234"/>
    </row>
    <row r="42" spans="1:24" s="235" customFormat="1" ht="30.65" hidden="1" customHeight="1">
      <c r="A42" s="758"/>
      <c r="B42" s="223"/>
      <c r="C42" s="224"/>
      <c r="D42" s="225"/>
      <c r="E42" s="226"/>
      <c r="F42" s="770"/>
      <c r="G42" s="761" t="s">
        <v>3258</v>
      </c>
      <c r="H42" s="229"/>
      <c r="I42" s="797" t="s">
        <v>461</v>
      </c>
      <c r="J42" s="230" t="s">
        <v>3259</v>
      </c>
      <c r="K42" s="759" t="s">
        <v>3260</v>
      </c>
      <c r="L42" s="759" t="s">
        <v>3261</v>
      </c>
      <c r="M42" s="759" t="s">
        <v>3262</v>
      </c>
      <c r="N42" s="759" t="s">
        <v>3263</v>
      </c>
      <c r="O42" s="759" t="s">
        <v>3264</v>
      </c>
      <c r="P42" s="778" t="s">
        <v>3265</v>
      </c>
      <c r="Q42" s="232"/>
      <c r="R42" s="232"/>
      <c r="S42" s="232"/>
      <c r="T42" s="232"/>
      <c r="U42" s="232"/>
      <c r="V42" s="232"/>
      <c r="W42" s="233"/>
      <c r="X42" s="234"/>
    </row>
    <row r="43" spans="1:24" s="235" customFormat="1" ht="29.15" hidden="1" customHeight="1">
      <c r="A43" s="758"/>
      <c r="B43" s="223"/>
      <c r="C43" s="224"/>
      <c r="D43" s="225"/>
      <c r="E43" s="226"/>
      <c r="F43" s="770"/>
      <c r="G43" s="762"/>
      <c r="H43" s="229"/>
      <c r="I43" s="798"/>
      <c r="J43" s="230" t="s">
        <v>3266</v>
      </c>
      <c r="K43" s="760"/>
      <c r="L43" s="760"/>
      <c r="M43" s="760"/>
      <c r="N43" s="760"/>
      <c r="O43" s="760"/>
      <c r="P43" s="760"/>
      <c r="Q43" s="232"/>
      <c r="R43" s="232"/>
      <c r="S43" s="232"/>
      <c r="T43" s="232"/>
      <c r="U43" s="232"/>
      <c r="V43" s="232"/>
      <c r="W43" s="233"/>
      <c r="X43" s="234"/>
    </row>
    <row r="44" spans="1:24" s="235" customFormat="1" ht="72.650000000000006" hidden="1" customHeight="1">
      <c r="A44" s="758"/>
      <c r="B44" s="223"/>
      <c r="C44" s="224"/>
      <c r="D44" s="225"/>
      <c r="E44" s="226"/>
      <c r="F44" s="770"/>
      <c r="G44" s="228" t="s">
        <v>3267</v>
      </c>
      <c r="H44" s="229"/>
      <c r="I44" s="230" t="s">
        <v>480</v>
      </c>
      <c r="J44" s="230" t="s">
        <v>3268</v>
      </c>
      <c r="K44" s="230" t="s">
        <v>3269</v>
      </c>
      <c r="L44" s="230" t="s">
        <v>3270</v>
      </c>
      <c r="M44" s="230" t="s">
        <v>3271</v>
      </c>
      <c r="N44" s="230" t="s">
        <v>3272</v>
      </c>
      <c r="O44" s="230" t="s">
        <v>3273</v>
      </c>
      <c r="P44" s="230" t="s">
        <v>3274</v>
      </c>
      <c r="Q44" s="232"/>
      <c r="R44" s="232"/>
      <c r="S44" s="232"/>
      <c r="T44" s="232"/>
      <c r="U44" s="232"/>
      <c r="V44" s="232"/>
      <c r="W44" s="233"/>
      <c r="X44" s="234"/>
    </row>
    <row r="45" spans="1:24" s="235" customFormat="1" ht="38.5" hidden="1" customHeight="1">
      <c r="A45" s="758"/>
      <c r="B45" s="223"/>
      <c r="C45" s="224"/>
      <c r="D45" s="225"/>
      <c r="E45" s="226"/>
      <c r="F45" s="770"/>
      <c r="G45" s="761" t="s">
        <v>3275</v>
      </c>
      <c r="H45" s="229"/>
      <c r="I45" s="797" t="s">
        <v>490</v>
      </c>
      <c r="J45" s="230" t="s">
        <v>3276</v>
      </c>
      <c r="K45" s="759" t="s">
        <v>3277</v>
      </c>
      <c r="L45" s="759" t="s">
        <v>493</v>
      </c>
      <c r="M45" s="759" t="s">
        <v>3278</v>
      </c>
      <c r="N45" s="759" t="s">
        <v>3279</v>
      </c>
      <c r="O45" s="759" t="s">
        <v>3280</v>
      </c>
      <c r="P45" s="238"/>
      <c r="Q45" s="232"/>
      <c r="R45" s="232"/>
      <c r="S45" s="232"/>
      <c r="T45" s="232"/>
      <c r="U45" s="232"/>
      <c r="V45" s="232"/>
      <c r="W45" s="233"/>
      <c r="X45" s="234"/>
    </row>
    <row r="46" spans="1:24" s="235" customFormat="1" ht="34.5" hidden="1" customHeight="1">
      <c r="A46" s="758"/>
      <c r="B46" s="223"/>
      <c r="C46" s="224"/>
      <c r="D46" s="225"/>
      <c r="E46" s="226"/>
      <c r="F46" s="770"/>
      <c r="G46" s="762"/>
      <c r="H46" s="229"/>
      <c r="I46" s="798"/>
      <c r="J46" s="230" t="s">
        <v>3281</v>
      </c>
      <c r="K46" s="760"/>
      <c r="L46" s="760"/>
      <c r="M46" s="760"/>
      <c r="N46" s="760"/>
      <c r="O46" s="760"/>
      <c r="P46" s="238"/>
      <c r="Q46" s="232"/>
      <c r="R46" s="232"/>
      <c r="S46" s="232"/>
      <c r="T46" s="232"/>
      <c r="U46" s="232"/>
      <c r="V46" s="232"/>
      <c r="W46" s="233"/>
      <c r="X46" s="234"/>
    </row>
    <row r="47" spans="1:24" s="251" customFormat="1" ht="72.650000000000006" hidden="1" customHeight="1">
      <c r="A47" s="758"/>
      <c r="B47" s="240"/>
      <c r="C47" s="241"/>
      <c r="D47" s="242"/>
      <c r="E47" s="243"/>
      <c r="F47" s="770"/>
      <c r="G47" s="244" t="s">
        <v>3282</v>
      </c>
      <c r="H47" s="245"/>
      <c r="I47" s="246" t="s">
        <v>507</v>
      </c>
      <c r="J47" s="246" t="s">
        <v>3283</v>
      </c>
      <c r="K47" s="246" t="s">
        <v>3284</v>
      </c>
      <c r="L47" s="246" t="s">
        <v>510</v>
      </c>
      <c r="M47" s="246" t="s">
        <v>3285</v>
      </c>
      <c r="N47" s="246" t="s">
        <v>2817</v>
      </c>
      <c r="O47" s="246" t="s">
        <v>3286</v>
      </c>
      <c r="P47" s="247" t="s">
        <v>3287</v>
      </c>
      <c r="Q47" s="248"/>
      <c r="R47" s="248"/>
      <c r="S47" s="248"/>
      <c r="T47" s="248"/>
      <c r="U47" s="248"/>
      <c r="V47" s="248"/>
      <c r="W47" s="249"/>
      <c r="X47" s="250"/>
    </row>
    <row r="48" spans="1:24" s="251" customFormat="1" ht="87" hidden="1" customHeight="1">
      <c r="A48" s="758"/>
      <c r="B48" s="240"/>
      <c r="C48" s="241"/>
      <c r="D48" s="242"/>
      <c r="E48" s="243"/>
      <c r="F48" s="770"/>
      <c r="G48" s="244" t="s">
        <v>3288</v>
      </c>
      <c r="H48" s="245"/>
      <c r="I48" s="246" t="s">
        <v>520</v>
      </c>
      <c r="J48" s="246" t="s">
        <v>3289</v>
      </c>
      <c r="K48" s="246" t="s">
        <v>3290</v>
      </c>
      <c r="L48" s="246" t="s">
        <v>3291</v>
      </c>
      <c r="M48" s="246" t="s">
        <v>3292</v>
      </c>
      <c r="N48" s="246" t="s">
        <v>102</v>
      </c>
      <c r="O48" s="246" t="s">
        <v>3293</v>
      </c>
      <c r="P48" s="248" t="s">
        <v>3294</v>
      </c>
      <c r="Q48" s="248"/>
      <c r="R48" s="248"/>
      <c r="S48" s="248"/>
      <c r="T48" s="248"/>
      <c r="U48" s="248"/>
      <c r="V48" s="248"/>
      <c r="W48" s="249"/>
      <c r="X48" s="250"/>
    </row>
    <row r="49" spans="1:24" s="235" customFormat="1" ht="63" hidden="1" customHeight="1">
      <c r="A49" s="758"/>
      <c r="B49" s="252"/>
      <c r="C49" s="227"/>
      <c r="D49" s="253"/>
      <c r="E49" s="254"/>
      <c r="F49" s="760"/>
      <c r="G49" s="239" t="s">
        <v>3295</v>
      </c>
      <c r="H49" s="229"/>
      <c r="I49" s="255" t="s">
        <v>3003</v>
      </c>
      <c r="J49" s="255" t="s">
        <v>3296</v>
      </c>
      <c r="K49" s="255" t="s">
        <v>3297</v>
      </c>
      <c r="L49" s="255" t="s">
        <v>3298</v>
      </c>
      <c r="M49" s="255" t="s">
        <v>3299</v>
      </c>
      <c r="N49" s="255" t="s">
        <v>3300</v>
      </c>
      <c r="O49" s="255" t="s">
        <v>3301</v>
      </c>
      <c r="P49" s="256" t="s">
        <v>3302</v>
      </c>
      <c r="Q49" s="257"/>
      <c r="R49" s="257"/>
      <c r="S49" s="257"/>
      <c r="T49" s="257"/>
      <c r="U49" s="257"/>
      <c r="V49" s="257"/>
      <c r="W49" s="258"/>
      <c r="X49" s="234"/>
    </row>
    <row r="50" spans="1:24" s="265" customFormat="1" ht="58" hidden="1" customHeight="1">
      <c r="A50" s="758"/>
      <c r="B50" s="259"/>
      <c r="C50" s="260"/>
      <c r="D50" s="260"/>
      <c r="E50" s="260"/>
      <c r="F50" s="260"/>
      <c r="G50" s="261"/>
      <c r="H50" s="262" t="s">
        <v>3088</v>
      </c>
      <c r="I50" s="263" t="s">
        <v>3089</v>
      </c>
      <c r="J50" s="264"/>
      <c r="K50" s="264"/>
      <c r="L50" s="262"/>
      <c r="M50" s="264"/>
      <c r="N50" s="264"/>
      <c r="O50" s="264"/>
      <c r="P50" s="264"/>
      <c r="Q50" s="264"/>
      <c r="R50" s="264"/>
      <c r="S50" s="264"/>
      <c r="T50" s="264"/>
      <c r="U50" s="264"/>
      <c r="V50" s="264"/>
      <c r="W50" s="264"/>
      <c r="X50" s="264"/>
    </row>
    <row r="51" spans="1:24" s="235" customFormat="1" ht="44.15" hidden="1" customHeight="1">
      <c r="A51" s="758"/>
      <c r="B51" s="223"/>
      <c r="C51" s="224"/>
      <c r="D51" s="225"/>
      <c r="E51" s="266"/>
      <c r="F51" s="775" t="s">
        <v>3087</v>
      </c>
      <c r="G51" s="267" t="s">
        <v>3303</v>
      </c>
      <c r="H51" s="268"/>
      <c r="I51" s="230" t="s">
        <v>542</v>
      </c>
      <c r="J51" s="230" t="s">
        <v>3304</v>
      </c>
      <c r="K51" s="230" t="s">
        <v>3305</v>
      </c>
      <c r="L51" s="230" t="s">
        <v>3306</v>
      </c>
      <c r="M51" s="230" t="s">
        <v>3307</v>
      </c>
      <c r="N51" s="230" t="s">
        <v>3308</v>
      </c>
      <c r="O51" s="230" t="s">
        <v>3309</v>
      </c>
      <c r="P51" s="230"/>
      <c r="Q51" s="232"/>
      <c r="R51" s="232"/>
      <c r="S51" s="232"/>
      <c r="T51" s="232"/>
      <c r="U51" s="232"/>
      <c r="V51" s="232"/>
      <c r="W51" s="233"/>
      <c r="X51" s="234"/>
    </row>
    <row r="52" spans="1:24" s="235" customFormat="1" ht="49" customHeight="1">
      <c r="A52" s="758"/>
      <c r="B52" s="223"/>
      <c r="C52" s="224"/>
      <c r="D52" s="225"/>
      <c r="E52" s="269"/>
      <c r="F52" s="767"/>
      <c r="G52" s="270" t="s">
        <v>3310</v>
      </c>
      <c r="H52" s="268"/>
      <c r="I52" s="230" t="s">
        <v>2946</v>
      </c>
      <c r="J52" s="230" t="s">
        <v>3311</v>
      </c>
      <c r="K52" s="230" t="s">
        <v>3312</v>
      </c>
      <c r="L52" s="230" t="s">
        <v>3313</v>
      </c>
      <c r="M52" s="230" t="s">
        <v>3314</v>
      </c>
      <c r="N52" s="230" t="s">
        <v>3315</v>
      </c>
      <c r="O52" s="230" t="s">
        <v>3316</v>
      </c>
      <c r="P52" s="230" t="s">
        <v>3317</v>
      </c>
      <c r="Q52" s="232"/>
      <c r="R52" s="232"/>
      <c r="S52" s="232"/>
      <c r="T52" s="232"/>
      <c r="U52" s="232"/>
      <c r="V52" s="232"/>
      <c r="W52" s="233"/>
      <c r="X52" s="234"/>
    </row>
    <row r="53" spans="1:24" s="235" customFormat="1" ht="87" hidden="1" customHeight="1">
      <c r="A53" s="758"/>
      <c r="B53" s="223"/>
      <c r="C53" s="224"/>
      <c r="D53" s="225"/>
      <c r="E53" s="269"/>
      <c r="F53" s="767"/>
      <c r="G53" s="270" t="s">
        <v>3318</v>
      </c>
      <c r="H53" s="268"/>
      <c r="I53" s="230" t="s">
        <v>561</v>
      </c>
      <c r="J53" s="230" t="s">
        <v>3319</v>
      </c>
      <c r="K53" s="230" t="s">
        <v>3320</v>
      </c>
      <c r="L53" s="230" t="s">
        <v>3321</v>
      </c>
      <c r="M53" s="230" t="s">
        <v>3322</v>
      </c>
      <c r="N53" s="230" t="s">
        <v>3323</v>
      </c>
      <c r="O53" s="230" t="s">
        <v>3324</v>
      </c>
      <c r="P53" s="230" t="s">
        <v>3325</v>
      </c>
      <c r="Q53" s="232"/>
      <c r="R53" s="232"/>
      <c r="S53" s="232"/>
      <c r="T53" s="232"/>
      <c r="U53" s="232"/>
      <c r="V53" s="232"/>
      <c r="W53" s="233"/>
      <c r="X53" s="234"/>
    </row>
    <row r="54" spans="1:24" s="235" customFormat="1" ht="58" hidden="1" customHeight="1">
      <c r="A54" s="758"/>
      <c r="B54" s="223"/>
      <c r="C54" s="224"/>
      <c r="D54" s="225"/>
      <c r="E54" s="269"/>
      <c r="F54" s="767"/>
      <c r="G54" s="764" t="s">
        <v>3326</v>
      </c>
      <c r="H54" s="268"/>
      <c r="I54" s="797" t="s">
        <v>570</v>
      </c>
      <c r="J54" s="230" t="s">
        <v>3327</v>
      </c>
      <c r="K54" s="759" t="s">
        <v>3328</v>
      </c>
      <c r="L54" s="759" t="s">
        <v>573</v>
      </c>
      <c r="M54" s="759" t="s">
        <v>3329</v>
      </c>
      <c r="N54" s="759" t="s">
        <v>3330</v>
      </c>
      <c r="O54" s="799" t="s">
        <v>3331</v>
      </c>
      <c r="P54" s="230" t="s">
        <v>3332</v>
      </c>
      <c r="Q54" s="232"/>
      <c r="R54" s="232"/>
      <c r="S54" s="232"/>
      <c r="T54" s="232"/>
      <c r="U54" s="232"/>
      <c r="V54" s="232"/>
      <c r="W54" s="233"/>
      <c r="X54" s="234"/>
    </row>
    <row r="55" spans="1:24" s="235" customFormat="1" ht="43.5" hidden="1" customHeight="1">
      <c r="A55" s="758"/>
      <c r="B55" s="223"/>
      <c r="C55" s="224"/>
      <c r="D55" s="225"/>
      <c r="E55" s="269"/>
      <c r="F55" s="767"/>
      <c r="G55" s="765"/>
      <c r="H55" s="271"/>
      <c r="I55" s="798"/>
      <c r="J55" s="230" t="s">
        <v>3333</v>
      </c>
      <c r="K55" s="760"/>
      <c r="L55" s="760"/>
      <c r="M55" s="760"/>
      <c r="N55" s="760"/>
      <c r="O55" s="760"/>
      <c r="P55" s="230"/>
      <c r="Q55" s="232"/>
      <c r="R55" s="232"/>
      <c r="S55" s="232"/>
      <c r="T55" s="232"/>
      <c r="U55" s="232"/>
      <c r="V55" s="232"/>
      <c r="W55" s="233"/>
      <c r="X55" s="234"/>
    </row>
    <row r="56" spans="1:24" s="235" customFormat="1" ht="101.5" hidden="1" customHeight="1">
      <c r="A56" s="758"/>
      <c r="B56" s="223"/>
      <c r="C56" s="224"/>
      <c r="D56" s="225"/>
      <c r="E56" s="269"/>
      <c r="F56" s="768"/>
      <c r="G56" s="273" t="s">
        <v>3334</v>
      </c>
      <c r="H56" s="271"/>
      <c r="I56" s="230" t="s">
        <v>586</v>
      </c>
      <c r="J56" s="230" t="s">
        <v>3335</v>
      </c>
      <c r="K56" s="230" t="s">
        <v>3336</v>
      </c>
      <c r="L56" s="230" t="s">
        <v>3337</v>
      </c>
      <c r="M56" s="230" t="s">
        <v>3338</v>
      </c>
      <c r="N56" s="230" t="s">
        <v>3339</v>
      </c>
      <c r="O56" s="230" t="s">
        <v>3340</v>
      </c>
      <c r="P56" s="230"/>
      <c r="Q56" s="232"/>
      <c r="R56" s="232"/>
      <c r="S56" s="232"/>
      <c r="T56" s="232"/>
      <c r="U56" s="232"/>
      <c r="V56" s="232"/>
      <c r="W56" s="233"/>
      <c r="X56" s="234"/>
    </row>
    <row r="57" spans="1:24" s="286" customFormat="1" ht="58" hidden="1" customHeight="1">
      <c r="A57" s="758"/>
      <c r="B57" s="274"/>
      <c r="C57" s="275"/>
      <c r="D57" s="276"/>
      <c r="E57" s="277"/>
      <c r="F57" s="278"/>
      <c r="G57" s="279"/>
      <c r="H57" s="280" t="s">
        <v>3106</v>
      </c>
      <c r="I57" s="281" t="s">
        <v>229</v>
      </c>
      <c r="J57" s="282"/>
      <c r="K57" s="282"/>
      <c r="L57" s="283"/>
      <c r="M57" s="282"/>
      <c r="N57" s="282"/>
      <c r="O57" s="282"/>
      <c r="P57" s="282"/>
      <c r="Q57" s="282"/>
      <c r="R57" s="282"/>
      <c r="S57" s="282"/>
      <c r="T57" s="282"/>
      <c r="U57" s="282"/>
      <c r="V57" s="282"/>
      <c r="W57" s="284"/>
      <c r="X57" s="285"/>
    </row>
    <row r="58" spans="1:24" s="235" customFormat="1" ht="116.15" hidden="1" customHeight="1">
      <c r="A58" s="758"/>
      <c r="B58" s="223"/>
      <c r="C58" s="224"/>
      <c r="D58" s="225"/>
      <c r="E58" s="269"/>
      <c r="F58" s="775" t="s">
        <v>3105</v>
      </c>
      <c r="G58" s="273" t="s">
        <v>3341</v>
      </c>
      <c r="H58" s="271"/>
      <c r="I58" s="230" t="s">
        <v>2914</v>
      </c>
      <c r="J58" s="230" t="s">
        <v>3342</v>
      </c>
      <c r="K58" s="230" t="s">
        <v>3343</v>
      </c>
      <c r="L58" s="230" t="s">
        <v>598</v>
      </c>
      <c r="M58" s="230" t="s">
        <v>3344</v>
      </c>
      <c r="N58" s="230" t="s">
        <v>3345</v>
      </c>
      <c r="O58" s="230" t="s">
        <v>3346</v>
      </c>
      <c r="P58" s="230" t="s">
        <v>3347</v>
      </c>
      <c r="Q58" s="232"/>
      <c r="R58" s="232"/>
      <c r="S58" s="232"/>
      <c r="T58" s="232"/>
      <c r="U58" s="232"/>
      <c r="V58" s="232"/>
      <c r="W58" s="233"/>
      <c r="X58" s="234"/>
    </row>
    <row r="59" spans="1:24" s="235" customFormat="1" ht="87" hidden="1" customHeight="1">
      <c r="A59" s="758"/>
      <c r="B59" s="223"/>
      <c r="C59" s="224"/>
      <c r="D59" s="225"/>
      <c r="E59" s="269"/>
      <c r="F59" s="767"/>
      <c r="G59" s="273" t="s">
        <v>3348</v>
      </c>
      <c r="H59" s="271"/>
      <c r="I59" s="230" t="s">
        <v>604</v>
      </c>
      <c r="J59" s="230" t="s">
        <v>3349</v>
      </c>
      <c r="K59" s="230" t="s">
        <v>3350</v>
      </c>
      <c r="L59" s="230" t="s">
        <v>3351</v>
      </c>
      <c r="M59" s="230" t="s">
        <v>3352</v>
      </c>
      <c r="N59" s="230" t="s">
        <v>3353</v>
      </c>
      <c r="O59" s="230" t="s">
        <v>3354</v>
      </c>
      <c r="P59" s="230" t="s">
        <v>3355</v>
      </c>
      <c r="Q59" s="232"/>
      <c r="R59" s="232"/>
      <c r="S59" s="232"/>
      <c r="T59" s="232"/>
      <c r="U59" s="232"/>
      <c r="V59" s="232"/>
      <c r="W59" s="233"/>
      <c r="X59" s="234"/>
    </row>
    <row r="60" spans="1:24" s="235" customFormat="1" ht="63.65" hidden="1" customHeight="1">
      <c r="A60" s="758"/>
      <c r="B60" s="223"/>
      <c r="C60" s="224"/>
      <c r="D60" s="225"/>
      <c r="E60" s="269"/>
      <c r="F60" s="767"/>
      <c r="G60" s="273" t="s">
        <v>3356</v>
      </c>
      <c r="H60" s="271"/>
      <c r="I60" s="230" t="s">
        <v>3014</v>
      </c>
      <c r="J60" s="230" t="s">
        <v>3357</v>
      </c>
      <c r="K60" s="230" t="s">
        <v>3358</v>
      </c>
      <c r="L60" s="230" t="s">
        <v>3359</v>
      </c>
      <c r="M60" s="230" t="s">
        <v>3360</v>
      </c>
      <c r="N60" s="230" t="s">
        <v>3361</v>
      </c>
      <c r="O60" s="230" t="s">
        <v>3362</v>
      </c>
      <c r="P60" s="230" t="s">
        <v>3363</v>
      </c>
      <c r="Q60" s="232"/>
      <c r="R60" s="232"/>
      <c r="S60" s="232"/>
      <c r="T60" s="232"/>
      <c r="U60" s="232"/>
      <c r="V60" s="232"/>
      <c r="W60" s="233"/>
      <c r="X60" s="234"/>
    </row>
    <row r="61" spans="1:24" s="235" customFormat="1" ht="87" hidden="1" customHeight="1">
      <c r="A61" s="758"/>
      <c r="B61" s="223"/>
      <c r="C61" s="224"/>
      <c r="D61" s="225"/>
      <c r="E61" s="269"/>
      <c r="F61" s="767"/>
      <c r="G61" s="273" t="s">
        <v>3364</v>
      </c>
      <c r="H61" s="271"/>
      <c r="I61" s="230" t="s">
        <v>623</v>
      </c>
      <c r="J61" s="230" t="s">
        <v>3365</v>
      </c>
      <c r="K61" s="230" t="s">
        <v>3366</v>
      </c>
      <c r="L61" s="230" t="s">
        <v>3367</v>
      </c>
      <c r="M61" s="230" t="s">
        <v>3368</v>
      </c>
      <c r="N61" s="230" t="s">
        <v>3369</v>
      </c>
      <c r="O61" s="230" t="s">
        <v>3370</v>
      </c>
      <c r="P61" s="230" t="s">
        <v>3371</v>
      </c>
      <c r="Q61" s="232"/>
      <c r="R61" s="232"/>
      <c r="S61" s="232"/>
      <c r="T61" s="232"/>
      <c r="U61" s="232"/>
      <c r="V61" s="232"/>
      <c r="W61" s="233"/>
      <c r="X61" s="234"/>
    </row>
    <row r="62" spans="1:24" s="251" customFormat="1" ht="72.650000000000006" hidden="1" customHeight="1">
      <c r="A62" s="758"/>
      <c r="B62" s="240"/>
      <c r="C62" s="241"/>
      <c r="D62" s="242"/>
      <c r="E62" s="287"/>
      <c r="F62" s="767"/>
      <c r="G62" s="288" t="s">
        <v>3372</v>
      </c>
      <c r="H62" s="289"/>
      <c r="I62" s="246" t="s">
        <v>3373</v>
      </c>
      <c r="J62" s="246" t="s">
        <v>3374</v>
      </c>
      <c r="K62" s="246" t="s">
        <v>3375</v>
      </c>
      <c r="L62" s="246" t="s">
        <v>3376</v>
      </c>
      <c r="M62" s="246" t="s">
        <v>3377</v>
      </c>
      <c r="N62" s="246" t="s">
        <v>3378</v>
      </c>
      <c r="O62" s="246" t="s">
        <v>3379</v>
      </c>
      <c r="P62" s="246" t="s">
        <v>3380</v>
      </c>
      <c r="Q62" s="248"/>
      <c r="R62" s="248"/>
      <c r="S62" s="248"/>
      <c r="T62" s="248"/>
      <c r="U62" s="248"/>
      <c r="V62" s="248"/>
      <c r="W62" s="249"/>
      <c r="X62" s="250"/>
    </row>
    <row r="63" spans="1:24" s="235" customFormat="1" ht="72.650000000000006" hidden="1" customHeight="1">
      <c r="A63" s="758"/>
      <c r="B63" s="223"/>
      <c r="C63" s="224"/>
      <c r="D63" s="225"/>
      <c r="E63" s="269"/>
      <c r="F63" s="768"/>
      <c r="G63" s="273" t="s">
        <v>3381</v>
      </c>
      <c r="H63" s="271"/>
      <c r="I63" s="230" t="s">
        <v>641</v>
      </c>
      <c r="J63" s="230" t="s">
        <v>3382</v>
      </c>
      <c r="K63" s="230" t="s">
        <v>3383</v>
      </c>
      <c r="L63" s="230" t="s">
        <v>3384</v>
      </c>
      <c r="M63" s="230" t="s">
        <v>3385</v>
      </c>
      <c r="N63" s="230" t="s">
        <v>3386</v>
      </c>
      <c r="O63" s="230" t="s">
        <v>3387</v>
      </c>
      <c r="P63" s="230" t="s">
        <v>3388</v>
      </c>
      <c r="Q63" s="232"/>
      <c r="R63" s="232"/>
      <c r="S63" s="232"/>
      <c r="T63" s="232"/>
      <c r="U63" s="232"/>
      <c r="V63" s="232"/>
      <c r="W63" s="233"/>
      <c r="X63" s="234"/>
    </row>
    <row r="64" spans="1:24" s="286" customFormat="1" ht="58" hidden="1" customHeight="1">
      <c r="A64" s="758"/>
      <c r="B64" s="274"/>
      <c r="C64" s="275"/>
      <c r="D64" s="276"/>
      <c r="E64" s="277"/>
      <c r="F64" s="260"/>
      <c r="G64" s="279"/>
      <c r="H64" s="280" t="s">
        <v>3116</v>
      </c>
      <c r="I64" s="281" t="s">
        <v>237</v>
      </c>
      <c r="J64" s="282"/>
      <c r="K64" s="282"/>
      <c r="L64" s="283"/>
      <c r="M64" s="282"/>
      <c r="N64" s="282"/>
      <c r="O64" s="282"/>
      <c r="P64" s="282"/>
      <c r="Q64" s="282"/>
      <c r="R64" s="282"/>
      <c r="S64" s="282"/>
      <c r="T64" s="282"/>
      <c r="U64" s="282"/>
      <c r="V64" s="282"/>
      <c r="W64" s="284"/>
      <c r="X64" s="285"/>
    </row>
    <row r="65" spans="1:24" s="251" customFormat="1" ht="116.15" hidden="1" customHeight="1">
      <c r="A65" s="758"/>
      <c r="B65" s="240"/>
      <c r="C65" s="241"/>
      <c r="D65" s="242"/>
      <c r="E65" s="243"/>
      <c r="F65" s="776" t="s">
        <v>3115</v>
      </c>
      <c r="G65" s="290" t="s">
        <v>3389</v>
      </c>
      <c r="H65" s="289"/>
      <c r="I65" s="246" t="s">
        <v>2760</v>
      </c>
      <c r="J65" s="246" t="s">
        <v>3390</v>
      </c>
      <c r="K65" s="246" t="s">
        <v>3391</v>
      </c>
      <c r="L65" s="246" t="s">
        <v>3392</v>
      </c>
      <c r="M65" s="246" t="s">
        <v>3393</v>
      </c>
      <c r="N65" s="246" t="s">
        <v>3394</v>
      </c>
      <c r="O65" s="246" t="s">
        <v>3395</v>
      </c>
      <c r="P65" s="248"/>
      <c r="Q65" s="248"/>
      <c r="R65" s="248"/>
      <c r="S65" s="248"/>
      <c r="T65" s="248"/>
      <c r="U65" s="248"/>
      <c r="V65" s="248"/>
      <c r="W65" s="249"/>
      <c r="X65" s="250"/>
    </row>
    <row r="66" spans="1:24" s="235" customFormat="1" ht="72.650000000000006" hidden="1" customHeight="1">
      <c r="A66" s="758"/>
      <c r="B66" s="223"/>
      <c r="C66" s="224"/>
      <c r="D66" s="225"/>
      <c r="E66" s="226"/>
      <c r="F66" s="770"/>
      <c r="G66" s="291" t="s">
        <v>3396</v>
      </c>
      <c r="H66" s="271"/>
      <c r="I66" s="230" t="s">
        <v>655</v>
      </c>
      <c r="J66" s="230" t="s">
        <v>3397</v>
      </c>
      <c r="K66" s="230" t="s">
        <v>3398</v>
      </c>
      <c r="L66" s="230" t="s">
        <v>3399</v>
      </c>
      <c r="M66" s="230" t="s">
        <v>3400</v>
      </c>
      <c r="N66" s="230" t="s">
        <v>3401</v>
      </c>
      <c r="O66" s="230" t="s">
        <v>3402</v>
      </c>
      <c r="P66" s="232"/>
      <c r="Q66" s="232"/>
      <c r="R66" s="232"/>
      <c r="S66" s="232"/>
      <c r="T66" s="232"/>
      <c r="U66" s="232"/>
      <c r="V66" s="232"/>
      <c r="W66" s="233"/>
      <c r="X66" s="234"/>
    </row>
    <row r="67" spans="1:24" s="235" customFormat="1" ht="33" hidden="1" customHeight="1">
      <c r="A67" s="758"/>
      <c r="B67" s="223"/>
      <c r="C67" s="224"/>
      <c r="D67" s="225"/>
      <c r="E67" s="226"/>
      <c r="F67" s="770"/>
      <c r="G67" s="291" t="s">
        <v>3403</v>
      </c>
      <c r="H67" s="271"/>
      <c r="I67" s="230" t="s">
        <v>668</v>
      </c>
      <c r="J67" s="230" t="s">
        <v>3404</v>
      </c>
      <c r="K67" s="230" t="s">
        <v>3405</v>
      </c>
      <c r="L67" s="230" t="s">
        <v>3406</v>
      </c>
      <c r="M67" s="230" t="s">
        <v>3407</v>
      </c>
      <c r="N67" s="230" t="s">
        <v>3408</v>
      </c>
      <c r="O67" s="230" t="s">
        <v>3409</v>
      </c>
      <c r="P67" s="232"/>
      <c r="Q67" s="232"/>
      <c r="R67" s="232"/>
      <c r="S67" s="232"/>
      <c r="T67" s="232"/>
      <c r="U67" s="232"/>
      <c r="V67" s="232"/>
      <c r="W67" s="233"/>
      <c r="X67" s="234"/>
    </row>
    <row r="68" spans="1:24" s="251" customFormat="1" ht="58" hidden="1" customHeight="1">
      <c r="A68" s="758"/>
      <c r="B68" s="240"/>
      <c r="C68" s="241"/>
      <c r="D68" s="242"/>
      <c r="E68" s="243"/>
      <c r="F68" s="770"/>
      <c r="G68" s="290" t="s">
        <v>3410</v>
      </c>
      <c r="H68" s="289"/>
      <c r="I68" s="246" t="s">
        <v>3411</v>
      </c>
      <c r="J68" s="246" t="s">
        <v>3412</v>
      </c>
      <c r="K68" s="246" t="s">
        <v>3413</v>
      </c>
      <c r="L68" s="246" t="s">
        <v>3414</v>
      </c>
      <c r="M68" s="246" t="s">
        <v>3415</v>
      </c>
      <c r="N68" s="246" t="s">
        <v>3416</v>
      </c>
      <c r="O68" s="246" t="s">
        <v>3417</v>
      </c>
      <c r="P68" s="248"/>
      <c r="Q68" s="248"/>
      <c r="R68" s="248"/>
      <c r="S68" s="248"/>
      <c r="T68" s="248"/>
      <c r="U68" s="248"/>
      <c r="V68" s="248"/>
      <c r="W68" s="249"/>
      <c r="X68" s="250"/>
    </row>
    <row r="69" spans="1:24" s="235" customFormat="1" ht="72.650000000000006" hidden="1" customHeight="1">
      <c r="A69" s="758"/>
      <c r="B69" s="223"/>
      <c r="C69" s="224"/>
      <c r="D69" s="225"/>
      <c r="E69" s="226"/>
      <c r="F69" s="770"/>
      <c r="G69" s="291" t="s">
        <v>3418</v>
      </c>
      <c r="H69" s="271"/>
      <c r="I69" s="230" t="s">
        <v>2901</v>
      </c>
      <c r="J69" s="230" t="s">
        <v>3419</v>
      </c>
      <c r="K69" s="230" t="s">
        <v>3420</v>
      </c>
      <c r="L69" s="230" t="s">
        <v>3421</v>
      </c>
      <c r="M69" s="230" t="s">
        <v>3422</v>
      </c>
      <c r="N69" s="230" t="s">
        <v>109</v>
      </c>
      <c r="O69" s="230" t="s">
        <v>3423</v>
      </c>
      <c r="P69" s="232"/>
      <c r="Q69" s="232"/>
      <c r="R69" s="232"/>
      <c r="S69" s="232"/>
      <c r="T69" s="232"/>
      <c r="U69" s="232"/>
      <c r="V69" s="232"/>
      <c r="W69" s="233"/>
      <c r="X69" s="234"/>
    </row>
    <row r="70" spans="1:24" s="235" customFormat="1" ht="58" hidden="1" customHeight="1">
      <c r="A70" s="758"/>
      <c r="B70" s="223"/>
      <c r="C70" s="224"/>
      <c r="D70" s="225"/>
      <c r="E70" s="226"/>
      <c r="F70" s="770"/>
      <c r="G70" s="291" t="s">
        <v>3424</v>
      </c>
      <c r="H70" s="271"/>
      <c r="I70" s="230" t="s">
        <v>2908</v>
      </c>
      <c r="J70" s="230" t="s">
        <v>3425</v>
      </c>
      <c r="K70" s="230" t="s">
        <v>3426</v>
      </c>
      <c r="L70" s="230" t="s">
        <v>3427</v>
      </c>
      <c r="M70" s="230" t="s">
        <v>3428</v>
      </c>
      <c r="N70" s="230" t="s">
        <v>3429</v>
      </c>
      <c r="O70" s="230" t="s">
        <v>3430</v>
      </c>
      <c r="P70" s="232"/>
      <c r="Q70" s="232"/>
      <c r="R70" s="232"/>
      <c r="S70" s="232"/>
      <c r="T70" s="232"/>
      <c r="U70" s="232"/>
      <c r="V70" s="232"/>
      <c r="W70" s="233"/>
      <c r="X70" s="234"/>
    </row>
    <row r="71" spans="1:24" s="235" customFormat="1" ht="58" hidden="1" customHeight="1">
      <c r="A71" s="758"/>
      <c r="B71" s="223"/>
      <c r="C71" s="224"/>
      <c r="D71" s="225"/>
      <c r="E71" s="226"/>
      <c r="F71" s="770"/>
      <c r="G71" s="291" t="s">
        <v>3431</v>
      </c>
      <c r="H71" s="271"/>
      <c r="I71" s="230" t="s">
        <v>2958</v>
      </c>
      <c r="J71" s="230" t="s">
        <v>3432</v>
      </c>
      <c r="K71" s="230" t="s">
        <v>3433</v>
      </c>
      <c r="L71" s="230" t="s">
        <v>3434</v>
      </c>
      <c r="M71" s="230" t="s">
        <v>3435</v>
      </c>
      <c r="N71" s="230" t="s">
        <v>3436</v>
      </c>
      <c r="O71" s="230" t="s">
        <v>3437</v>
      </c>
      <c r="P71" s="232"/>
      <c r="Q71" s="232"/>
      <c r="R71" s="232"/>
      <c r="S71" s="232"/>
      <c r="T71" s="232"/>
      <c r="U71" s="232"/>
      <c r="V71" s="232"/>
      <c r="W71" s="233"/>
      <c r="X71" s="234"/>
    </row>
    <row r="72" spans="1:24" s="286" customFormat="1" ht="72.650000000000006" hidden="1" customHeight="1">
      <c r="A72" s="758"/>
      <c r="B72" s="274"/>
      <c r="C72" s="275"/>
      <c r="D72" s="276"/>
      <c r="E72" s="292"/>
      <c r="F72" s="293"/>
      <c r="G72" s="294"/>
      <c r="H72" s="280" t="s">
        <v>3127</v>
      </c>
      <c r="I72" s="281" t="s">
        <v>242</v>
      </c>
      <c r="J72" s="282"/>
      <c r="K72" s="282"/>
      <c r="L72" s="283"/>
      <c r="M72" s="282"/>
      <c r="N72" s="282"/>
      <c r="O72" s="282"/>
      <c r="P72" s="282"/>
      <c r="Q72" s="282"/>
      <c r="R72" s="282"/>
      <c r="S72" s="282"/>
      <c r="T72" s="282"/>
      <c r="U72" s="282"/>
      <c r="V72" s="282"/>
      <c r="W72" s="284"/>
      <c r="X72" s="285"/>
    </row>
    <row r="73" spans="1:24" s="304" customFormat="1" ht="101.5" hidden="1" customHeight="1">
      <c r="A73" s="758"/>
      <c r="B73" s="223"/>
      <c r="C73" s="295"/>
      <c r="D73" s="296"/>
      <c r="E73" s="297"/>
      <c r="F73" s="780" t="s">
        <v>3126</v>
      </c>
      <c r="G73" s="298" t="s">
        <v>3438</v>
      </c>
      <c r="H73" s="299"/>
      <c r="I73" s="300" t="s">
        <v>712</v>
      </c>
      <c r="J73" s="300" t="s">
        <v>3439</v>
      </c>
      <c r="K73" s="300" t="s">
        <v>3440</v>
      </c>
      <c r="L73" s="300" t="s">
        <v>3441</v>
      </c>
      <c r="M73" s="300" t="s">
        <v>3442</v>
      </c>
      <c r="N73" s="300" t="s">
        <v>3443</v>
      </c>
      <c r="O73" s="300" t="s">
        <v>3444</v>
      </c>
      <c r="P73" s="301"/>
      <c r="Q73" s="301"/>
      <c r="R73" s="301"/>
      <c r="S73" s="301"/>
      <c r="T73" s="301"/>
      <c r="U73" s="301"/>
      <c r="V73" s="301"/>
      <c r="W73" s="302"/>
      <c r="X73" s="303"/>
    </row>
    <row r="74" spans="1:24" s="235" customFormat="1" ht="45.65" hidden="1" customHeight="1">
      <c r="A74" s="758"/>
      <c r="B74" s="223"/>
      <c r="C74" s="224"/>
      <c r="D74" s="225"/>
      <c r="E74" s="226"/>
      <c r="F74" s="770"/>
      <c r="G74" s="291" t="s">
        <v>3445</v>
      </c>
      <c r="H74" s="271"/>
      <c r="I74" s="230" t="s">
        <v>720</v>
      </c>
      <c r="J74" s="230" t="s">
        <v>3446</v>
      </c>
      <c r="K74" s="230" t="s">
        <v>3447</v>
      </c>
      <c r="L74" s="230" t="s">
        <v>3448</v>
      </c>
      <c r="M74" s="230" t="s">
        <v>3449</v>
      </c>
      <c r="N74" s="230" t="s">
        <v>3450</v>
      </c>
      <c r="O74" s="230" t="s">
        <v>3451</v>
      </c>
      <c r="P74" s="232"/>
      <c r="Q74" s="232"/>
      <c r="R74" s="232"/>
      <c r="S74" s="232"/>
      <c r="T74" s="232"/>
      <c r="U74" s="232"/>
      <c r="V74" s="232"/>
      <c r="W74" s="233"/>
      <c r="X74" s="234"/>
    </row>
    <row r="75" spans="1:24" s="304" customFormat="1" ht="58" hidden="1" customHeight="1">
      <c r="A75" s="758"/>
      <c r="B75" s="223"/>
      <c r="C75" s="295"/>
      <c r="D75" s="296"/>
      <c r="E75" s="297"/>
      <c r="F75" s="770"/>
      <c r="G75" s="298" t="s">
        <v>3452</v>
      </c>
      <c r="H75" s="299"/>
      <c r="I75" s="300" t="s">
        <v>728</v>
      </c>
      <c r="J75" s="300" t="s">
        <v>3453</v>
      </c>
      <c r="K75" s="300" t="s">
        <v>3454</v>
      </c>
      <c r="L75" s="300" t="s">
        <v>3455</v>
      </c>
      <c r="M75" s="300" t="s">
        <v>3456</v>
      </c>
      <c r="N75" s="300" t="s">
        <v>3457</v>
      </c>
      <c r="O75" s="300" t="s">
        <v>3458</v>
      </c>
      <c r="P75" s="301"/>
      <c r="Q75" s="301"/>
      <c r="R75" s="301"/>
      <c r="S75" s="301"/>
      <c r="T75" s="301"/>
      <c r="U75" s="301"/>
      <c r="V75" s="301"/>
      <c r="W75" s="302"/>
      <c r="X75" s="303"/>
    </row>
    <row r="76" spans="1:24" s="235" customFormat="1" ht="72.650000000000006" hidden="1" customHeight="1">
      <c r="A76" s="758"/>
      <c r="B76" s="223"/>
      <c r="C76" s="224"/>
      <c r="D76" s="225"/>
      <c r="E76" s="226"/>
      <c r="F76" s="770"/>
      <c r="G76" s="291" t="s">
        <v>3459</v>
      </c>
      <c r="H76" s="271"/>
      <c r="I76" s="230" t="s">
        <v>738</v>
      </c>
      <c r="J76" s="230" t="s">
        <v>3460</v>
      </c>
      <c r="K76" s="230" t="s">
        <v>3461</v>
      </c>
      <c r="L76" s="230" t="s">
        <v>3462</v>
      </c>
      <c r="M76" s="230" t="s">
        <v>3463</v>
      </c>
      <c r="N76" s="230" t="s">
        <v>3464</v>
      </c>
      <c r="O76" s="230" t="s">
        <v>3465</v>
      </c>
      <c r="P76" s="232"/>
      <c r="Q76" s="232"/>
      <c r="R76" s="232"/>
      <c r="S76" s="232"/>
      <c r="T76" s="232"/>
      <c r="U76" s="232"/>
      <c r="V76" s="232"/>
      <c r="W76" s="233"/>
      <c r="X76" s="234"/>
    </row>
    <row r="77" spans="1:24" s="304" customFormat="1" ht="72.650000000000006" hidden="1" customHeight="1">
      <c r="A77" s="758"/>
      <c r="B77" s="223"/>
      <c r="C77" s="295"/>
      <c r="D77" s="296"/>
      <c r="E77" s="297"/>
      <c r="F77" s="770"/>
      <c r="G77" s="298" t="s">
        <v>3466</v>
      </c>
      <c r="H77" s="299"/>
      <c r="I77" s="300" t="s">
        <v>2905</v>
      </c>
      <c r="J77" s="300" t="s">
        <v>3467</v>
      </c>
      <c r="K77" s="300" t="s">
        <v>3468</v>
      </c>
      <c r="L77" s="300" t="s">
        <v>3469</v>
      </c>
      <c r="M77" s="300" t="s">
        <v>3470</v>
      </c>
      <c r="N77" s="300" t="s">
        <v>109</v>
      </c>
      <c r="O77" s="300" t="s">
        <v>3471</v>
      </c>
      <c r="P77" s="301"/>
      <c r="Q77" s="301"/>
      <c r="R77" s="301"/>
      <c r="S77" s="301"/>
      <c r="T77" s="301"/>
      <c r="U77" s="301"/>
      <c r="V77" s="301"/>
      <c r="W77" s="302"/>
      <c r="X77" s="303"/>
    </row>
    <row r="78" spans="1:24" s="304" customFormat="1" ht="72.650000000000006" hidden="1" customHeight="1">
      <c r="A78" s="758"/>
      <c r="B78" s="223"/>
      <c r="C78" s="295"/>
      <c r="D78" s="296"/>
      <c r="E78" s="297"/>
      <c r="F78" s="770"/>
      <c r="G78" s="298" t="s">
        <v>3472</v>
      </c>
      <c r="H78" s="299"/>
      <c r="I78" s="300" t="s">
        <v>755</v>
      </c>
      <c r="J78" s="300" t="s">
        <v>3473</v>
      </c>
      <c r="K78" s="300" t="s">
        <v>3474</v>
      </c>
      <c r="L78" s="300" t="s">
        <v>3475</v>
      </c>
      <c r="M78" s="300" t="s">
        <v>3476</v>
      </c>
      <c r="N78" s="300" t="s">
        <v>109</v>
      </c>
      <c r="O78" s="300" t="s">
        <v>3477</v>
      </c>
      <c r="P78" s="301"/>
      <c r="Q78" s="301"/>
      <c r="R78" s="301"/>
      <c r="S78" s="301"/>
      <c r="T78" s="301"/>
      <c r="U78" s="301"/>
      <c r="V78" s="301"/>
      <c r="W78" s="302"/>
      <c r="X78" s="303"/>
    </row>
    <row r="79" spans="1:24" s="286" customFormat="1" ht="58" hidden="1" customHeight="1">
      <c r="A79" s="758"/>
      <c r="B79" s="274"/>
      <c r="C79" s="275"/>
      <c r="D79" s="276"/>
      <c r="E79" s="292"/>
      <c r="F79" s="293"/>
      <c r="G79" s="294"/>
      <c r="H79" s="280" t="s">
        <v>3138</v>
      </c>
      <c r="I79" s="281" t="s">
        <v>3139</v>
      </c>
      <c r="J79" s="282"/>
      <c r="K79" s="282"/>
      <c r="L79" s="283"/>
      <c r="M79" s="282"/>
      <c r="N79" s="282"/>
      <c r="O79" s="282"/>
      <c r="P79" s="282"/>
      <c r="Q79" s="282"/>
      <c r="R79" s="282"/>
      <c r="S79" s="282"/>
      <c r="T79" s="282"/>
      <c r="U79" s="282"/>
      <c r="V79" s="282"/>
      <c r="W79" s="284"/>
      <c r="X79" s="285"/>
    </row>
    <row r="80" spans="1:24" s="235" customFormat="1" ht="46.5" hidden="1" customHeight="1">
      <c r="A80" s="758"/>
      <c r="B80" s="223"/>
      <c r="C80" s="224"/>
      <c r="D80" s="225"/>
      <c r="E80" s="226"/>
      <c r="F80" s="784" t="s">
        <v>3137</v>
      </c>
      <c r="G80" s="291"/>
      <c r="H80" s="271"/>
      <c r="I80" s="230" t="s">
        <v>761</v>
      </c>
      <c r="J80" s="230" t="s">
        <v>3478</v>
      </c>
      <c r="K80" s="230" t="s">
        <v>3479</v>
      </c>
      <c r="L80" s="230" t="s">
        <v>3480</v>
      </c>
      <c r="M80" s="230" t="s">
        <v>3481</v>
      </c>
      <c r="N80" s="230" t="s">
        <v>109</v>
      </c>
      <c r="O80" s="230" t="s">
        <v>3482</v>
      </c>
      <c r="P80" s="230" t="s">
        <v>3347</v>
      </c>
      <c r="Q80" s="232"/>
      <c r="R80" s="232"/>
      <c r="S80" s="232"/>
      <c r="T80" s="232"/>
      <c r="U80" s="232"/>
      <c r="V80" s="232"/>
      <c r="W80" s="233"/>
      <c r="X80" s="234"/>
    </row>
    <row r="81" spans="1:24" s="235" customFormat="1" ht="72.650000000000006" hidden="1" customHeight="1">
      <c r="A81" s="758"/>
      <c r="B81" s="223"/>
      <c r="C81" s="224"/>
      <c r="D81" s="225"/>
      <c r="E81" s="226"/>
      <c r="F81" s="770"/>
      <c r="G81" s="291"/>
      <c r="H81" s="271"/>
      <c r="I81" s="230" t="s">
        <v>3483</v>
      </c>
      <c r="J81" s="230" t="s">
        <v>3484</v>
      </c>
      <c r="K81" s="230" t="s">
        <v>3485</v>
      </c>
      <c r="L81" s="230" t="s">
        <v>3486</v>
      </c>
      <c r="M81" s="230" t="s">
        <v>3487</v>
      </c>
      <c r="N81" s="230" t="s">
        <v>3488</v>
      </c>
      <c r="O81" s="230" t="s">
        <v>3489</v>
      </c>
      <c r="P81" s="230" t="s">
        <v>3355</v>
      </c>
      <c r="Q81" s="232"/>
      <c r="R81" s="232"/>
      <c r="S81" s="232"/>
      <c r="T81" s="232"/>
      <c r="U81" s="232"/>
      <c r="V81" s="232"/>
      <c r="W81" s="233"/>
      <c r="X81" s="234"/>
    </row>
    <row r="82" spans="1:24" s="235" customFormat="1" ht="60" hidden="1" customHeight="1">
      <c r="A82" s="758"/>
      <c r="B82" s="223"/>
      <c r="C82" s="224"/>
      <c r="D82" s="225"/>
      <c r="E82" s="226"/>
      <c r="F82" s="770"/>
      <c r="G82" s="305"/>
      <c r="H82" s="306"/>
      <c r="I82" s="255" t="s">
        <v>777</v>
      </c>
      <c r="J82" s="230" t="s">
        <v>3490</v>
      </c>
      <c r="K82" s="230" t="s">
        <v>3491</v>
      </c>
      <c r="L82" s="230" t="s">
        <v>3492</v>
      </c>
      <c r="M82" s="230" t="s">
        <v>3493</v>
      </c>
      <c r="N82" s="230" t="s">
        <v>3494</v>
      </c>
      <c r="O82" s="230" t="s">
        <v>3495</v>
      </c>
      <c r="P82" s="230" t="s">
        <v>3363</v>
      </c>
      <c r="Q82" s="232"/>
      <c r="R82" s="232"/>
      <c r="S82" s="232"/>
      <c r="T82" s="232"/>
      <c r="U82" s="232"/>
      <c r="V82" s="232"/>
      <c r="W82" s="233"/>
      <c r="X82" s="234"/>
    </row>
    <row r="83" spans="1:24" s="235" customFormat="1" ht="101.5" hidden="1" customHeight="1">
      <c r="A83" s="758"/>
      <c r="B83" s="223"/>
      <c r="C83" s="224"/>
      <c r="D83" s="225"/>
      <c r="E83" s="226"/>
      <c r="F83" s="770"/>
      <c r="G83" s="307"/>
      <c r="H83" s="308"/>
      <c r="I83" s="309" t="s">
        <v>3496</v>
      </c>
      <c r="J83" s="230" t="s">
        <v>3497</v>
      </c>
      <c r="K83" s="230" t="s">
        <v>3498</v>
      </c>
      <c r="L83" s="230" t="s">
        <v>3499</v>
      </c>
      <c r="M83" s="230" t="s">
        <v>3500</v>
      </c>
      <c r="N83" s="230" t="s">
        <v>109</v>
      </c>
      <c r="O83" s="230" t="s">
        <v>3501</v>
      </c>
      <c r="P83" s="230" t="s">
        <v>3371</v>
      </c>
      <c r="Q83" s="232"/>
      <c r="R83" s="232"/>
      <c r="S83" s="232"/>
      <c r="T83" s="232"/>
      <c r="U83" s="232"/>
      <c r="V83" s="232"/>
      <c r="W83" s="233"/>
      <c r="X83" s="234"/>
    </row>
    <row r="84" spans="1:24" s="235" customFormat="1" ht="72.650000000000006" hidden="1" customHeight="1">
      <c r="A84" s="758"/>
      <c r="B84" s="223"/>
      <c r="C84" s="224"/>
      <c r="D84" s="225"/>
      <c r="E84" s="226"/>
      <c r="F84" s="770"/>
      <c r="G84" s="310"/>
      <c r="H84" s="268"/>
      <c r="I84" s="229" t="s">
        <v>2973</v>
      </c>
      <c r="J84" s="230" t="s">
        <v>3502</v>
      </c>
      <c r="K84" s="230" t="s">
        <v>3503</v>
      </c>
      <c r="L84" s="230" t="s">
        <v>3504</v>
      </c>
      <c r="M84" s="230" t="s">
        <v>3505</v>
      </c>
      <c r="N84" s="230" t="s">
        <v>3506</v>
      </c>
      <c r="O84" s="230" t="s">
        <v>3507</v>
      </c>
      <c r="P84" s="230" t="s">
        <v>3380</v>
      </c>
      <c r="Q84" s="232"/>
      <c r="R84" s="232"/>
      <c r="S84" s="232"/>
      <c r="T84" s="232"/>
      <c r="U84" s="232"/>
      <c r="V84" s="232"/>
      <c r="W84" s="233"/>
      <c r="X84" s="234"/>
    </row>
    <row r="85" spans="1:24" s="235" customFormat="1" ht="116.15" hidden="1" customHeight="1">
      <c r="A85" s="758"/>
      <c r="B85" s="223"/>
      <c r="C85" s="224"/>
      <c r="D85" s="225"/>
      <c r="E85" s="226"/>
      <c r="F85" s="760"/>
      <c r="G85" s="311"/>
      <c r="H85" s="271"/>
      <c r="I85" s="230" t="s">
        <v>2806</v>
      </c>
      <c r="J85" s="230" t="s">
        <v>3508</v>
      </c>
      <c r="K85" s="230" t="s">
        <v>3509</v>
      </c>
      <c r="L85" s="230" t="s">
        <v>3510</v>
      </c>
      <c r="M85" s="230" t="s">
        <v>3511</v>
      </c>
      <c r="N85" s="230" t="s">
        <v>3512</v>
      </c>
      <c r="O85" s="230" t="s">
        <v>3513</v>
      </c>
      <c r="P85" s="230" t="s">
        <v>3388</v>
      </c>
      <c r="Q85" s="232"/>
      <c r="R85" s="232"/>
      <c r="S85" s="232"/>
      <c r="T85" s="232"/>
      <c r="U85" s="232"/>
      <c r="V85" s="232"/>
      <c r="W85" s="233"/>
      <c r="X85" s="234"/>
    </row>
    <row r="86" spans="1:24" s="286" customFormat="1" ht="48" hidden="1" customHeight="1">
      <c r="A86" s="758"/>
      <c r="B86" s="274"/>
      <c r="C86" s="275"/>
      <c r="D86" s="276"/>
      <c r="E86" s="292"/>
      <c r="F86" s="293"/>
      <c r="G86" s="294"/>
      <c r="H86" s="280" t="s">
        <v>3149</v>
      </c>
      <c r="I86" s="281" t="s">
        <v>3514</v>
      </c>
      <c r="J86" s="282"/>
      <c r="K86" s="282"/>
      <c r="L86" s="283"/>
      <c r="M86" s="282"/>
      <c r="N86" s="282"/>
      <c r="O86" s="282"/>
      <c r="P86" s="282"/>
      <c r="Q86" s="282"/>
      <c r="R86" s="282"/>
      <c r="S86" s="282"/>
      <c r="T86" s="282"/>
      <c r="U86" s="282"/>
      <c r="V86" s="282"/>
      <c r="W86" s="284"/>
      <c r="X86" s="285"/>
    </row>
    <row r="87" spans="1:24" s="235" customFormat="1" ht="116.15" hidden="1" customHeight="1">
      <c r="A87" s="758"/>
      <c r="B87" s="223"/>
      <c r="C87" s="224"/>
      <c r="D87" s="225"/>
      <c r="E87" s="226"/>
      <c r="F87" s="784" t="s">
        <v>3148</v>
      </c>
      <c r="G87" s="291"/>
      <c r="H87" s="271"/>
      <c r="I87" s="230" t="s">
        <v>2939</v>
      </c>
      <c r="J87" s="230" t="s">
        <v>3515</v>
      </c>
      <c r="K87" s="230" t="s">
        <v>3516</v>
      </c>
      <c r="L87" s="230" t="s">
        <v>3517</v>
      </c>
      <c r="M87" s="230" t="s">
        <v>3518</v>
      </c>
      <c r="N87" s="230" t="s">
        <v>109</v>
      </c>
      <c r="O87" s="230" t="s">
        <v>3519</v>
      </c>
      <c r="P87" s="232" t="s">
        <v>3520</v>
      </c>
      <c r="Q87" s="232"/>
      <c r="R87" s="232"/>
      <c r="S87" s="232"/>
      <c r="T87" s="232"/>
      <c r="U87" s="232"/>
      <c r="V87" s="232"/>
      <c r="W87" s="233"/>
      <c r="X87" s="234"/>
    </row>
    <row r="88" spans="1:24" s="235" customFormat="1" ht="101.5" hidden="1" customHeight="1">
      <c r="A88" s="758"/>
      <c r="B88" s="223"/>
      <c r="C88" s="224"/>
      <c r="D88" s="225"/>
      <c r="E88" s="226"/>
      <c r="F88" s="770"/>
      <c r="G88" s="291"/>
      <c r="H88" s="271"/>
      <c r="I88" s="230" t="s">
        <v>3521</v>
      </c>
      <c r="J88" s="230" t="s">
        <v>3522</v>
      </c>
      <c r="K88" s="230" t="s">
        <v>3523</v>
      </c>
      <c r="L88" s="230" t="s">
        <v>3524</v>
      </c>
      <c r="M88" s="230" t="s">
        <v>3525</v>
      </c>
      <c r="N88" s="230" t="s">
        <v>109</v>
      </c>
      <c r="O88" s="230" t="s">
        <v>3526</v>
      </c>
      <c r="P88" s="230" t="s">
        <v>3527</v>
      </c>
      <c r="Q88" s="232"/>
      <c r="R88" s="232"/>
      <c r="S88" s="232"/>
      <c r="T88" s="232"/>
      <c r="U88" s="232"/>
      <c r="V88" s="232"/>
      <c r="W88" s="233"/>
      <c r="X88" s="234"/>
    </row>
    <row r="89" spans="1:24" s="235" customFormat="1" ht="61.5" hidden="1" customHeight="1">
      <c r="A89" s="758"/>
      <c r="B89" s="223"/>
      <c r="C89" s="224"/>
      <c r="D89" s="225"/>
      <c r="E89" s="226"/>
      <c r="F89" s="770"/>
      <c r="G89" s="291"/>
      <c r="H89" s="271"/>
      <c r="I89" s="230" t="s">
        <v>3000</v>
      </c>
      <c r="J89" s="230" t="s">
        <v>3528</v>
      </c>
      <c r="K89" s="230" t="s">
        <v>3529</v>
      </c>
      <c r="L89" s="230" t="s">
        <v>3530</v>
      </c>
      <c r="M89" s="230" t="s">
        <v>3531</v>
      </c>
      <c r="N89" s="230" t="s">
        <v>192</v>
      </c>
      <c r="O89" s="230" t="s">
        <v>3532</v>
      </c>
      <c r="P89" s="230" t="s">
        <v>3533</v>
      </c>
      <c r="Q89" s="232"/>
      <c r="R89" s="232"/>
      <c r="S89" s="232"/>
      <c r="T89" s="232"/>
      <c r="U89" s="232"/>
      <c r="V89" s="232"/>
      <c r="W89" s="233"/>
      <c r="X89" s="234"/>
    </row>
    <row r="90" spans="1:24" s="235" customFormat="1" ht="85" hidden="1" customHeight="1">
      <c r="A90" s="758"/>
      <c r="B90" s="223"/>
      <c r="C90" s="224"/>
      <c r="D90" s="225"/>
      <c r="E90" s="226"/>
      <c r="F90" s="770"/>
      <c r="G90" s="291"/>
      <c r="H90" s="271"/>
      <c r="I90" s="230" t="s">
        <v>3534</v>
      </c>
      <c r="J90" s="230" t="s">
        <v>3535</v>
      </c>
      <c r="K90" s="230" t="s">
        <v>3536</v>
      </c>
      <c r="L90" s="230" t="s">
        <v>3537</v>
      </c>
      <c r="M90" s="230" t="s">
        <v>3538</v>
      </c>
      <c r="N90" s="230" t="s">
        <v>109</v>
      </c>
      <c r="O90" s="230" t="s">
        <v>3539</v>
      </c>
      <c r="P90" s="230" t="s">
        <v>3540</v>
      </c>
      <c r="Q90" s="232"/>
      <c r="R90" s="232"/>
      <c r="S90" s="232"/>
      <c r="T90" s="232"/>
      <c r="U90" s="232"/>
      <c r="V90" s="232"/>
      <c r="W90" s="233"/>
      <c r="X90" s="234"/>
    </row>
    <row r="91" spans="1:24" s="235" customFormat="1" ht="116.15" hidden="1" customHeight="1">
      <c r="A91" s="758"/>
      <c r="B91" s="223"/>
      <c r="C91" s="224"/>
      <c r="D91" s="225"/>
      <c r="E91" s="226"/>
      <c r="F91" s="770"/>
      <c r="G91" s="291"/>
      <c r="H91" s="271"/>
      <c r="I91" s="230" t="s">
        <v>865</v>
      </c>
      <c r="J91" s="230" t="s">
        <v>3541</v>
      </c>
      <c r="K91" s="230" t="s">
        <v>3542</v>
      </c>
      <c r="L91" s="230" t="s">
        <v>3543</v>
      </c>
      <c r="M91" s="230" t="s">
        <v>3544</v>
      </c>
      <c r="N91" s="230" t="s">
        <v>109</v>
      </c>
      <c r="O91" s="230" t="s">
        <v>3545</v>
      </c>
      <c r="P91" s="230" t="s">
        <v>3546</v>
      </c>
      <c r="Q91" s="232"/>
      <c r="R91" s="232"/>
      <c r="S91" s="232"/>
      <c r="T91" s="232"/>
      <c r="U91" s="232"/>
      <c r="V91" s="232"/>
      <c r="W91" s="233"/>
      <c r="X91" s="234"/>
    </row>
    <row r="92" spans="1:24" s="235" customFormat="1" ht="130.5" hidden="1" customHeight="1">
      <c r="A92" s="758"/>
      <c r="B92" s="223"/>
      <c r="C92" s="224"/>
      <c r="D92" s="225"/>
      <c r="E92" s="226"/>
      <c r="F92" s="760"/>
      <c r="G92" s="291"/>
      <c r="H92" s="271"/>
      <c r="I92" s="230" t="s">
        <v>2871</v>
      </c>
      <c r="J92" s="230" t="s">
        <v>3547</v>
      </c>
      <c r="K92" s="230" t="s">
        <v>3548</v>
      </c>
      <c r="L92" s="230" t="s">
        <v>3549</v>
      </c>
      <c r="M92" s="230" t="s">
        <v>3550</v>
      </c>
      <c r="N92" s="230" t="s">
        <v>3551</v>
      </c>
      <c r="O92" s="230" t="s">
        <v>3552</v>
      </c>
      <c r="P92" s="230" t="s">
        <v>3553</v>
      </c>
      <c r="Q92" s="232"/>
      <c r="R92" s="232"/>
      <c r="S92" s="232"/>
      <c r="T92" s="232"/>
      <c r="U92" s="232"/>
      <c r="V92" s="232"/>
      <c r="W92" s="233"/>
      <c r="X92" s="234"/>
    </row>
    <row r="93" spans="1:24" s="286" customFormat="1" ht="58" hidden="1" customHeight="1">
      <c r="A93" s="758"/>
      <c r="B93" s="274"/>
      <c r="C93" s="275"/>
      <c r="D93" s="276"/>
      <c r="E93" s="292"/>
      <c r="F93" s="293"/>
      <c r="G93" s="294"/>
      <c r="H93" s="280" t="s">
        <v>3165</v>
      </c>
      <c r="I93" s="281" t="s">
        <v>262</v>
      </c>
      <c r="J93" s="282"/>
      <c r="K93" s="282"/>
      <c r="L93" s="283"/>
      <c r="M93" s="282"/>
      <c r="N93" s="282"/>
      <c r="O93" s="282"/>
      <c r="P93" s="282"/>
      <c r="Q93" s="282"/>
      <c r="R93" s="282"/>
      <c r="S93" s="282"/>
      <c r="T93" s="282"/>
      <c r="U93" s="282"/>
      <c r="V93" s="282"/>
      <c r="W93" s="284"/>
      <c r="X93" s="285"/>
    </row>
    <row r="94" spans="1:24" s="235" customFormat="1" ht="56.5" hidden="1" customHeight="1">
      <c r="A94" s="758"/>
      <c r="B94" s="223"/>
      <c r="C94" s="224"/>
      <c r="D94" s="225"/>
      <c r="E94" s="226"/>
      <c r="F94" s="784" t="s">
        <v>3164</v>
      </c>
      <c r="G94" s="291"/>
      <c r="H94" s="271"/>
      <c r="I94" s="230" t="s">
        <v>882</v>
      </c>
      <c r="J94" s="230" t="s">
        <v>3554</v>
      </c>
      <c r="K94" s="230" t="s">
        <v>3555</v>
      </c>
      <c r="L94" s="230" t="s">
        <v>3556</v>
      </c>
      <c r="M94" s="230" t="s">
        <v>3557</v>
      </c>
      <c r="N94" s="230" t="s">
        <v>3558</v>
      </c>
      <c r="O94" s="230" t="s">
        <v>3559</v>
      </c>
      <c r="P94" s="231"/>
      <c r="Q94" s="232"/>
      <c r="R94" s="232"/>
      <c r="S94" s="232"/>
      <c r="T94" s="232"/>
      <c r="U94" s="232"/>
      <c r="V94" s="232"/>
      <c r="W94" s="233"/>
      <c r="X94" s="234"/>
    </row>
    <row r="95" spans="1:24" s="235" customFormat="1" ht="101.5" hidden="1" customHeight="1">
      <c r="A95" s="758"/>
      <c r="B95" s="223"/>
      <c r="C95" s="224"/>
      <c r="D95" s="225"/>
      <c r="E95" s="226"/>
      <c r="F95" s="770"/>
      <c r="G95" s="291"/>
      <c r="H95" s="271"/>
      <c r="I95" s="230" t="s">
        <v>2770</v>
      </c>
      <c r="J95" s="230" t="s">
        <v>3560</v>
      </c>
      <c r="K95" s="230" t="s">
        <v>3561</v>
      </c>
      <c r="L95" s="230" t="s">
        <v>3562</v>
      </c>
      <c r="M95" s="230" t="s">
        <v>3563</v>
      </c>
      <c r="N95" s="230" t="s">
        <v>3564</v>
      </c>
      <c r="O95" s="230" t="s">
        <v>3565</v>
      </c>
      <c r="P95" s="231" t="s">
        <v>3566</v>
      </c>
      <c r="Q95" s="232"/>
      <c r="R95" s="232"/>
      <c r="S95" s="232"/>
      <c r="T95" s="232"/>
      <c r="U95" s="232"/>
      <c r="V95" s="232"/>
      <c r="W95" s="233"/>
      <c r="X95" s="234"/>
    </row>
    <row r="96" spans="1:24" s="235" customFormat="1" ht="48" hidden="1" customHeight="1">
      <c r="A96" s="758"/>
      <c r="B96" s="223"/>
      <c r="C96" s="224"/>
      <c r="D96" s="225"/>
      <c r="E96" s="226"/>
      <c r="F96" s="770"/>
      <c r="G96" s="291"/>
      <c r="H96" s="271"/>
      <c r="I96" s="230" t="s">
        <v>900</v>
      </c>
      <c r="J96" s="230" t="s">
        <v>3567</v>
      </c>
      <c r="K96" s="230" t="s">
        <v>3568</v>
      </c>
      <c r="L96" s="230" t="s">
        <v>3569</v>
      </c>
      <c r="M96" s="230" t="s">
        <v>3570</v>
      </c>
      <c r="N96" s="230" t="s">
        <v>3571</v>
      </c>
      <c r="O96" s="230" t="s">
        <v>3572</v>
      </c>
      <c r="P96" s="231" t="s">
        <v>3573</v>
      </c>
      <c r="Q96" s="232"/>
      <c r="R96" s="232"/>
      <c r="S96" s="232"/>
      <c r="T96" s="232"/>
      <c r="U96" s="232"/>
      <c r="V96" s="232"/>
      <c r="W96" s="233"/>
      <c r="X96" s="234"/>
    </row>
    <row r="97" spans="1:24" s="235" customFormat="1" ht="72" hidden="1" customHeight="1">
      <c r="A97" s="758"/>
      <c r="B97" s="223"/>
      <c r="C97" s="224"/>
      <c r="D97" s="225"/>
      <c r="E97" s="226"/>
      <c r="F97" s="770"/>
      <c r="G97" s="291"/>
      <c r="H97" s="271"/>
      <c r="I97" s="230" t="s">
        <v>3574</v>
      </c>
      <c r="J97" s="230" t="s">
        <v>3575</v>
      </c>
      <c r="K97" s="230" t="s">
        <v>3576</v>
      </c>
      <c r="L97" s="230" t="s">
        <v>3577</v>
      </c>
      <c r="M97" s="230" t="s">
        <v>3578</v>
      </c>
      <c r="N97" s="230" t="s">
        <v>109</v>
      </c>
      <c r="O97" s="230" t="s">
        <v>3579</v>
      </c>
      <c r="P97" s="231"/>
      <c r="Q97" s="232"/>
      <c r="R97" s="232"/>
      <c r="S97" s="232"/>
      <c r="T97" s="232"/>
      <c r="U97" s="232"/>
      <c r="V97" s="232"/>
      <c r="W97" s="233"/>
      <c r="X97" s="234"/>
    </row>
    <row r="98" spans="1:24" s="235" customFormat="1" ht="116.15" hidden="1" customHeight="1">
      <c r="A98" s="758"/>
      <c r="B98" s="223"/>
      <c r="C98" s="224"/>
      <c r="D98" s="225"/>
      <c r="E98" s="226"/>
      <c r="F98" s="760"/>
      <c r="G98" s="291"/>
      <c r="H98" s="271"/>
      <c r="I98" s="230" t="s">
        <v>2921</v>
      </c>
      <c r="J98" s="230" t="s">
        <v>3580</v>
      </c>
      <c r="K98" s="230" t="s">
        <v>3581</v>
      </c>
      <c r="L98" s="230" t="s">
        <v>3582</v>
      </c>
      <c r="M98" s="230" t="s">
        <v>3583</v>
      </c>
      <c r="N98" s="230" t="s">
        <v>109</v>
      </c>
      <c r="O98" s="230" t="s">
        <v>3584</v>
      </c>
      <c r="P98" s="231"/>
      <c r="Q98" s="232"/>
      <c r="R98" s="232"/>
      <c r="S98" s="232"/>
      <c r="T98" s="232"/>
      <c r="U98" s="232"/>
      <c r="V98" s="232"/>
      <c r="W98" s="233"/>
      <c r="X98" s="234"/>
    </row>
    <row r="99" spans="1:24" s="286" customFormat="1" ht="87" hidden="1" customHeight="1">
      <c r="A99" s="758"/>
      <c r="B99" s="274"/>
      <c r="C99" s="275"/>
      <c r="D99" s="276"/>
      <c r="E99" s="292"/>
      <c r="F99" s="293"/>
      <c r="G99" s="294"/>
      <c r="H99" s="280" t="s">
        <v>3177</v>
      </c>
      <c r="I99" s="281" t="s">
        <v>270</v>
      </c>
      <c r="J99" s="282"/>
      <c r="K99" s="282"/>
      <c r="L99" s="283"/>
      <c r="M99" s="282"/>
      <c r="N99" s="282"/>
      <c r="O99" s="282"/>
      <c r="P99" s="282"/>
      <c r="Q99" s="282"/>
      <c r="R99" s="282"/>
      <c r="S99" s="282"/>
      <c r="T99" s="282"/>
      <c r="U99" s="282"/>
      <c r="V99" s="282"/>
      <c r="W99" s="284"/>
      <c r="X99" s="285"/>
    </row>
    <row r="100" spans="1:24" s="235" customFormat="1" ht="44.5" hidden="1" customHeight="1">
      <c r="A100" s="758"/>
      <c r="B100" s="223"/>
      <c r="C100" s="224"/>
      <c r="D100" s="225"/>
      <c r="E100" s="226"/>
      <c r="F100" s="784" t="s">
        <v>3176</v>
      </c>
      <c r="G100" s="291"/>
      <c r="H100" s="271"/>
      <c r="I100" s="230" t="s">
        <v>3585</v>
      </c>
      <c r="J100" s="230" t="s">
        <v>3586</v>
      </c>
      <c r="K100" s="230" t="s">
        <v>3587</v>
      </c>
      <c r="L100" s="230" t="s">
        <v>3588</v>
      </c>
      <c r="M100" s="230" t="s">
        <v>3589</v>
      </c>
      <c r="N100" s="230" t="s">
        <v>2817</v>
      </c>
      <c r="O100" s="230" t="s">
        <v>3590</v>
      </c>
      <c r="P100" s="230" t="s">
        <v>3591</v>
      </c>
      <c r="Q100" s="232"/>
      <c r="R100" s="232"/>
      <c r="S100" s="232"/>
      <c r="T100" s="232"/>
      <c r="U100" s="232"/>
      <c r="V100" s="232"/>
      <c r="W100" s="233"/>
      <c r="X100" s="234"/>
    </row>
    <row r="101" spans="1:24" s="235" customFormat="1" ht="59.5" hidden="1" customHeight="1">
      <c r="A101" s="758"/>
      <c r="B101" s="223"/>
      <c r="C101" s="224"/>
      <c r="D101" s="225"/>
      <c r="E101" s="226"/>
      <c r="F101" s="770"/>
      <c r="G101" s="291"/>
      <c r="H101" s="271"/>
      <c r="I101" s="230" t="s">
        <v>2992</v>
      </c>
      <c r="J101" s="230" t="s">
        <v>3592</v>
      </c>
      <c r="K101" s="230" t="s">
        <v>3593</v>
      </c>
      <c r="L101" s="230" t="s">
        <v>3594</v>
      </c>
      <c r="M101" s="230" t="s">
        <v>3595</v>
      </c>
      <c r="N101" s="230" t="s">
        <v>192</v>
      </c>
      <c r="O101" s="230" t="s">
        <v>3596</v>
      </c>
      <c r="P101" s="230" t="s">
        <v>3597</v>
      </c>
      <c r="Q101" s="232"/>
      <c r="R101" s="232"/>
      <c r="S101" s="232"/>
      <c r="T101" s="232"/>
      <c r="U101" s="232"/>
      <c r="V101" s="232"/>
      <c r="W101" s="233"/>
      <c r="X101" s="234"/>
    </row>
    <row r="102" spans="1:24" s="235" customFormat="1" ht="59.5" hidden="1" customHeight="1">
      <c r="A102" s="758"/>
      <c r="B102" s="223"/>
      <c r="C102" s="224"/>
      <c r="D102" s="225"/>
      <c r="E102" s="226"/>
      <c r="F102" s="770"/>
      <c r="G102" s="291"/>
      <c r="H102" s="271"/>
      <c r="I102" s="230" t="s">
        <v>2892</v>
      </c>
      <c r="J102" s="230" t="s">
        <v>3598</v>
      </c>
      <c r="K102" s="230" t="s">
        <v>3599</v>
      </c>
      <c r="L102" s="230" t="s">
        <v>3600</v>
      </c>
      <c r="M102" s="230" t="s">
        <v>3601</v>
      </c>
      <c r="N102" s="230" t="s">
        <v>3564</v>
      </c>
      <c r="O102" s="230" t="s">
        <v>3602</v>
      </c>
      <c r="P102" s="312" t="s">
        <v>3603</v>
      </c>
      <c r="Q102" s="232"/>
      <c r="R102" s="232"/>
      <c r="S102" s="232"/>
      <c r="T102" s="232"/>
      <c r="U102" s="232"/>
      <c r="V102" s="232"/>
      <c r="W102" s="233"/>
      <c r="X102" s="234"/>
    </row>
    <row r="103" spans="1:24" s="235" customFormat="1" ht="101.5" hidden="1" customHeight="1">
      <c r="A103" s="758"/>
      <c r="B103" s="223"/>
      <c r="C103" s="224"/>
      <c r="D103" s="225"/>
      <c r="E103" s="226"/>
      <c r="F103" s="770"/>
      <c r="G103" s="291"/>
      <c r="H103" s="271"/>
      <c r="I103" s="230" t="s">
        <v>3604</v>
      </c>
      <c r="J103" s="230" t="s">
        <v>3605</v>
      </c>
      <c r="K103" s="230" t="s">
        <v>3606</v>
      </c>
      <c r="L103" s="230" t="s">
        <v>3607</v>
      </c>
      <c r="M103" s="230" t="s">
        <v>3608</v>
      </c>
      <c r="N103" s="230" t="s">
        <v>109</v>
      </c>
      <c r="O103" s="230" t="s">
        <v>3609</v>
      </c>
      <c r="P103" s="230" t="s">
        <v>3610</v>
      </c>
      <c r="Q103" s="232"/>
      <c r="R103" s="232"/>
      <c r="S103" s="232"/>
      <c r="T103" s="232"/>
      <c r="U103" s="232"/>
      <c r="V103" s="232"/>
      <c r="W103" s="233"/>
      <c r="X103" s="234"/>
    </row>
    <row r="104" spans="1:24" s="235" customFormat="1" ht="74.5" hidden="1" customHeight="1">
      <c r="A104" s="758"/>
      <c r="B104" s="223"/>
      <c r="C104" s="224"/>
      <c r="D104" s="225"/>
      <c r="E104" s="226"/>
      <c r="F104" s="760"/>
      <c r="G104" s="291"/>
      <c r="H104" s="271"/>
      <c r="I104" s="230" t="s">
        <v>2785</v>
      </c>
      <c r="J104" s="230" t="s">
        <v>3611</v>
      </c>
      <c r="K104" s="230" t="s">
        <v>3612</v>
      </c>
      <c r="L104" s="230" t="s">
        <v>3613</v>
      </c>
      <c r="M104" s="230" t="s">
        <v>3614</v>
      </c>
      <c r="N104" s="230" t="s">
        <v>109</v>
      </c>
      <c r="O104" s="230" t="s">
        <v>3615</v>
      </c>
      <c r="P104" s="238"/>
      <c r="Q104" s="232"/>
      <c r="R104" s="232"/>
      <c r="S104" s="232"/>
      <c r="T104" s="232"/>
      <c r="U104" s="232"/>
      <c r="V104" s="232"/>
      <c r="W104" s="233"/>
      <c r="X104" s="234"/>
    </row>
    <row r="105" spans="1:24" s="286" customFormat="1" ht="58" hidden="1" customHeight="1">
      <c r="A105" s="758"/>
      <c r="B105" s="274"/>
      <c r="C105" s="275"/>
      <c r="D105" s="276"/>
      <c r="E105" s="292"/>
      <c r="F105" s="293"/>
      <c r="G105" s="294"/>
      <c r="H105" s="280" t="s">
        <v>3194</v>
      </c>
      <c r="I105" s="281" t="s">
        <v>276</v>
      </c>
      <c r="J105" s="282"/>
      <c r="K105" s="282"/>
      <c r="L105" s="283"/>
      <c r="M105" s="282"/>
      <c r="N105" s="282"/>
      <c r="O105" s="282"/>
      <c r="P105" s="282"/>
      <c r="Q105" s="282"/>
      <c r="R105" s="282"/>
      <c r="S105" s="282"/>
      <c r="T105" s="282"/>
      <c r="U105" s="282"/>
      <c r="V105" s="282"/>
      <c r="W105" s="284"/>
      <c r="X105" s="285"/>
    </row>
    <row r="106" spans="1:24" s="235" customFormat="1" ht="62.5" hidden="1" customHeight="1">
      <c r="A106" s="758"/>
      <c r="B106" s="223"/>
      <c r="C106" s="313"/>
      <c r="D106" s="223"/>
      <c r="E106" s="236"/>
      <c r="F106" s="792" t="s">
        <v>3193</v>
      </c>
      <c r="G106" s="291"/>
      <c r="H106" s="271"/>
      <c r="I106" s="230" t="s">
        <v>2984</v>
      </c>
      <c r="J106" s="230" t="s">
        <v>3616</v>
      </c>
      <c r="K106" s="230" t="s">
        <v>3617</v>
      </c>
      <c r="L106" s="230" t="s">
        <v>3618</v>
      </c>
      <c r="M106" s="230" t="s">
        <v>3619</v>
      </c>
      <c r="N106" s="230" t="s">
        <v>3620</v>
      </c>
      <c r="O106" s="230" t="s">
        <v>3621</v>
      </c>
      <c r="P106" s="238"/>
      <c r="Q106" s="232"/>
      <c r="R106" s="232"/>
      <c r="S106" s="232"/>
      <c r="T106" s="232"/>
      <c r="U106" s="232"/>
      <c r="V106" s="232"/>
      <c r="W106" s="233"/>
      <c r="X106" s="234"/>
    </row>
    <row r="107" spans="1:24" s="235" customFormat="1" ht="130.5" hidden="1" customHeight="1">
      <c r="A107" s="758"/>
      <c r="B107" s="314"/>
      <c r="C107" s="236"/>
      <c r="D107" s="314"/>
      <c r="E107" s="236"/>
      <c r="F107" s="770"/>
      <c r="G107" s="291"/>
      <c r="H107" s="271"/>
      <c r="I107" s="230" t="s">
        <v>2875</v>
      </c>
      <c r="J107" s="230" t="s">
        <v>3622</v>
      </c>
      <c r="K107" s="230" t="s">
        <v>3623</v>
      </c>
      <c r="L107" s="230" t="s">
        <v>3624</v>
      </c>
      <c r="M107" s="230" t="s">
        <v>3625</v>
      </c>
      <c r="N107" s="230" t="s">
        <v>3626</v>
      </c>
      <c r="O107" s="230" t="s">
        <v>3627</v>
      </c>
      <c r="P107" s="230" t="s">
        <v>3628</v>
      </c>
      <c r="Q107" s="232"/>
      <c r="R107" s="232"/>
      <c r="S107" s="232"/>
      <c r="T107" s="232"/>
      <c r="U107" s="232"/>
      <c r="V107" s="232"/>
      <c r="W107" s="233"/>
      <c r="X107" s="234"/>
    </row>
    <row r="108" spans="1:24" s="235" customFormat="1" ht="60.65" hidden="1" customHeight="1">
      <c r="A108" s="758"/>
      <c r="B108" s="314"/>
      <c r="C108" s="236"/>
      <c r="D108" s="314"/>
      <c r="E108" s="236"/>
      <c r="F108" s="760"/>
      <c r="G108" s="291"/>
      <c r="H108" s="271"/>
      <c r="I108" s="230" t="s">
        <v>2867</v>
      </c>
      <c r="J108" s="230" t="s">
        <v>3629</v>
      </c>
      <c r="K108" s="230" t="s">
        <v>3630</v>
      </c>
      <c r="L108" s="230" t="s">
        <v>3631</v>
      </c>
      <c r="M108" s="230" t="s">
        <v>3632</v>
      </c>
      <c r="N108" s="230" t="s">
        <v>109</v>
      </c>
      <c r="O108" s="230" t="s">
        <v>3633</v>
      </c>
      <c r="P108" s="231" t="s">
        <v>3634</v>
      </c>
      <c r="Q108" s="232"/>
      <c r="R108" s="232"/>
      <c r="S108" s="232"/>
      <c r="T108" s="232"/>
      <c r="U108" s="232"/>
      <c r="V108" s="232"/>
      <c r="W108" s="233"/>
      <c r="X108" s="234"/>
    </row>
    <row r="109" spans="1:24" s="286" customFormat="1" ht="58" hidden="1" customHeight="1">
      <c r="A109" s="758"/>
      <c r="B109" s="315"/>
      <c r="C109" s="315"/>
      <c r="D109" s="315"/>
      <c r="E109" s="315"/>
      <c r="F109" s="316"/>
      <c r="G109" s="317"/>
      <c r="H109" s="318" t="s">
        <v>3203</v>
      </c>
      <c r="I109" s="319" t="s">
        <v>280</v>
      </c>
      <c r="J109" s="285"/>
      <c r="K109" s="285"/>
      <c r="L109" s="320"/>
      <c r="M109" s="285"/>
      <c r="N109" s="285"/>
      <c r="O109" s="285"/>
      <c r="P109" s="285"/>
      <c r="Q109" s="285"/>
      <c r="R109" s="285"/>
      <c r="S109" s="285"/>
      <c r="T109" s="285"/>
      <c r="U109" s="285"/>
      <c r="V109" s="285"/>
      <c r="W109" s="285"/>
      <c r="X109" s="285"/>
    </row>
    <row r="110" spans="1:24" s="324" customFormat="1" ht="87" hidden="1" customHeight="1">
      <c r="A110" s="758"/>
      <c r="B110" s="321"/>
      <c r="C110" s="321"/>
      <c r="D110" s="321"/>
      <c r="E110" s="321"/>
      <c r="F110" s="793" t="s">
        <v>3202</v>
      </c>
      <c r="G110" s="310"/>
      <c r="H110" s="268"/>
      <c r="I110" s="229" t="s">
        <v>2967</v>
      </c>
      <c r="J110" s="229" t="s">
        <v>3635</v>
      </c>
      <c r="K110" s="229" t="s">
        <v>3636</v>
      </c>
      <c r="L110" s="229" t="s">
        <v>3637</v>
      </c>
      <c r="M110" s="229" t="s">
        <v>3638</v>
      </c>
      <c r="N110" s="229" t="s">
        <v>3639</v>
      </c>
      <c r="O110" s="229" t="s">
        <v>3640</v>
      </c>
      <c r="P110" s="229" t="s">
        <v>3641</v>
      </c>
      <c r="Q110" s="322"/>
      <c r="R110" s="322"/>
      <c r="S110" s="322"/>
      <c r="T110" s="322"/>
      <c r="U110" s="322"/>
      <c r="V110" s="322"/>
      <c r="W110" s="322"/>
      <c r="X110" s="323"/>
    </row>
    <row r="111" spans="1:24" s="324" customFormat="1" ht="101.5" hidden="1" customHeight="1">
      <c r="A111" s="758"/>
      <c r="B111" s="321"/>
      <c r="C111" s="321"/>
      <c r="D111" s="321"/>
      <c r="E111" s="321"/>
      <c r="F111" s="767"/>
      <c r="G111" s="310"/>
      <c r="H111" s="268"/>
      <c r="I111" s="229" t="s">
        <v>2855</v>
      </c>
      <c r="J111" s="229" t="s">
        <v>3642</v>
      </c>
      <c r="K111" s="229" t="s">
        <v>3643</v>
      </c>
      <c r="L111" s="229" t="s">
        <v>3644</v>
      </c>
      <c r="M111" s="229" t="s">
        <v>3645</v>
      </c>
      <c r="N111" s="229" t="s">
        <v>3639</v>
      </c>
      <c r="O111" s="229" t="s">
        <v>3646</v>
      </c>
      <c r="P111" s="229" t="s">
        <v>3647</v>
      </c>
      <c r="Q111" s="322"/>
      <c r="R111" s="322"/>
      <c r="S111" s="322"/>
      <c r="T111" s="322"/>
      <c r="U111" s="322"/>
      <c r="V111" s="322"/>
      <c r="W111" s="322"/>
      <c r="X111" s="323"/>
    </row>
    <row r="112" spans="1:24" s="324" customFormat="1" ht="116.15" hidden="1" customHeight="1">
      <c r="A112" s="758"/>
      <c r="B112" s="321"/>
      <c r="C112" s="321"/>
      <c r="D112" s="321"/>
      <c r="E112" s="321"/>
      <c r="F112" s="767"/>
      <c r="G112" s="310"/>
      <c r="H112" s="268"/>
      <c r="I112" s="229" t="s">
        <v>2810</v>
      </c>
      <c r="J112" s="229" t="s">
        <v>3648</v>
      </c>
      <c r="K112" s="229" t="s">
        <v>3649</v>
      </c>
      <c r="L112" s="229" t="s">
        <v>3650</v>
      </c>
      <c r="M112" s="229" t="s">
        <v>3651</v>
      </c>
      <c r="N112" s="229" t="s">
        <v>3652</v>
      </c>
      <c r="O112" s="229" t="s">
        <v>3653</v>
      </c>
      <c r="P112" s="229" t="s">
        <v>3654</v>
      </c>
      <c r="Q112" s="322"/>
      <c r="R112" s="322"/>
      <c r="S112" s="322"/>
      <c r="T112" s="322"/>
      <c r="U112" s="322"/>
      <c r="V112" s="322"/>
      <c r="W112" s="322"/>
      <c r="X112" s="323"/>
    </row>
    <row r="113" spans="1:24" s="324" customFormat="1" ht="130.5" hidden="1" customHeight="1">
      <c r="A113" s="758"/>
      <c r="B113" s="321"/>
      <c r="C113" s="321"/>
      <c r="D113" s="321"/>
      <c r="E113" s="321"/>
      <c r="F113" s="767"/>
      <c r="G113" s="310"/>
      <c r="H113" s="268"/>
      <c r="I113" s="229" t="s">
        <v>2851</v>
      </c>
      <c r="J113" s="229" t="s">
        <v>3655</v>
      </c>
      <c r="K113" s="229" t="s">
        <v>3656</v>
      </c>
      <c r="L113" s="229" t="s">
        <v>3657</v>
      </c>
      <c r="M113" s="229" t="s">
        <v>3658</v>
      </c>
      <c r="N113" s="229" t="s">
        <v>3659</v>
      </c>
      <c r="O113" s="229" t="s">
        <v>3660</v>
      </c>
      <c r="P113" s="229" t="s">
        <v>3661</v>
      </c>
      <c r="Q113" s="322"/>
      <c r="R113" s="322"/>
      <c r="S113" s="322"/>
      <c r="T113" s="322"/>
      <c r="U113" s="322"/>
      <c r="V113" s="322"/>
      <c r="W113" s="322"/>
      <c r="X113" s="323"/>
    </row>
    <row r="114" spans="1:24" s="324" customFormat="1" ht="130.5" hidden="1" customHeight="1">
      <c r="A114" s="758"/>
      <c r="B114" s="321"/>
      <c r="C114" s="321"/>
      <c r="D114" s="321"/>
      <c r="E114" s="321"/>
      <c r="F114" s="767"/>
      <c r="G114" s="310"/>
      <c r="H114" s="268"/>
      <c r="I114" s="229" t="s">
        <v>1037</v>
      </c>
      <c r="J114" s="229" t="s">
        <v>3662</v>
      </c>
      <c r="K114" s="229" t="s">
        <v>3663</v>
      </c>
      <c r="L114" s="229" t="s">
        <v>3664</v>
      </c>
      <c r="M114" s="229" t="s">
        <v>3665</v>
      </c>
      <c r="N114" s="229" t="s">
        <v>3666</v>
      </c>
      <c r="O114" s="229" t="s">
        <v>3667</v>
      </c>
      <c r="P114" s="229" t="s">
        <v>3668</v>
      </c>
      <c r="Q114" s="322"/>
      <c r="R114" s="322"/>
      <c r="S114" s="322"/>
      <c r="T114" s="322"/>
      <c r="U114" s="322"/>
      <c r="V114" s="322"/>
      <c r="W114" s="322"/>
      <c r="X114" s="323"/>
    </row>
    <row r="115" spans="1:24" s="324" customFormat="1" ht="116.15" hidden="1" customHeight="1">
      <c r="A115" s="758"/>
      <c r="B115" s="321"/>
      <c r="C115" s="321"/>
      <c r="D115" s="321"/>
      <c r="E115" s="321"/>
      <c r="F115" s="767"/>
      <c r="G115" s="310"/>
      <c r="H115" s="268"/>
      <c r="I115" s="229" t="s">
        <v>2827</v>
      </c>
      <c r="J115" s="229" t="s">
        <v>3669</v>
      </c>
      <c r="K115" s="229" t="s">
        <v>3670</v>
      </c>
      <c r="L115" s="229" t="s">
        <v>3671</v>
      </c>
      <c r="M115" s="229" t="s">
        <v>3672</v>
      </c>
      <c r="N115" s="229" t="s">
        <v>109</v>
      </c>
      <c r="O115" s="229" t="s">
        <v>3673</v>
      </c>
      <c r="P115" s="229" t="s">
        <v>3674</v>
      </c>
      <c r="Q115" s="322"/>
      <c r="R115" s="322"/>
      <c r="S115" s="322"/>
      <c r="T115" s="322"/>
      <c r="U115" s="322"/>
      <c r="V115" s="322"/>
      <c r="W115" s="322"/>
      <c r="X115" s="323"/>
    </row>
    <row r="116" spans="1:24" s="324" customFormat="1" ht="87" hidden="1" customHeight="1">
      <c r="A116" s="758"/>
      <c r="B116" s="321"/>
      <c r="C116" s="321"/>
      <c r="D116" s="321"/>
      <c r="E116" s="321"/>
      <c r="F116" s="767"/>
      <c r="G116" s="310"/>
      <c r="H116" s="268"/>
      <c r="I116" s="229" t="s">
        <v>2839</v>
      </c>
      <c r="J116" s="229" t="s">
        <v>3675</v>
      </c>
      <c r="K116" s="229"/>
      <c r="L116" s="229"/>
      <c r="M116" s="229"/>
      <c r="N116" s="229"/>
      <c r="O116" s="229"/>
      <c r="P116" s="229" t="s">
        <v>3676</v>
      </c>
      <c r="Q116" s="322"/>
      <c r="R116" s="322"/>
      <c r="S116" s="322"/>
      <c r="T116" s="322"/>
      <c r="U116" s="322"/>
      <c r="V116" s="322"/>
      <c r="W116" s="322"/>
      <c r="X116" s="323"/>
    </row>
    <row r="117" spans="1:24" s="324" customFormat="1" ht="72.650000000000006" hidden="1" customHeight="1">
      <c r="A117" s="758"/>
      <c r="B117" s="321"/>
      <c r="C117" s="321"/>
      <c r="D117" s="321"/>
      <c r="E117" s="321"/>
      <c r="F117" s="767"/>
      <c r="G117" s="310"/>
      <c r="H117" s="268"/>
      <c r="I117" s="229" t="s">
        <v>2766</v>
      </c>
      <c r="J117" s="229" t="s">
        <v>3677</v>
      </c>
      <c r="K117" s="229" t="s">
        <v>3678</v>
      </c>
      <c r="L117" s="229" t="s">
        <v>3679</v>
      </c>
      <c r="M117" s="229" t="s">
        <v>3680</v>
      </c>
      <c r="N117" s="229" t="s">
        <v>3681</v>
      </c>
      <c r="O117" s="229" t="s">
        <v>3682</v>
      </c>
      <c r="P117" s="229" t="s">
        <v>3683</v>
      </c>
      <c r="Q117" s="322"/>
      <c r="R117" s="322"/>
      <c r="S117" s="322"/>
      <c r="T117" s="322"/>
      <c r="U117" s="322"/>
      <c r="V117" s="322"/>
      <c r="W117" s="322"/>
      <c r="X117" s="323"/>
    </row>
    <row r="118" spans="1:24" s="324" customFormat="1" ht="130.5" hidden="1" customHeight="1">
      <c r="A118" s="758"/>
      <c r="B118" s="321"/>
      <c r="C118" s="321"/>
      <c r="D118" s="321"/>
      <c r="E118" s="321"/>
      <c r="F118" s="768"/>
      <c r="G118" s="310"/>
      <c r="H118" s="268"/>
      <c r="I118" s="229" t="s">
        <v>1071</v>
      </c>
      <c r="J118" s="229" t="s">
        <v>3684</v>
      </c>
      <c r="K118" s="229" t="s">
        <v>3685</v>
      </c>
      <c r="L118" s="229" t="s">
        <v>3686</v>
      </c>
      <c r="M118" s="229" t="s">
        <v>3687</v>
      </c>
      <c r="N118" s="229" t="s">
        <v>3688</v>
      </c>
      <c r="O118" s="229" t="s">
        <v>3689</v>
      </c>
      <c r="P118" s="229" t="s">
        <v>3690</v>
      </c>
      <c r="Q118" s="322"/>
      <c r="R118" s="322"/>
      <c r="S118" s="322"/>
      <c r="T118" s="322"/>
      <c r="U118" s="322"/>
      <c r="V118" s="322"/>
      <c r="W118" s="322"/>
      <c r="X118" s="323"/>
    </row>
    <row r="119" spans="1:24" s="265" customFormat="1" ht="87" hidden="1" customHeight="1">
      <c r="A119" s="758"/>
      <c r="B119" s="259"/>
      <c r="C119" s="259"/>
      <c r="D119" s="259"/>
      <c r="E119" s="259"/>
      <c r="F119" s="325"/>
      <c r="G119" s="326"/>
      <c r="H119" s="327" t="s">
        <v>3219</v>
      </c>
      <c r="I119" s="328" t="s">
        <v>3691</v>
      </c>
      <c r="J119" s="264"/>
      <c r="K119" s="264"/>
      <c r="L119" s="262"/>
      <c r="M119" s="264"/>
      <c r="N119" s="264"/>
      <c r="O119" s="264"/>
      <c r="P119" s="264"/>
      <c r="Q119" s="264"/>
      <c r="R119" s="264"/>
      <c r="S119" s="264"/>
      <c r="T119" s="264"/>
      <c r="U119" s="264"/>
      <c r="V119" s="264"/>
      <c r="W119" s="264"/>
      <c r="X119" s="264"/>
    </row>
    <row r="120" spans="1:24" s="324" customFormat="1" ht="101.5" hidden="1" customHeight="1">
      <c r="A120" s="758"/>
      <c r="B120" s="321"/>
      <c r="C120" s="321"/>
      <c r="D120" s="321"/>
      <c r="E120" s="321"/>
      <c r="F120" s="766" t="s">
        <v>3202</v>
      </c>
      <c r="G120" s="310"/>
      <c r="H120" s="268"/>
      <c r="I120" s="229" t="s">
        <v>1081</v>
      </c>
      <c r="J120" s="229" t="s">
        <v>3692</v>
      </c>
      <c r="K120" s="229" t="s">
        <v>3693</v>
      </c>
      <c r="L120" s="229" t="s">
        <v>3694</v>
      </c>
      <c r="M120" s="229" t="s">
        <v>3695</v>
      </c>
      <c r="N120" s="229" t="s">
        <v>3696</v>
      </c>
      <c r="O120" s="229" t="s">
        <v>3697</v>
      </c>
      <c r="P120" s="329" t="s">
        <v>3698</v>
      </c>
      <c r="Q120" s="322"/>
      <c r="R120" s="322"/>
      <c r="S120" s="322"/>
      <c r="T120" s="322"/>
      <c r="U120" s="322"/>
      <c r="V120" s="322"/>
      <c r="W120" s="322"/>
      <c r="X120" s="323"/>
    </row>
    <row r="121" spans="1:24" s="324" customFormat="1" ht="116.15" hidden="1" customHeight="1">
      <c r="A121" s="758"/>
      <c r="B121" s="321"/>
      <c r="C121" s="321"/>
      <c r="D121" s="321"/>
      <c r="E121" s="321"/>
      <c r="F121" s="767"/>
      <c r="G121" s="310"/>
      <c r="H121" s="268"/>
      <c r="I121" s="229" t="s">
        <v>3699</v>
      </c>
      <c r="J121" s="229" t="s">
        <v>3700</v>
      </c>
      <c r="K121" s="229" t="s">
        <v>3701</v>
      </c>
      <c r="L121" s="229" t="s">
        <v>3702</v>
      </c>
      <c r="M121" s="229" t="s">
        <v>3703</v>
      </c>
      <c r="N121" s="229" t="s">
        <v>3704</v>
      </c>
      <c r="O121" s="229" t="s">
        <v>3705</v>
      </c>
      <c r="P121" s="329"/>
      <c r="Q121" s="322"/>
      <c r="R121" s="322"/>
      <c r="S121" s="322"/>
      <c r="T121" s="322"/>
      <c r="U121" s="322"/>
      <c r="V121" s="322"/>
      <c r="W121" s="322"/>
      <c r="X121" s="323"/>
    </row>
    <row r="122" spans="1:24" s="324" customFormat="1" ht="101.5" hidden="1" customHeight="1">
      <c r="A122" s="758"/>
      <c r="B122" s="321"/>
      <c r="C122" s="321"/>
      <c r="D122" s="321"/>
      <c r="E122" s="321"/>
      <c r="F122" s="767"/>
      <c r="G122" s="310"/>
      <c r="H122" s="268"/>
      <c r="I122" s="229" t="s">
        <v>1100</v>
      </c>
      <c r="J122" s="229" t="s">
        <v>3706</v>
      </c>
      <c r="K122" s="229" t="s">
        <v>3707</v>
      </c>
      <c r="L122" s="229" t="s">
        <v>3708</v>
      </c>
      <c r="M122" s="229" t="s">
        <v>3709</v>
      </c>
      <c r="N122" s="229" t="s">
        <v>109</v>
      </c>
      <c r="O122" s="229" t="s">
        <v>3710</v>
      </c>
      <c r="P122" s="330" t="s">
        <v>3711</v>
      </c>
      <c r="Q122" s="322"/>
      <c r="R122" s="322"/>
      <c r="S122" s="322"/>
      <c r="T122" s="322"/>
      <c r="U122" s="322"/>
      <c r="V122" s="322"/>
      <c r="W122" s="322"/>
      <c r="X122" s="323"/>
    </row>
    <row r="123" spans="1:24" s="324" customFormat="1" ht="60" hidden="1" customHeight="1">
      <c r="A123" s="758"/>
      <c r="B123" s="321"/>
      <c r="C123" s="321"/>
      <c r="D123" s="321"/>
      <c r="E123" s="321"/>
      <c r="F123" s="768"/>
      <c r="G123" s="310"/>
      <c r="H123" s="268"/>
      <c r="I123" s="229" t="s">
        <v>2863</v>
      </c>
      <c r="J123" s="229" t="s">
        <v>3712</v>
      </c>
      <c r="K123" s="229" t="s">
        <v>3713</v>
      </c>
      <c r="L123" s="229" t="s">
        <v>3714</v>
      </c>
      <c r="M123" s="229" t="s">
        <v>3715</v>
      </c>
      <c r="N123" s="229" t="s">
        <v>3716</v>
      </c>
      <c r="O123" s="229" t="s">
        <v>3717</v>
      </c>
      <c r="P123" s="329"/>
      <c r="Q123" s="322"/>
      <c r="R123" s="322"/>
      <c r="S123" s="322"/>
      <c r="T123" s="322"/>
      <c r="U123" s="322"/>
      <c r="V123" s="322"/>
      <c r="W123" s="322"/>
      <c r="X123" s="323"/>
    </row>
    <row r="124" spans="1:24" s="265" customFormat="1" ht="58" hidden="1" customHeight="1">
      <c r="A124" s="758"/>
      <c r="B124" s="259"/>
      <c r="C124" s="259"/>
      <c r="D124" s="259"/>
      <c r="E124" s="259"/>
      <c r="F124" s="325"/>
      <c r="G124" s="326"/>
      <c r="H124" s="327" t="s">
        <v>3230</v>
      </c>
      <c r="I124" s="328" t="s">
        <v>3231</v>
      </c>
      <c r="J124" s="264"/>
      <c r="K124" s="264"/>
      <c r="L124" s="262"/>
      <c r="M124" s="264"/>
      <c r="N124" s="264"/>
      <c r="O124" s="264"/>
      <c r="P124" s="264"/>
      <c r="Q124" s="264"/>
      <c r="R124" s="264"/>
      <c r="S124" s="264"/>
      <c r="T124" s="264"/>
      <c r="U124" s="264"/>
      <c r="V124" s="264"/>
      <c r="W124" s="264"/>
      <c r="X124" s="264"/>
    </row>
    <row r="125" spans="1:24" s="324" customFormat="1" ht="101.5" hidden="1" customHeight="1">
      <c r="A125" s="758"/>
      <c r="B125" s="321"/>
      <c r="C125" s="321"/>
      <c r="D125" s="321"/>
      <c r="E125" s="321"/>
      <c r="F125" s="766" t="s">
        <v>3229</v>
      </c>
      <c r="G125" s="310"/>
      <c r="H125" s="268"/>
      <c r="I125" s="229" t="s">
        <v>2780</v>
      </c>
      <c r="J125" s="229" t="s">
        <v>3718</v>
      </c>
      <c r="K125" s="229" t="s">
        <v>3719</v>
      </c>
      <c r="L125" s="229" t="s">
        <v>3720</v>
      </c>
      <c r="M125" s="229" t="s">
        <v>3721</v>
      </c>
      <c r="N125" s="229" t="s">
        <v>3722</v>
      </c>
      <c r="O125" s="229" t="s">
        <v>3723</v>
      </c>
      <c r="P125" s="229" t="s">
        <v>3724</v>
      </c>
      <c r="Q125" s="322"/>
      <c r="R125" s="322"/>
      <c r="S125" s="322"/>
      <c r="T125" s="322"/>
      <c r="U125" s="322"/>
      <c r="V125" s="322"/>
      <c r="W125" s="322"/>
      <c r="X125" s="323"/>
    </row>
    <row r="126" spans="1:24" s="324" customFormat="1" ht="57" hidden="1" customHeight="1">
      <c r="A126" s="758"/>
      <c r="B126" s="321"/>
      <c r="C126" s="321"/>
      <c r="D126" s="321"/>
      <c r="E126" s="321"/>
      <c r="F126" s="767"/>
      <c r="G126" s="310"/>
      <c r="H126" s="268"/>
      <c r="I126" s="229" t="s">
        <v>1127</v>
      </c>
      <c r="J126" s="229" t="s">
        <v>3725</v>
      </c>
      <c r="K126" s="229" t="s">
        <v>3726</v>
      </c>
      <c r="L126" s="229" t="s">
        <v>3727</v>
      </c>
      <c r="M126" s="229" t="s">
        <v>3728</v>
      </c>
      <c r="N126" s="229" t="s">
        <v>3729</v>
      </c>
      <c r="O126" s="229" t="s">
        <v>3730</v>
      </c>
      <c r="P126" s="329"/>
      <c r="Q126" s="322"/>
      <c r="R126" s="322"/>
      <c r="S126" s="322"/>
      <c r="T126" s="322"/>
      <c r="U126" s="322"/>
      <c r="V126" s="322"/>
      <c r="W126" s="322"/>
      <c r="X126" s="323"/>
    </row>
    <row r="127" spans="1:24" s="324" customFormat="1" ht="101.5" hidden="1" customHeight="1">
      <c r="A127" s="758"/>
      <c r="B127" s="321"/>
      <c r="C127" s="321"/>
      <c r="D127" s="321"/>
      <c r="E127" s="321"/>
      <c r="F127" s="767"/>
      <c r="G127" s="310"/>
      <c r="H127" s="268"/>
      <c r="I127" s="229" t="s">
        <v>2831</v>
      </c>
      <c r="J127" s="229" t="s">
        <v>3731</v>
      </c>
      <c r="K127" s="229" t="s">
        <v>3732</v>
      </c>
      <c r="L127" s="229" t="s">
        <v>3733</v>
      </c>
      <c r="M127" s="229" t="s">
        <v>3734</v>
      </c>
      <c r="N127" s="229" t="s">
        <v>3735</v>
      </c>
      <c r="O127" s="229" t="s">
        <v>3736</v>
      </c>
      <c r="P127" s="229" t="s">
        <v>3737</v>
      </c>
      <c r="Q127" s="322"/>
      <c r="R127" s="322"/>
      <c r="S127" s="322"/>
      <c r="T127" s="322"/>
      <c r="U127" s="322"/>
      <c r="V127" s="322"/>
      <c r="W127" s="322"/>
      <c r="X127" s="323"/>
    </row>
    <row r="128" spans="1:24" s="324" customFormat="1" ht="116.15" hidden="1" customHeight="1">
      <c r="A128" s="758"/>
      <c r="B128" s="321"/>
      <c r="C128" s="321"/>
      <c r="D128" s="321"/>
      <c r="E128" s="321"/>
      <c r="F128" s="767"/>
      <c r="G128" s="310"/>
      <c r="H128" s="268"/>
      <c r="I128" s="229" t="s">
        <v>2844</v>
      </c>
      <c r="J128" s="229" t="s">
        <v>3738</v>
      </c>
      <c r="K128" s="229" t="s">
        <v>3739</v>
      </c>
      <c r="L128" s="229" t="s">
        <v>3740</v>
      </c>
      <c r="M128" s="229" t="s">
        <v>3741</v>
      </c>
      <c r="N128" s="229" t="s">
        <v>3742</v>
      </c>
      <c r="O128" s="229" t="s">
        <v>3743</v>
      </c>
      <c r="P128" s="329"/>
      <c r="Q128" s="322"/>
      <c r="R128" s="322"/>
      <c r="S128" s="322"/>
      <c r="T128" s="322"/>
      <c r="U128" s="322"/>
      <c r="V128" s="322"/>
      <c r="W128" s="322"/>
      <c r="X128" s="323"/>
    </row>
    <row r="129" spans="1:24" s="324" customFormat="1" ht="77.150000000000006" hidden="1" customHeight="1">
      <c r="A129" s="758"/>
      <c r="B129" s="321"/>
      <c r="C129" s="321"/>
      <c r="D129" s="321"/>
      <c r="E129" s="321"/>
      <c r="F129" s="767"/>
      <c r="G129" s="310"/>
      <c r="H129" s="268"/>
      <c r="I129" s="229" t="s">
        <v>2815</v>
      </c>
      <c r="J129" s="229" t="s">
        <v>3744</v>
      </c>
      <c r="K129" s="229" t="s">
        <v>3745</v>
      </c>
      <c r="L129" s="229" t="s">
        <v>3746</v>
      </c>
      <c r="M129" s="229" t="s">
        <v>3747</v>
      </c>
      <c r="N129" s="229" t="s">
        <v>3748</v>
      </c>
      <c r="O129" s="229" t="s">
        <v>3749</v>
      </c>
      <c r="P129" s="331" t="s">
        <v>3750</v>
      </c>
      <c r="Q129" s="322"/>
      <c r="R129" s="322"/>
      <c r="S129" s="322"/>
      <c r="T129" s="322"/>
      <c r="U129" s="322"/>
      <c r="V129" s="322"/>
      <c r="W129" s="322"/>
      <c r="X129" s="323"/>
    </row>
    <row r="130" spans="1:24" s="324" customFormat="1" ht="87" hidden="1" customHeight="1">
      <c r="A130" s="758"/>
      <c r="B130" s="321"/>
      <c r="C130" s="321"/>
      <c r="D130" s="321"/>
      <c r="E130" s="321"/>
      <c r="F130" s="767"/>
      <c r="G130" s="310"/>
      <c r="H130" s="268"/>
      <c r="I130" s="229" t="s">
        <v>2823</v>
      </c>
      <c r="J130" s="229" t="s">
        <v>3751</v>
      </c>
      <c r="K130" s="229" t="s">
        <v>3752</v>
      </c>
      <c r="L130" s="229" t="s">
        <v>3753</v>
      </c>
      <c r="M130" s="229" t="s">
        <v>3754</v>
      </c>
      <c r="N130" s="229" t="s">
        <v>3755</v>
      </c>
      <c r="O130" s="229" t="s">
        <v>3756</v>
      </c>
      <c r="P130" s="329"/>
      <c r="Q130" s="322"/>
      <c r="R130" s="322"/>
      <c r="S130" s="322"/>
      <c r="T130" s="322"/>
      <c r="U130" s="322"/>
      <c r="V130" s="322"/>
      <c r="W130" s="322"/>
      <c r="X130" s="323"/>
    </row>
    <row r="131" spans="1:24" s="324" customFormat="1" ht="87" hidden="1" customHeight="1">
      <c r="A131" s="758"/>
      <c r="B131" s="321"/>
      <c r="C131" s="321"/>
      <c r="D131" s="321"/>
      <c r="E131" s="321"/>
      <c r="F131" s="768"/>
      <c r="G131" s="310"/>
      <c r="H131" s="268"/>
      <c r="I131" s="229" t="s">
        <v>3010</v>
      </c>
      <c r="J131" s="229" t="s">
        <v>3757</v>
      </c>
      <c r="K131" s="229" t="s">
        <v>3758</v>
      </c>
      <c r="L131" s="229" t="s">
        <v>3759</v>
      </c>
      <c r="M131" s="229" t="s">
        <v>3760</v>
      </c>
      <c r="N131" s="229" t="s">
        <v>3761</v>
      </c>
      <c r="O131" s="229" t="s">
        <v>3762</v>
      </c>
      <c r="P131" s="329"/>
      <c r="Q131" s="322"/>
      <c r="R131" s="322"/>
      <c r="S131" s="322"/>
      <c r="T131" s="322"/>
      <c r="U131" s="322"/>
      <c r="V131" s="322"/>
      <c r="W131" s="322"/>
      <c r="X131" s="323"/>
    </row>
    <row r="132" spans="1:24" s="324" customFormat="1" ht="14.5" hidden="1" customHeight="1">
      <c r="A132" s="758"/>
      <c r="B132" s="321"/>
      <c r="C132" s="321"/>
      <c r="D132" s="321"/>
      <c r="E132" s="321"/>
      <c r="F132" s="332"/>
      <c r="G132" s="310"/>
      <c r="H132" s="268"/>
      <c r="I132" s="229"/>
      <c r="J132" s="322"/>
      <c r="K132" s="322"/>
      <c r="L132" s="229"/>
      <c r="M132" s="322"/>
      <c r="N132" s="322"/>
      <c r="O132" s="322"/>
      <c r="P132" s="322"/>
      <c r="Q132" s="322"/>
      <c r="R132" s="322"/>
      <c r="S132" s="322"/>
      <c r="T132" s="322"/>
      <c r="U132" s="322"/>
      <c r="V132" s="322"/>
      <c r="W132" s="322"/>
      <c r="X132" s="323"/>
    </row>
    <row r="133" spans="1:24" s="324" customFormat="1" ht="15.75" hidden="1" customHeight="1" thickBot="1">
      <c r="A133" s="812"/>
      <c r="B133" s="321"/>
      <c r="C133" s="321"/>
      <c r="D133" s="321"/>
      <c r="E133" s="321"/>
      <c r="F133" s="321"/>
      <c r="G133" s="310"/>
      <c r="H133" s="268"/>
      <c r="I133" s="229"/>
      <c r="J133" s="322"/>
      <c r="K133" s="322"/>
      <c r="L133" s="229"/>
      <c r="M133" s="322"/>
      <c r="N133" s="322"/>
      <c r="O133" s="322"/>
      <c r="P133" s="322"/>
      <c r="Q133" s="322"/>
      <c r="R133" s="322"/>
      <c r="S133" s="322"/>
      <c r="T133" s="322"/>
      <c r="U133" s="322"/>
      <c r="V133" s="322"/>
      <c r="W133" s="322"/>
      <c r="X133" s="323"/>
    </row>
    <row r="134" spans="1:24" ht="15.75" hidden="1" customHeight="1">
      <c r="A134" s="155"/>
      <c r="B134" s="333"/>
      <c r="C134" s="155"/>
      <c r="D134" s="155"/>
      <c r="E134" s="155"/>
      <c r="F134" s="155"/>
      <c r="G134" s="334"/>
      <c r="H134" s="335"/>
      <c r="I134" s="336"/>
      <c r="J134" s="337"/>
      <c r="K134" s="155"/>
      <c r="L134" s="336"/>
      <c r="M134" s="155"/>
      <c r="N134" s="155"/>
      <c r="O134" s="155"/>
      <c r="P134" s="155"/>
      <c r="Q134" s="155"/>
      <c r="R134" s="155"/>
      <c r="S134" s="155"/>
      <c r="T134" s="155"/>
      <c r="U134" s="155"/>
      <c r="V134" s="155"/>
      <c r="W134" s="155"/>
      <c r="X134" s="155"/>
    </row>
    <row r="135" spans="1:24" ht="15.75" hidden="1" customHeight="1">
      <c r="B135" s="155"/>
      <c r="J135" s="155"/>
    </row>
  </sheetData>
  <autoFilter ref="A1:W135" xr:uid="{00000000-0009-0000-0000-000008000000}">
    <filterColumn colId="8">
      <filters>
        <filter val="IP&amp;LC  awareness and sensitization campaigns implemented in the CCO targeted landscapes from Jan 2026"/>
      </filters>
    </filterColumn>
  </autoFilter>
  <mergeCells count="132">
    <mergeCell ref="G2:G6"/>
    <mergeCell ref="O7:O11"/>
    <mergeCell ref="I2:I6"/>
    <mergeCell ref="I42:I43"/>
    <mergeCell ref="C27:C28"/>
    <mergeCell ref="K42:K43"/>
    <mergeCell ref="I29:I30"/>
    <mergeCell ref="O27:O28"/>
    <mergeCell ref="O31:O32"/>
    <mergeCell ref="E27:E28"/>
    <mergeCell ref="I19:I20"/>
    <mergeCell ref="I34:I35"/>
    <mergeCell ref="C19:C20"/>
    <mergeCell ref="I27:I28"/>
    <mergeCell ref="C7:C11"/>
    <mergeCell ref="C2:C6"/>
    <mergeCell ref="E2:E6"/>
    <mergeCell ref="O2:O6"/>
    <mergeCell ref="O21:O22"/>
    <mergeCell ref="G7:G11"/>
    <mergeCell ref="I7:I11"/>
    <mergeCell ref="H21:H22"/>
    <mergeCell ref="E19:E20"/>
    <mergeCell ref="C31:C32"/>
    <mergeCell ref="A39:A133"/>
    <mergeCell ref="I31:I32"/>
    <mergeCell ref="E21:E22"/>
    <mergeCell ref="G21:G22"/>
    <mergeCell ref="I12:I16"/>
    <mergeCell ref="D34:D35"/>
    <mergeCell ref="F34:F35"/>
    <mergeCell ref="K29:K30"/>
    <mergeCell ref="B27:B28"/>
    <mergeCell ref="I45:I46"/>
    <mergeCell ref="D27:D28"/>
    <mergeCell ref="A19:A37"/>
    <mergeCell ref="D21:D22"/>
    <mergeCell ref="H34:H35"/>
    <mergeCell ref="B29:B30"/>
    <mergeCell ref="F31:F32"/>
    <mergeCell ref="B12:B16"/>
    <mergeCell ref="F94:F98"/>
    <mergeCell ref="D29:D30"/>
    <mergeCell ref="D31:D32"/>
    <mergeCell ref="B21:B22"/>
    <mergeCell ref="G42:G43"/>
    <mergeCell ref="F87:F92"/>
    <mergeCell ref="E29:E30"/>
    <mergeCell ref="W19:W20"/>
    <mergeCell ref="G27:G28"/>
    <mergeCell ref="C34:C35"/>
    <mergeCell ref="O34:O35"/>
    <mergeCell ref="W21:W22"/>
    <mergeCell ref="T29:T30"/>
    <mergeCell ref="B7:B11"/>
    <mergeCell ref="B19:B20"/>
    <mergeCell ref="H7:H11"/>
    <mergeCell ref="C29:C30"/>
    <mergeCell ref="D12:D16"/>
    <mergeCell ref="U29:U30"/>
    <mergeCell ref="O19:O20"/>
    <mergeCell ref="O12:O16"/>
    <mergeCell ref="O29:O30"/>
    <mergeCell ref="E7:E11"/>
    <mergeCell ref="D7:D11"/>
    <mergeCell ref="B31:B32"/>
    <mergeCell ref="F21:F22"/>
    <mergeCell ref="H12:H16"/>
    <mergeCell ref="C21:C22"/>
    <mergeCell ref="E12:E16"/>
    <mergeCell ref="G12:G16"/>
    <mergeCell ref="B34:B35"/>
    <mergeCell ref="Q29:Q30"/>
    <mergeCell ref="F80:F85"/>
    <mergeCell ref="F51:F56"/>
    <mergeCell ref="M45:M46"/>
    <mergeCell ref="F29:F30"/>
    <mergeCell ref="M29:M30"/>
    <mergeCell ref="J29:J30"/>
    <mergeCell ref="N45:N46"/>
    <mergeCell ref="I54:I55"/>
    <mergeCell ref="K54:K55"/>
    <mergeCell ref="N54:N55"/>
    <mergeCell ref="L29:L30"/>
    <mergeCell ref="N29:N30"/>
    <mergeCell ref="O45:O46"/>
    <mergeCell ref="L42:L43"/>
    <mergeCell ref="N42:N43"/>
    <mergeCell ref="M54:M55"/>
    <mergeCell ref="O54:O55"/>
    <mergeCell ref="L45:L46"/>
    <mergeCell ref="F125:F131"/>
    <mergeCell ref="E34:E35"/>
    <mergeCell ref="G19:G20"/>
    <mergeCell ref="G34:G35"/>
    <mergeCell ref="I21:I22"/>
    <mergeCell ref="L54:L55"/>
    <mergeCell ref="G29:G30"/>
    <mergeCell ref="F27:F28"/>
    <mergeCell ref="H27:H28"/>
    <mergeCell ref="F39:F49"/>
    <mergeCell ref="F106:F108"/>
    <mergeCell ref="H29:H30"/>
    <mergeCell ref="F110:F118"/>
    <mergeCell ref="H31:H32"/>
    <mergeCell ref="K45:K46"/>
    <mergeCell ref="E31:E32"/>
    <mergeCell ref="H19:H20"/>
    <mergeCell ref="A2:A18"/>
    <mergeCell ref="M42:M43"/>
    <mergeCell ref="G45:G46"/>
    <mergeCell ref="O42:O43"/>
    <mergeCell ref="W29:W30"/>
    <mergeCell ref="G54:G55"/>
    <mergeCell ref="F120:F123"/>
    <mergeCell ref="B2:B6"/>
    <mergeCell ref="D2:D6"/>
    <mergeCell ref="D19:D20"/>
    <mergeCell ref="F19:F20"/>
    <mergeCell ref="F58:F63"/>
    <mergeCell ref="F65:F71"/>
    <mergeCell ref="S29:S30"/>
    <mergeCell ref="P42:P43"/>
    <mergeCell ref="C12:C16"/>
    <mergeCell ref="F73:F78"/>
    <mergeCell ref="G31:G32"/>
    <mergeCell ref="H2:H6"/>
    <mergeCell ref="P29:P30"/>
    <mergeCell ref="R29:R30"/>
    <mergeCell ref="V29:V30"/>
    <mergeCell ref="F2:F6"/>
    <mergeCell ref="F100:F10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filterMode="1">
    <outlinePr summaryBelow="0" summaryRight="0"/>
  </sheetPr>
  <dimension ref="A1:X85"/>
  <sheetViews>
    <sheetView topLeftCell="G1" zoomScale="110" zoomScaleNormal="110" workbookViewId="0">
      <pane xSplit="3" ySplit="1" topLeftCell="M44" activePane="bottomRight" state="frozen"/>
      <selection pane="topRight" activeCell="J1" sqref="J1"/>
      <selection pane="bottomLeft" activeCell="G2" sqref="G2"/>
      <selection pane="bottomRight" activeCell="K44" sqref="K44:M44"/>
    </sheetView>
  </sheetViews>
  <sheetFormatPr defaultColWidth="12.54296875" defaultRowHeight="15.75" customHeight="1"/>
  <cols>
    <col min="1" max="6" width="17.54296875" style="156" customWidth="1"/>
    <col min="7" max="7" width="12.54296875" style="156" customWidth="1"/>
    <col min="8" max="8" width="54.54296875" style="338" customWidth="1"/>
    <col min="9" max="9" width="48.54296875" style="156" customWidth="1"/>
    <col min="10" max="10" width="33" style="156" customWidth="1"/>
    <col min="11" max="12" width="22.453125" style="156" customWidth="1"/>
    <col min="13" max="13" width="34.54296875" style="156" customWidth="1"/>
    <col min="14" max="14" width="12.54296875" style="156" customWidth="1"/>
    <col min="15" max="15" width="23.453125" style="156" customWidth="1"/>
    <col min="16" max="16" width="27.54296875" style="156" customWidth="1"/>
    <col min="17" max="17" width="20" style="156" customWidth="1"/>
    <col min="18" max="18" width="18.453125" style="156" customWidth="1"/>
    <col min="19" max="19" width="17.453125" style="156" customWidth="1"/>
    <col min="20" max="20" width="18.54296875" style="156" customWidth="1"/>
    <col min="21" max="21" width="16.1796875" style="156" customWidth="1"/>
    <col min="22" max="22" width="17.54296875" style="156" customWidth="1"/>
    <col min="23" max="23" width="25.453125" style="156" customWidth="1"/>
    <col min="24" max="25" width="12.54296875" style="156" customWidth="1"/>
    <col min="26" max="16384" width="12.54296875" style="156"/>
  </cols>
  <sheetData>
    <row r="1" spans="1:24" s="113" customFormat="1" ht="44.15" customHeight="1" thickBot="1">
      <c r="A1" s="107" t="s">
        <v>3020</v>
      </c>
      <c r="B1" s="108" t="s">
        <v>3021</v>
      </c>
      <c r="C1" s="108" t="s">
        <v>3022</v>
      </c>
      <c r="D1" s="108" t="s">
        <v>3023</v>
      </c>
      <c r="E1" s="109" t="s">
        <v>3024</v>
      </c>
      <c r="F1" s="109" t="s">
        <v>3025</v>
      </c>
      <c r="G1" s="108" t="s">
        <v>3026</v>
      </c>
      <c r="H1" s="109" t="s">
        <v>3028</v>
      </c>
      <c r="I1" s="109" t="s">
        <v>2058</v>
      </c>
      <c r="J1" s="109" t="s">
        <v>2057</v>
      </c>
      <c r="K1" s="109" t="s">
        <v>3029</v>
      </c>
      <c r="L1" s="109"/>
      <c r="M1" s="109" t="s">
        <v>14</v>
      </c>
      <c r="N1" s="109" t="s">
        <v>2066</v>
      </c>
      <c r="O1" s="109" t="s">
        <v>3030</v>
      </c>
      <c r="P1" s="109" t="s">
        <v>26</v>
      </c>
      <c r="Q1" s="109" t="s">
        <v>2059</v>
      </c>
      <c r="R1" s="109" t="s">
        <v>2060</v>
      </c>
      <c r="S1" s="109" t="s">
        <v>2061</v>
      </c>
      <c r="T1" s="109" t="s">
        <v>2062</v>
      </c>
      <c r="U1" s="109" t="s">
        <v>2063</v>
      </c>
      <c r="V1" s="109" t="s">
        <v>2068</v>
      </c>
      <c r="W1" s="111" t="s">
        <v>2069</v>
      </c>
      <c r="X1" s="112"/>
    </row>
    <row r="2" spans="1:24" s="113" customFormat="1" ht="92.25" hidden="1" customHeight="1">
      <c r="A2" s="834"/>
      <c r="B2" s="769" t="s">
        <v>106</v>
      </c>
      <c r="C2" s="779">
        <v>2</v>
      </c>
      <c r="D2" s="804" t="s">
        <v>3763</v>
      </c>
      <c r="E2" s="831" t="s">
        <v>3034</v>
      </c>
      <c r="F2" s="829"/>
      <c r="G2" s="843">
        <v>2.1</v>
      </c>
      <c r="H2" s="830" t="s">
        <v>97</v>
      </c>
      <c r="I2" s="139" t="s">
        <v>98</v>
      </c>
      <c r="J2" s="120" t="s">
        <v>99</v>
      </c>
      <c r="K2" s="120" t="s">
        <v>103</v>
      </c>
      <c r="L2" s="120"/>
      <c r="M2" s="120" t="s">
        <v>110</v>
      </c>
      <c r="N2" s="119" t="s">
        <v>109</v>
      </c>
      <c r="O2" s="806" t="s">
        <v>3764</v>
      </c>
      <c r="P2" s="342" t="s">
        <v>3765</v>
      </c>
      <c r="Q2" s="123" t="s">
        <v>3766</v>
      </c>
      <c r="R2" s="123" t="s">
        <v>3766</v>
      </c>
      <c r="S2" s="123" t="s">
        <v>3766</v>
      </c>
      <c r="T2" s="123" t="s">
        <v>3766</v>
      </c>
      <c r="U2" s="123" t="s">
        <v>3766</v>
      </c>
      <c r="V2" s="122" t="s">
        <v>3767</v>
      </c>
      <c r="W2" s="120" t="s">
        <v>111</v>
      </c>
      <c r="X2" s="112"/>
    </row>
    <row r="3" spans="1:24" s="113" customFormat="1" ht="45.75" hidden="1" customHeight="1">
      <c r="A3" s="758"/>
      <c r="B3" s="770"/>
      <c r="C3" s="770"/>
      <c r="D3" s="772"/>
      <c r="E3" s="770"/>
      <c r="F3" s="770"/>
      <c r="G3" s="770"/>
      <c r="H3" s="788"/>
      <c r="I3" s="846" t="s">
        <v>107</v>
      </c>
      <c r="J3" s="825" t="s">
        <v>108</v>
      </c>
      <c r="K3" s="825" t="s">
        <v>103</v>
      </c>
      <c r="L3" s="129"/>
      <c r="M3" s="825" t="s">
        <v>110</v>
      </c>
      <c r="N3" s="842" t="s">
        <v>109</v>
      </c>
      <c r="O3" s="770"/>
      <c r="P3" s="806" t="s">
        <v>3768</v>
      </c>
      <c r="Q3" s="779" t="s">
        <v>3769</v>
      </c>
      <c r="R3" s="779" t="s">
        <v>3770</v>
      </c>
      <c r="S3" s="779" t="s">
        <v>3771</v>
      </c>
      <c r="T3" s="779" t="s">
        <v>3772</v>
      </c>
      <c r="U3" s="779" t="s">
        <v>3773</v>
      </c>
      <c r="V3" s="825" t="s">
        <v>3774</v>
      </c>
      <c r="W3" s="825" t="s">
        <v>111</v>
      </c>
      <c r="X3" s="112"/>
    </row>
    <row r="4" spans="1:24" s="113" customFormat="1" ht="45.75" hidden="1" customHeight="1">
      <c r="A4" s="758"/>
      <c r="B4" s="760"/>
      <c r="C4" s="760"/>
      <c r="D4" s="762"/>
      <c r="E4" s="760"/>
      <c r="F4" s="760"/>
      <c r="G4" s="760"/>
      <c r="H4" s="798"/>
      <c r="I4" s="760"/>
      <c r="J4" s="760"/>
      <c r="K4" s="760"/>
      <c r="L4" s="343"/>
      <c r="M4" s="760"/>
      <c r="N4" s="762"/>
      <c r="O4" s="760"/>
      <c r="P4" s="760"/>
      <c r="Q4" s="760"/>
      <c r="R4" s="760"/>
      <c r="S4" s="760"/>
      <c r="T4" s="760"/>
      <c r="U4" s="760"/>
      <c r="V4" s="760"/>
      <c r="W4" s="760"/>
      <c r="X4" s="112"/>
    </row>
    <row r="5" spans="1:24" s="113" customFormat="1" ht="106.5" hidden="1" customHeight="1">
      <c r="A5" s="758"/>
      <c r="B5" s="769" t="s">
        <v>106</v>
      </c>
      <c r="C5" s="779">
        <v>2</v>
      </c>
      <c r="D5" s="804" t="s">
        <v>3775</v>
      </c>
      <c r="E5" s="831" t="s">
        <v>3776</v>
      </c>
      <c r="F5" s="829"/>
      <c r="G5" s="843">
        <v>2.2000000000000002</v>
      </c>
      <c r="H5" s="830" t="s">
        <v>112</v>
      </c>
      <c r="I5" s="345" t="s">
        <v>3777</v>
      </c>
      <c r="J5" s="120" t="s">
        <v>114</v>
      </c>
      <c r="K5" s="120" t="s">
        <v>116</v>
      </c>
      <c r="L5" s="120"/>
      <c r="M5" s="120" t="s">
        <v>117</v>
      </c>
      <c r="N5" s="119" t="s">
        <v>119</v>
      </c>
      <c r="O5" s="806" t="s">
        <v>3778</v>
      </c>
      <c r="P5" s="122" t="s">
        <v>3779</v>
      </c>
      <c r="Q5" s="123" t="s">
        <v>3780</v>
      </c>
      <c r="R5" s="123" t="s">
        <v>3781</v>
      </c>
      <c r="S5" s="123" t="s">
        <v>3781</v>
      </c>
      <c r="T5" s="123" t="s">
        <v>3781</v>
      </c>
      <c r="U5" s="120" t="s">
        <v>3781</v>
      </c>
      <c r="V5" s="122" t="s">
        <v>3774</v>
      </c>
      <c r="W5" s="120" t="s">
        <v>111</v>
      </c>
      <c r="X5" s="112"/>
    </row>
    <row r="6" spans="1:24" s="113" customFormat="1" ht="106.5" hidden="1" customHeight="1">
      <c r="A6" s="758"/>
      <c r="B6" s="770"/>
      <c r="C6" s="770"/>
      <c r="D6" s="772"/>
      <c r="E6" s="770"/>
      <c r="F6" s="770"/>
      <c r="G6" s="770"/>
      <c r="H6" s="788"/>
      <c r="I6" s="346" t="s">
        <v>118</v>
      </c>
      <c r="J6" s="129" t="s">
        <v>114</v>
      </c>
      <c r="K6" s="120" t="s">
        <v>116</v>
      </c>
      <c r="L6" s="120"/>
      <c r="M6" s="120" t="s">
        <v>117</v>
      </c>
      <c r="N6" s="119" t="s">
        <v>119</v>
      </c>
      <c r="O6" s="770"/>
      <c r="P6" s="121" t="s">
        <v>3782</v>
      </c>
      <c r="Q6" s="121" t="s">
        <v>3782</v>
      </c>
      <c r="R6" s="121" t="s">
        <v>3782</v>
      </c>
      <c r="S6" s="121" t="s">
        <v>3782</v>
      </c>
      <c r="T6" s="121" t="s">
        <v>3782</v>
      </c>
      <c r="U6" s="121" t="s">
        <v>3782</v>
      </c>
      <c r="V6" s="120" t="s">
        <v>3774</v>
      </c>
      <c r="W6" s="120" t="s">
        <v>111</v>
      </c>
      <c r="X6" s="112"/>
    </row>
    <row r="7" spans="1:24" s="113" customFormat="1" ht="106.5" hidden="1" customHeight="1">
      <c r="A7" s="758"/>
      <c r="B7" s="770"/>
      <c r="C7" s="770"/>
      <c r="D7" s="772"/>
      <c r="E7" s="770"/>
      <c r="F7" s="770"/>
      <c r="G7" s="770"/>
      <c r="H7" s="788"/>
      <c r="I7" s="844" t="s">
        <v>120</v>
      </c>
      <c r="J7" s="825" t="s">
        <v>121</v>
      </c>
      <c r="K7" s="825" t="s">
        <v>122</v>
      </c>
      <c r="L7" s="129"/>
      <c r="M7" s="825" t="s">
        <v>123</v>
      </c>
      <c r="N7" s="842" t="s">
        <v>49</v>
      </c>
      <c r="O7" s="770"/>
      <c r="P7" s="806">
        <v>0</v>
      </c>
      <c r="Q7" s="825" t="s">
        <v>3783</v>
      </c>
      <c r="R7" s="825" t="s">
        <v>3784</v>
      </c>
      <c r="S7" s="825" t="s">
        <v>3784</v>
      </c>
      <c r="T7" s="825" t="s">
        <v>3784</v>
      </c>
      <c r="U7" s="825" t="s">
        <v>3784</v>
      </c>
      <c r="V7" s="825" t="s">
        <v>3774</v>
      </c>
      <c r="W7" s="825" t="s">
        <v>111</v>
      </c>
      <c r="X7" s="112"/>
    </row>
    <row r="8" spans="1:24" s="113" customFormat="1" ht="24" hidden="1" customHeight="1">
      <c r="A8" s="758"/>
      <c r="B8" s="760"/>
      <c r="C8" s="760"/>
      <c r="D8" s="762"/>
      <c r="E8" s="760"/>
      <c r="F8" s="760"/>
      <c r="G8" s="760"/>
      <c r="H8" s="798"/>
      <c r="I8" s="760"/>
      <c r="J8" s="760"/>
      <c r="K8" s="760"/>
      <c r="L8" s="343"/>
      <c r="M8" s="760"/>
      <c r="N8" s="762"/>
      <c r="O8" s="760"/>
      <c r="P8" s="760"/>
      <c r="Q8" s="760"/>
      <c r="R8" s="760"/>
      <c r="S8" s="760"/>
      <c r="T8" s="760"/>
      <c r="U8" s="760"/>
      <c r="V8" s="760"/>
      <c r="W8" s="760"/>
      <c r="X8" s="112"/>
    </row>
    <row r="9" spans="1:24" s="113" customFormat="1" ht="106.5" hidden="1" customHeight="1">
      <c r="A9" s="758"/>
      <c r="B9" s="769" t="s">
        <v>106</v>
      </c>
      <c r="C9" s="779">
        <v>2</v>
      </c>
      <c r="D9" s="804" t="s">
        <v>3785</v>
      </c>
      <c r="E9" s="831" t="s">
        <v>3034</v>
      </c>
      <c r="F9" s="829"/>
      <c r="G9" s="843">
        <v>2.2999999999999998</v>
      </c>
      <c r="H9" s="830" t="s">
        <v>124</v>
      </c>
      <c r="I9" s="844" t="s">
        <v>3786</v>
      </c>
      <c r="J9" s="825" t="s">
        <v>126</v>
      </c>
      <c r="K9" s="825" t="s">
        <v>116</v>
      </c>
      <c r="L9" s="129"/>
      <c r="M9" s="825" t="s">
        <v>117</v>
      </c>
      <c r="N9" s="825" t="s">
        <v>3787</v>
      </c>
      <c r="O9" s="806" t="s">
        <v>3788</v>
      </c>
      <c r="P9" s="806" t="s">
        <v>3789</v>
      </c>
      <c r="Q9" s="806" t="s">
        <v>3790</v>
      </c>
      <c r="R9" s="806" t="s">
        <v>3790</v>
      </c>
      <c r="S9" s="806" t="s">
        <v>3790</v>
      </c>
      <c r="T9" s="806" t="s">
        <v>3790</v>
      </c>
      <c r="U9" s="806" t="s">
        <v>3790</v>
      </c>
      <c r="V9" s="825" t="s">
        <v>3791</v>
      </c>
      <c r="W9" s="825" t="s">
        <v>111</v>
      </c>
      <c r="X9" s="112"/>
    </row>
    <row r="10" spans="1:24" s="113" customFormat="1" ht="14.5" hidden="1" customHeight="1">
      <c r="A10" s="758"/>
      <c r="B10" s="760"/>
      <c r="C10" s="760"/>
      <c r="D10" s="762"/>
      <c r="E10" s="760"/>
      <c r="F10" s="760"/>
      <c r="G10" s="760"/>
      <c r="H10" s="798"/>
      <c r="I10" s="760"/>
      <c r="J10" s="760"/>
      <c r="K10" s="760"/>
      <c r="L10" s="343"/>
      <c r="M10" s="760"/>
      <c r="N10" s="760"/>
      <c r="O10" s="760"/>
      <c r="P10" s="760"/>
      <c r="Q10" s="760"/>
      <c r="R10" s="760"/>
      <c r="S10" s="760"/>
      <c r="T10" s="760"/>
      <c r="U10" s="760"/>
      <c r="V10" s="760"/>
      <c r="W10" s="760"/>
      <c r="X10" s="112"/>
    </row>
    <row r="11" spans="1:24" s="113" customFormat="1" ht="188.5" hidden="1" customHeight="1">
      <c r="A11" s="758"/>
      <c r="B11" s="125" t="s">
        <v>3068</v>
      </c>
      <c r="C11" s="126" t="s">
        <v>3069</v>
      </c>
      <c r="D11" s="142" t="s">
        <v>3792</v>
      </c>
      <c r="E11" s="347" t="s">
        <v>3034</v>
      </c>
      <c r="F11" s="344"/>
      <c r="G11" s="340">
        <v>3.1</v>
      </c>
      <c r="H11" s="341" t="s">
        <v>90</v>
      </c>
      <c r="I11" s="346" t="s">
        <v>91</v>
      </c>
      <c r="J11" s="129" t="s">
        <v>92</v>
      </c>
      <c r="K11" s="129" t="s">
        <v>93</v>
      </c>
      <c r="L11" s="129"/>
      <c r="M11" s="129" t="s">
        <v>95</v>
      </c>
      <c r="N11" s="120" t="s">
        <v>119</v>
      </c>
      <c r="O11" s="145" t="s">
        <v>3072</v>
      </c>
      <c r="P11" s="348" t="s">
        <v>3793</v>
      </c>
      <c r="Q11" s="146" t="s">
        <v>3794</v>
      </c>
      <c r="R11" s="123" t="s">
        <v>3795</v>
      </c>
      <c r="S11" s="123" t="s">
        <v>3796</v>
      </c>
      <c r="T11" s="123" t="s">
        <v>3797</v>
      </c>
      <c r="U11" s="123" t="s">
        <v>3798</v>
      </c>
      <c r="V11" s="122" t="s">
        <v>3075</v>
      </c>
      <c r="W11" s="122" t="s">
        <v>50</v>
      </c>
      <c r="X11" s="112"/>
    </row>
    <row r="12" spans="1:24" ht="78.75" hidden="1" customHeight="1">
      <c r="A12" s="816"/>
      <c r="B12" s="808" t="s">
        <v>106</v>
      </c>
      <c r="C12" s="801">
        <v>2</v>
      </c>
      <c r="D12" s="789" t="s">
        <v>3799</v>
      </c>
      <c r="E12" s="836" t="s">
        <v>3034</v>
      </c>
      <c r="F12" s="785" t="s">
        <v>3800</v>
      </c>
      <c r="G12" s="827" t="s">
        <v>305</v>
      </c>
      <c r="H12" s="820" t="s">
        <v>306</v>
      </c>
      <c r="I12" s="795" t="s">
        <v>3801</v>
      </c>
      <c r="J12" s="795"/>
      <c r="K12" s="795" t="s">
        <v>308</v>
      </c>
      <c r="L12" s="165"/>
      <c r="M12" s="795" t="s">
        <v>309</v>
      </c>
      <c r="N12" s="795" t="s">
        <v>3802</v>
      </c>
      <c r="O12" s="777" t="s">
        <v>3803</v>
      </c>
      <c r="P12" s="795" t="s">
        <v>3804</v>
      </c>
      <c r="Q12" s="795" t="s">
        <v>3804</v>
      </c>
      <c r="R12" s="795" t="s">
        <v>3804</v>
      </c>
      <c r="S12" s="795" t="s">
        <v>3804</v>
      </c>
      <c r="T12" s="795" t="s">
        <v>3804</v>
      </c>
      <c r="U12" s="795" t="s">
        <v>3804</v>
      </c>
      <c r="V12" s="763" t="s">
        <v>3774</v>
      </c>
      <c r="W12" s="763" t="s">
        <v>111</v>
      </c>
      <c r="X12" s="155"/>
    </row>
    <row r="13" spans="1:24" ht="24" hidden="1" customHeight="1">
      <c r="A13" s="817"/>
      <c r="B13" s="760"/>
      <c r="C13" s="760"/>
      <c r="D13" s="762"/>
      <c r="E13" s="760"/>
      <c r="F13" s="760"/>
      <c r="G13" s="760"/>
      <c r="H13" s="798"/>
      <c r="I13" s="760"/>
      <c r="J13" s="760"/>
      <c r="K13" s="760"/>
      <c r="L13" s="170"/>
      <c r="M13" s="760"/>
      <c r="N13" s="760"/>
      <c r="O13" s="760"/>
      <c r="P13" s="760"/>
      <c r="Q13" s="760"/>
      <c r="R13" s="760"/>
      <c r="S13" s="760"/>
      <c r="T13" s="760"/>
      <c r="U13" s="760"/>
      <c r="V13" s="760"/>
      <c r="W13" s="760"/>
      <c r="X13" s="155"/>
    </row>
    <row r="14" spans="1:24" ht="108.75" hidden="1" customHeight="1">
      <c r="A14" s="817"/>
      <c r="B14" s="841" t="s">
        <v>106</v>
      </c>
      <c r="C14" s="840">
        <v>2</v>
      </c>
      <c r="D14" s="818" t="s">
        <v>3805</v>
      </c>
      <c r="E14" s="836" t="s">
        <v>3034</v>
      </c>
      <c r="F14" s="785" t="s">
        <v>3806</v>
      </c>
      <c r="G14" s="827" t="s">
        <v>310</v>
      </c>
      <c r="H14" s="839" t="s">
        <v>311</v>
      </c>
      <c r="I14" s="795" t="s">
        <v>3807</v>
      </c>
      <c r="J14" s="795" t="s">
        <v>3808</v>
      </c>
      <c r="K14" s="828" t="s">
        <v>308</v>
      </c>
      <c r="L14" s="350"/>
      <c r="M14" s="795" t="s">
        <v>309</v>
      </c>
      <c r="N14" s="828" t="s">
        <v>3802</v>
      </c>
      <c r="O14" s="777" t="s">
        <v>3809</v>
      </c>
      <c r="P14" s="777" t="s">
        <v>3810</v>
      </c>
      <c r="Q14" s="777" t="s">
        <v>3810</v>
      </c>
      <c r="R14" s="777" t="s">
        <v>3810</v>
      </c>
      <c r="S14" s="777" t="s">
        <v>3810</v>
      </c>
      <c r="T14" s="777" t="s">
        <v>3810</v>
      </c>
      <c r="U14" s="777" t="s">
        <v>3810</v>
      </c>
      <c r="V14" s="763" t="s">
        <v>3774</v>
      </c>
      <c r="W14" s="763" t="s">
        <v>111</v>
      </c>
      <c r="X14" s="155"/>
    </row>
    <row r="15" spans="1:24" ht="14.5" hidden="1" customHeight="1">
      <c r="A15" s="817"/>
      <c r="B15" s="770"/>
      <c r="C15" s="770"/>
      <c r="D15" s="772"/>
      <c r="E15" s="760"/>
      <c r="F15" s="760"/>
      <c r="G15" s="760"/>
      <c r="H15" s="788"/>
      <c r="I15" s="760"/>
      <c r="J15" s="760"/>
      <c r="K15" s="760"/>
      <c r="L15" s="170"/>
      <c r="M15" s="760"/>
      <c r="N15" s="760"/>
      <c r="O15" s="760"/>
      <c r="P15" s="760"/>
      <c r="Q15" s="760"/>
      <c r="R15" s="760"/>
      <c r="S15" s="760"/>
      <c r="T15" s="760"/>
      <c r="U15" s="760"/>
      <c r="V15" s="760"/>
      <c r="W15" s="760"/>
      <c r="X15" s="155"/>
    </row>
    <row r="16" spans="1:24" ht="120.75" hidden="1" customHeight="1">
      <c r="A16" s="817"/>
      <c r="B16" s="808" t="s">
        <v>106</v>
      </c>
      <c r="C16" s="801">
        <v>2</v>
      </c>
      <c r="D16" s="789" t="s">
        <v>3811</v>
      </c>
      <c r="E16" s="836" t="s">
        <v>3034</v>
      </c>
      <c r="F16" s="785" t="s">
        <v>3812</v>
      </c>
      <c r="G16" s="827" t="s">
        <v>314</v>
      </c>
      <c r="H16" s="820" t="s">
        <v>3813</v>
      </c>
      <c r="I16" s="160" t="s">
        <v>3814</v>
      </c>
      <c r="J16" s="160" t="s">
        <v>3815</v>
      </c>
      <c r="K16" s="160" t="s">
        <v>318</v>
      </c>
      <c r="L16" s="160"/>
      <c r="M16" s="160" t="s">
        <v>320</v>
      </c>
      <c r="N16" s="160" t="s">
        <v>216</v>
      </c>
      <c r="O16" s="777" t="s">
        <v>3816</v>
      </c>
      <c r="P16" s="351">
        <v>0.5</v>
      </c>
      <c r="Q16" s="178" t="s">
        <v>3817</v>
      </c>
      <c r="R16" s="178" t="s">
        <v>3818</v>
      </c>
      <c r="S16" s="178" t="s">
        <v>3819</v>
      </c>
      <c r="T16" s="178" t="s">
        <v>3820</v>
      </c>
      <c r="U16" s="178" t="s">
        <v>3821</v>
      </c>
      <c r="V16" s="179" t="s">
        <v>3774</v>
      </c>
      <c r="W16" s="179" t="s">
        <v>111</v>
      </c>
      <c r="X16" s="155"/>
    </row>
    <row r="17" spans="1:24" ht="82.5" hidden="1" customHeight="1">
      <c r="A17" s="817"/>
      <c r="B17" s="760"/>
      <c r="C17" s="760"/>
      <c r="D17" s="762"/>
      <c r="E17" s="760"/>
      <c r="F17" s="760"/>
      <c r="G17" s="760"/>
      <c r="H17" s="798"/>
      <c r="I17" s="160" t="s">
        <v>321</v>
      </c>
      <c r="J17" s="160" t="s">
        <v>317</v>
      </c>
      <c r="K17" s="160" t="s">
        <v>318</v>
      </c>
      <c r="L17" s="160"/>
      <c r="M17" s="160" t="s">
        <v>320</v>
      </c>
      <c r="N17" s="160" t="s">
        <v>109</v>
      </c>
      <c r="O17" s="760"/>
      <c r="P17" s="178" t="s">
        <v>3822</v>
      </c>
      <c r="Q17" s="178" t="s">
        <v>3823</v>
      </c>
      <c r="R17" s="178" t="s">
        <v>3824</v>
      </c>
      <c r="S17" s="178" t="s">
        <v>3825</v>
      </c>
      <c r="T17" s="178" t="s">
        <v>3826</v>
      </c>
      <c r="U17" s="178" t="s">
        <v>3827</v>
      </c>
      <c r="V17" s="179" t="s">
        <v>3774</v>
      </c>
      <c r="W17" s="179" t="s">
        <v>111</v>
      </c>
      <c r="X17" s="155"/>
    </row>
    <row r="18" spans="1:24" ht="116.15" hidden="1" customHeight="1">
      <c r="A18" s="817"/>
      <c r="B18" s="172" t="s">
        <v>3828</v>
      </c>
      <c r="C18" s="173" t="s">
        <v>3829</v>
      </c>
      <c r="D18" s="174" t="s">
        <v>3830</v>
      </c>
      <c r="E18" s="175" t="s">
        <v>3034</v>
      </c>
      <c r="F18" s="175" t="s">
        <v>3831</v>
      </c>
      <c r="G18" s="349" t="s">
        <v>322</v>
      </c>
      <c r="H18" s="157" t="s">
        <v>323</v>
      </c>
      <c r="I18" s="160" t="s">
        <v>324</v>
      </c>
      <c r="J18" s="352" t="s">
        <v>325</v>
      </c>
      <c r="K18" s="160" t="s">
        <v>326</v>
      </c>
      <c r="L18" s="160"/>
      <c r="M18" s="160" t="s">
        <v>328</v>
      </c>
      <c r="N18" s="160" t="s">
        <v>216</v>
      </c>
      <c r="O18" s="178" t="s">
        <v>3832</v>
      </c>
      <c r="P18" s="178" t="s">
        <v>3833</v>
      </c>
      <c r="Q18" s="178" t="s">
        <v>3834</v>
      </c>
      <c r="R18" s="178" t="s">
        <v>3835</v>
      </c>
      <c r="S18" s="178" t="s">
        <v>3836</v>
      </c>
      <c r="T18" s="178" t="s">
        <v>3837</v>
      </c>
      <c r="U18" s="178" t="s">
        <v>3838</v>
      </c>
      <c r="V18" s="179" t="s">
        <v>3774</v>
      </c>
      <c r="W18" s="179" t="s">
        <v>111</v>
      </c>
      <c r="X18" s="155"/>
    </row>
    <row r="19" spans="1:24" ht="133.5" hidden="1" customHeight="1">
      <c r="A19" s="817"/>
      <c r="B19" s="353" t="s">
        <v>106</v>
      </c>
      <c r="C19" s="173">
        <v>2</v>
      </c>
      <c r="D19" s="174" t="s">
        <v>3805</v>
      </c>
      <c r="E19" s="175" t="s">
        <v>3034</v>
      </c>
      <c r="F19" s="175" t="s">
        <v>3839</v>
      </c>
      <c r="G19" s="349" t="s">
        <v>329</v>
      </c>
      <c r="H19" s="157" t="s">
        <v>330</v>
      </c>
      <c r="I19" s="160" t="s">
        <v>331</v>
      </c>
      <c r="J19" s="354" t="s">
        <v>332</v>
      </c>
      <c r="K19" s="160" t="s">
        <v>333</v>
      </c>
      <c r="L19" s="160"/>
      <c r="M19" s="160" t="s">
        <v>335</v>
      </c>
      <c r="N19" s="160" t="s">
        <v>216</v>
      </c>
      <c r="O19" s="178" t="s">
        <v>3840</v>
      </c>
      <c r="P19" s="178" t="s">
        <v>3841</v>
      </c>
      <c r="Q19" s="178" t="s">
        <v>3842</v>
      </c>
      <c r="R19" s="178" t="s">
        <v>3843</v>
      </c>
      <c r="S19" s="178" t="s">
        <v>3844</v>
      </c>
      <c r="T19" s="178" t="s">
        <v>3845</v>
      </c>
      <c r="U19" s="178" t="s">
        <v>3846</v>
      </c>
      <c r="V19" s="179" t="s">
        <v>3774</v>
      </c>
      <c r="W19" s="179" t="s">
        <v>111</v>
      </c>
      <c r="X19" s="155"/>
    </row>
    <row r="20" spans="1:24" ht="101.5" hidden="1" customHeight="1">
      <c r="A20" s="817"/>
      <c r="B20" s="172" t="s">
        <v>106</v>
      </c>
      <c r="C20" s="173">
        <v>2</v>
      </c>
      <c r="D20" s="174" t="s">
        <v>3847</v>
      </c>
      <c r="E20" s="175" t="s">
        <v>3034</v>
      </c>
      <c r="F20" s="175" t="s">
        <v>3848</v>
      </c>
      <c r="G20" s="349" t="s">
        <v>336</v>
      </c>
      <c r="H20" s="157" t="s">
        <v>3849</v>
      </c>
      <c r="I20" s="355" t="s">
        <v>338</v>
      </c>
      <c r="J20" s="356" t="s">
        <v>339</v>
      </c>
      <c r="K20" s="196" t="s">
        <v>340</v>
      </c>
      <c r="L20" s="196"/>
      <c r="M20" s="160" t="s">
        <v>342</v>
      </c>
      <c r="N20" s="160" t="s">
        <v>216</v>
      </c>
      <c r="O20" s="178" t="s">
        <v>3850</v>
      </c>
      <c r="P20" s="178" t="s">
        <v>3851</v>
      </c>
      <c r="Q20" s="178" t="s">
        <v>3852</v>
      </c>
      <c r="R20" s="178" t="s">
        <v>3853</v>
      </c>
      <c r="S20" s="178" t="s">
        <v>3854</v>
      </c>
      <c r="T20" s="178" t="s">
        <v>3855</v>
      </c>
      <c r="U20" s="178" t="s">
        <v>3856</v>
      </c>
      <c r="V20" s="179" t="s">
        <v>3774</v>
      </c>
      <c r="W20" s="179" t="s">
        <v>111</v>
      </c>
      <c r="X20" s="155"/>
    </row>
    <row r="21" spans="1:24" ht="80.150000000000006" hidden="1" customHeight="1">
      <c r="A21" s="817"/>
      <c r="B21" s="808" t="s">
        <v>106</v>
      </c>
      <c r="C21" s="801">
        <v>2</v>
      </c>
      <c r="D21" s="789" t="s">
        <v>3228</v>
      </c>
      <c r="E21" s="785" t="s">
        <v>3034</v>
      </c>
      <c r="F21" s="785" t="s">
        <v>3857</v>
      </c>
      <c r="G21" s="827"/>
      <c r="H21" s="820" t="s">
        <v>343</v>
      </c>
      <c r="I21" s="355" t="s">
        <v>344</v>
      </c>
      <c r="J21" s="356" t="s">
        <v>345</v>
      </c>
      <c r="K21" s="196" t="s">
        <v>302</v>
      </c>
      <c r="L21" s="196"/>
      <c r="M21" s="160" t="s">
        <v>304</v>
      </c>
      <c r="N21" s="160" t="s">
        <v>109</v>
      </c>
      <c r="O21" s="777" t="s">
        <v>346</v>
      </c>
      <c r="P21" s="178">
        <v>4</v>
      </c>
      <c r="Q21" s="178" t="s">
        <v>3858</v>
      </c>
      <c r="R21" s="178" t="s">
        <v>3859</v>
      </c>
      <c r="S21" s="178" t="s">
        <v>3860</v>
      </c>
      <c r="T21" s="178" t="s">
        <v>3861</v>
      </c>
      <c r="U21" s="178" t="s">
        <v>3861</v>
      </c>
      <c r="V21" s="179" t="s">
        <v>3774</v>
      </c>
      <c r="W21" s="179" t="s">
        <v>347</v>
      </c>
      <c r="X21" s="155"/>
    </row>
    <row r="22" spans="1:24" ht="47.15" hidden="1" customHeight="1">
      <c r="A22" s="817"/>
      <c r="B22" s="760"/>
      <c r="C22" s="760"/>
      <c r="D22" s="762"/>
      <c r="E22" s="760"/>
      <c r="F22" s="760"/>
      <c r="G22" s="760"/>
      <c r="H22" s="798"/>
      <c r="I22" s="187" t="s">
        <v>348</v>
      </c>
      <c r="J22" s="356" t="s">
        <v>349</v>
      </c>
      <c r="K22" s="186" t="s">
        <v>302</v>
      </c>
      <c r="L22" s="186"/>
      <c r="M22" s="165" t="s">
        <v>304</v>
      </c>
      <c r="N22" s="165" t="s">
        <v>109</v>
      </c>
      <c r="O22" s="760"/>
      <c r="P22" s="178">
        <v>1</v>
      </c>
      <c r="Q22" s="178" t="s">
        <v>3862</v>
      </c>
      <c r="R22" s="178" t="s">
        <v>3862</v>
      </c>
      <c r="S22" s="178" t="s">
        <v>3858</v>
      </c>
      <c r="T22" s="178" t="s">
        <v>3858</v>
      </c>
      <c r="U22" s="178" t="s">
        <v>3858</v>
      </c>
      <c r="V22" s="179" t="s">
        <v>3774</v>
      </c>
      <c r="W22" s="179" t="s">
        <v>347</v>
      </c>
      <c r="X22" s="155"/>
    </row>
    <row r="23" spans="1:24" s="222" customFormat="1" ht="29.15" hidden="1" customHeight="1">
      <c r="A23" s="204"/>
      <c r="B23" s="357"/>
      <c r="C23" s="358"/>
      <c r="D23" s="359"/>
      <c r="E23" s="359"/>
      <c r="F23" s="360"/>
      <c r="G23" s="361"/>
      <c r="H23" s="362" t="s">
        <v>306</v>
      </c>
      <c r="I23" s="363"/>
      <c r="J23" s="364"/>
      <c r="K23" s="364"/>
      <c r="L23" s="364"/>
      <c r="M23" s="364"/>
      <c r="N23" s="364"/>
      <c r="O23" s="364"/>
      <c r="P23" s="364"/>
      <c r="Q23" s="364"/>
      <c r="R23" s="364"/>
      <c r="S23" s="364"/>
      <c r="T23" s="364"/>
      <c r="U23" s="364"/>
      <c r="V23" s="364"/>
      <c r="W23" s="365"/>
      <c r="X23" s="221"/>
    </row>
    <row r="24" spans="1:24" ht="58" hidden="1" customHeight="1">
      <c r="A24" s="832" t="s">
        <v>3863</v>
      </c>
      <c r="B24" s="366"/>
      <c r="C24" s="367"/>
      <c r="D24" s="837" t="s">
        <v>3799</v>
      </c>
      <c r="E24" s="368"/>
      <c r="F24" s="367"/>
      <c r="G24" s="845" t="s">
        <v>1175</v>
      </c>
      <c r="H24" s="835" t="s">
        <v>1176</v>
      </c>
      <c r="I24" s="272" t="s">
        <v>3864</v>
      </c>
      <c r="J24" s="312" t="s">
        <v>3865</v>
      </c>
      <c r="K24" s="312" t="s">
        <v>3866</v>
      </c>
      <c r="L24" s="312"/>
      <c r="M24" s="312" t="s">
        <v>3867</v>
      </c>
      <c r="N24" s="312" t="s">
        <v>3868</v>
      </c>
      <c r="O24" s="312" t="s">
        <v>3869</v>
      </c>
      <c r="P24" s="231" t="str">
        <f>'[1]Program M&amp;E Plan'!J33</f>
        <v>CFP: Mapped 3 HCV forests (Korup-Oban, Bakossi-Bnayang Mbo, &amp; Mt. CMR)
0 HCV Forests classified</v>
      </c>
      <c r="Q24" s="238"/>
      <c r="R24" s="238"/>
      <c r="S24" s="238"/>
      <c r="T24" s="238"/>
      <c r="U24" s="238"/>
      <c r="V24" s="238"/>
      <c r="W24" s="369"/>
      <c r="X24" s="155"/>
    </row>
    <row r="25" spans="1:24" ht="14.5" hidden="1" customHeight="1">
      <c r="A25" s="758"/>
      <c r="B25" s="366"/>
      <c r="C25" s="367"/>
      <c r="D25" s="770"/>
      <c r="E25" s="368"/>
      <c r="F25" s="367"/>
      <c r="G25" s="760"/>
      <c r="H25" s="760"/>
      <c r="I25" s="312" t="s">
        <v>3870</v>
      </c>
      <c r="J25" s="312"/>
      <c r="K25" s="312"/>
      <c r="L25" s="312"/>
      <c r="M25" s="312"/>
      <c r="N25" s="312"/>
      <c r="O25" s="312"/>
      <c r="P25" s="231"/>
      <c r="Q25" s="238"/>
      <c r="R25" s="238"/>
      <c r="S25" s="238"/>
      <c r="T25" s="238"/>
      <c r="U25" s="238"/>
      <c r="V25" s="238"/>
      <c r="W25" s="369"/>
      <c r="X25" s="155"/>
    </row>
    <row r="26" spans="1:24" ht="72.650000000000006" hidden="1" customHeight="1">
      <c r="A26" s="758"/>
      <c r="B26" s="366"/>
      <c r="C26" s="367"/>
      <c r="D26" s="770"/>
      <c r="E26" s="368"/>
      <c r="F26" s="367"/>
      <c r="G26" s="838" t="s">
        <v>1193</v>
      </c>
      <c r="H26" s="835" t="s">
        <v>1194</v>
      </c>
      <c r="I26" s="312" t="s">
        <v>3871</v>
      </c>
      <c r="J26" s="312" t="s">
        <v>3872</v>
      </c>
      <c r="K26" s="312" t="s">
        <v>3873</v>
      </c>
      <c r="L26" s="312"/>
      <c r="M26" s="312" t="s">
        <v>3874</v>
      </c>
      <c r="N26" s="312" t="s">
        <v>3875</v>
      </c>
      <c r="O26" s="312" t="s">
        <v>3876</v>
      </c>
      <c r="P26" s="231" t="str">
        <f>'[1]Program M&amp;E Plan'!J34</f>
        <v>CFP: 1 Community-validated forest in Lower Mbo of the Banyang Mbo Wildlife Sanctuary integrated into land use plans</v>
      </c>
      <c r="Q26" s="238"/>
      <c r="R26" s="238"/>
      <c r="S26" s="238"/>
      <c r="T26" s="238"/>
      <c r="U26" s="238"/>
      <c r="V26" s="238"/>
      <c r="W26" s="369"/>
      <c r="X26" s="155"/>
    </row>
    <row r="27" spans="1:24" ht="29.15" hidden="1" customHeight="1">
      <c r="A27" s="758"/>
      <c r="B27" s="366"/>
      <c r="C27" s="367"/>
      <c r="D27" s="770"/>
      <c r="E27" s="368"/>
      <c r="F27" s="367"/>
      <c r="G27" s="760"/>
      <c r="H27" s="760"/>
      <c r="I27" s="312" t="s">
        <v>3877</v>
      </c>
      <c r="J27" s="312"/>
      <c r="K27" s="312" t="s">
        <v>3878</v>
      </c>
      <c r="L27" s="312"/>
      <c r="M27" s="312" t="s">
        <v>3879</v>
      </c>
      <c r="N27" s="312"/>
      <c r="O27" s="312"/>
      <c r="P27" s="231"/>
      <c r="Q27" s="238"/>
      <c r="R27" s="238"/>
      <c r="S27" s="238"/>
      <c r="T27" s="238"/>
      <c r="U27" s="238"/>
      <c r="V27" s="238"/>
      <c r="W27" s="369"/>
      <c r="X27" s="155"/>
    </row>
    <row r="28" spans="1:24" s="378" customFormat="1" ht="72" hidden="1" customHeight="1">
      <c r="A28" s="758"/>
      <c r="B28" s="370"/>
      <c r="C28" s="371"/>
      <c r="D28" s="770"/>
      <c r="E28" s="372"/>
      <c r="F28" s="371"/>
      <c r="G28" s="373" t="s">
        <v>1210</v>
      </c>
      <c r="H28" s="374" t="s">
        <v>1211</v>
      </c>
      <c r="I28" s="247" t="s">
        <v>3880</v>
      </c>
      <c r="J28" s="247" t="s">
        <v>3881</v>
      </c>
      <c r="K28" s="247" t="s">
        <v>3882</v>
      </c>
      <c r="L28" s="247"/>
      <c r="M28" s="247" t="s">
        <v>3883</v>
      </c>
      <c r="N28" s="247" t="s">
        <v>3884</v>
      </c>
      <c r="O28" s="247" t="s">
        <v>3885</v>
      </c>
      <c r="P28" s="230" t="str">
        <f>'[1]Program M&amp;E Plan'!J35</f>
        <v>CFP: Rumpi Rata NP under creation: 47,600 ha
Muaku CF: 404 ha</v>
      </c>
      <c r="Q28" s="375"/>
      <c r="R28" s="375"/>
      <c r="S28" s="375"/>
      <c r="T28" s="375"/>
      <c r="U28" s="375"/>
      <c r="V28" s="375"/>
      <c r="W28" s="376"/>
      <c r="X28" s="377"/>
    </row>
    <row r="29" spans="1:24" ht="87" hidden="1" customHeight="1">
      <c r="A29" s="758"/>
      <c r="B29" s="366"/>
      <c r="C29" s="367"/>
      <c r="D29" s="770"/>
      <c r="E29" s="368"/>
      <c r="F29" s="367"/>
      <c r="G29" s="379"/>
      <c r="H29" s="380" t="s">
        <v>3886</v>
      </c>
      <c r="I29" s="312" t="s">
        <v>3887</v>
      </c>
      <c r="J29" s="312" t="s">
        <v>3888</v>
      </c>
      <c r="K29" s="312" t="s">
        <v>3889</v>
      </c>
      <c r="L29" s="312"/>
      <c r="M29" s="312" t="s">
        <v>3890</v>
      </c>
      <c r="N29" s="312" t="s">
        <v>3891</v>
      </c>
      <c r="O29" s="312" t="s">
        <v>3892</v>
      </c>
      <c r="P29" s="238"/>
      <c r="Q29" s="238"/>
      <c r="R29" s="238"/>
      <c r="S29" s="238"/>
      <c r="T29" s="238"/>
      <c r="U29" s="238"/>
      <c r="V29" s="238"/>
      <c r="W29" s="369"/>
      <c r="X29" s="155"/>
    </row>
    <row r="30" spans="1:24" ht="58" hidden="1" customHeight="1">
      <c r="A30" s="758"/>
      <c r="B30" s="366"/>
      <c r="C30" s="367"/>
      <c r="D30" s="770"/>
      <c r="E30" s="368"/>
      <c r="F30" s="367"/>
      <c r="G30" s="379"/>
      <c r="H30" s="380" t="s">
        <v>3893</v>
      </c>
      <c r="I30" s="312" t="s">
        <v>3894</v>
      </c>
      <c r="J30" s="312" t="s">
        <v>3895</v>
      </c>
      <c r="K30" s="312" t="s">
        <v>3896</v>
      </c>
      <c r="L30" s="312"/>
      <c r="M30" s="312" t="s">
        <v>3897</v>
      </c>
      <c r="N30" s="312" t="s">
        <v>3429</v>
      </c>
      <c r="O30" s="312" t="s">
        <v>3898</v>
      </c>
      <c r="P30" s="238"/>
      <c r="Q30" s="238"/>
      <c r="R30" s="238"/>
      <c r="S30" s="238"/>
      <c r="T30" s="238"/>
      <c r="U30" s="238"/>
      <c r="V30" s="238"/>
      <c r="W30" s="369"/>
      <c r="X30" s="155"/>
    </row>
    <row r="31" spans="1:24" ht="58" hidden="1" customHeight="1">
      <c r="A31" s="758"/>
      <c r="B31" s="366"/>
      <c r="C31" s="367"/>
      <c r="D31" s="770"/>
      <c r="E31" s="368"/>
      <c r="F31" s="367"/>
      <c r="G31" s="379"/>
      <c r="H31" s="380" t="s">
        <v>3899</v>
      </c>
      <c r="I31" s="312" t="s">
        <v>3900</v>
      </c>
      <c r="J31" s="312" t="s">
        <v>3901</v>
      </c>
      <c r="K31" s="312" t="s">
        <v>3902</v>
      </c>
      <c r="L31" s="312"/>
      <c r="M31" s="312" t="s">
        <v>3903</v>
      </c>
      <c r="N31" s="312" t="s">
        <v>3904</v>
      </c>
      <c r="O31" s="312" t="s">
        <v>3905</v>
      </c>
      <c r="P31" s="238"/>
      <c r="Q31" s="238"/>
      <c r="R31" s="238"/>
      <c r="S31" s="238"/>
      <c r="T31" s="238"/>
      <c r="U31" s="238"/>
      <c r="V31" s="238"/>
      <c r="W31" s="369"/>
      <c r="X31" s="155"/>
    </row>
    <row r="32" spans="1:24" ht="72.650000000000006" hidden="1" customHeight="1">
      <c r="A32" s="758"/>
      <c r="B32" s="366"/>
      <c r="C32" s="367"/>
      <c r="D32" s="770"/>
      <c r="E32" s="368"/>
      <c r="F32" s="367"/>
      <c r="G32" s="379"/>
      <c r="H32" s="380" t="s">
        <v>3906</v>
      </c>
      <c r="I32" s="312" t="s">
        <v>3907</v>
      </c>
      <c r="J32" s="312" t="s">
        <v>3908</v>
      </c>
      <c r="K32" s="312" t="s">
        <v>3909</v>
      </c>
      <c r="L32" s="312"/>
      <c r="M32" s="312" t="s">
        <v>3910</v>
      </c>
      <c r="N32" s="312" t="s">
        <v>3911</v>
      </c>
      <c r="O32" s="312" t="s">
        <v>3912</v>
      </c>
      <c r="P32" s="238"/>
      <c r="Q32" s="238"/>
      <c r="R32" s="238"/>
      <c r="S32" s="238"/>
      <c r="T32" s="238"/>
      <c r="U32" s="238"/>
      <c r="V32" s="238"/>
      <c r="W32" s="369"/>
      <c r="X32" s="155"/>
    </row>
    <row r="33" spans="1:24" s="378" customFormat="1" ht="58" hidden="1" customHeight="1">
      <c r="A33" s="758"/>
      <c r="B33" s="370"/>
      <c r="C33" s="371"/>
      <c r="D33" s="770"/>
      <c r="E33" s="372"/>
      <c r="F33" s="371"/>
      <c r="G33" s="373"/>
      <c r="H33" s="374" t="s">
        <v>3913</v>
      </c>
      <c r="I33" s="247" t="s">
        <v>3914</v>
      </c>
      <c r="J33" s="247" t="s">
        <v>3915</v>
      </c>
      <c r="K33" s="247" t="s">
        <v>3916</v>
      </c>
      <c r="L33" s="247"/>
      <c r="M33" s="247" t="s">
        <v>3917</v>
      </c>
      <c r="N33" s="247" t="s">
        <v>3918</v>
      </c>
      <c r="O33" s="247" t="s">
        <v>3919</v>
      </c>
      <c r="P33" s="375"/>
      <c r="Q33" s="375"/>
      <c r="R33" s="375"/>
      <c r="S33" s="375"/>
      <c r="T33" s="375"/>
      <c r="U33" s="375"/>
      <c r="V33" s="375"/>
      <c r="W33" s="376"/>
      <c r="X33" s="377"/>
    </row>
    <row r="34" spans="1:24" ht="87" hidden="1" customHeight="1">
      <c r="A34" s="758"/>
      <c r="B34" s="366"/>
      <c r="C34" s="367"/>
      <c r="D34" s="770"/>
      <c r="E34" s="368"/>
      <c r="F34" s="367"/>
      <c r="G34" s="379"/>
      <c r="H34" s="380" t="s">
        <v>3920</v>
      </c>
      <c r="I34" s="312" t="s">
        <v>3921</v>
      </c>
      <c r="J34" s="312" t="s">
        <v>3922</v>
      </c>
      <c r="K34" s="312" t="s">
        <v>3923</v>
      </c>
      <c r="L34" s="312"/>
      <c r="M34" s="312" t="s">
        <v>3924</v>
      </c>
      <c r="N34" s="312" t="s">
        <v>109</v>
      </c>
      <c r="O34" s="312" t="s">
        <v>3925</v>
      </c>
      <c r="P34" s="238"/>
      <c r="Q34" s="238"/>
      <c r="R34" s="238"/>
      <c r="S34" s="238"/>
      <c r="T34" s="238"/>
      <c r="U34" s="238"/>
      <c r="V34" s="238"/>
      <c r="W34" s="369"/>
      <c r="X34" s="155"/>
    </row>
    <row r="35" spans="1:24" s="222" customFormat="1" ht="29.15" hidden="1" customHeight="1">
      <c r="A35" s="758"/>
      <c r="B35" s="357"/>
      <c r="C35" s="358"/>
      <c r="D35" s="381"/>
      <c r="E35" s="359"/>
      <c r="F35" s="360"/>
      <c r="G35" s="361"/>
      <c r="H35" s="382" t="s">
        <v>311</v>
      </c>
      <c r="I35" s="383"/>
      <c r="J35" s="364"/>
      <c r="K35" s="364"/>
      <c r="L35" s="364"/>
      <c r="M35" s="364"/>
      <c r="N35" s="364"/>
      <c r="O35" s="364"/>
      <c r="P35" s="364"/>
      <c r="Q35" s="364"/>
      <c r="R35" s="364"/>
      <c r="S35" s="364"/>
      <c r="T35" s="364"/>
      <c r="U35" s="364"/>
      <c r="V35" s="364"/>
      <c r="W35" s="365"/>
      <c r="X35" s="221"/>
    </row>
    <row r="36" spans="1:24" ht="56.15" hidden="1" customHeight="1">
      <c r="A36" s="758"/>
      <c r="B36" s="366"/>
      <c r="C36" s="384"/>
      <c r="D36" s="826" t="s">
        <v>3805</v>
      </c>
      <c r="E36" s="368"/>
      <c r="F36" s="367"/>
      <c r="G36" s="385" t="s">
        <v>437</v>
      </c>
      <c r="H36" s="380" t="s">
        <v>3926</v>
      </c>
      <c r="I36" s="230" t="s">
        <v>3927</v>
      </c>
      <c r="J36" s="230" t="s">
        <v>3928</v>
      </c>
      <c r="K36" s="230" t="s">
        <v>3929</v>
      </c>
      <c r="L36" s="230"/>
      <c r="M36" s="230" t="s">
        <v>3930</v>
      </c>
      <c r="N36" s="230" t="s">
        <v>3931</v>
      </c>
      <c r="O36" s="230" t="s">
        <v>3932</v>
      </c>
      <c r="P36" s="238"/>
      <c r="Q36" s="238"/>
      <c r="R36" s="238"/>
      <c r="S36" s="238"/>
      <c r="T36" s="238"/>
      <c r="U36" s="238"/>
      <c r="V36" s="238"/>
      <c r="W36" s="369"/>
      <c r="X36" s="155"/>
    </row>
    <row r="37" spans="1:24" s="378" customFormat="1" ht="53.9" hidden="1" customHeight="1">
      <c r="A37" s="758"/>
      <c r="B37" s="386"/>
      <c r="C37" s="387"/>
      <c r="D37" s="767"/>
      <c r="E37" s="372"/>
      <c r="F37" s="371"/>
      <c r="G37" s="388"/>
      <c r="H37" s="374" t="s">
        <v>3933</v>
      </c>
      <c r="I37" s="246" t="s">
        <v>3934</v>
      </c>
      <c r="J37" s="246" t="s">
        <v>3935</v>
      </c>
      <c r="K37" s="246" t="s">
        <v>3936</v>
      </c>
      <c r="L37" s="246"/>
      <c r="M37" s="246" t="s">
        <v>3937</v>
      </c>
      <c r="N37" s="246" t="s">
        <v>3938</v>
      </c>
      <c r="O37" s="246" t="s">
        <v>3939</v>
      </c>
      <c r="P37" s="375"/>
      <c r="Q37" s="375"/>
      <c r="R37" s="375"/>
      <c r="S37" s="375"/>
      <c r="T37" s="375"/>
      <c r="U37" s="375"/>
      <c r="V37" s="375"/>
      <c r="W37" s="376"/>
      <c r="X37" s="377"/>
    </row>
    <row r="38" spans="1:24" ht="50.9" hidden="1" customHeight="1">
      <c r="A38" s="758"/>
      <c r="B38" s="389"/>
      <c r="C38" s="390"/>
      <c r="D38" s="767"/>
      <c r="E38" s="368"/>
      <c r="F38" s="367"/>
      <c r="G38" s="385"/>
      <c r="H38" s="380" t="s">
        <v>3940</v>
      </c>
      <c r="I38" s="230" t="s">
        <v>3941</v>
      </c>
      <c r="J38" s="230" t="s">
        <v>3942</v>
      </c>
      <c r="K38" s="230" t="s">
        <v>3943</v>
      </c>
      <c r="L38" s="230"/>
      <c r="M38" s="230" t="s">
        <v>3944</v>
      </c>
      <c r="N38" s="230" t="s">
        <v>3945</v>
      </c>
      <c r="O38" s="230" t="s">
        <v>3946</v>
      </c>
      <c r="P38" s="230" t="s">
        <v>3947</v>
      </c>
      <c r="Q38" s="238"/>
      <c r="R38" s="238"/>
      <c r="S38" s="238"/>
      <c r="T38" s="238"/>
      <c r="U38" s="238"/>
      <c r="V38" s="238"/>
      <c r="W38" s="369"/>
      <c r="X38" s="155"/>
    </row>
    <row r="39" spans="1:24" s="399" customFormat="1" ht="36.65" hidden="1" customHeight="1">
      <c r="A39" s="758"/>
      <c r="B39" s="389"/>
      <c r="C39" s="391"/>
      <c r="D39" s="767"/>
      <c r="E39" s="392"/>
      <c r="F39" s="393"/>
      <c r="G39" s="394"/>
      <c r="H39" s="395" t="s">
        <v>3948</v>
      </c>
      <c r="I39" s="300" t="s">
        <v>3949</v>
      </c>
      <c r="J39" s="300" t="s">
        <v>3950</v>
      </c>
      <c r="K39" s="300" t="s">
        <v>3951</v>
      </c>
      <c r="L39" s="300"/>
      <c r="M39" s="300" t="s">
        <v>3952</v>
      </c>
      <c r="N39" s="300" t="s">
        <v>3953</v>
      </c>
      <c r="O39" s="300" t="s">
        <v>3954</v>
      </c>
      <c r="P39" s="380" t="s">
        <v>3955</v>
      </c>
      <c r="Q39" s="396"/>
      <c r="R39" s="396"/>
      <c r="S39" s="396"/>
      <c r="T39" s="396"/>
      <c r="U39" s="396"/>
      <c r="V39" s="396"/>
      <c r="W39" s="397"/>
      <c r="X39" s="398"/>
    </row>
    <row r="40" spans="1:24" s="378" customFormat="1" ht="49.4" hidden="1" customHeight="1">
      <c r="A40" s="758"/>
      <c r="B40" s="386"/>
      <c r="C40" s="387"/>
      <c r="D40" s="767"/>
      <c r="E40" s="372"/>
      <c r="F40" s="371"/>
      <c r="G40" s="388"/>
      <c r="H40" s="374" t="s">
        <v>3956</v>
      </c>
      <c r="I40" s="246" t="s">
        <v>3957</v>
      </c>
      <c r="J40" s="246" t="s">
        <v>3958</v>
      </c>
      <c r="K40" s="246" t="s">
        <v>3959</v>
      </c>
      <c r="L40" s="246"/>
      <c r="M40" s="246" t="s">
        <v>3960</v>
      </c>
      <c r="N40" s="246" t="s">
        <v>3961</v>
      </c>
      <c r="O40" s="246" t="s">
        <v>3962</v>
      </c>
      <c r="P40" s="375"/>
      <c r="Q40" s="375"/>
      <c r="R40" s="375"/>
      <c r="S40" s="375"/>
      <c r="T40" s="375"/>
      <c r="U40" s="375"/>
      <c r="V40" s="375"/>
      <c r="W40" s="376"/>
      <c r="X40" s="377"/>
    </row>
    <row r="41" spans="1:24" s="378" customFormat="1" ht="52.5" hidden="1" customHeight="1">
      <c r="A41" s="758"/>
      <c r="B41" s="386"/>
      <c r="C41" s="387"/>
      <c r="D41" s="767"/>
      <c r="E41" s="372"/>
      <c r="F41" s="371"/>
      <c r="G41" s="388"/>
      <c r="H41" s="374" t="s">
        <v>3963</v>
      </c>
      <c r="I41" s="246" t="s">
        <v>3964</v>
      </c>
      <c r="J41" s="246" t="s">
        <v>3965</v>
      </c>
      <c r="K41" s="246" t="s">
        <v>3966</v>
      </c>
      <c r="L41" s="246"/>
      <c r="M41" s="246" t="s">
        <v>3967</v>
      </c>
      <c r="N41" s="246" t="s">
        <v>3968</v>
      </c>
      <c r="O41" s="246" t="s">
        <v>3969</v>
      </c>
      <c r="P41" s="375"/>
      <c r="Q41" s="375"/>
      <c r="R41" s="375"/>
      <c r="S41" s="375"/>
      <c r="T41" s="375"/>
      <c r="U41" s="375"/>
      <c r="V41" s="375"/>
      <c r="W41" s="376"/>
      <c r="X41" s="377"/>
    </row>
    <row r="42" spans="1:24" s="378" customFormat="1" ht="42.65" hidden="1" customHeight="1">
      <c r="A42" s="758"/>
      <c r="B42" s="400"/>
      <c r="C42" s="401"/>
      <c r="D42" s="768"/>
      <c r="E42" s="402"/>
      <c r="F42" s="403"/>
      <c r="G42" s="404"/>
      <c r="H42" s="405" t="s">
        <v>1323</v>
      </c>
      <c r="I42" s="406" t="s">
        <v>3970</v>
      </c>
      <c r="J42" s="406" t="s">
        <v>3971</v>
      </c>
      <c r="K42" s="406" t="s">
        <v>3972</v>
      </c>
      <c r="L42" s="406"/>
      <c r="M42" s="406" t="s">
        <v>3973</v>
      </c>
      <c r="N42" s="406" t="s">
        <v>109</v>
      </c>
      <c r="O42" s="406" t="s">
        <v>3974</v>
      </c>
      <c r="P42" s="407"/>
      <c r="Q42" s="407"/>
      <c r="R42" s="407"/>
      <c r="S42" s="407"/>
      <c r="T42" s="407"/>
      <c r="U42" s="407"/>
      <c r="V42" s="407"/>
      <c r="W42" s="408"/>
      <c r="X42" s="377"/>
    </row>
    <row r="43" spans="1:24" s="415" customFormat="1" ht="43.5" hidden="1" customHeight="1">
      <c r="A43" s="758"/>
      <c r="B43" s="409"/>
      <c r="C43" s="410"/>
      <c r="D43" s="381"/>
      <c r="E43" s="410"/>
      <c r="F43" s="410"/>
      <c r="G43" s="411"/>
      <c r="H43" s="412" t="s">
        <v>3975</v>
      </c>
      <c r="I43" s="413"/>
      <c r="J43" s="414"/>
      <c r="K43" s="414"/>
      <c r="L43" s="414"/>
      <c r="M43" s="414"/>
      <c r="N43" s="414"/>
      <c r="O43" s="414"/>
      <c r="P43" s="414"/>
      <c r="Q43" s="414"/>
      <c r="R43" s="414"/>
      <c r="S43" s="414"/>
      <c r="T43" s="414"/>
      <c r="U43" s="414"/>
      <c r="V43" s="414"/>
      <c r="W43" s="414"/>
      <c r="X43" s="414"/>
    </row>
    <row r="44" spans="1:24" ht="41.9" customHeight="1">
      <c r="A44" s="758"/>
      <c r="B44" s="389"/>
      <c r="C44" s="390"/>
      <c r="D44" s="826" t="s">
        <v>3811</v>
      </c>
      <c r="E44" s="416"/>
      <c r="F44" s="417"/>
      <c r="G44" s="418"/>
      <c r="H44" s="380" t="s">
        <v>3976</v>
      </c>
      <c r="I44" s="230" t="s">
        <v>3977</v>
      </c>
      <c r="J44" s="231" t="s">
        <v>3978</v>
      </c>
      <c r="K44" s="231" t="s">
        <v>3979</v>
      </c>
      <c r="L44" s="231"/>
      <c r="M44" s="231" t="s">
        <v>3980</v>
      </c>
      <c r="N44" s="231" t="s">
        <v>3981</v>
      </c>
      <c r="O44" s="231" t="s">
        <v>3982</v>
      </c>
      <c r="P44" s="238"/>
      <c r="Q44" s="238"/>
      <c r="R44" s="238"/>
      <c r="S44" s="238"/>
      <c r="T44" s="238"/>
      <c r="U44" s="238"/>
      <c r="V44" s="238"/>
      <c r="W44" s="369"/>
      <c r="X44" s="155"/>
    </row>
    <row r="45" spans="1:24" s="378" customFormat="1" ht="56.9" hidden="1" customHeight="1">
      <c r="A45" s="758"/>
      <c r="B45" s="386"/>
      <c r="C45" s="387"/>
      <c r="D45" s="767"/>
      <c r="E45" s="372"/>
      <c r="F45" s="371"/>
      <c r="G45" s="388"/>
      <c r="H45" s="374" t="s">
        <v>3983</v>
      </c>
      <c r="I45" s="246" t="s">
        <v>3984</v>
      </c>
      <c r="J45" s="246" t="s">
        <v>3985</v>
      </c>
      <c r="K45" s="246" t="s">
        <v>3986</v>
      </c>
      <c r="L45" s="246"/>
      <c r="M45" s="246" t="s">
        <v>3987</v>
      </c>
      <c r="N45" s="246" t="s">
        <v>3988</v>
      </c>
      <c r="O45" s="246" t="s">
        <v>3989</v>
      </c>
      <c r="P45" s="375"/>
      <c r="Q45" s="375"/>
      <c r="R45" s="375"/>
      <c r="S45" s="375"/>
      <c r="T45" s="375"/>
      <c r="U45" s="375"/>
      <c r="V45" s="375"/>
      <c r="W45" s="376"/>
      <c r="X45" s="377"/>
    </row>
    <row r="46" spans="1:24" s="378" customFormat="1" ht="56.9" hidden="1" customHeight="1">
      <c r="A46" s="758"/>
      <c r="B46" s="386"/>
      <c r="C46" s="387"/>
      <c r="D46" s="767"/>
      <c r="E46" s="372"/>
      <c r="F46" s="371"/>
      <c r="G46" s="388"/>
      <c r="H46" s="374" t="s">
        <v>3990</v>
      </c>
      <c r="I46" s="246" t="s">
        <v>3991</v>
      </c>
      <c r="J46" s="246" t="s">
        <v>3992</v>
      </c>
      <c r="K46" s="246" t="s">
        <v>3993</v>
      </c>
      <c r="L46" s="246"/>
      <c r="M46" s="246" t="s">
        <v>3994</v>
      </c>
      <c r="N46" s="246" t="s">
        <v>3995</v>
      </c>
      <c r="O46" s="246" t="s">
        <v>3996</v>
      </c>
      <c r="P46" s="375"/>
      <c r="Q46" s="375"/>
      <c r="R46" s="375"/>
      <c r="S46" s="375"/>
      <c r="T46" s="375"/>
      <c r="U46" s="375"/>
      <c r="V46" s="375"/>
      <c r="W46" s="376"/>
      <c r="X46" s="377"/>
    </row>
    <row r="47" spans="1:24" s="378" customFormat="1" ht="45.65" hidden="1" customHeight="1">
      <c r="A47" s="758"/>
      <c r="B47" s="386"/>
      <c r="C47" s="387"/>
      <c r="D47" s="767"/>
      <c r="E47" s="372"/>
      <c r="F47" s="371"/>
      <c r="G47" s="388"/>
      <c r="H47" s="374" t="s">
        <v>3997</v>
      </c>
      <c r="I47" s="246" t="s">
        <v>3998</v>
      </c>
      <c r="J47" s="246" t="s">
        <v>3999</v>
      </c>
      <c r="K47" s="246" t="s">
        <v>4000</v>
      </c>
      <c r="L47" s="246"/>
      <c r="M47" s="246" t="s">
        <v>4001</v>
      </c>
      <c r="N47" s="246" t="s">
        <v>4002</v>
      </c>
      <c r="O47" s="246" t="s">
        <v>4003</v>
      </c>
      <c r="P47" s="375"/>
      <c r="Q47" s="375"/>
      <c r="R47" s="375"/>
      <c r="S47" s="375"/>
      <c r="T47" s="375"/>
      <c r="U47" s="375"/>
      <c r="V47" s="375"/>
      <c r="W47" s="376"/>
      <c r="X47" s="377"/>
    </row>
    <row r="48" spans="1:24" ht="45.65" hidden="1" customHeight="1">
      <c r="A48" s="758"/>
      <c r="B48" s="389"/>
      <c r="C48" s="390"/>
      <c r="D48" s="767"/>
      <c r="E48" s="368"/>
      <c r="F48" s="367"/>
      <c r="G48" s="385"/>
      <c r="H48" s="380" t="s">
        <v>4004</v>
      </c>
      <c r="I48" s="230" t="s">
        <v>4005</v>
      </c>
      <c r="J48" s="230" t="s">
        <v>4006</v>
      </c>
      <c r="K48" s="230" t="s">
        <v>4007</v>
      </c>
      <c r="L48" s="230"/>
      <c r="M48" s="230" t="s">
        <v>4008</v>
      </c>
      <c r="N48" s="230" t="s">
        <v>4009</v>
      </c>
      <c r="O48" s="230" t="s">
        <v>4010</v>
      </c>
      <c r="P48" s="238"/>
      <c r="Q48" s="238"/>
      <c r="R48" s="238"/>
      <c r="S48" s="238"/>
      <c r="T48" s="238"/>
      <c r="U48" s="238"/>
      <c r="V48" s="238"/>
      <c r="W48" s="369"/>
      <c r="X48" s="155"/>
    </row>
    <row r="49" spans="1:24" ht="36.65" hidden="1" customHeight="1">
      <c r="A49" s="758"/>
      <c r="B49" s="389"/>
      <c r="C49" s="390"/>
      <c r="D49" s="767"/>
      <c r="E49" s="368"/>
      <c r="F49" s="367"/>
      <c r="G49" s="385"/>
      <c r="H49" s="380" t="s">
        <v>4011</v>
      </c>
      <c r="I49" s="230" t="s">
        <v>4012</v>
      </c>
      <c r="J49" s="230" t="s">
        <v>4013</v>
      </c>
      <c r="K49" s="230" t="s">
        <v>4014</v>
      </c>
      <c r="L49" s="230"/>
      <c r="M49" s="230" t="s">
        <v>4015</v>
      </c>
      <c r="N49" s="230" t="s">
        <v>4016</v>
      </c>
      <c r="O49" s="230" t="s">
        <v>4017</v>
      </c>
      <c r="P49" s="238"/>
      <c r="Q49" s="238"/>
      <c r="R49" s="238"/>
      <c r="S49" s="238"/>
      <c r="T49" s="238"/>
      <c r="U49" s="238"/>
      <c r="V49" s="238"/>
      <c r="W49" s="369"/>
      <c r="X49" s="155"/>
    </row>
    <row r="50" spans="1:24" s="378" customFormat="1" ht="62.9" hidden="1" customHeight="1">
      <c r="A50" s="758"/>
      <c r="B50" s="386"/>
      <c r="C50" s="387"/>
      <c r="D50" s="767"/>
      <c r="E50" s="372"/>
      <c r="F50" s="371"/>
      <c r="G50" s="388"/>
      <c r="H50" s="374" t="s">
        <v>4018</v>
      </c>
      <c r="I50" s="246" t="s">
        <v>4019</v>
      </c>
      <c r="J50" s="246" t="s">
        <v>4020</v>
      </c>
      <c r="K50" s="246" t="s">
        <v>4021</v>
      </c>
      <c r="L50" s="246"/>
      <c r="M50" s="246" t="s">
        <v>4022</v>
      </c>
      <c r="N50" s="246" t="s">
        <v>4023</v>
      </c>
      <c r="O50" s="246" t="s">
        <v>4024</v>
      </c>
      <c r="P50" s="375"/>
      <c r="Q50" s="375"/>
      <c r="R50" s="375"/>
      <c r="S50" s="375"/>
      <c r="T50" s="375"/>
      <c r="U50" s="375"/>
      <c r="V50" s="375"/>
      <c r="W50" s="376"/>
      <c r="X50" s="377"/>
    </row>
    <row r="51" spans="1:24" s="378" customFormat="1" ht="51.65" hidden="1" customHeight="1">
      <c r="A51" s="758"/>
      <c r="B51" s="386"/>
      <c r="C51" s="387"/>
      <c r="D51" s="767"/>
      <c r="E51" s="402"/>
      <c r="F51" s="403"/>
      <c r="G51" s="404"/>
      <c r="H51" s="405" t="s">
        <v>4025</v>
      </c>
      <c r="I51" s="406" t="s">
        <v>4026</v>
      </c>
      <c r="J51" s="406" t="s">
        <v>4027</v>
      </c>
      <c r="K51" s="406" t="s">
        <v>4028</v>
      </c>
      <c r="L51" s="406"/>
      <c r="M51" s="406" t="s">
        <v>4029</v>
      </c>
      <c r="N51" s="406" t="s">
        <v>4030</v>
      </c>
      <c r="O51" s="406" t="s">
        <v>4031</v>
      </c>
      <c r="P51" s="407"/>
      <c r="Q51" s="407"/>
      <c r="R51" s="407"/>
      <c r="S51" s="407"/>
      <c r="T51" s="407"/>
      <c r="U51" s="407"/>
      <c r="V51" s="407"/>
      <c r="W51" s="376"/>
      <c r="X51" s="377"/>
    </row>
    <row r="52" spans="1:24" s="378" customFormat="1" ht="58" hidden="1" customHeight="1">
      <c r="A52" s="758"/>
      <c r="B52" s="386"/>
      <c r="C52" s="387"/>
      <c r="D52" s="767"/>
      <c r="E52" s="419"/>
      <c r="F52" s="419"/>
      <c r="G52" s="420"/>
      <c r="H52" s="421" t="s">
        <v>4032</v>
      </c>
      <c r="I52" s="245" t="s">
        <v>4033</v>
      </c>
      <c r="J52" s="245" t="s">
        <v>4034</v>
      </c>
      <c r="K52" s="245" t="s">
        <v>4035</v>
      </c>
      <c r="L52" s="245"/>
      <c r="M52" s="245" t="s">
        <v>4036</v>
      </c>
      <c r="N52" s="245" t="s">
        <v>102</v>
      </c>
      <c r="O52" s="245" t="s">
        <v>4037</v>
      </c>
      <c r="P52" s="422"/>
      <c r="Q52" s="422"/>
      <c r="R52" s="422"/>
      <c r="S52" s="422"/>
      <c r="T52" s="422"/>
      <c r="U52" s="422"/>
      <c r="V52" s="422"/>
      <c r="W52" s="376"/>
      <c r="X52" s="377"/>
    </row>
    <row r="53" spans="1:24" s="378" customFormat="1" ht="48.65" hidden="1" customHeight="1">
      <c r="A53" s="758"/>
      <c r="B53" s="400"/>
      <c r="C53" s="401"/>
      <c r="D53" s="767"/>
      <c r="E53" s="419"/>
      <c r="F53" s="419"/>
      <c r="G53" s="420"/>
      <c r="H53" s="421" t="s">
        <v>4038</v>
      </c>
      <c r="I53" s="245"/>
      <c r="J53" s="245"/>
      <c r="K53" s="245"/>
      <c r="L53" s="245"/>
      <c r="M53" s="245"/>
      <c r="N53" s="245"/>
      <c r="O53" s="245"/>
      <c r="P53" s="422"/>
      <c r="Q53" s="422"/>
      <c r="R53" s="422"/>
      <c r="S53" s="422"/>
      <c r="T53" s="422"/>
      <c r="U53" s="422"/>
      <c r="V53" s="422"/>
      <c r="W53" s="408"/>
      <c r="X53" s="377"/>
    </row>
    <row r="54" spans="1:24" s="378" customFormat="1" ht="65.900000000000006" hidden="1" customHeight="1">
      <c r="A54" s="758"/>
      <c r="B54" s="400"/>
      <c r="C54" s="401"/>
      <c r="D54" s="768"/>
      <c r="E54" s="423"/>
      <c r="F54" s="424"/>
      <c r="G54" s="425"/>
      <c r="H54" s="405" t="s">
        <v>4039</v>
      </c>
      <c r="I54" s="406" t="s">
        <v>4040</v>
      </c>
      <c r="J54" s="406" t="s">
        <v>4041</v>
      </c>
      <c r="K54" s="406" t="s">
        <v>4042</v>
      </c>
      <c r="L54" s="406"/>
      <c r="M54" s="406" t="s">
        <v>4043</v>
      </c>
      <c r="N54" s="406" t="s">
        <v>4044</v>
      </c>
      <c r="O54" s="406" t="s">
        <v>4045</v>
      </c>
      <c r="P54" s="407"/>
      <c r="Q54" s="407"/>
      <c r="R54" s="407"/>
      <c r="S54" s="407"/>
      <c r="T54" s="407"/>
      <c r="U54" s="407"/>
      <c r="V54" s="407"/>
      <c r="W54" s="408"/>
      <c r="X54" s="377"/>
    </row>
    <row r="55" spans="1:24" s="415" customFormat="1" ht="29.15" hidden="1" customHeight="1">
      <c r="A55" s="758"/>
      <c r="B55" s="409"/>
      <c r="C55" s="410"/>
      <c r="D55" s="381"/>
      <c r="E55" s="410"/>
      <c r="F55" s="410"/>
      <c r="G55" s="411"/>
      <c r="H55" s="412" t="s">
        <v>323</v>
      </c>
      <c r="I55" s="413"/>
      <c r="J55" s="414"/>
      <c r="K55" s="414"/>
      <c r="L55" s="414"/>
      <c r="M55" s="414"/>
      <c r="N55" s="414"/>
      <c r="O55" s="414"/>
      <c r="P55" s="414"/>
      <c r="Q55" s="414"/>
      <c r="R55" s="414"/>
      <c r="S55" s="414"/>
      <c r="T55" s="414"/>
      <c r="U55" s="414"/>
      <c r="V55" s="414"/>
      <c r="W55" s="414"/>
      <c r="X55" s="414"/>
    </row>
    <row r="56" spans="1:24" s="378" customFormat="1" ht="73.400000000000006" hidden="1" customHeight="1">
      <c r="A56" s="758"/>
      <c r="B56" s="386"/>
      <c r="C56" s="387"/>
      <c r="D56" s="826" t="s">
        <v>3830</v>
      </c>
      <c r="E56" s="426"/>
      <c r="F56" s="427"/>
      <c r="G56" s="428"/>
      <c r="H56" s="374" t="s">
        <v>4046</v>
      </c>
      <c r="I56" s="247" t="s">
        <v>4047</v>
      </c>
      <c r="J56" s="247" t="s">
        <v>4048</v>
      </c>
      <c r="K56" s="247" t="s">
        <v>4049</v>
      </c>
      <c r="L56" s="247"/>
      <c r="M56" s="247" t="s">
        <v>4050</v>
      </c>
      <c r="N56" s="247" t="s">
        <v>4051</v>
      </c>
      <c r="O56" s="247" t="s">
        <v>4052</v>
      </c>
      <c r="P56" s="375"/>
      <c r="Q56" s="375"/>
      <c r="R56" s="375"/>
      <c r="S56" s="375"/>
      <c r="T56" s="375"/>
      <c r="U56" s="375"/>
      <c r="V56" s="375"/>
      <c r="W56" s="376"/>
      <c r="X56" s="377"/>
    </row>
    <row r="57" spans="1:24" s="378" customFormat="1" ht="87" hidden="1" customHeight="1">
      <c r="A57" s="758"/>
      <c r="B57" s="386"/>
      <c r="C57" s="387"/>
      <c r="D57" s="767"/>
      <c r="E57" s="429"/>
      <c r="F57" s="371"/>
      <c r="G57" s="388"/>
      <c r="H57" s="374" t="s">
        <v>4053</v>
      </c>
      <c r="I57" s="247" t="s">
        <v>4054</v>
      </c>
      <c r="J57" s="247" t="s">
        <v>4055</v>
      </c>
      <c r="K57" s="247" t="s">
        <v>4056</v>
      </c>
      <c r="L57" s="247"/>
      <c r="M57" s="247" t="s">
        <v>4057</v>
      </c>
      <c r="N57" s="247" t="s">
        <v>102</v>
      </c>
      <c r="O57" s="247" t="s">
        <v>4058</v>
      </c>
      <c r="P57" s="375"/>
      <c r="Q57" s="375"/>
      <c r="R57" s="375"/>
      <c r="S57" s="375"/>
      <c r="T57" s="375"/>
      <c r="U57" s="375"/>
      <c r="V57" s="375"/>
      <c r="W57" s="376"/>
      <c r="X57" s="377"/>
    </row>
    <row r="58" spans="1:24" s="378" customFormat="1" ht="72.650000000000006" hidden="1" customHeight="1">
      <c r="A58" s="758"/>
      <c r="B58" s="386"/>
      <c r="C58" s="387"/>
      <c r="D58" s="767"/>
      <c r="E58" s="372"/>
      <c r="F58" s="371"/>
      <c r="G58" s="388"/>
      <c r="H58" s="374" t="s">
        <v>4059</v>
      </c>
      <c r="I58" s="247" t="s">
        <v>4060</v>
      </c>
      <c r="J58" s="247" t="s">
        <v>4061</v>
      </c>
      <c r="K58" s="247" t="s">
        <v>4062</v>
      </c>
      <c r="L58" s="247"/>
      <c r="M58" s="247" t="s">
        <v>4063</v>
      </c>
      <c r="N58" s="247" t="s">
        <v>4064</v>
      </c>
      <c r="O58" s="247" t="s">
        <v>4065</v>
      </c>
      <c r="P58" s="375"/>
      <c r="Q58" s="375"/>
      <c r="R58" s="375"/>
      <c r="S58" s="375"/>
      <c r="T58" s="375"/>
      <c r="U58" s="375"/>
      <c r="V58" s="375"/>
      <c r="W58" s="376"/>
      <c r="X58" s="377"/>
    </row>
    <row r="59" spans="1:24" ht="72.650000000000006" hidden="1" customHeight="1">
      <c r="A59" s="758"/>
      <c r="B59" s="389"/>
      <c r="C59" s="390"/>
      <c r="D59" s="767"/>
      <c r="E59" s="368"/>
      <c r="F59" s="367"/>
      <c r="G59" s="385"/>
      <c r="H59" s="380" t="s">
        <v>4066</v>
      </c>
      <c r="I59" s="312" t="s">
        <v>4067</v>
      </c>
      <c r="J59" s="312" t="s">
        <v>4068</v>
      </c>
      <c r="K59" s="312" t="s">
        <v>4069</v>
      </c>
      <c r="L59" s="312"/>
      <c r="M59" s="312" t="s">
        <v>4070</v>
      </c>
      <c r="N59" s="312" t="s">
        <v>4071</v>
      </c>
      <c r="O59" s="312" t="s">
        <v>4072</v>
      </c>
      <c r="P59" s="238"/>
      <c r="Q59" s="238"/>
      <c r="R59" s="238"/>
      <c r="S59" s="238"/>
      <c r="T59" s="238"/>
      <c r="U59" s="238"/>
      <c r="V59" s="238"/>
      <c r="W59" s="369"/>
      <c r="X59" s="155"/>
    </row>
    <row r="60" spans="1:24" ht="54.65" hidden="1" customHeight="1">
      <c r="A60" s="758"/>
      <c r="B60" s="389"/>
      <c r="C60" s="390"/>
      <c r="D60" s="767"/>
      <c r="E60" s="368"/>
      <c r="F60" s="367"/>
      <c r="G60" s="385"/>
      <c r="H60" s="380" t="s">
        <v>4073</v>
      </c>
      <c r="I60" s="312" t="s">
        <v>4074</v>
      </c>
      <c r="J60" s="312" t="s">
        <v>4075</v>
      </c>
      <c r="K60" s="312" t="s">
        <v>4076</v>
      </c>
      <c r="L60" s="312"/>
      <c r="M60" s="312" t="s">
        <v>4077</v>
      </c>
      <c r="N60" s="312" t="s">
        <v>4078</v>
      </c>
      <c r="O60" s="312" t="s">
        <v>4079</v>
      </c>
      <c r="P60" s="238"/>
      <c r="Q60" s="238"/>
      <c r="R60" s="238"/>
      <c r="S60" s="238"/>
      <c r="T60" s="238"/>
      <c r="U60" s="238"/>
      <c r="V60" s="238"/>
      <c r="W60" s="369"/>
      <c r="X60" s="155"/>
    </row>
    <row r="61" spans="1:24" s="378" customFormat="1" ht="60.65" hidden="1" customHeight="1">
      <c r="A61" s="758"/>
      <c r="B61" s="400"/>
      <c r="C61" s="401"/>
      <c r="D61" s="768"/>
      <c r="E61" s="402"/>
      <c r="F61" s="403"/>
      <c r="G61" s="404"/>
      <c r="H61" s="405" t="s">
        <v>4080</v>
      </c>
      <c r="I61" s="430" t="s">
        <v>4081</v>
      </c>
      <c r="J61" s="430" t="s">
        <v>4082</v>
      </c>
      <c r="K61" s="430" t="s">
        <v>4083</v>
      </c>
      <c r="L61" s="430"/>
      <c r="M61" s="430" t="s">
        <v>4084</v>
      </c>
      <c r="N61" s="430" t="s">
        <v>109</v>
      </c>
      <c r="O61" s="430" t="s">
        <v>4085</v>
      </c>
      <c r="P61" s="407"/>
      <c r="Q61" s="407"/>
      <c r="R61" s="407"/>
      <c r="S61" s="407"/>
      <c r="T61" s="407"/>
      <c r="U61" s="407"/>
      <c r="V61" s="407"/>
      <c r="W61" s="408"/>
      <c r="X61" s="377"/>
    </row>
    <row r="62" spans="1:24" s="415" customFormat="1" ht="76.5" hidden="1" customHeight="1">
      <c r="A62" s="758"/>
      <c r="B62" s="409"/>
      <c r="C62" s="410"/>
      <c r="D62" s="381"/>
      <c r="E62" s="410"/>
      <c r="F62" s="410"/>
      <c r="G62" s="411"/>
      <c r="H62" s="412" t="s">
        <v>330</v>
      </c>
      <c r="I62" s="413"/>
      <c r="J62" s="414"/>
      <c r="K62" s="414"/>
      <c r="L62" s="414"/>
      <c r="M62" s="414"/>
      <c r="N62" s="414"/>
      <c r="O62" s="414"/>
      <c r="P62" s="414"/>
      <c r="Q62" s="414"/>
      <c r="R62" s="414"/>
      <c r="S62" s="414"/>
      <c r="T62" s="414"/>
      <c r="U62" s="414"/>
      <c r="V62" s="414"/>
      <c r="W62" s="414"/>
      <c r="X62" s="414"/>
    </row>
    <row r="63" spans="1:24" s="378" customFormat="1" ht="72.650000000000006" hidden="1" customHeight="1">
      <c r="A63" s="758"/>
      <c r="B63" s="386"/>
      <c r="C63" s="387"/>
      <c r="D63" s="826" t="s">
        <v>4086</v>
      </c>
      <c r="E63" s="426"/>
      <c r="F63" s="427"/>
      <c r="G63" s="428"/>
      <c r="H63" s="374" t="s">
        <v>4087</v>
      </c>
      <c r="I63" s="247" t="s">
        <v>4088</v>
      </c>
      <c r="J63" s="247" t="s">
        <v>4089</v>
      </c>
      <c r="K63" s="247" t="s">
        <v>4090</v>
      </c>
      <c r="L63" s="247"/>
      <c r="M63" s="247" t="s">
        <v>4091</v>
      </c>
      <c r="N63" s="247" t="s">
        <v>4092</v>
      </c>
      <c r="O63" s="247" t="s">
        <v>4093</v>
      </c>
      <c r="P63" s="375"/>
      <c r="Q63" s="375"/>
      <c r="R63" s="375"/>
      <c r="S63" s="375"/>
      <c r="T63" s="375"/>
      <c r="U63" s="375"/>
      <c r="V63" s="375"/>
      <c r="W63" s="376"/>
      <c r="X63" s="377"/>
    </row>
    <row r="64" spans="1:24" s="378" customFormat="1" ht="72.650000000000006" hidden="1" customHeight="1">
      <c r="A64" s="758"/>
      <c r="B64" s="386"/>
      <c r="C64" s="387"/>
      <c r="D64" s="767"/>
      <c r="E64" s="372"/>
      <c r="F64" s="371"/>
      <c r="G64" s="388"/>
      <c r="H64" s="374" t="s">
        <v>4094</v>
      </c>
      <c r="I64" s="247" t="s">
        <v>4095</v>
      </c>
      <c r="J64" s="247" t="s">
        <v>4096</v>
      </c>
      <c r="K64" s="247" t="s">
        <v>4097</v>
      </c>
      <c r="L64" s="247"/>
      <c r="M64" s="247" t="s">
        <v>4098</v>
      </c>
      <c r="N64" s="247" t="s">
        <v>4099</v>
      </c>
      <c r="O64" s="247" t="s">
        <v>4100</v>
      </c>
      <c r="P64" s="375"/>
      <c r="Q64" s="375"/>
      <c r="R64" s="375"/>
      <c r="S64" s="375"/>
      <c r="T64" s="375"/>
      <c r="U64" s="375"/>
      <c r="V64" s="375"/>
      <c r="W64" s="376"/>
      <c r="X64" s="377"/>
    </row>
    <row r="65" spans="1:24" s="378" customFormat="1" ht="58" hidden="1" customHeight="1">
      <c r="A65" s="758"/>
      <c r="B65" s="386"/>
      <c r="C65" s="387"/>
      <c r="D65" s="767"/>
      <c r="E65" s="372"/>
      <c r="F65" s="371"/>
      <c r="G65" s="388"/>
      <c r="H65" s="374" t="s">
        <v>4101</v>
      </c>
      <c r="I65" s="247" t="s">
        <v>4102</v>
      </c>
      <c r="J65" s="247" t="s">
        <v>4103</v>
      </c>
      <c r="K65" s="247" t="s">
        <v>4104</v>
      </c>
      <c r="L65" s="247"/>
      <c r="M65" s="247" t="s">
        <v>4105</v>
      </c>
      <c r="N65" s="247" t="s">
        <v>109</v>
      </c>
      <c r="O65" s="247" t="s">
        <v>4106</v>
      </c>
      <c r="P65" s="375"/>
      <c r="Q65" s="375"/>
      <c r="R65" s="375"/>
      <c r="S65" s="375"/>
      <c r="T65" s="375"/>
      <c r="U65" s="375"/>
      <c r="V65" s="375"/>
      <c r="W65" s="376"/>
      <c r="X65" s="377"/>
    </row>
    <row r="66" spans="1:24" s="378" customFormat="1" ht="72.650000000000006" hidden="1" customHeight="1">
      <c r="A66" s="758"/>
      <c r="B66" s="386"/>
      <c r="C66" s="387"/>
      <c r="D66" s="767"/>
      <c r="E66" s="372"/>
      <c r="F66" s="371"/>
      <c r="G66" s="388"/>
      <c r="H66" s="374" t="s">
        <v>4107</v>
      </c>
      <c r="I66" s="247" t="s">
        <v>4108</v>
      </c>
      <c r="J66" s="247" t="s">
        <v>4109</v>
      </c>
      <c r="K66" s="247" t="s">
        <v>4110</v>
      </c>
      <c r="L66" s="247"/>
      <c r="M66" s="247" t="s">
        <v>4111</v>
      </c>
      <c r="N66" s="247" t="s">
        <v>4112</v>
      </c>
      <c r="O66" s="247" t="s">
        <v>4113</v>
      </c>
      <c r="P66" s="375"/>
      <c r="Q66" s="375"/>
      <c r="R66" s="375"/>
      <c r="S66" s="375"/>
      <c r="T66" s="375"/>
      <c r="U66" s="375"/>
      <c r="V66" s="375"/>
      <c r="W66" s="376"/>
      <c r="X66" s="377"/>
    </row>
    <row r="67" spans="1:24" s="378" customFormat="1" ht="58" hidden="1" customHeight="1">
      <c r="A67" s="758"/>
      <c r="B67" s="386"/>
      <c r="C67" s="387"/>
      <c r="D67" s="767"/>
      <c r="E67" s="372"/>
      <c r="F67" s="371"/>
      <c r="G67" s="388"/>
      <c r="H67" s="374" t="s">
        <v>4114</v>
      </c>
      <c r="I67" s="247" t="s">
        <v>4115</v>
      </c>
      <c r="J67" s="247" t="s">
        <v>4116</v>
      </c>
      <c r="K67" s="247" t="s">
        <v>4117</v>
      </c>
      <c r="L67" s="247"/>
      <c r="M67" s="247" t="s">
        <v>4118</v>
      </c>
      <c r="N67" s="247" t="s">
        <v>4119</v>
      </c>
      <c r="O67" s="247" t="s">
        <v>4120</v>
      </c>
      <c r="P67" s="375"/>
      <c r="Q67" s="375"/>
      <c r="R67" s="375"/>
      <c r="S67" s="375"/>
      <c r="T67" s="375"/>
      <c r="U67" s="375"/>
      <c r="V67" s="375"/>
      <c r="W67" s="376"/>
      <c r="X67" s="377"/>
    </row>
    <row r="68" spans="1:24" s="378" customFormat="1" ht="58" hidden="1" customHeight="1">
      <c r="A68" s="758"/>
      <c r="B68" s="400"/>
      <c r="C68" s="401"/>
      <c r="D68" s="768"/>
      <c r="E68" s="402"/>
      <c r="F68" s="403"/>
      <c r="G68" s="404"/>
      <c r="H68" s="405" t="s">
        <v>4121</v>
      </c>
      <c r="I68" s="430" t="s">
        <v>4122</v>
      </c>
      <c r="J68" s="430" t="s">
        <v>4123</v>
      </c>
      <c r="K68" s="430" t="s">
        <v>4124</v>
      </c>
      <c r="L68" s="430"/>
      <c r="M68" s="430" t="s">
        <v>4125</v>
      </c>
      <c r="N68" s="430" t="s">
        <v>4126</v>
      </c>
      <c r="O68" s="430" t="s">
        <v>4127</v>
      </c>
      <c r="P68" s="407"/>
      <c r="Q68" s="407"/>
      <c r="R68" s="407"/>
      <c r="S68" s="407"/>
      <c r="T68" s="407"/>
      <c r="U68" s="407"/>
      <c r="V68" s="407"/>
      <c r="W68" s="408"/>
      <c r="X68" s="377"/>
    </row>
    <row r="69" spans="1:24" s="415" customFormat="1" ht="29.15" hidden="1" customHeight="1">
      <c r="A69" s="758"/>
      <c r="B69" s="409"/>
      <c r="C69" s="410"/>
      <c r="D69" s="381"/>
      <c r="E69" s="410"/>
      <c r="F69" s="410"/>
      <c r="G69" s="411"/>
      <c r="H69" s="412" t="s">
        <v>4128</v>
      </c>
      <c r="I69" s="413"/>
      <c r="J69" s="414"/>
      <c r="K69" s="414"/>
      <c r="L69" s="414"/>
      <c r="M69" s="414"/>
      <c r="N69" s="414"/>
      <c r="O69" s="414"/>
      <c r="P69" s="414"/>
      <c r="Q69" s="414"/>
      <c r="R69" s="414"/>
      <c r="S69" s="414"/>
      <c r="T69" s="414"/>
      <c r="U69" s="414"/>
      <c r="V69" s="414"/>
      <c r="W69" s="414"/>
      <c r="X69" s="414"/>
    </row>
    <row r="70" spans="1:24" s="378" customFormat="1" ht="87" hidden="1" customHeight="1">
      <c r="A70" s="758"/>
      <c r="B70" s="386"/>
      <c r="C70" s="427"/>
      <c r="D70" s="833" t="s">
        <v>3847</v>
      </c>
      <c r="E70" s="426"/>
      <c r="F70" s="427"/>
      <c r="G70" s="428"/>
      <c r="H70" s="374" t="s">
        <v>4129</v>
      </c>
      <c r="I70" s="247" t="s">
        <v>4130</v>
      </c>
      <c r="J70" s="247" t="s">
        <v>4131</v>
      </c>
      <c r="K70" s="247" t="s">
        <v>4132</v>
      </c>
      <c r="L70" s="247"/>
      <c r="M70" s="247" t="s">
        <v>4133</v>
      </c>
      <c r="N70" s="247" t="s">
        <v>4134</v>
      </c>
      <c r="O70" s="247" t="s">
        <v>4135</v>
      </c>
      <c r="P70" s="375"/>
      <c r="Q70" s="375"/>
      <c r="R70" s="375"/>
      <c r="S70" s="375"/>
      <c r="T70" s="375"/>
      <c r="U70" s="375"/>
      <c r="V70" s="375"/>
      <c r="W70" s="376"/>
      <c r="X70" s="377"/>
    </row>
    <row r="71" spans="1:24" s="378" customFormat="1" ht="87" hidden="1" customHeight="1">
      <c r="A71" s="758"/>
      <c r="B71" s="386"/>
      <c r="C71" s="427"/>
      <c r="D71" s="770"/>
      <c r="E71" s="372"/>
      <c r="F71" s="371"/>
      <c r="G71" s="388"/>
      <c r="H71" s="374" t="s">
        <v>4136</v>
      </c>
      <c r="I71" s="247" t="s">
        <v>4137</v>
      </c>
      <c r="J71" s="247" t="s">
        <v>4138</v>
      </c>
      <c r="K71" s="247" t="s">
        <v>4139</v>
      </c>
      <c r="L71" s="247"/>
      <c r="M71" s="247" t="s">
        <v>4140</v>
      </c>
      <c r="N71" s="247" t="s">
        <v>4141</v>
      </c>
      <c r="O71" s="247" t="s">
        <v>4142</v>
      </c>
      <c r="P71" s="375"/>
      <c r="Q71" s="375"/>
      <c r="R71" s="375"/>
      <c r="S71" s="375"/>
      <c r="T71" s="375"/>
      <c r="U71" s="375"/>
      <c r="V71" s="375"/>
      <c r="W71" s="376"/>
      <c r="X71" s="377"/>
    </row>
    <row r="72" spans="1:24" ht="72.650000000000006" hidden="1" customHeight="1">
      <c r="A72" s="758"/>
      <c r="B72" s="389"/>
      <c r="C72" s="417"/>
      <c r="D72" s="770"/>
      <c r="E72" s="368"/>
      <c r="F72" s="367"/>
      <c r="G72" s="385"/>
      <c r="H72" s="380" t="s">
        <v>4143</v>
      </c>
      <c r="I72" s="312" t="s">
        <v>4144</v>
      </c>
      <c r="J72" s="312" t="s">
        <v>4145</v>
      </c>
      <c r="K72" s="312" t="s">
        <v>4146</v>
      </c>
      <c r="L72" s="312"/>
      <c r="M72" s="312" t="s">
        <v>4147</v>
      </c>
      <c r="N72" s="312" t="s">
        <v>4148</v>
      </c>
      <c r="O72" s="312" t="s">
        <v>4149</v>
      </c>
      <c r="P72" s="238"/>
      <c r="Q72" s="238"/>
      <c r="R72" s="238"/>
      <c r="S72" s="238"/>
      <c r="T72" s="238"/>
      <c r="U72" s="238"/>
      <c r="V72" s="238"/>
      <c r="W72" s="369"/>
      <c r="X72" s="155"/>
    </row>
    <row r="73" spans="1:24" s="203" customFormat="1" ht="72.650000000000006" hidden="1" customHeight="1">
      <c r="A73" s="758"/>
      <c r="B73" s="431"/>
      <c r="C73" s="432"/>
      <c r="D73" s="770"/>
      <c r="E73" s="433"/>
      <c r="F73" s="434"/>
      <c r="G73" s="385"/>
      <c r="H73" s="230" t="s">
        <v>4150</v>
      </c>
      <c r="I73" s="312" t="s">
        <v>4151</v>
      </c>
      <c r="J73" s="312" t="s">
        <v>4152</v>
      </c>
      <c r="K73" s="312" t="s">
        <v>4153</v>
      </c>
      <c r="L73" s="312"/>
      <c r="M73" s="312" t="s">
        <v>4154</v>
      </c>
      <c r="N73" s="312" t="s">
        <v>4155</v>
      </c>
      <c r="O73" s="312" t="s">
        <v>4156</v>
      </c>
      <c r="P73" s="238"/>
      <c r="Q73" s="238"/>
      <c r="R73" s="238"/>
      <c r="S73" s="238"/>
      <c r="T73" s="238"/>
      <c r="U73" s="238"/>
      <c r="V73" s="238"/>
      <c r="W73" s="369"/>
      <c r="X73" s="155"/>
    </row>
    <row r="74" spans="1:24" ht="53.15" hidden="1" customHeight="1">
      <c r="A74" s="758"/>
      <c r="B74" s="389"/>
      <c r="C74" s="417"/>
      <c r="D74" s="770"/>
      <c r="E74" s="368"/>
      <c r="F74" s="367"/>
      <c r="G74" s="385"/>
      <c r="H74" s="230" t="s">
        <v>4157</v>
      </c>
      <c r="I74" s="312" t="s">
        <v>4158</v>
      </c>
      <c r="J74" s="312" t="s">
        <v>4159</v>
      </c>
      <c r="K74" s="312" t="s">
        <v>4160</v>
      </c>
      <c r="L74" s="312"/>
      <c r="M74" s="312" t="s">
        <v>4161</v>
      </c>
      <c r="N74" s="312" t="s">
        <v>4162</v>
      </c>
      <c r="O74" s="312" t="s">
        <v>4163</v>
      </c>
      <c r="P74" s="238"/>
      <c r="Q74" s="238"/>
      <c r="R74" s="238"/>
      <c r="S74" s="238"/>
      <c r="T74" s="238"/>
      <c r="U74" s="238"/>
      <c r="V74" s="238"/>
      <c r="W74" s="369"/>
      <c r="X74" s="155"/>
    </row>
    <row r="75" spans="1:24" s="378" customFormat="1" ht="60" hidden="1" customHeight="1">
      <c r="A75" s="758"/>
      <c r="B75" s="386"/>
      <c r="C75" s="427"/>
      <c r="D75" s="770"/>
      <c r="E75" s="372"/>
      <c r="F75" s="371"/>
      <c r="G75" s="388"/>
      <c r="H75" s="246" t="s">
        <v>4164</v>
      </c>
      <c r="I75" s="247" t="s">
        <v>4165</v>
      </c>
      <c r="J75" s="247" t="s">
        <v>4166</v>
      </c>
      <c r="K75" s="247" t="s">
        <v>4167</v>
      </c>
      <c r="L75" s="247"/>
      <c r="M75" s="247" t="s">
        <v>4168</v>
      </c>
      <c r="N75" s="247" t="s">
        <v>4071</v>
      </c>
      <c r="O75" s="247" t="s">
        <v>4169</v>
      </c>
      <c r="P75" s="375"/>
      <c r="Q75" s="375"/>
      <c r="R75" s="375"/>
      <c r="S75" s="375"/>
      <c r="T75" s="375"/>
      <c r="U75" s="375"/>
      <c r="V75" s="375"/>
      <c r="W75" s="376"/>
      <c r="X75" s="377"/>
    </row>
    <row r="76" spans="1:24" s="378" customFormat="1" ht="72.650000000000006" hidden="1" customHeight="1">
      <c r="A76" s="758"/>
      <c r="B76" s="400"/>
      <c r="C76" s="424"/>
      <c r="D76" s="760"/>
      <c r="E76" s="402"/>
      <c r="F76" s="403"/>
      <c r="G76" s="404"/>
      <c r="H76" s="405" t="s">
        <v>4170</v>
      </c>
      <c r="I76" s="430" t="s">
        <v>4171</v>
      </c>
      <c r="J76" s="430" t="s">
        <v>4172</v>
      </c>
      <c r="K76" s="430" t="s">
        <v>4173</v>
      </c>
      <c r="L76" s="430"/>
      <c r="M76" s="430" t="s">
        <v>4174</v>
      </c>
      <c r="N76" s="430" t="s">
        <v>109</v>
      </c>
      <c r="O76" s="430" t="s">
        <v>4175</v>
      </c>
      <c r="P76" s="407"/>
      <c r="Q76" s="407"/>
      <c r="R76" s="407"/>
      <c r="S76" s="407"/>
      <c r="T76" s="407"/>
      <c r="U76" s="407"/>
      <c r="V76" s="407"/>
      <c r="W76" s="408"/>
      <c r="X76" s="377"/>
    </row>
    <row r="77" spans="1:24" s="415" customFormat="1" ht="43.5" hidden="1" customHeight="1">
      <c r="A77" s="758"/>
      <c r="B77" s="409"/>
      <c r="C77" s="410"/>
      <c r="D77" s="381"/>
      <c r="E77" s="410"/>
      <c r="F77" s="410"/>
      <c r="G77" s="411"/>
      <c r="H77" s="412" t="s">
        <v>343</v>
      </c>
      <c r="I77" s="413"/>
      <c r="J77" s="414"/>
      <c r="K77" s="414"/>
      <c r="L77" s="414"/>
      <c r="M77" s="414"/>
      <c r="N77" s="414"/>
      <c r="O77" s="414"/>
      <c r="P77" s="414"/>
      <c r="Q77" s="414"/>
      <c r="R77" s="414"/>
      <c r="S77" s="414"/>
      <c r="T77" s="414"/>
      <c r="U77" s="414"/>
      <c r="V77" s="414"/>
      <c r="W77" s="414"/>
      <c r="X77" s="414"/>
    </row>
    <row r="78" spans="1:24" s="378" customFormat="1" ht="72.650000000000006" hidden="1" customHeight="1">
      <c r="A78" s="758"/>
      <c r="B78" s="386"/>
      <c r="C78" s="427"/>
      <c r="D78" s="833" t="s">
        <v>3228</v>
      </c>
      <c r="E78" s="426"/>
      <c r="F78" s="427"/>
      <c r="G78" s="428"/>
      <c r="H78" s="246" t="s">
        <v>4176</v>
      </c>
      <c r="I78" s="246" t="s">
        <v>4177</v>
      </c>
      <c r="J78" s="247" t="s">
        <v>4178</v>
      </c>
      <c r="K78" s="247" t="s">
        <v>4179</v>
      </c>
      <c r="L78" s="247"/>
      <c r="M78" s="247" t="s">
        <v>4180</v>
      </c>
      <c r="N78" s="247" t="s">
        <v>4181</v>
      </c>
      <c r="O78" s="247" t="s">
        <v>4182</v>
      </c>
      <c r="P78" s="375"/>
      <c r="Q78" s="375"/>
      <c r="R78" s="375"/>
      <c r="S78" s="375"/>
      <c r="T78" s="375"/>
      <c r="U78" s="375"/>
      <c r="V78" s="375"/>
      <c r="W78" s="376"/>
      <c r="X78" s="377"/>
    </row>
    <row r="79" spans="1:24" s="378" customFormat="1" ht="43.4" hidden="1" customHeight="1">
      <c r="A79" s="758"/>
      <c r="B79" s="386"/>
      <c r="C79" s="427"/>
      <c r="D79" s="770"/>
      <c r="E79" s="372"/>
      <c r="F79" s="371"/>
      <c r="G79" s="388"/>
      <c r="H79" s="246" t="s">
        <v>1595</v>
      </c>
      <c r="I79" s="246" t="s">
        <v>4183</v>
      </c>
      <c r="J79" s="247" t="s">
        <v>4184</v>
      </c>
      <c r="K79" s="247" t="s">
        <v>4185</v>
      </c>
      <c r="L79" s="247"/>
      <c r="M79" s="247" t="s">
        <v>4186</v>
      </c>
      <c r="N79" s="247" t="s">
        <v>4187</v>
      </c>
      <c r="O79" s="247" t="s">
        <v>4188</v>
      </c>
      <c r="P79" s="375"/>
      <c r="Q79" s="375"/>
      <c r="R79" s="375"/>
      <c r="S79" s="375"/>
      <c r="T79" s="375"/>
      <c r="U79" s="375"/>
      <c r="V79" s="375"/>
      <c r="W79" s="376"/>
      <c r="X79" s="377"/>
    </row>
    <row r="80" spans="1:24" s="378" customFormat="1" ht="46.5" hidden="1" customHeight="1">
      <c r="A80" s="758"/>
      <c r="B80" s="386"/>
      <c r="C80" s="427"/>
      <c r="D80" s="770"/>
      <c r="E80" s="372"/>
      <c r="F80" s="371"/>
      <c r="G80" s="388"/>
      <c r="H80" s="246" t="s">
        <v>1604</v>
      </c>
      <c r="I80" s="246" t="s">
        <v>4189</v>
      </c>
      <c r="J80" s="247" t="s">
        <v>4190</v>
      </c>
      <c r="K80" s="247" t="s">
        <v>4191</v>
      </c>
      <c r="L80" s="247"/>
      <c r="M80" s="247" t="s">
        <v>4192</v>
      </c>
      <c r="N80" s="247" t="s">
        <v>4148</v>
      </c>
      <c r="O80" s="247" t="s">
        <v>4193</v>
      </c>
      <c r="P80" s="375"/>
      <c r="Q80" s="375"/>
      <c r="R80" s="375"/>
      <c r="S80" s="375"/>
      <c r="T80" s="375"/>
      <c r="U80" s="375"/>
      <c r="V80" s="375"/>
      <c r="W80" s="376"/>
      <c r="X80" s="377"/>
    </row>
    <row r="81" spans="1:24" ht="72.650000000000006" hidden="1" customHeight="1">
      <c r="A81" s="758"/>
      <c r="B81" s="389"/>
      <c r="C81" s="417"/>
      <c r="D81" s="770"/>
      <c r="E81" s="368"/>
      <c r="F81" s="367"/>
      <c r="G81" s="385"/>
      <c r="H81" s="380" t="s">
        <v>4194</v>
      </c>
      <c r="I81" s="312" t="s">
        <v>4195</v>
      </c>
      <c r="J81" s="312" t="s">
        <v>4196</v>
      </c>
      <c r="K81" s="312" t="s">
        <v>4197</v>
      </c>
      <c r="L81" s="312"/>
      <c r="M81" s="312" t="s">
        <v>4198</v>
      </c>
      <c r="N81" s="312" t="s">
        <v>4199</v>
      </c>
      <c r="O81" s="312" t="s">
        <v>4200</v>
      </c>
      <c r="P81" s="238"/>
      <c r="Q81" s="238"/>
      <c r="R81" s="238"/>
      <c r="S81" s="238"/>
      <c r="T81" s="238"/>
      <c r="U81" s="238"/>
      <c r="V81" s="238"/>
      <c r="W81" s="369"/>
      <c r="X81" s="155"/>
    </row>
    <row r="82" spans="1:24" ht="72.650000000000006" hidden="1" customHeight="1">
      <c r="A82" s="758"/>
      <c r="B82" s="389"/>
      <c r="C82" s="417"/>
      <c r="D82" s="770"/>
      <c r="E82" s="368"/>
      <c r="F82" s="367"/>
      <c r="G82" s="385"/>
      <c r="H82" s="380" t="s">
        <v>4201</v>
      </c>
      <c r="I82" s="312" t="s">
        <v>4202</v>
      </c>
      <c r="J82" s="312" t="s">
        <v>4203</v>
      </c>
      <c r="K82" s="312" t="s">
        <v>4204</v>
      </c>
      <c r="L82" s="312"/>
      <c r="M82" s="312" t="s">
        <v>4205</v>
      </c>
      <c r="N82" s="312" t="s">
        <v>4206</v>
      </c>
      <c r="O82" s="312" t="s">
        <v>4207</v>
      </c>
      <c r="P82" s="238"/>
      <c r="Q82" s="238"/>
      <c r="R82" s="238"/>
      <c r="S82" s="238"/>
      <c r="T82" s="238"/>
      <c r="U82" s="238"/>
      <c r="V82" s="238"/>
      <c r="W82" s="369"/>
      <c r="X82" s="155"/>
    </row>
    <row r="83" spans="1:24" ht="46.5" hidden="1" customHeight="1">
      <c r="A83" s="758"/>
      <c r="B83" s="435"/>
      <c r="C83" s="366"/>
      <c r="D83" s="770"/>
      <c r="E83" s="366"/>
      <c r="F83" s="366"/>
      <c r="G83" s="385"/>
      <c r="H83" s="230" t="s">
        <v>4208</v>
      </c>
      <c r="I83" s="230" t="s">
        <v>4209</v>
      </c>
      <c r="J83" s="312" t="s">
        <v>4210</v>
      </c>
      <c r="K83" s="312" t="s">
        <v>4211</v>
      </c>
      <c r="L83" s="312"/>
      <c r="M83" s="312" t="s">
        <v>4212</v>
      </c>
      <c r="N83" s="312" t="s">
        <v>4213</v>
      </c>
      <c r="O83" s="312" t="s">
        <v>4214</v>
      </c>
      <c r="P83" s="238"/>
      <c r="Q83" s="238"/>
      <c r="R83" s="238"/>
      <c r="S83" s="238"/>
      <c r="T83" s="238"/>
      <c r="U83" s="238"/>
      <c r="V83" s="238"/>
      <c r="W83" s="369"/>
      <c r="X83" s="155"/>
    </row>
    <row r="84" spans="1:24" ht="62.9" hidden="1" customHeight="1">
      <c r="A84" s="758"/>
      <c r="B84" s="435"/>
      <c r="C84" s="366"/>
      <c r="D84" s="770"/>
      <c r="E84" s="366"/>
      <c r="F84" s="366"/>
      <c r="G84" s="385"/>
      <c r="H84" s="230" t="s">
        <v>4215</v>
      </c>
      <c r="I84" s="230" t="s">
        <v>4216</v>
      </c>
      <c r="J84" s="312" t="s">
        <v>4217</v>
      </c>
      <c r="K84" s="312" t="s">
        <v>4218</v>
      </c>
      <c r="L84" s="312"/>
      <c r="M84" s="312" t="s">
        <v>4219</v>
      </c>
      <c r="N84" s="312" t="s">
        <v>4220</v>
      </c>
      <c r="O84" s="312" t="s">
        <v>4221</v>
      </c>
      <c r="P84" s="238"/>
      <c r="Q84" s="238"/>
      <c r="R84" s="238"/>
      <c r="S84" s="238"/>
      <c r="T84" s="238"/>
      <c r="U84" s="238"/>
      <c r="V84" s="238"/>
      <c r="W84" s="369"/>
      <c r="X84" s="155"/>
    </row>
    <row r="85" spans="1:24" ht="72.650000000000006" hidden="1" customHeight="1">
      <c r="A85" s="758"/>
      <c r="B85" s="435"/>
      <c r="C85" s="366"/>
      <c r="D85" s="760"/>
      <c r="E85" s="366"/>
      <c r="F85" s="366"/>
      <c r="G85" s="385"/>
      <c r="H85" s="230" t="s">
        <v>4222</v>
      </c>
      <c r="I85" s="230" t="s">
        <v>4223</v>
      </c>
      <c r="J85" s="312" t="s">
        <v>4224</v>
      </c>
      <c r="K85" s="312" t="s">
        <v>4225</v>
      </c>
      <c r="L85" s="312"/>
      <c r="M85" s="312" t="s">
        <v>4226</v>
      </c>
      <c r="N85" s="312" t="s">
        <v>4227</v>
      </c>
      <c r="O85" s="312" t="s">
        <v>4228</v>
      </c>
      <c r="P85" s="238"/>
      <c r="Q85" s="238"/>
      <c r="R85" s="238"/>
      <c r="S85" s="238"/>
      <c r="T85" s="238"/>
      <c r="U85" s="238"/>
      <c r="V85" s="238"/>
      <c r="W85" s="369"/>
      <c r="X85" s="155"/>
    </row>
  </sheetData>
  <autoFilter ref="A1:W85" xr:uid="{00000000-0009-0000-0000-000009000000}">
    <filterColumn colId="7">
      <filters>
        <filter val="A detailed survey conducted to document existing agricultural practices &amp; challenges by June 2026."/>
      </filters>
    </filterColumn>
  </autoFilter>
  <mergeCells count="135">
    <mergeCell ref="C2:C4"/>
    <mergeCell ref="C12:C13"/>
    <mergeCell ref="C21:C22"/>
    <mergeCell ref="B9:B10"/>
    <mergeCell ref="V7:V8"/>
    <mergeCell ref="D2:D4"/>
    <mergeCell ref="K9:K10"/>
    <mergeCell ref="M9:M10"/>
    <mergeCell ref="E12:E13"/>
    <mergeCell ref="U7:U8"/>
    <mergeCell ref="T3:T4"/>
    <mergeCell ref="M14:M15"/>
    <mergeCell ref="H16:H17"/>
    <mergeCell ref="N9:N10"/>
    <mergeCell ref="H9:H10"/>
    <mergeCell ref="J9:J10"/>
    <mergeCell ref="N3:N4"/>
    <mergeCell ref="N12:N13"/>
    <mergeCell ref="M7:M8"/>
    <mergeCell ref="F5:F8"/>
    <mergeCell ref="I3:I4"/>
    <mergeCell ref="G9:G10"/>
    <mergeCell ref="J14:J15"/>
    <mergeCell ref="I9:I10"/>
    <mergeCell ref="D70:D76"/>
    <mergeCell ref="O9:O10"/>
    <mergeCell ref="G12:G13"/>
    <mergeCell ref="Q3:Q4"/>
    <mergeCell ref="E21:E22"/>
    <mergeCell ref="S3:S4"/>
    <mergeCell ref="Q12:Q13"/>
    <mergeCell ref="G21:G22"/>
    <mergeCell ref="S12:S13"/>
    <mergeCell ref="F16:F17"/>
    <mergeCell ref="E14:E15"/>
    <mergeCell ref="Q14:Q15"/>
    <mergeCell ref="P9:P10"/>
    <mergeCell ref="S14:S15"/>
    <mergeCell ref="I7:I8"/>
    <mergeCell ref="O5:O8"/>
    <mergeCell ref="S7:S8"/>
    <mergeCell ref="K3:K4"/>
    <mergeCell ref="D36:D42"/>
    <mergeCell ref="O2:O4"/>
    <mergeCell ref="D21:D22"/>
    <mergeCell ref="G24:G25"/>
    <mergeCell ref="H24:H25"/>
    <mergeCell ref="M3:M4"/>
    <mergeCell ref="G2:G4"/>
    <mergeCell ref="P7:P8"/>
    <mergeCell ref="T7:T8"/>
    <mergeCell ref="F21:F22"/>
    <mergeCell ref="M12:M13"/>
    <mergeCell ref="N14:N15"/>
    <mergeCell ref="T12:T13"/>
    <mergeCell ref="O21:O22"/>
    <mergeCell ref="G5:G8"/>
    <mergeCell ref="W7:W8"/>
    <mergeCell ref="T9:T10"/>
    <mergeCell ref="V9:V10"/>
    <mergeCell ref="V12:V13"/>
    <mergeCell ref="D12:D13"/>
    <mergeCell ref="G16:G17"/>
    <mergeCell ref="Q7:Q8"/>
    <mergeCell ref="D14:D15"/>
    <mergeCell ref="F14:F15"/>
    <mergeCell ref="U9:U10"/>
    <mergeCell ref="N7:N8"/>
    <mergeCell ref="T14:T15"/>
    <mergeCell ref="R7:R8"/>
    <mergeCell ref="E5:E8"/>
    <mergeCell ref="B5:B8"/>
    <mergeCell ref="R9:R10"/>
    <mergeCell ref="P14:P15"/>
    <mergeCell ref="R14:R15"/>
    <mergeCell ref="R12:R13"/>
    <mergeCell ref="C14:C15"/>
    <mergeCell ref="C5:C8"/>
    <mergeCell ref="B16:B17"/>
    <mergeCell ref="B12:B13"/>
    <mergeCell ref="C16:C17"/>
    <mergeCell ref="B14:B15"/>
    <mergeCell ref="D9:D10"/>
    <mergeCell ref="F9:F10"/>
    <mergeCell ref="H12:H13"/>
    <mergeCell ref="J12:J13"/>
    <mergeCell ref="D16:D17"/>
    <mergeCell ref="A24:A85"/>
    <mergeCell ref="K7:K8"/>
    <mergeCell ref="O14:O15"/>
    <mergeCell ref="D78:D85"/>
    <mergeCell ref="D44:D54"/>
    <mergeCell ref="A2:A11"/>
    <mergeCell ref="B21:B22"/>
    <mergeCell ref="H26:H27"/>
    <mergeCell ref="F12:F13"/>
    <mergeCell ref="H21:H22"/>
    <mergeCell ref="O16:O17"/>
    <mergeCell ref="C9:C10"/>
    <mergeCell ref="E9:E10"/>
    <mergeCell ref="A12:A22"/>
    <mergeCell ref="I12:I13"/>
    <mergeCell ref="O12:O13"/>
    <mergeCell ref="D56:D61"/>
    <mergeCell ref="J3:J4"/>
    <mergeCell ref="E16:E17"/>
    <mergeCell ref="B2:B4"/>
    <mergeCell ref="D24:D34"/>
    <mergeCell ref="D5:D8"/>
    <mergeCell ref="G26:G27"/>
    <mergeCell ref="H14:H15"/>
    <mergeCell ref="V3:V4"/>
    <mergeCell ref="D63:D68"/>
    <mergeCell ref="W3:W4"/>
    <mergeCell ref="U12:U13"/>
    <mergeCell ref="J7:J8"/>
    <mergeCell ref="W12:W13"/>
    <mergeCell ref="G14:G15"/>
    <mergeCell ref="I14:I15"/>
    <mergeCell ref="K14:K15"/>
    <mergeCell ref="W9:W10"/>
    <mergeCell ref="U14:U15"/>
    <mergeCell ref="W14:W15"/>
    <mergeCell ref="F2:F4"/>
    <mergeCell ref="H2:H4"/>
    <mergeCell ref="H5:H8"/>
    <mergeCell ref="E2:E4"/>
    <mergeCell ref="V14:V15"/>
    <mergeCell ref="S9:S10"/>
    <mergeCell ref="K12:K13"/>
    <mergeCell ref="Q9:Q10"/>
    <mergeCell ref="U3:U4"/>
    <mergeCell ref="P3:P4"/>
    <mergeCell ref="R3:R4"/>
    <mergeCell ref="P12:P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S66"/>
  <sheetViews>
    <sheetView zoomScaleNormal="100" workbookViewId="0">
      <pane xSplit="5" ySplit="2" topLeftCell="F17" activePane="bottomRight" state="frozen"/>
      <selection pane="topRight" activeCell="E1" sqref="E1"/>
      <selection pane="bottomLeft" activeCell="A3" sqref="A3"/>
      <selection pane="bottomRight" activeCell="E22" sqref="E22"/>
    </sheetView>
  </sheetViews>
  <sheetFormatPr defaultColWidth="12.54296875" defaultRowHeight="15.75" customHeight="1"/>
  <cols>
    <col min="1" max="1" width="13.1796875" style="156" customWidth="1"/>
    <col min="2" max="2" width="7.54296875" style="484" customWidth="1"/>
    <col min="3" max="3" width="13" style="485" customWidth="1"/>
    <col min="4" max="4" width="41.1796875" style="156" customWidth="1"/>
    <col min="5" max="5" width="40.453125" style="156" customWidth="1"/>
    <col min="6" max="12" width="29.453125" style="156" customWidth="1"/>
    <col min="13" max="13" width="24.54296875" style="156" customWidth="1"/>
    <col min="14" max="14" width="24.81640625" style="156" customWidth="1"/>
    <col min="15" max="15" width="10.81640625" style="156" customWidth="1"/>
    <col min="16" max="16" width="70.81640625" style="486" customWidth="1"/>
    <col min="17" max="17" width="15" style="156" customWidth="1"/>
    <col min="18" max="18" width="12" style="156" customWidth="1"/>
    <col min="19" max="19" width="4.453125" style="156" customWidth="1"/>
    <col min="20" max="21" width="12.54296875" style="156" customWidth="1"/>
    <col min="22" max="16384" width="12.54296875" style="156"/>
  </cols>
  <sheetData>
    <row r="1" spans="1:19" ht="36.65" customHeight="1" thickBot="1">
      <c r="A1" s="436" t="s">
        <v>2055</v>
      </c>
      <c r="B1" s="437" t="s">
        <v>2056</v>
      </c>
      <c r="C1" s="438"/>
      <c r="D1" s="439" t="s">
        <v>2057</v>
      </c>
      <c r="E1" s="439" t="s">
        <v>2058</v>
      </c>
      <c r="F1" s="439" t="s">
        <v>26</v>
      </c>
      <c r="G1" s="439" t="s">
        <v>2059</v>
      </c>
      <c r="H1" s="439" t="s">
        <v>2060</v>
      </c>
      <c r="I1" s="439" t="s">
        <v>2061</v>
      </c>
      <c r="J1" s="439" t="s">
        <v>2062</v>
      </c>
      <c r="K1" s="439" t="s">
        <v>2063</v>
      </c>
      <c r="L1" s="439" t="s">
        <v>2064</v>
      </c>
      <c r="M1" s="439" t="s">
        <v>2065</v>
      </c>
      <c r="N1" s="439" t="s">
        <v>13</v>
      </c>
      <c r="O1" s="439" t="s">
        <v>2066</v>
      </c>
      <c r="P1" s="440" t="s">
        <v>2067</v>
      </c>
      <c r="Q1" s="439" t="s">
        <v>2068</v>
      </c>
      <c r="R1" s="441" t="s">
        <v>2069</v>
      </c>
      <c r="S1" s="442"/>
    </row>
    <row r="2" spans="1:19" ht="14.5" customHeight="1" thickBot="1">
      <c r="A2" s="443" t="s">
        <v>127</v>
      </c>
      <c r="B2" s="852"/>
      <c r="C2" s="853"/>
      <c r="D2" s="853"/>
      <c r="E2" s="853"/>
      <c r="F2" s="853"/>
      <c r="G2" s="853"/>
      <c r="H2" s="853"/>
      <c r="I2" s="853"/>
      <c r="J2" s="853"/>
      <c r="K2" s="853"/>
      <c r="L2" s="853"/>
      <c r="M2" s="853"/>
      <c r="N2" s="853"/>
      <c r="O2" s="853"/>
      <c r="P2" s="853"/>
      <c r="Q2" s="853"/>
      <c r="R2" s="854"/>
      <c r="S2" s="442"/>
    </row>
    <row r="3" spans="1:19" ht="63" customHeight="1" thickBot="1">
      <c r="A3" s="444" t="s">
        <v>2070</v>
      </c>
      <c r="B3" s="855">
        <v>1</v>
      </c>
      <c r="C3" s="855" t="s">
        <v>2071</v>
      </c>
      <c r="D3" s="856" t="s">
        <v>2072</v>
      </c>
      <c r="E3" s="445" t="s">
        <v>129</v>
      </c>
      <c r="F3" s="445">
        <v>0</v>
      </c>
      <c r="G3" s="445" t="s">
        <v>4229</v>
      </c>
      <c r="H3" s="445" t="s">
        <v>4230</v>
      </c>
      <c r="I3" s="445" t="s">
        <v>4231</v>
      </c>
      <c r="J3" s="445" t="s">
        <v>4232</v>
      </c>
      <c r="K3" s="445" t="s">
        <v>4233</v>
      </c>
      <c r="L3" s="445" t="s">
        <v>2073</v>
      </c>
      <c r="M3" s="445" t="s">
        <v>131</v>
      </c>
      <c r="N3" s="445" t="s">
        <v>133</v>
      </c>
      <c r="O3" s="445" t="s">
        <v>109</v>
      </c>
      <c r="P3" s="446" t="s">
        <v>2074</v>
      </c>
      <c r="Q3" s="447" t="s">
        <v>2075</v>
      </c>
      <c r="R3" s="448" t="s">
        <v>137</v>
      </c>
      <c r="S3" s="442"/>
    </row>
    <row r="4" spans="1:19" ht="38.15" customHeight="1" thickBot="1">
      <c r="A4" s="444"/>
      <c r="B4" s="770"/>
      <c r="C4" s="770"/>
      <c r="D4" s="770"/>
      <c r="E4" s="445" t="s">
        <v>138</v>
      </c>
      <c r="F4" s="445">
        <v>0</v>
      </c>
      <c r="G4" s="445" t="s">
        <v>4234</v>
      </c>
      <c r="H4" s="445" t="s">
        <v>4235</v>
      </c>
      <c r="I4" s="445" t="s">
        <v>4236</v>
      </c>
      <c r="J4" s="445" t="s">
        <v>4237</v>
      </c>
      <c r="K4" s="445" t="s">
        <v>4238</v>
      </c>
      <c r="L4" s="849" t="s">
        <v>2076</v>
      </c>
      <c r="M4" s="849" t="s">
        <v>140</v>
      </c>
      <c r="N4" s="849" t="s">
        <v>142</v>
      </c>
      <c r="O4" s="849" t="s">
        <v>109</v>
      </c>
      <c r="P4" s="850" t="s">
        <v>2077</v>
      </c>
      <c r="Q4" s="857" t="s">
        <v>2075</v>
      </c>
      <c r="R4" s="858" t="s">
        <v>146</v>
      </c>
      <c r="S4" s="442"/>
    </row>
    <row r="5" spans="1:19" ht="38.15" customHeight="1" thickBot="1">
      <c r="A5" s="444"/>
      <c r="B5" s="760"/>
      <c r="C5" s="760"/>
      <c r="D5" s="760"/>
      <c r="E5" s="445" t="s">
        <v>147</v>
      </c>
      <c r="F5" s="445">
        <v>0</v>
      </c>
      <c r="G5" s="445" t="s">
        <v>4234</v>
      </c>
      <c r="H5" s="445" t="s">
        <v>4239</v>
      </c>
      <c r="I5" s="445" t="s">
        <v>4240</v>
      </c>
      <c r="J5" s="445" t="s">
        <v>4241</v>
      </c>
      <c r="K5" s="445" t="s">
        <v>4242</v>
      </c>
      <c r="L5" s="760"/>
      <c r="M5" s="760"/>
      <c r="N5" s="760"/>
      <c r="O5" s="760"/>
      <c r="P5" s="760"/>
      <c r="Q5" s="760"/>
      <c r="R5" s="859"/>
      <c r="S5" s="442"/>
    </row>
    <row r="6" spans="1:19" ht="25.5" customHeight="1" thickBot="1">
      <c r="A6" s="444"/>
      <c r="B6" s="847">
        <v>2</v>
      </c>
      <c r="C6" s="851" t="s">
        <v>2078</v>
      </c>
      <c r="D6" s="848" t="s">
        <v>153</v>
      </c>
      <c r="E6" s="445" t="s">
        <v>154</v>
      </c>
      <c r="F6" s="445">
        <v>0</v>
      </c>
      <c r="G6" s="445" t="s">
        <v>4243</v>
      </c>
      <c r="H6" s="445" t="s">
        <v>4244</v>
      </c>
      <c r="I6" s="445" t="s">
        <v>4244</v>
      </c>
      <c r="J6" s="445" t="s">
        <v>4245</v>
      </c>
      <c r="K6" s="445" t="s">
        <v>4246</v>
      </c>
      <c r="L6" s="849" t="s">
        <v>2079</v>
      </c>
      <c r="M6" s="849" t="s">
        <v>156</v>
      </c>
      <c r="N6" s="849" t="s">
        <v>158</v>
      </c>
      <c r="O6" s="849" t="s">
        <v>109</v>
      </c>
      <c r="P6" s="850" t="s">
        <v>2080</v>
      </c>
      <c r="Q6" s="857" t="s">
        <v>2075</v>
      </c>
      <c r="R6" s="448" t="s">
        <v>161</v>
      </c>
      <c r="S6" s="442"/>
    </row>
    <row r="7" spans="1:19" ht="37" customHeight="1" thickBot="1">
      <c r="A7" s="444"/>
      <c r="B7" s="770"/>
      <c r="C7" s="770"/>
      <c r="D7" s="770"/>
      <c r="E7" s="445" t="s">
        <v>162</v>
      </c>
      <c r="F7" s="445"/>
      <c r="G7" s="445"/>
      <c r="H7" s="445" t="s">
        <v>4247</v>
      </c>
      <c r="I7" s="445" t="s">
        <v>4248</v>
      </c>
      <c r="J7" s="445" t="s">
        <v>4249</v>
      </c>
      <c r="K7" s="445" t="s">
        <v>4250</v>
      </c>
      <c r="L7" s="770"/>
      <c r="M7" s="770"/>
      <c r="N7" s="770"/>
      <c r="O7" s="770"/>
      <c r="P7" s="770"/>
      <c r="Q7" s="770"/>
      <c r="R7" s="448" t="s">
        <v>146</v>
      </c>
      <c r="S7" s="442"/>
    </row>
    <row r="8" spans="1:19" ht="38.15" customHeight="1" thickBot="1">
      <c r="A8" s="444"/>
      <c r="B8" s="760"/>
      <c r="C8" s="760"/>
      <c r="D8" s="760"/>
      <c r="E8" s="445" t="s">
        <v>167</v>
      </c>
      <c r="F8" s="445"/>
      <c r="G8" s="445"/>
      <c r="H8" s="445" t="s">
        <v>4251</v>
      </c>
      <c r="I8" s="445" t="s">
        <v>4252</v>
      </c>
      <c r="J8" s="445" t="s">
        <v>4253</v>
      </c>
      <c r="K8" s="445" t="s">
        <v>4254</v>
      </c>
      <c r="L8" s="760"/>
      <c r="M8" s="760"/>
      <c r="N8" s="760"/>
      <c r="O8" s="760"/>
      <c r="P8" s="760"/>
      <c r="Q8" s="760"/>
      <c r="R8" s="448" t="s">
        <v>172</v>
      </c>
      <c r="S8" s="442"/>
    </row>
    <row r="9" spans="1:19" ht="25.5" customHeight="1" thickBot="1">
      <c r="A9" s="444"/>
      <c r="B9" s="847">
        <v>3</v>
      </c>
      <c r="C9" s="851" t="s">
        <v>2081</v>
      </c>
      <c r="D9" s="848" t="s">
        <v>173</v>
      </c>
      <c r="E9" s="445" t="s">
        <v>174</v>
      </c>
      <c r="F9" s="445" t="s">
        <v>181</v>
      </c>
      <c r="G9" s="445" t="s">
        <v>4255</v>
      </c>
      <c r="H9" s="445" t="s">
        <v>4256</v>
      </c>
      <c r="I9" s="445" t="s">
        <v>4256</v>
      </c>
      <c r="J9" s="445" t="s">
        <v>4256</v>
      </c>
      <c r="K9" s="445" t="s">
        <v>4256</v>
      </c>
      <c r="L9" s="849" t="s">
        <v>2082</v>
      </c>
      <c r="M9" s="849" t="s">
        <v>176</v>
      </c>
      <c r="N9" s="849" t="s">
        <v>178</v>
      </c>
      <c r="O9" s="445" t="s">
        <v>109</v>
      </c>
      <c r="P9" s="850" t="s">
        <v>2083</v>
      </c>
      <c r="Q9" s="857" t="s">
        <v>2075</v>
      </c>
      <c r="R9" s="858" t="s">
        <v>146</v>
      </c>
      <c r="S9" s="442"/>
    </row>
    <row r="10" spans="1:19" ht="50.15" customHeight="1">
      <c r="A10" s="444"/>
      <c r="B10" s="760"/>
      <c r="C10" s="760"/>
      <c r="D10" s="760"/>
      <c r="E10" s="445" t="s">
        <v>182</v>
      </c>
      <c r="F10" s="445" t="s">
        <v>187</v>
      </c>
      <c r="G10" s="445" t="s">
        <v>4257</v>
      </c>
      <c r="H10" s="445" t="s">
        <v>4258</v>
      </c>
      <c r="I10" s="445" t="s">
        <v>4259</v>
      </c>
      <c r="J10" s="445" t="s">
        <v>4260</v>
      </c>
      <c r="K10" s="445" t="s">
        <v>4261</v>
      </c>
      <c r="L10" s="760"/>
      <c r="M10" s="760"/>
      <c r="N10" s="760"/>
      <c r="O10" s="445" t="s">
        <v>109</v>
      </c>
      <c r="P10" s="760"/>
      <c r="Q10" s="760"/>
      <c r="R10" s="859"/>
      <c r="S10" s="442"/>
    </row>
    <row r="11" spans="1:19" ht="49.75" customHeight="1">
      <c r="A11" s="574" t="s">
        <v>2084</v>
      </c>
      <c r="B11" s="449">
        <v>1.1000000000000001</v>
      </c>
      <c r="C11" s="450" t="s">
        <v>2085</v>
      </c>
      <c r="D11" s="451" t="s">
        <v>350</v>
      </c>
      <c r="E11" s="451" t="s">
        <v>2086</v>
      </c>
      <c r="F11" s="451">
        <v>0</v>
      </c>
      <c r="G11" s="451" t="s">
        <v>4243</v>
      </c>
      <c r="H11" s="451" t="s">
        <v>4262</v>
      </c>
      <c r="I11" s="451" t="s">
        <v>4263</v>
      </c>
      <c r="J11" s="451" t="s">
        <v>4263</v>
      </c>
      <c r="K11" s="451" t="s">
        <v>4263</v>
      </c>
      <c r="L11" s="451" t="s">
        <v>2087</v>
      </c>
      <c r="M11" s="451" t="s">
        <v>353</v>
      </c>
      <c r="N11" s="451" t="s">
        <v>355</v>
      </c>
      <c r="O11" s="451" t="s">
        <v>109</v>
      </c>
      <c r="P11" s="452" t="s">
        <v>2088</v>
      </c>
      <c r="Q11" s="451" t="s">
        <v>2075</v>
      </c>
      <c r="R11" s="451" t="s">
        <v>358</v>
      </c>
      <c r="S11" s="442"/>
    </row>
    <row r="12" spans="1:19" ht="50.15" customHeight="1">
      <c r="A12" s="574"/>
      <c r="B12" s="449">
        <v>1.2</v>
      </c>
      <c r="C12" s="450" t="s">
        <v>2089</v>
      </c>
      <c r="D12" s="453" t="s">
        <v>359</v>
      </c>
      <c r="E12" s="453" t="s">
        <v>360</v>
      </c>
      <c r="F12" s="453">
        <v>0</v>
      </c>
      <c r="G12" s="453" t="s">
        <v>4264</v>
      </c>
      <c r="H12" s="453" t="s">
        <v>4265</v>
      </c>
      <c r="I12" s="453" t="s">
        <v>4266</v>
      </c>
      <c r="J12" s="453" t="s">
        <v>4267</v>
      </c>
      <c r="K12" s="453" t="s">
        <v>4268</v>
      </c>
      <c r="L12" s="453" t="s">
        <v>2091</v>
      </c>
      <c r="M12" s="453" t="s">
        <v>362</v>
      </c>
      <c r="N12" s="453" t="s">
        <v>364</v>
      </c>
      <c r="O12" s="453" t="s">
        <v>109</v>
      </c>
      <c r="P12" s="454" t="s">
        <v>2092</v>
      </c>
      <c r="Q12" s="168" t="s">
        <v>109</v>
      </c>
      <c r="R12" s="455" t="s">
        <v>367</v>
      </c>
      <c r="S12" s="442"/>
    </row>
    <row r="13" spans="1:19" ht="49.75" customHeight="1">
      <c r="A13" s="574"/>
      <c r="B13" s="449">
        <v>1.3</v>
      </c>
      <c r="C13" s="450" t="s">
        <v>2093</v>
      </c>
      <c r="D13" s="456" t="s">
        <v>368</v>
      </c>
      <c r="E13" s="456" t="s">
        <v>2094</v>
      </c>
      <c r="F13" s="457" t="s">
        <v>377</v>
      </c>
      <c r="G13" s="457" t="s">
        <v>4269</v>
      </c>
      <c r="H13" s="457" t="s">
        <v>4270</v>
      </c>
      <c r="I13" s="457" t="s">
        <v>4271</v>
      </c>
      <c r="J13" s="457" t="s">
        <v>4272</v>
      </c>
      <c r="K13" s="457" t="s">
        <v>4273</v>
      </c>
      <c r="L13" s="456" t="s">
        <v>2095</v>
      </c>
      <c r="M13" s="456" t="s">
        <v>371</v>
      </c>
      <c r="N13" s="456" t="s">
        <v>373</v>
      </c>
      <c r="O13" s="456" t="s">
        <v>109</v>
      </c>
      <c r="P13" s="458" t="s">
        <v>2096</v>
      </c>
      <c r="Q13" s="168" t="s">
        <v>109</v>
      </c>
      <c r="R13" s="455" t="s">
        <v>376</v>
      </c>
      <c r="S13" s="442"/>
    </row>
    <row r="14" spans="1:19" ht="49.75" customHeight="1">
      <c r="A14" s="459"/>
      <c r="B14" s="449">
        <v>2.1</v>
      </c>
      <c r="C14" s="450" t="s">
        <v>2097</v>
      </c>
      <c r="D14" s="451" t="s">
        <v>378</v>
      </c>
      <c r="E14" s="451" t="s">
        <v>379</v>
      </c>
      <c r="F14" s="451">
        <v>0</v>
      </c>
      <c r="G14" s="451" t="s">
        <v>4243</v>
      </c>
      <c r="H14" s="451" t="s">
        <v>4274</v>
      </c>
      <c r="I14" s="451" t="s">
        <v>4275</v>
      </c>
      <c r="J14" s="451" t="s">
        <v>4276</v>
      </c>
      <c r="K14" s="451" t="s">
        <v>4276</v>
      </c>
      <c r="L14" s="451" t="s">
        <v>2098</v>
      </c>
      <c r="M14" s="451" t="s">
        <v>381</v>
      </c>
      <c r="N14" s="451" t="s">
        <v>383</v>
      </c>
      <c r="O14" s="451" t="s">
        <v>109</v>
      </c>
      <c r="P14" s="452" t="s">
        <v>2099</v>
      </c>
      <c r="Q14" s="161" t="s">
        <v>2075</v>
      </c>
      <c r="R14" s="460" t="s">
        <v>146</v>
      </c>
      <c r="S14" s="442"/>
    </row>
    <row r="15" spans="1:19" ht="62.5" customHeight="1">
      <c r="A15" s="574"/>
      <c r="B15" s="449">
        <v>2.2000000000000002</v>
      </c>
      <c r="C15" s="450" t="s">
        <v>2100</v>
      </c>
      <c r="D15" s="451" t="s">
        <v>386</v>
      </c>
      <c r="E15" s="451" t="s">
        <v>2101</v>
      </c>
      <c r="F15" s="451" t="s">
        <v>393</v>
      </c>
      <c r="G15" s="451" t="s">
        <v>4277</v>
      </c>
      <c r="H15" s="451" t="s">
        <v>4278</v>
      </c>
      <c r="I15" s="451" t="s">
        <v>4279</v>
      </c>
      <c r="J15" s="451" t="s">
        <v>4280</v>
      </c>
      <c r="K15" s="451" t="str">
        <f>L3</f>
        <v>Strategic plan is well-designed and aligned with capacity and context; leadership and staff are committed to implementation; adequate funding is available</v>
      </c>
      <c r="L15" s="451" t="s">
        <v>2102</v>
      </c>
      <c r="M15" s="451" t="s">
        <v>2103</v>
      </c>
      <c r="N15" s="451" t="s">
        <v>390</v>
      </c>
      <c r="O15" s="451" t="s">
        <v>109</v>
      </c>
      <c r="P15" s="452" t="s">
        <v>2104</v>
      </c>
      <c r="Q15" s="451" t="s">
        <v>2075</v>
      </c>
      <c r="R15" s="451" t="s">
        <v>146</v>
      </c>
      <c r="S15" s="442"/>
    </row>
    <row r="16" spans="1:19" ht="62.5" customHeight="1">
      <c r="A16" s="459"/>
      <c r="B16" s="449">
        <v>3.1</v>
      </c>
      <c r="C16" s="450" t="s">
        <v>2105</v>
      </c>
      <c r="D16" s="461" t="s">
        <v>394</v>
      </c>
      <c r="E16" s="451" t="s">
        <v>395</v>
      </c>
      <c r="F16" s="451">
        <v>0</v>
      </c>
      <c r="G16" s="451" t="s">
        <v>4243</v>
      </c>
      <c r="H16" s="451" t="s">
        <v>4281</v>
      </c>
      <c r="I16" s="451" t="s">
        <v>4282</v>
      </c>
      <c r="J16" s="451" t="s">
        <v>4283</v>
      </c>
      <c r="K16" s="451" t="s">
        <v>4283</v>
      </c>
      <c r="L16" s="451" t="s">
        <v>2106</v>
      </c>
      <c r="M16" s="451" t="s">
        <v>397</v>
      </c>
      <c r="N16" s="451" t="s">
        <v>399</v>
      </c>
      <c r="O16" s="451" t="s">
        <v>109</v>
      </c>
      <c r="P16" s="452" t="s">
        <v>2107</v>
      </c>
      <c r="Q16" s="161" t="s">
        <v>2075</v>
      </c>
      <c r="R16" s="460" t="s">
        <v>146</v>
      </c>
      <c r="S16" s="442"/>
    </row>
    <row r="17" spans="1:19" ht="65.150000000000006" customHeight="1">
      <c r="A17" s="462" t="s">
        <v>2108</v>
      </c>
      <c r="B17" s="463">
        <v>1.1000000000000001</v>
      </c>
      <c r="C17" s="464" t="s">
        <v>2085</v>
      </c>
      <c r="D17" s="465" t="s">
        <v>350</v>
      </c>
      <c r="E17" s="466"/>
      <c r="F17" s="466"/>
      <c r="G17" s="466"/>
      <c r="H17" s="466"/>
      <c r="I17" s="466"/>
      <c r="J17" s="466"/>
      <c r="K17" s="466"/>
      <c r="L17" s="466"/>
      <c r="M17" s="466"/>
      <c r="N17" s="466"/>
      <c r="O17" s="466"/>
      <c r="P17" s="467"/>
      <c r="Q17" s="466"/>
      <c r="R17" s="468"/>
      <c r="S17" s="442"/>
    </row>
    <row r="18" spans="1:19" ht="50.15" customHeight="1">
      <c r="A18" s="462"/>
      <c r="B18" s="469" t="s">
        <v>419</v>
      </c>
      <c r="C18" s="470"/>
      <c r="D18" s="466" t="s">
        <v>2109</v>
      </c>
      <c r="E18" s="466" t="s">
        <v>2110</v>
      </c>
      <c r="F18" s="466"/>
      <c r="G18" s="466"/>
      <c r="H18" s="466"/>
      <c r="I18" s="466"/>
      <c r="J18" s="466"/>
      <c r="K18" s="466"/>
      <c r="L18" s="466" t="s">
        <v>2111</v>
      </c>
      <c r="M18" s="466" t="s">
        <v>2112</v>
      </c>
      <c r="N18" s="466" t="s">
        <v>2113</v>
      </c>
      <c r="O18" s="466"/>
      <c r="P18" s="467" t="s">
        <v>2114</v>
      </c>
      <c r="Q18" s="466"/>
      <c r="R18" s="468"/>
      <c r="S18" s="442"/>
    </row>
    <row r="19" spans="1:19" ht="37.5" customHeight="1">
      <c r="A19" s="462"/>
      <c r="B19" s="469" t="s">
        <v>437</v>
      </c>
      <c r="C19" s="470"/>
      <c r="D19" s="466" t="s">
        <v>2115</v>
      </c>
      <c r="E19" s="466" t="s">
        <v>2116</v>
      </c>
      <c r="F19" s="466"/>
      <c r="G19" s="466"/>
      <c r="H19" s="466"/>
      <c r="I19" s="466"/>
      <c r="J19" s="466"/>
      <c r="K19" s="466"/>
      <c r="L19" s="466" t="s">
        <v>2117</v>
      </c>
      <c r="M19" s="466" t="s">
        <v>2118</v>
      </c>
      <c r="N19" s="466" t="s">
        <v>2119</v>
      </c>
      <c r="O19" s="466"/>
      <c r="P19" s="467" t="s">
        <v>2120</v>
      </c>
      <c r="Q19" s="466"/>
      <c r="R19" s="468"/>
      <c r="S19" s="442"/>
    </row>
    <row r="20" spans="1:19" ht="50.15" customHeight="1">
      <c r="A20" s="462"/>
      <c r="B20" s="469" t="s">
        <v>447</v>
      </c>
      <c r="C20" s="470"/>
      <c r="D20" s="466" t="s">
        <v>2121</v>
      </c>
      <c r="E20" s="466" t="s">
        <v>2122</v>
      </c>
      <c r="F20" s="466"/>
      <c r="G20" s="466"/>
      <c r="H20" s="466"/>
      <c r="I20" s="466"/>
      <c r="J20" s="466"/>
      <c r="K20" s="466"/>
      <c r="L20" s="466" t="s">
        <v>2123</v>
      </c>
      <c r="M20" s="466" t="s">
        <v>2124</v>
      </c>
      <c r="N20" s="466" t="s">
        <v>2125</v>
      </c>
      <c r="O20" s="466"/>
      <c r="P20" s="467" t="s">
        <v>2126</v>
      </c>
      <c r="Q20" s="466"/>
      <c r="R20" s="468"/>
      <c r="S20" s="442"/>
    </row>
    <row r="21" spans="1:19" ht="37.5" customHeight="1">
      <c r="A21" s="462"/>
      <c r="B21" s="469" t="s">
        <v>460</v>
      </c>
      <c r="C21" s="470"/>
      <c r="D21" s="466" t="s">
        <v>1680</v>
      </c>
      <c r="E21" s="466" t="s">
        <v>4284</v>
      </c>
      <c r="F21" s="466"/>
      <c r="G21" s="466"/>
      <c r="H21" s="466"/>
      <c r="I21" s="466"/>
      <c r="J21" s="466"/>
      <c r="K21" s="466"/>
      <c r="L21" s="466" t="s">
        <v>2128</v>
      </c>
      <c r="M21" s="466" t="s">
        <v>2129</v>
      </c>
      <c r="N21" s="466" t="s">
        <v>2130</v>
      </c>
      <c r="O21" s="466"/>
      <c r="P21" s="467" t="s">
        <v>2131</v>
      </c>
      <c r="Q21" s="466"/>
      <c r="R21" s="468"/>
      <c r="S21" s="442"/>
    </row>
    <row r="22" spans="1:19" ht="50.15" customHeight="1">
      <c r="A22" s="462"/>
      <c r="B22" s="469" t="s">
        <v>1689</v>
      </c>
      <c r="C22" s="470"/>
      <c r="D22" s="466" t="s">
        <v>1690</v>
      </c>
      <c r="E22" s="466" t="s">
        <v>2132</v>
      </c>
      <c r="F22" s="466"/>
      <c r="G22" s="466"/>
      <c r="H22" s="466"/>
      <c r="I22" s="466"/>
      <c r="J22" s="466"/>
      <c r="K22" s="466"/>
      <c r="L22" s="466" t="s">
        <v>2133</v>
      </c>
      <c r="M22" s="466" t="s">
        <v>2134</v>
      </c>
      <c r="N22" s="466" t="s">
        <v>2135</v>
      </c>
      <c r="O22" s="466"/>
      <c r="P22" s="467" t="s">
        <v>2136</v>
      </c>
      <c r="Q22" s="466"/>
      <c r="R22" s="468"/>
      <c r="S22" s="442"/>
    </row>
    <row r="23" spans="1:19" ht="37.5" customHeight="1">
      <c r="A23" s="462"/>
      <c r="B23" s="469" t="s">
        <v>489</v>
      </c>
      <c r="C23" s="470"/>
      <c r="D23" s="466" t="s">
        <v>1698</v>
      </c>
      <c r="E23" s="466" t="s">
        <v>2137</v>
      </c>
      <c r="F23" s="466"/>
      <c r="G23" s="466"/>
      <c r="H23" s="466"/>
      <c r="I23" s="466"/>
      <c r="J23" s="466"/>
      <c r="K23" s="466"/>
      <c r="L23" s="466" t="s">
        <v>2138</v>
      </c>
      <c r="M23" s="466" t="s">
        <v>2139</v>
      </c>
      <c r="N23" s="466" t="s">
        <v>2140</v>
      </c>
      <c r="O23" s="466"/>
      <c r="P23" s="467" t="s">
        <v>2141</v>
      </c>
      <c r="Q23" s="466"/>
      <c r="R23" s="468"/>
      <c r="S23" s="442"/>
    </row>
    <row r="24" spans="1:19" ht="52" customHeight="1">
      <c r="A24" s="462"/>
      <c r="B24" s="463">
        <v>1.2</v>
      </c>
      <c r="C24" s="464" t="s">
        <v>2089</v>
      </c>
      <c r="D24" s="471" t="s">
        <v>4285</v>
      </c>
      <c r="E24" s="466"/>
      <c r="F24" s="466"/>
      <c r="G24" s="466"/>
      <c r="H24" s="466"/>
      <c r="I24" s="466"/>
      <c r="J24" s="466"/>
      <c r="K24" s="466"/>
      <c r="L24" s="466"/>
      <c r="M24" s="466"/>
      <c r="N24" s="466"/>
      <c r="O24" s="466"/>
      <c r="P24" s="467"/>
      <c r="Q24" s="466"/>
      <c r="R24" s="468"/>
      <c r="S24" s="442"/>
    </row>
    <row r="25" spans="1:19" ht="37.5" customHeight="1">
      <c r="A25" s="462"/>
      <c r="B25" s="469">
        <v>7.1</v>
      </c>
      <c r="C25" s="470"/>
      <c r="D25" s="466" t="s">
        <v>1706</v>
      </c>
      <c r="E25" s="466" t="s">
        <v>4286</v>
      </c>
      <c r="F25" s="466"/>
      <c r="G25" s="466"/>
      <c r="H25" s="466"/>
      <c r="I25" s="466"/>
      <c r="J25" s="466"/>
      <c r="K25" s="466"/>
      <c r="L25" s="466" t="s">
        <v>2144</v>
      </c>
      <c r="M25" s="466" t="s">
        <v>2145</v>
      </c>
      <c r="N25" s="466" t="s">
        <v>2146</v>
      </c>
      <c r="O25" s="466"/>
      <c r="P25" s="467" t="s">
        <v>2147</v>
      </c>
      <c r="Q25" s="466"/>
      <c r="R25" s="468"/>
      <c r="S25" s="442"/>
    </row>
    <row r="26" spans="1:19" ht="37.5" customHeight="1">
      <c r="A26" s="462"/>
      <c r="B26" s="469">
        <v>7.2</v>
      </c>
      <c r="C26" s="470"/>
      <c r="D26" s="466" t="s">
        <v>2148</v>
      </c>
      <c r="E26" s="466" t="s">
        <v>4287</v>
      </c>
      <c r="F26" s="466"/>
      <c r="G26" s="466"/>
      <c r="H26" s="466"/>
      <c r="I26" s="466"/>
      <c r="J26" s="466"/>
      <c r="K26" s="466"/>
      <c r="L26" s="466" t="s">
        <v>2150</v>
      </c>
      <c r="M26" s="466" t="s">
        <v>2151</v>
      </c>
      <c r="N26" s="466" t="s">
        <v>2152</v>
      </c>
      <c r="O26" s="466"/>
      <c r="P26" s="467" t="s">
        <v>2153</v>
      </c>
      <c r="Q26" s="466"/>
      <c r="R26" s="468"/>
      <c r="S26" s="442"/>
    </row>
    <row r="27" spans="1:19" ht="37.5" customHeight="1">
      <c r="A27" s="462"/>
      <c r="B27" s="469">
        <v>7.3</v>
      </c>
      <c r="C27" s="470"/>
      <c r="D27" s="466" t="s">
        <v>2154</v>
      </c>
      <c r="E27" s="466" t="s">
        <v>4288</v>
      </c>
      <c r="F27" s="466"/>
      <c r="G27" s="466"/>
      <c r="H27" s="466"/>
      <c r="I27" s="466"/>
      <c r="J27" s="466"/>
      <c r="K27" s="466"/>
      <c r="L27" s="466" t="s">
        <v>2156</v>
      </c>
      <c r="M27" s="466" t="s">
        <v>2157</v>
      </c>
      <c r="N27" s="466" t="s">
        <v>2158</v>
      </c>
      <c r="O27" s="466"/>
      <c r="P27" s="467" t="s">
        <v>2159</v>
      </c>
      <c r="Q27" s="466"/>
      <c r="R27" s="468"/>
      <c r="S27" s="442"/>
    </row>
    <row r="28" spans="1:19" ht="37.5" customHeight="1">
      <c r="A28" s="462"/>
      <c r="B28" s="469">
        <v>7.4</v>
      </c>
      <c r="C28" s="470"/>
      <c r="D28" s="466" t="s">
        <v>1728</v>
      </c>
      <c r="E28" s="466" t="s">
        <v>4289</v>
      </c>
      <c r="F28" s="466"/>
      <c r="G28" s="466"/>
      <c r="H28" s="466"/>
      <c r="I28" s="466"/>
      <c r="J28" s="466"/>
      <c r="K28" s="466"/>
      <c r="L28" s="466" t="s">
        <v>2161</v>
      </c>
      <c r="M28" s="466" t="s">
        <v>2162</v>
      </c>
      <c r="N28" s="466" t="s">
        <v>2163</v>
      </c>
      <c r="O28" s="466"/>
      <c r="P28" s="467" t="s">
        <v>2164</v>
      </c>
      <c r="Q28" s="466"/>
      <c r="R28" s="468"/>
      <c r="S28" s="442"/>
    </row>
    <row r="29" spans="1:19" ht="37.5" customHeight="1">
      <c r="A29" s="462"/>
      <c r="B29" s="469">
        <v>7.5</v>
      </c>
      <c r="C29" s="470"/>
      <c r="D29" s="466" t="s">
        <v>2165</v>
      </c>
      <c r="E29" s="466" t="s">
        <v>2166</v>
      </c>
      <c r="F29" s="466"/>
      <c r="G29" s="466"/>
      <c r="H29" s="466"/>
      <c r="I29" s="466"/>
      <c r="J29" s="466"/>
      <c r="K29" s="466"/>
      <c r="L29" s="466" t="s">
        <v>2167</v>
      </c>
      <c r="M29" s="466" t="s">
        <v>2168</v>
      </c>
      <c r="N29" s="466" t="s">
        <v>2169</v>
      </c>
      <c r="O29" s="466"/>
      <c r="P29" s="467" t="s">
        <v>2170</v>
      </c>
      <c r="Q29" s="466"/>
      <c r="R29" s="468"/>
      <c r="S29" s="442"/>
    </row>
    <row r="30" spans="1:19" ht="25" customHeight="1">
      <c r="A30" s="462"/>
      <c r="B30" s="469">
        <v>7.6</v>
      </c>
      <c r="C30" s="470"/>
      <c r="D30" s="466" t="s">
        <v>1743</v>
      </c>
      <c r="E30" s="466" t="s">
        <v>4290</v>
      </c>
      <c r="F30" s="466"/>
      <c r="G30" s="466"/>
      <c r="H30" s="466"/>
      <c r="I30" s="466"/>
      <c r="J30" s="466"/>
      <c r="K30" s="466"/>
      <c r="L30" s="466" t="s">
        <v>2172</v>
      </c>
      <c r="M30" s="466" t="s">
        <v>2173</v>
      </c>
      <c r="N30" s="466" t="s">
        <v>2174</v>
      </c>
      <c r="O30" s="466"/>
      <c r="P30" s="467" t="s">
        <v>2175</v>
      </c>
      <c r="Q30" s="466"/>
      <c r="R30" s="468"/>
      <c r="S30" s="442"/>
    </row>
    <row r="31" spans="1:19" ht="37.5" customHeight="1">
      <c r="A31" s="462"/>
      <c r="B31" s="469">
        <v>7.7</v>
      </c>
      <c r="C31" s="470"/>
      <c r="D31" s="466" t="s">
        <v>1750</v>
      </c>
      <c r="E31" s="466" t="s">
        <v>2176</v>
      </c>
      <c r="F31" s="466"/>
      <c r="G31" s="466"/>
      <c r="H31" s="466"/>
      <c r="I31" s="466"/>
      <c r="J31" s="466"/>
      <c r="K31" s="466"/>
      <c r="L31" s="466" t="s">
        <v>2177</v>
      </c>
      <c r="M31" s="466" t="s">
        <v>2178</v>
      </c>
      <c r="N31" s="466" t="s">
        <v>2179</v>
      </c>
      <c r="O31" s="466"/>
      <c r="P31" s="467" t="s">
        <v>2180</v>
      </c>
      <c r="Q31" s="466"/>
      <c r="R31" s="468"/>
      <c r="S31" s="442"/>
    </row>
    <row r="32" spans="1:19" ht="37.5" customHeight="1">
      <c r="A32" s="462"/>
      <c r="B32" s="469">
        <v>7.8</v>
      </c>
      <c r="C32" s="470"/>
      <c r="D32" s="466" t="s">
        <v>1757</v>
      </c>
      <c r="E32" s="466" t="s">
        <v>4291</v>
      </c>
      <c r="F32" s="466"/>
      <c r="G32" s="466"/>
      <c r="H32" s="466"/>
      <c r="I32" s="466"/>
      <c r="J32" s="466"/>
      <c r="K32" s="466"/>
      <c r="L32" s="466" t="s">
        <v>4292</v>
      </c>
      <c r="M32" s="466" t="s">
        <v>4293</v>
      </c>
      <c r="N32" s="466" t="s">
        <v>4294</v>
      </c>
      <c r="O32" s="466"/>
      <c r="P32" s="467" t="s">
        <v>4295</v>
      </c>
      <c r="Q32" s="466"/>
      <c r="R32" s="468"/>
      <c r="S32" s="442"/>
    </row>
    <row r="33" spans="1:19" ht="78" customHeight="1">
      <c r="A33" s="462"/>
      <c r="B33" s="463">
        <v>1.3</v>
      </c>
      <c r="C33" s="464" t="s">
        <v>2093</v>
      </c>
      <c r="D33" s="465" t="s">
        <v>368</v>
      </c>
      <c r="E33" s="466"/>
      <c r="F33" s="466"/>
      <c r="G33" s="466"/>
      <c r="H33" s="466"/>
      <c r="I33" s="466"/>
      <c r="J33" s="466"/>
      <c r="K33" s="466"/>
      <c r="L33" s="466"/>
      <c r="M33" s="466"/>
      <c r="N33" s="466"/>
      <c r="O33" s="466"/>
      <c r="P33" s="467"/>
      <c r="Q33" s="466"/>
      <c r="R33" s="468"/>
      <c r="S33" s="442"/>
    </row>
    <row r="34" spans="1:19" ht="50.15" customHeight="1">
      <c r="A34" s="462"/>
      <c r="B34" s="469">
        <v>8.1</v>
      </c>
      <c r="C34" s="470"/>
      <c r="D34" s="466" t="s">
        <v>2181</v>
      </c>
      <c r="E34" s="466" t="s">
        <v>4296</v>
      </c>
      <c r="F34" s="466"/>
      <c r="G34" s="466"/>
      <c r="H34" s="466"/>
      <c r="I34" s="466"/>
      <c r="J34" s="466"/>
      <c r="K34" s="466"/>
      <c r="L34" s="466" t="s">
        <v>2183</v>
      </c>
      <c r="M34" s="466" t="s">
        <v>2184</v>
      </c>
      <c r="N34" s="466" t="s">
        <v>2185</v>
      </c>
      <c r="O34" s="466"/>
      <c r="P34" s="467" t="s">
        <v>2186</v>
      </c>
      <c r="Q34" s="466"/>
      <c r="R34" s="468"/>
      <c r="S34" s="442"/>
    </row>
    <row r="35" spans="1:19" ht="37.5" customHeight="1">
      <c r="A35" s="462"/>
      <c r="B35" s="469">
        <v>8.1999999999999993</v>
      </c>
      <c r="C35" s="470"/>
      <c r="D35" s="466" t="s">
        <v>1780</v>
      </c>
      <c r="E35" s="466" t="s">
        <v>2187</v>
      </c>
      <c r="F35" s="466"/>
      <c r="G35" s="466"/>
      <c r="H35" s="466"/>
      <c r="I35" s="466"/>
      <c r="J35" s="466"/>
      <c r="K35" s="466"/>
      <c r="L35" s="466" t="s">
        <v>2188</v>
      </c>
      <c r="M35" s="466" t="s">
        <v>2189</v>
      </c>
      <c r="N35" s="466" t="s">
        <v>2190</v>
      </c>
      <c r="O35" s="466"/>
      <c r="P35" s="467" t="s">
        <v>2191</v>
      </c>
      <c r="Q35" s="466"/>
      <c r="R35" s="468"/>
      <c r="S35" s="442"/>
    </row>
    <row r="36" spans="1:19" ht="62.5" customHeight="1">
      <c r="A36" s="462"/>
      <c r="B36" s="469">
        <v>8.3000000000000007</v>
      </c>
      <c r="C36" s="470"/>
      <c r="D36" s="466" t="s">
        <v>4297</v>
      </c>
      <c r="E36" s="466" t="s">
        <v>4298</v>
      </c>
      <c r="F36" s="466"/>
      <c r="G36" s="466"/>
      <c r="H36" s="466"/>
      <c r="I36" s="466"/>
      <c r="J36" s="466"/>
      <c r="K36" s="466"/>
      <c r="L36" s="466" t="s">
        <v>4299</v>
      </c>
      <c r="M36" s="466" t="s">
        <v>4300</v>
      </c>
      <c r="N36" s="466" t="s">
        <v>4301</v>
      </c>
      <c r="O36" s="466"/>
      <c r="P36" s="467" t="s">
        <v>4302</v>
      </c>
      <c r="Q36" s="466"/>
      <c r="R36" s="468"/>
      <c r="S36" s="442"/>
    </row>
    <row r="37" spans="1:19" ht="37.5" customHeight="1">
      <c r="A37" s="462"/>
      <c r="B37" s="469">
        <v>8.4</v>
      </c>
      <c r="C37" s="470"/>
      <c r="D37" s="466" t="s">
        <v>1788</v>
      </c>
      <c r="E37" s="466" t="s">
        <v>2193</v>
      </c>
      <c r="F37" s="466"/>
      <c r="G37" s="466"/>
      <c r="H37" s="466"/>
      <c r="I37" s="466"/>
      <c r="J37" s="466"/>
      <c r="K37" s="466"/>
      <c r="L37" s="466" t="s">
        <v>2194</v>
      </c>
      <c r="M37" s="466" t="s">
        <v>2195</v>
      </c>
      <c r="N37" s="466" t="s">
        <v>2196</v>
      </c>
      <c r="O37" s="466"/>
      <c r="P37" s="467" t="s">
        <v>2197</v>
      </c>
      <c r="Q37" s="466"/>
      <c r="R37" s="468"/>
      <c r="S37" s="442"/>
    </row>
    <row r="38" spans="1:19" ht="50.15" customHeight="1">
      <c r="A38" s="462"/>
      <c r="B38" s="469">
        <v>8.5</v>
      </c>
      <c r="C38" s="470"/>
      <c r="D38" s="466" t="s">
        <v>1796</v>
      </c>
      <c r="E38" s="466" t="s">
        <v>4303</v>
      </c>
      <c r="F38" s="466"/>
      <c r="G38" s="466"/>
      <c r="H38" s="466"/>
      <c r="I38" s="466"/>
      <c r="J38" s="466"/>
      <c r="K38" s="472"/>
      <c r="L38" s="466" t="s">
        <v>2199</v>
      </c>
      <c r="M38" s="466" t="s">
        <v>2200</v>
      </c>
      <c r="N38" s="466" t="s">
        <v>2201</v>
      </c>
      <c r="O38" s="466"/>
      <c r="P38" s="467" t="s">
        <v>2202</v>
      </c>
      <c r="Q38" s="466"/>
      <c r="R38" s="468"/>
      <c r="S38" s="442"/>
    </row>
    <row r="39" spans="1:19" ht="39" customHeight="1">
      <c r="A39" s="462"/>
      <c r="B39" s="473">
        <v>2.1</v>
      </c>
      <c r="C39" s="464" t="s">
        <v>2097</v>
      </c>
      <c r="D39" s="465" t="s">
        <v>378</v>
      </c>
      <c r="E39" s="466"/>
      <c r="F39" s="466"/>
      <c r="G39" s="466"/>
      <c r="H39" s="466"/>
      <c r="I39" s="466"/>
      <c r="J39" s="466"/>
      <c r="K39" s="466"/>
      <c r="L39" s="466"/>
      <c r="M39" s="466"/>
      <c r="N39" s="466"/>
      <c r="O39" s="466"/>
      <c r="P39" s="467"/>
      <c r="Q39" s="466"/>
      <c r="R39" s="468"/>
      <c r="S39" s="442"/>
    </row>
    <row r="40" spans="1:19" ht="37.5" customHeight="1">
      <c r="A40" s="462"/>
      <c r="B40" s="469" t="s">
        <v>305</v>
      </c>
      <c r="C40" s="470"/>
      <c r="D40" s="466" t="s">
        <v>1804</v>
      </c>
      <c r="E40" s="466" t="s">
        <v>2203</v>
      </c>
      <c r="F40" s="466"/>
      <c r="G40" s="466"/>
      <c r="H40" s="466"/>
      <c r="I40" s="466"/>
      <c r="J40" s="466"/>
      <c r="K40" s="466"/>
      <c r="L40" s="466" t="s">
        <v>2204</v>
      </c>
      <c r="M40" s="466" t="s">
        <v>2205</v>
      </c>
      <c r="N40" s="466" t="s">
        <v>2206</v>
      </c>
      <c r="O40" s="466"/>
      <c r="P40" s="467" t="s">
        <v>2207</v>
      </c>
      <c r="Q40" s="466"/>
      <c r="R40" s="468"/>
      <c r="S40" s="442"/>
    </row>
    <row r="41" spans="1:19" ht="37.5" customHeight="1">
      <c r="A41" s="462"/>
      <c r="B41" s="469" t="s">
        <v>1810</v>
      </c>
      <c r="C41" s="470"/>
      <c r="D41" s="466" t="s">
        <v>2208</v>
      </c>
      <c r="E41" s="466" t="s">
        <v>2209</v>
      </c>
      <c r="F41" s="466"/>
      <c r="G41" s="466"/>
      <c r="H41" s="466"/>
      <c r="I41" s="466"/>
      <c r="J41" s="466"/>
      <c r="K41" s="466"/>
      <c r="L41" s="466" t="s">
        <v>2210</v>
      </c>
      <c r="M41" s="466" t="s">
        <v>2211</v>
      </c>
      <c r="N41" s="466" t="s">
        <v>2212</v>
      </c>
      <c r="O41" s="466"/>
      <c r="P41" s="467" t="s">
        <v>2213</v>
      </c>
      <c r="Q41" s="466"/>
      <c r="R41" s="468"/>
      <c r="S41" s="442"/>
    </row>
    <row r="42" spans="1:19" ht="37.5" customHeight="1">
      <c r="A42" s="462"/>
      <c r="B42" s="469" t="s">
        <v>329</v>
      </c>
      <c r="C42" s="470"/>
      <c r="D42" s="466" t="s">
        <v>4304</v>
      </c>
      <c r="E42" s="466" t="s">
        <v>4305</v>
      </c>
      <c r="F42" s="466"/>
      <c r="G42" s="466"/>
      <c r="H42" s="466"/>
      <c r="I42" s="466"/>
      <c r="J42" s="466"/>
      <c r="K42" s="466"/>
      <c r="L42" s="466" t="s">
        <v>4306</v>
      </c>
      <c r="M42" s="466" t="s">
        <v>4307</v>
      </c>
      <c r="N42" s="466" t="s">
        <v>4308</v>
      </c>
      <c r="O42" s="466"/>
      <c r="P42" s="467" t="s">
        <v>4309</v>
      </c>
      <c r="Q42" s="466"/>
      <c r="R42" s="468"/>
      <c r="S42" s="442"/>
    </row>
    <row r="43" spans="1:19" ht="37.5" customHeight="1">
      <c r="A43" s="462"/>
      <c r="B43" s="469" t="s">
        <v>1818</v>
      </c>
      <c r="C43" s="470"/>
      <c r="D43" s="466" t="s">
        <v>1819</v>
      </c>
      <c r="E43" s="466" t="s">
        <v>2214</v>
      </c>
      <c r="F43" s="466"/>
      <c r="G43" s="466"/>
      <c r="H43" s="466"/>
      <c r="I43" s="466"/>
      <c r="J43" s="466"/>
      <c r="K43" s="466"/>
      <c r="L43" s="466" t="s">
        <v>2215</v>
      </c>
      <c r="M43" s="466" t="s">
        <v>2216</v>
      </c>
      <c r="N43" s="466" t="s">
        <v>2217</v>
      </c>
      <c r="O43" s="466"/>
      <c r="P43" s="467" t="s">
        <v>2218</v>
      </c>
      <c r="Q43" s="466"/>
      <c r="R43" s="468"/>
      <c r="S43" s="442"/>
    </row>
    <row r="44" spans="1:19" ht="37.5" customHeight="1">
      <c r="A44" s="462"/>
      <c r="B44" s="469" t="s">
        <v>479</v>
      </c>
      <c r="C44" s="470"/>
      <c r="D44" s="466" t="s">
        <v>1827</v>
      </c>
      <c r="E44" s="466" t="s">
        <v>2219</v>
      </c>
      <c r="F44" s="466"/>
      <c r="G44" s="466"/>
      <c r="H44" s="466"/>
      <c r="I44" s="466"/>
      <c r="J44" s="466"/>
      <c r="K44" s="466"/>
      <c r="L44" s="466" t="s">
        <v>2220</v>
      </c>
      <c r="M44" s="466" t="s">
        <v>2221</v>
      </c>
      <c r="N44" s="466" t="s">
        <v>2222</v>
      </c>
      <c r="O44" s="466"/>
      <c r="P44" s="467" t="s">
        <v>2223</v>
      </c>
      <c r="Q44" s="466"/>
      <c r="R44" s="468"/>
      <c r="S44" s="442"/>
    </row>
    <row r="45" spans="1:19" ht="39" customHeight="1">
      <c r="A45" s="462"/>
      <c r="B45" s="473">
        <v>2.2000000000000002</v>
      </c>
      <c r="C45" s="464" t="s">
        <v>2100</v>
      </c>
      <c r="D45" s="471" t="s">
        <v>2224</v>
      </c>
      <c r="E45" s="466"/>
      <c r="F45" s="466"/>
      <c r="G45" s="466"/>
      <c r="H45" s="466"/>
      <c r="I45" s="466"/>
      <c r="J45" s="466"/>
      <c r="K45" s="466"/>
      <c r="L45" s="466"/>
      <c r="M45" s="466"/>
      <c r="N45" s="466"/>
      <c r="O45" s="466"/>
      <c r="P45" s="467"/>
      <c r="Q45" s="466"/>
      <c r="R45" s="468"/>
      <c r="S45" s="442"/>
    </row>
    <row r="46" spans="1:19" ht="62.5" customHeight="1">
      <c r="A46" s="462"/>
      <c r="B46" s="469" t="s">
        <v>310</v>
      </c>
      <c r="C46" s="470"/>
      <c r="D46" s="466" t="s">
        <v>1841</v>
      </c>
      <c r="E46" s="466" t="s">
        <v>4310</v>
      </c>
      <c r="F46" s="466"/>
      <c r="G46" s="466"/>
      <c r="H46" s="466"/>
      <c r="I46" s="466"/>
      <c r="J46" s="466"/>
      <c r="K46" s="466"/>
      <c r="L46" s="466" t="s">
        <v>4311</v>
      </c>
      <c r="M46" s="466" t="s">
        <v>4312</v>
      </c>
      <c r="N46" s="466" t="s">
        <v>4313</v>
      </c>
      <c r="O46" s="466"/>
      <c r="P46" s="467" t="s">
        <v>4314</v>
      </c>
      <c r="Q46" s="466"/>
      <c r="R46" s="468"/>
      <c r="S46" s="442"/>
    </row>
    <row r="47" spans="1:19" ht="50.15" customHeight="1">
      <c r="A47" s="462"/>
      <c r="B47" s="469" t="s">
        <v>1854</v>
      </c>
      <c r="C47" s="470"/>
      <c r="D47" s="466" t="s">
        <v>1855</v>
      </c>
      <c r="E47" s="466" t="s">
        <v>2226</v>
      </c>
      <c r="F47" s="466"/>
      <c r="G47" s="466"/>
      <c r="H47" s="466"/>
      <c r="I47" s="466"/>
      <c r="J47" s="466"/>
      <c r="K47" s="466"/>
      <c r="L47" s="466" t="s">
        <v>2227</v>
      </c>
      <c r="M47" s="466" t="s">
        <v>2228</v>
      </c>
      <c r="N47" s="466" t="s">
        <v>2229</v>
      </c>
      <c r="O47" s="466"/>
      <c r="P47" s="467" t="s">
        <v>2230</v>
      </c>
      <c r="Q47" s="466"/>
      <c r="R47" s="468"/>
      <c r="S47" s="442"/>
    </row>
    <row r="48" spans="1:19" ht="50.15" customHeight="1">
      <c r="A48" s="462"/>
      <c r="B48" s="469" t="s">
        <v>322</v>
      </c>
      <c r="C48" s="470"/>
      <c r="D48" s="466" t="s">
        <v>4315</v>
      </c>
      <c r="E48" s="466" t="s">
        <v>4316</v>
      </c>
      <c r="F48" s="466"/>
      <c r="G48" s="466"/>
      <c r="H48" s="466"/>
      <c r="I48" s="466"/>
      <c r="J48" s="466"/>
      <c r="K48" s="466"/>
      <c r="L48" s="466" t="s">
        <v>4317</v>
      </c>
      <c r="M48" s="466" t="s">
        <v>4318</v>
      </c>
      <c r="N48" s="466" t="s">
        <v>4319</v>
      </c>
      <c r="O48" s="466"/>
      <c r="P48" s="467" t="s">
        <v>4320</v>
      </c>
      <c r="Q48" s="466"/>
      <c r="R48" s="468"/>
      <c r="S48" s="442"/>
    </row>
    <row r="49" spans="1:19" ht="37.5" customHeight="1">
      <c r="A49" s="462"/>
      <c r="B49" s="469" t="s">
        <v>1869</v>
      </c>
      <c r="C49" s="470"/>
      <c r="D49" s="466" t="s">
        <v>4321</v>
      </c>
      <c r="E49" s="466" t="s">
        <v>4322</v>
      </c>
      <c r="F49" s="466"/>
      <c r="G49" s="466"/>
      <c r="H49" s="466"/>
      <c r="I49" s="466"/>
      <c r="J49" s="466"/>
      <c r="K49" s="466"/>
      <c r="L49" s="466" t="s">
        <v>2233</v>
      </c>
      <c r="M49" s="466" t="s">
        <v>2234</v>
      </c>
      <c r="N49" s="466" t="s">
        <v>2235</v>
      </c>
      <c r="O49" s="466"/>
      <c r="P49" s="467" t="s">
        <v>2236</v>
      </c>
      <c r="Q49" s="466"/>
      <c r="R49" s="468"/>
      <c r="S49" s="442"/>
    </row>
    <row r="50" spans="1:19" ht="65.150000000000006" customHeight="1">
      <c r="A50" s="462"/>
      <c r="B50" s="473">
        <v>3.1</v>
      </c>
      <c r="C50" s="470" t="s">
        <v>2105</v>
      </c>
      <c r="D50" s="471" t="s">
        <v>2237</v>
      </c>
      <c r="E50" s="466"/>
      <c r="F50" s="466"/>
      <c r="G50" s="466"/>
      <c r="H50" s="466"/>
      <c r="I50" s="466"/>
      <c r="J50" s="466"/>
      <c r="K50" s="466"/>
      <c r="L50" s="466"/>
      <c r="M50" s="466"/>
      <c r="N50" s="466"/>
      <c r="O50" s="466"/>
      <c r="P50" s="467"/>
      <c r="Q50" s="466"/>
      <c r="R50" s="468"/>
      <c r="S50" s="442"/>
    </row>
    <row r="51" spans="1:19" ht="50.15" customHeight="1">
      <c r="A51" s="462"/>
      <c r="B51" s="469" t="s">
        <v>269</v>
      </c>
      <c r="C51" s="470"/>
      <c r="D51" s="466" t="s">
        <v>4323</v>
      </c>
      <c r="E51" s="466" t="s">
        <v>4324</v>
      </c>
      <c r="F51" s="466"/>
      <c r="G51" s="466"/>
      <c r="H51" s="466"/>
      <c r="I51" s="466"/>
      <c r="J51" s="466"/>
      <c r="K51" s="466"/>
      <c r="L51" s="466" t="s">
        <v>4325</v>
      </c>
      <c r="M51" s="466" t="s">
        <v>4326</v>
      </c>
      <c r="N51" s="466" t="s">
        <v>4327</v>
      </c>
      <c r="O51" s="466"/>
      <c r="P51" s="467" t="s">
        <v>4328</v>
      </c>
      <c r="Q51" s="466"/>
      <c r="R51" s="468"/>
      <c r="S51" s="442"/>
    </row>
    <row r="52" spans="1:19" ht="37.5" customHeight="1">
      <c r="A52" s="462"/>
      <c r="B52" s="469" t="s">
        <v>275</v>
      </c>
      <c r="C52" s="470"/>
      <c r="D52" s="466" t="s">
        <v>1877</v>
      </c>
      <c r="E52" s="466" t="s">
        <v>4329</v>
      </c>
      <c r="F52" s="466"/>
      <c r="G52" s="466"/>
      <c r="H52" s="466"/>
      <c r="I52" s="466"/>
      <c r="J52" s="466"/>
      <c r="K52" s="466"/>
      <c r="L52" s="466" t="s">
        <v>2239</v>
      </c>
      <c r="M52" s="466" t="s">
        <v>2240</v>
      </c>
      <c r="N52" s="466" t="s">
        <v>2241</v>
      </c>
      <c r="O52" s="466"/>
      <c r="P52" s="467" t="s">
        <v>2242</v>
      </c>
      <c r="Q52" s="466"/>
      <c r="R52" s="468"/>
      <c r="S52" s="442"/>
    </row>
    <row r="53" spans="1:19" ht="37.5" customHeight="1">
      <c r="A53" s="462"/>
      <c r="B53" s="469" t="s">
        <v>667</v>
      </c>
      <c r="C53" s="470"/>
      <c r="D53" s="466" t="s">
        <v>2243</v>
      </c>
      <c r="E53" s="466" t="s">
        <v>4330</v>
      </c>
      <c r="F53" s="466"/>
      <c r="G53" s="466"/>
      <c r="H53" s="466"/>
      <c r="I53" s="466"/>
      <c r="J53" s="466"/>
      <c r="K53" s="466"/>
      <c r="L53" s="466" t="s">
        <v>2245</v>
      </c>
      <c r="M53" s="466" t="s">
        <v>1886</v>
      </c>
      <c r="N53" s="466" t="s">
        <v>2246</v>
      </c>
      <c r="O53" s="466"/>
      <c r="P53" s="467" t="s">
        <v>2247</v>
      </c>
      <c r="Q53" s="466"/>
      <c r="R53" s="468"/>
      <c r="S53" s="442"/>
    </row>
    <row r="54" spans="1:19" ht="37.5" customHeight="1">
      <c r="A54" s="462"/>
      <c r="B54" s="469" t="s">
        <v>279</v>
      </c>
      <c r="C54" s="470"/>
      <c r="D54" s="466" t="s">
        <v>1890</v>
      </c>
      <c r="E54" s="466" t="s">
        <v>4331</v>
      </c>
      <c r="F54" s="466"/>
      <c r="G54" s="466"/>
      <c r="H54" s="466"/>
      <c r="I54" s="466"/>
      <c r="J54" s="466"/>
      <c r="K54" s="466"/>
      <c r="L54" s="466" t="s">
        <v>2249</v>
      </c>
      <c r="M54" s="466" t="s">
        <v>1893</v>
      </c>
      <c r="N54" s="466" t="s">
        <v>2250</v>
      </c>
      <c r="O54" s="466"/>
      <c r="P54" s="467" t="s">
        <v>2251</v>
      </c>
      <c r="Q54" s="466"/>
      <c r="R54" s="468"/>
      <c r="S54" s="442"/>
    </row>
    <row r="55" spans="1:19" ht="37.5" customHeight="1">
      <c r="A55" s="462"/>
      <c r="B55" s="469" t="s">
        <v>291</v>
      </c>
      <c r="C55" s="470"/>
      <c r="D55" s="466" t="s">
        <v>2252</v>
      </c>
      <c r="E55" s="466" t="s">
        <v>4332</v>
      </c>
      <c r="F55" s="466"/>
      <c r="G55" s="466"/>
      <c r="H55" s="466"/>
      <c r="I55" s="466"/>
      <c r="J55" s="466"/>
      <c r="K55" s="466"/>
      <c r="L55" s="466" t="s">
        <v>2254</v>
      </c>
      <c r="M55" s="466" t="s">
        <v>2255</v>
      </c>
      <c r="N55" s="466" t="s">
        <v>2256</v>
      </c>
      <c r="O55" s="466"/>
      <c r="P55" s="467" t="s">
        <v>2257</v>
      </c>
      <c r="Q55" s="466"/>
      <c r="R55" s="468"/>
      <c r="S55" s="442"/>
    </row>
    <row r="56" spans="1:19" ht="37.5" customHeight="1">
      <c r="A56" s="462"/>
      <c r="B56" s="469" t="s">
        <v>298</v>
      </c>
      <c r="C56" s="470"/>
      <c r="D56" s="466" t="s">
        <v>4333</v>
      </c>
      <c r="E56" s="466" t="s">
        <v>4334</v>
      </c>
      <c r="F56" s="466"/>
      <c r="G56" s="466"/>
      <c r="H56" s="466"/>
      <c r="I56" s="466"/>
      <c r="J56" s="466"/>
      <c r="K56" s="466"/>
      <c r="L56" s="466" t="s">
        <v>4335</v>
      </c>
      <c r="M56" s="466" t="s">
        <v>4336</v>
      </c>
      <c r="N56" s="466" t="s">
        <v>4337</v>
      </c>
      <c r="O56" s="466"/>
      <c r="P56" s="467" t="s">
        <v>4338</v>
      </c>
      <c r="Q56" s="466"/>
      <c r="R56" s="468"/>
      <c r="S56" s="442"/>
    </row>
    <row r="57" spans="1:19" ht="15" customHeight="1" thickBot="1">
      <c r="A57" s="474"/>
      <c r="B57" s="474"/>
      <c r="C57" s="475"/>
      <c r="D57" s="476"/>
      <c r="E57" s="476"/>
      <c r="F57" s="476"/>
      <c r="G57" s="476"/>
      <c r="H57" s="476"/>
      <c r="I57" s="476"/>
      <c r="J57" s="476"/>
      <c r="K57" s="477"/>
      <c r="L57" s="476"/>
      <c r="M57" s="476"/>
      <c r="N57" s="476"/>
      <c r="O57" s="476"/>
      <c r="P57" s="478"/>
      <c r="Q57" s="476"/>
      <c r="R57" s="479"/>
      <c r="S57" s="442"/>
    </row>
    <row r="58" spans="1:19" ht="12.65" customHeight="1">
      <c r="A58" s="442"/>
      <c r="B58" s="480"/>
      <c r="C58" s="481"/>
      <c r="D58" s="442"/>
      <c r="E58" s="442"/>
      <c r="F58" s="442"/>
      <c r="G58" s="442"/>
      <c r="H58" s="442"/>
      <c r="I58" s="442"/>
      <c r="J58" s="442"/>
      <c r="K58" s="482"/>
      <c r="L58" s="442"/>
      <c r="M58" s="442"/>
      <c r="N58" s="442"/>
      <c r="O58" s="442"/>
      <c r="P58" s="483"/>
      <c r="Q58" s="442"/>
      <c r="R58" s="442"/>
      <c r="S58" s="442"/>
    </row>
    <row r="59" spans="1:19" ht="12.65" customHeight="1">
      <c r="A59" s="442"/>
      <c r="B59" s="480"/>
      <c r="C59" s="481"/>
      <c r="D59" s="442"/>
      <c r="E59" s="442"/>
      <c r="F59" s="442"/>
      <c r="G59" s="442"/>
      <c r="H59" s="442"/>
      <c r="I59" s="442"/>
      <c r="J59" s="442"/>
      <c r="K59" s="482"/>
      <c r="L59" s="442"/>
      <c r="M59" s="442"/>
      <c r="N59" s="442"/>
      <c r="O59" s="442"/>
      <c r="P59" s="483"/>
      <c r="Q59" s="442"/>
      <c r="R59" s="442"/>
      <c r="S59" s="442"/>
    </row>
    <row r="60" spans="1:19" ht="12.65" customHeight="1">
      <c r="A60" s="442"/>
      <c r="B60" s="480"/>
      <c r="C60" s="481"/>
      <c r="D60" s="442"/>
      <c r="E60" s="442"/>
      <c r="F60" s="442"/>
      <c r="G60" s="442"/>
      <c r="H60" s="442"/>
      <c r="I60" s="442"/>
      <c r="J60" s="442"/>
      <c r="K60" s="482"/>
      <c r="L60" s="442"/>
      <c r="M60" s="442"/>
      <c r="N60" s="442"/>
      <c r="O60" s="442"/>
      <c r="P60" s="483"/>
      <c r="Q60" s="442"/>
      <c r="R60" s="442"/>
      <c r="S60" s="442"/>
    </row>
    <row r="61" spans="1:19" ht="12.65" customHeight="1">
      <c r="A61" s="442"/>
      <c r="B61" s="480"/>
      <c r="C61" s="481"/>
      <c r="D61" s="442"/>
      <c r="E61" s="442"/>
      <c r="F61" s="442"/>
      <c r="G61" s="442"/>
      <c r="H61" s="442"/>
      <c r="I61" s="442"/>
      <c r="J61" s="442"/>
      <c r="K61" s="482"/>
      <c r="L61" s="442"/>
      <c r="M61" s="442"/>
      <c r="N61" s="442"/>
      <c r="O61" s="442"/>
      <c r="P61" s="483"/>
      <c r="Q61" s="442"/>
      <c r="R61" s="442"/>
      <c r="S61" s="442"/>
    </row>
    <row r="62" spans="1:19" ht="12.65" customHeight="1">
      <c r="A62" s="442"/>
      <c r="B62" s="480"/>
      <c r="C62" s="481"/>
      <c r="D62" s="442"/>
      <c r="E62" s="442"/>
      <c r="F62" s="442"/>
      <c r="G62" s="442"/>
      <c r="H62" s="442"/>
      <c r="I62" s="442"/>
      <c r="J62" s="442"/>
      <c r="K62" s="482"/>
      <c r="L62" s="442"/>
      <c r="M62" s="442"/>
      <c r="N62" s="442"/>
      <c r="O62" s="442"/>
      <c r="P62" s="483"/>
      <c r="Q62" s="442"/>
      <c r="R62" s="442"/>
      <c r="S62" s="442"/>
    </row>
    <row r="63" spans="1:19" ht="12.65" customHeight="1">
      <c r="A63" s="442"/>
      <c r="B63" s="480"/>
      <c r="C63" s="481"/>
      <c r="D63" s="442"/>
      <c r="E63" s="442"/>
      <c r="F63" s="442"/>
      <c r="G63" s="442"/>
      <c r="H63" s="442"/>
      <c r="I63" s="442"/>
      <c r="J63" s="442"/>
      <c r="K63" s="482"/>
      <c r="L63" s="442"/>
      <c r="M63" s="442"/>
      <c r="N63" s="442"/>
      <c r="O63" s="442"/>
      <c r="P63" s="483"/>
      <c r="Q63" s="442"/>
      <c r="R63" s="442"/>
      <c r="S63" s="442"/>
    </row>
    <row r="64" spans="1:19" ht="12.65" customHeight="1">
      <c r="A64" s="442"/>
      <c r="B64" s="480"/>
      <c r="C64" s="481"/>
      <c r="D64" s="442"/>
      <c r="E64" s="442"/>
      <c r="F64" s="442"/>
      <c r="G64" s="442"/>
      <c r="H64" s="442"/>
      <c r="I64" s="442"/>
      <c r="J64" s="442"/>
      <c r="K64" s="482"/>
      <c r="L64" s="442"/>
      <c r="M64" s="442"/>
      <c r="N64" s="442"/>
      <c r="O64" s="442"/>
      <c r="P64" s="483"/>
      <c r="Q64" s="442"/>
      <c r="R64" s="442"/>
      <c r="S64" s="442"/>
    </row>
    <row r="65" spans="1:19" ht="12.65" customHeight="1">
      <c r="A65" s="442"/>
      <c r="B65" s="480"/>
      <c r="C65" s="481"/>
      <c r="D65" s="442"/>
      <c r="E65" s="442"/>
      <c r="F65" s="442"/>
      <c r="G65" s="442"/>
      <c r="H65" s="442"/>
      <c r="I65" s="442"/>
      <c r="J65" s="442"/>
      <c r="K65" s="482"/>
      <c r="L65" s="442"/>
      <c r="M65" s="442"/>
      <c r="N65" s="442"/>
      <c r="O65" s="442"/>
      <c r="P65" s="483"/>
      <c r="Q65" s="442"/>
      <c r="R65" s="442"/>
      <c r="S65" s="442"/>
    </row>
    <row r="66" spans="1:19" ht="12.65" customHeight="1">
      <c r="A66" s="442"/>
      <c r="B66" s="480"/>
      <c r="C66" s="481"/>
      <c r="D66" s="442"/>
      <c r="E66" s="442"/>
      <c r="F66" s="442"/>
      <c r="G66" s="442"/>
      <c r="H66" s="442"/>
      <c r="I66" s="442"/>
      <c r="J66" s="442"/>
      <c r="K66" s="482"/>
      <c r="L66" s="442"/>
      <c r="M66" s="442"/>
      <c r="N66" s="442"/>
      <c r="O66" s="442"/>
      <c r="P66" s="483"/>
      <c r="Q66" s="442"/>
      <c r="R66" s="442"/>
      <c r="S66" s="442"/>
    </row>
  </sheetData>
  <autoFilter ref="D1:R1" xr:uid="{00000000-0009-0000-0000-00000A000000}"/>
  <mergeCells count="29">
    <mergeCell ref="Q9:Q10"/>
    <mergeCell ref="L4:L5"/>
    <mergeCell ref="R4:R5"/>
    <mergeCell ref="P9:P10"/>
    <mergeCell ref="Q6:Q8"/>
    <mergeCell ref="O4:O5"/>
    <mergeCell ref="N6:N8"/>
    <mergeCell ref="R9:R10"/>
    <mergeCell ref="B2:R2"/>
    <mergeCell ref="B3:B5"/>
    <mergeCell ref="C6:C8"/>
    <mergeCell ref="O6:O8"/>
    <mergeCell ref="D6:D8"/>
    <mergeCell ref="M4:M5"/>
    <mergeCell ref="N4:N5"/>
    <mergeCell ref="P4:P5"/>
    <mergeCell ref="D3:D5"/>
    <mergeCell ref="L6:L8"/>
    <mergeCell ref="Q4:Q5"/>
    <mergeCell ref="C3:C5"/>
    <mergeCell ref="B9:B10"/>
    <mergeCell ref="D9:D10"/>
    <mergeCell ref="L9:L10"/>
    <mergeCell ref="N9:N10"/>
    <mergeCell ref="P6:P8"/>
    <mergeCell ref="M6:M8"/>
    <mergeCell ref="M9:M10"/>
    <mergeCell ref="B6:B8"/>
    <mergeCell ref="C9:C1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S26"/>
  <sheetViews>
    <sheetView topLeftCell="D1" zoomScale="120" zoomScaleNormal="120" workbookViewId="0">
      <selection activeCell="E2" sqref="E2"/>
    </sheetView>
  </sheetViews>
  <sheetFormatPr defaultColWidth="12.54296875" defaultRowHeight="15.75" customHeight="1"/>
  <cols>
    <col min="1" max="1" width="13.26953125" style="29" customWidth="1"/>
    <col min="2" max="2" width="7.54296875" style="488" customWidth="1"/>
    <col min="3" max="3" width="13" style="489" customWidth="1"/>
    <col min="4" max="4" width="92.453125" style="29" customWidth="1"/>
    <col min="5" max="5" width="55.26953125" style="29" customWidth="1"/>
    <col min="6" max="12" width="29.26953125" style="29" customWidth="1"/>
    <col min="13" max="13" width="24.54296875" style="29" customWidth="1"/>
    <col min="14" max="14" width="24.7265625" style="29" customWidth="1"/>
    <col min="15" max="15" width="10.7265625" style="29" customWidth="1"/>
    <col min="16" max="16" width="70.81640625" style="29" customWidth="1"/>
    <col min="17" max="17" width="15" style="29" customWidth="1"/>
    <col min="18" max="18" width="12" style="29" customWidth="1"/>
    <col min="19" max="19" width="4.453125" style="29" customWidth="1"/>
    <col min="20" max="21" width="12.54296875" style="29" customWidth="1"/>
    <col min="22" max="16384" width="12.54296875" style="29"/>
  </cols>
  <sheetData>
    <row r="1" spans="1:19" ht="15.75" customHeight="1" thickBot="1">
      <c r="A1" s="487" t="s">
        <v>4339</v>
      </c>
    </row>
    <row r="2" spans="1:19" ht="36.65" customHeight="1" thickBot="1">
      <c r="A2" s="490" t="s">
        <v>4340</v>
      </c>
      <c r="B2" s="491" t="s">
        <v>2056</v>
      </c>
      <c r="C2" s="492"/>
      <c r="D2" s="493" t="s">
        <v>2057</v>
      </c>
      <c r="E2" s="493" t="s">
        <v>2058</v>
      </c>
      <c r="F2" s="493" t="s">
        <v>26</v>
      </c>
      <c r="G2" s="493" t="s">
        <v>2059</v>
      </c>
      <c r="H2" s="493" t="s">
        <v>2060</v>
      </c>
      <c r="I2" s="493" t="s">
        <v>2061</v>
      </c>
      <c r="J2" s="493" t="s">
        <v>2062</v>
      </c>
      <c r="K2" s="493" t="s">
        <v>2063</v>
      </c>
      <c r="L2" s="493" t="s">
        <v>2064</v>
      </c>
      <c r="M2" s="493" t="s">
        <v>2065</v>
      </c>
      <c r="N2" s="493" t="s">
        <v>13</v>
      </c>
      <c r="O2" s="493" t="s">
        <v>2066</v>
      </c>
      <c r="P2" s="494" t="s">
        <v>2067</v>
      </c>
      <c r="Q2" s="493" t="s">
        <v>2068</v>
      </c>
      <c r="R2" s="495" t="s">
        <v>2069</v>
      </c>
      <c r="S2" s="496"/>
    </row>
    <row r="3" spans="1:19" ht="57.65" customHeight="1">
      <c r="A3" s="575" t="s">
        <v>2084</v>
      </c>
      <c r="B3" s="497">
        <v>3</v>
      </c>
      <c r="C3" s="498" t="s">
        <v>4341</v>
      </c>
      <c r="D3" s="499" t="s">
        <v>413</v>
      </c>
      <c r="E3" s="500" t="s">
        <v>4342</v>
      </c>
      <c r="F3" s="500">
        <v>0</v>
      </c>
      <c r="G3" s="500" t="s">
        <v>4243</v>
      </c>
      <c r="H3" s="500" t="s">
        <v>4343</v>
      </c>
      <c r="I3" s="500" t="s">
        <v>4344</v>
      </c>
      <c r="J3" s="500" t="s">
        <v>4345</v>
      </c>
      <c r="K3" s="500" t="s">
        <v>4346</v>
      </c>
      <c r="L3" s="500" t="s">
        <v>4347</v>
      </c>
      <c r="M3" s="500" t="s">
        <v>193</v>
      </c>
      <c r="N3" s="500" t="s">
        <v>195</v>
      </c>
      <c r="O3" s="500" t="s">
        <v>109</v>
      </c>
      <c r="P3" s="501" t="s">
        <v>4348</v>
      </c>
      <c r="Q3" s="500" t="s">
        <v>2075</v>
      </c>
      <c r="R3" s="500" t="s">
        <v>146</v>
      </c>
      <c r="S3" s="496"/>
    </row>
    <row r="4" spans="1:19" ht="57.65" customHeight="1">
      <c r="A4" s="575"/>
      <c r="B4" s="497">
        <v>5</v>
      </c>
      <c r="C4" s="498" t="s">
        <v>4349</v>
      </c>
      <c r="D4" s="502" t="s">
        <v>4350</v>
      </c>
      <c r="E4" s="503" t="s">
        <v>4351</v>
      </c>
      <c r="F4" s="500"/>
      <c r="G4" s="500" t="s">
        <v>4243</v>
      </c>
      <c r="H4" s="500"/>
      <c r="I4" s="500"/>
      <c r="J4" s="500"/>
      <c r="K4" s="500"/>
      <c r="L4" s="500" t="s">
        <v>4352</v>
      </c>
      <c r="M4" s="500" t="s">
        <v>405</v>
      </c>
      <c r="N4" s="500" t="s">
        <v>406</v>
      </c>
      <c r="O4" s="500"/>
      <c r="P4" s="501" t="s">
        <v>4353</v>
      </c>
      <c r="Q4" s="500" t="s">
        <v>2075</v>
      </c>
      <c r="R4" s="500" t="s">
        <v>358</v>
      </c>
      <c r="S4" s="496"/>
    </row>
    <row r="5" spans="1:19" ht="39" customHeight="1">
      <c r="A5" s="504"/>
      <c r="B5" s="505">
        <v>3</v>
      </c>
      <c r="C5" s="506" t="s">
        <v>4354</v>
      </c>
      <c r="D5" s="507" t="s">
        <v>413</v>
      </c>
      <c r="E5" s="508"/>
      <c r="F5" s="508"/>
      <c r="G5" s="508"/>
      <c r="H5" s="508"/>
      <c r="I5" s="508"/>
      <c r="J5" s="508"/>
      <c r="K5" s="508"/>
      <c r="L5" s="508"/>
      <c r="M5" s="508"/>
      <c r="N5" s="508"/>
      <c r="O5" s="508"/>
      <c r="P5" s="509"/>
      <c r="Q5" s="508"/>
      <c r="R5" s="510"/>
      <c r="S5" s="496"/>
    </row>
    <row r="6" spans="1:19" ht="25.9" customHeight="1">
      <c r="A6" s="504"/>
      <c r="B6" s="511">
        <v>3.1</v>
      </c>
      <c r="C6" s="512"/>
      <c r="D6" s="508" t="s">
        <v>1998</v>
      </c>
      <c r="E6" s="508" t="s">
        <v>4355</v>
      </c>
      <c r="F6" s="508"/>
      <c r="G6" s="508"/>
      <c r="H6" s="508"/>
      <c r="I6" s="508"/>
      <c r="J6" s="508"/>
      <c r="K6" s="508"/>
      <c r="L6" s="508" t="s">
        <v>4356</v>
      </c>
      <c r="M6" s="508" t="s">
        <v>4357</v>
      </c>
      <c r="N6" s="508" t="s">
        <v>4358</v>
      </c>
      <c r="O6" s="508"/>
      <c r="P6" s="509" t="s">
        <v>4359</v>
      </c>
      <c r="Q6" s="508"/>
      <c r="R6" s="510"/>
      <c r="S6" s="496"/>
    </row>
    <row r="7" spans="1:19" ht="25.9" customHeight="1">
      <c r="A7" s="504"/>
      <c r="B7" s="511">
        <v>3.2</v>
      </c>
      <c r="C7" s="512"/>
      <c r="D7" s="508" t="s">
        <v>2005</v>
      </c>
      <c r="E7" s="508" t="s">
        <v>2006</v>
      </c>
      <c r="F7" s="508"/>
      <c r="G7" s="508"/>
      <c r="H7" s="508"/>
      <c r="I7" s="508"/>
      <c r="J7" s="508"/>
      <c r="K7" s="508"/>
      <c r="L7" s="508" t="s">
        <v>4360</v>
      </c>
      <c r="M7" s="508" t="s">
        <v>4361</v>
      </c>
      <c r="N7" s="508" t="s">
        <v>4362</v>
      </c>
      <c r="O7" s="508"/>
      <c r="P7" s="509" t="s">
        <v>4363</v>
      </c>
      <c r="Q7" s="508"/>
      <c r="R7" s="510"/>
      <c r="S7" s="496"/>
    </row>
    <row r="8" spans="1:19" ht="25.9" customHeight="1">
      <c r="A8" s="504"/>
      <c r="B8" s="511">
        <v>3.3</v>
      </c>
      <c r="C8" s="512"/>
      <c r="D8" s="508" t="s">
        <v>2012</v>
      </c>
      <c r="E8" s="508" t="s">
        <v>2013</v>
      </c>
      <c r="F8" s="508"/>
      <c r="G8" s="508"/>
      <c r="H8" s="508"/>
      <c r="I8" s="508"/>
      <c r="J8" s="508"/>
      <c r="K8" s="508"/>
      <c r="L8" s="508" t="s">
        <v>4364</v>
      </c>
      <c r="M8" s="508" t="s">
        <v>4365</v>
      </c>
      <c r="N8" s="508" t="s">
        <v>4366</v>
      </c>
      <c r="O8" s="508"/>
      <c r="P8" s="509" t="s">
        <v>4367</v>
      </c>
      <c r="Q8" s="508"/>
      <c r="R8" s="510"/>
      <c r="S8" s="496"/>
    </row>
    <row r="9" spans="1:19" ht="25.9" customHeight="1">
      <c r="A9" s="504"/>
      <c r="B9" s="511">
        <v>3.4</v>
      </c>
      <c r="C9" s="512"/>
      <c r="D9" s="508" t="s">
        <v>2018</v>
      </c>
      <c r="E9" s="508" t="s">
        <v>2019</v>
      </c>
      <c r="F9" s="508"/>
      <c r="G9" s="508"/>
      <c r="H9" s="508"/>
      <c r="I9" s="508"/>
      <c r="J9" s="508"/>
      <c r="K9" s="508"/>
      <c r="L9" s="508" t="s">
        <v>4368</v>
      </c>
      <c r="M9" s="508" t="s">
        <v>4369</v>
      </c>
      <c r="N9" s="508" t="s">
        <v>4370</v>
      </c>
      <c r="O9" s="508"/>
      <c r="P9" s="509" t="s">
        <v>4371</v>
      </c>
      <c r="Q9" s="508"/>
      <c r="R9" s="510"/>
      <c r="S9" s="496"/>
    </row>
    <row r="10" spans="1:19" ht="65.150000000000006" customHeight="1">
      <c r="A10" s="504"/>
      <c r="B10" s="505">
        <v>5</v>
      </c>
      <c r="C10" s="506" t="s">
        <v>4372</v>
      </c>
      <c r="D10" s="507" t="s">
        <v>4350</v>
      </c>
      <c r="E10" s="508"/>
      <c r="F10" s="508"/>
      <c r="G10" s="508"/>
      <c r="H10" s="508"/>
      <c r="I10" s="508"/>
      <c r="J10" s="508"/>
      <c r="K10" s="508"/>
      <c r="L10" s="508"/>
      <c r="M10" s="508"/>
      <c r="N10" s="508"/>
      <c r="O10" s="508"/>
      <c r="P10" s="509"/>
      <c r="Q10" s="508"/>
      <c r="R10" s="510"/>
      <c r="S10" s="496"/>
    </row>
    <row r="11" spans="1:19" ht="26.5" customHeight="1">
      <c r="A11" s="504"/>
      <c r="B11" s="511">
        <v>5.0999999999999996</v>
      </c>
      <c r="C11" s="512"/>
      <c r="D11" s="508" t="s">
        <v>4373</v>
      </c>
      <c r="E11" s="508" t="s">
        <v>4374</v>
      </c>
      <c r="F11" s="508"/>
      <c r="G11" s="508"/>
      <c r="H11" s="508"/>
      <c r="I11" s="508"/>
      <c r="J11" s="508"/>
      <c r="K11" s="508"/>
      <c r="L11" s="508" t="s">
        <v>2064</v>
      </c>
      <c r="M11" s="508" t="s">
        <v>2065</v>
      </c>
      <c r="N11" s="508" t="s">
        <v>13</v>
      </c>
      <c r="O11" s="508"/>
      <c r="P11" s="509"/>
      <c r="Q11" s="508"/>
      <c r="R11" s="510"/>
      <c r="S11" s="496"/>
    </row>
    <row r="12" spans="1:19" ht="26.5" customHeight="1">
      <c r="A12" s="504"/>
      <c r="B12" s="511">
        <v>5.2</v>
      </c>
      <c r="C12" s="512"/>
      <c r="D12" s="508" t="s">
        <v>4375</v>
      </c>
      <c r="E12" s="508" t="s">
        <v>4376</v>
      </c>
      <c r="F12" s="508"/>
      <c r="G12" s="508"/>
      <c r="H12" s="508"/>
      <c r="I12" s="508"/>
      <c r="J12" s="508"/>
      <c r="K12" s="508"/>
      <c r="L12" s="508" t="s">
        <v>4377</v>
      </c>
      <c r="M12" s="508" t="s">
        <v>4378</v>
      </c>
      <c r="N12" s="508" t="s">
        <v>4379</v>
      </c>
      <c r="O12" s="508"/>
      <c r="P12" s="509"/>
      <c r="Q12" s="508"/>
      <c r="R12" s="510"/>
      <c r="S12" s="496"/>
    </row>
    <row r="13" spans="1:19" ht="26.5" customHeight="1">
      <c r="A13" s="504"/>
      <c r="B13" s="511">
        <v>5.3</v>
      </c>
      <c r="C13" s="512"/>
      <c r="D13" s="508" t="s">
        <v>4380</v>
      </c>
      <c r="E13" s="508" t="s">
        <v>4381</v>
      </c>
      <c r="F13" s="508"/>
      <c r="G13" s="508"/>
      <c r="H13" s="508"/>
      <c r="I13" s="508"/>
      <c r="J13" s="508"/>
      <c r="K13" s="508"/>
      <c r="L13" s="508" t="s">
        <v>4382</v>
      </c>
      <c r="M13" s="508" t="s">
        <v>4383</v>
      </c>
      <c r="N13" s="508" t="s">
        <v>1988</v>
      </c>
      <c r="O13" s="508"/>
      <c r="P13" s="509"/>
      <c r="Q13" s="508"/>
      <c r="R13" s="510"/>
      <c r="S13" s="496"/>
    </row>
    <row r="14" spans="1:19" ht="26.5" customHeight="1">
      <c r="A14" s="504"/>
      <c r="B14" s="511">
        <v>5.4</v>
      </c>
      <c r="C14" s="512"/>
      <c r="D14" s="508" t="s">
        <v>4384</v>
      </c>
      <c r="E14" s="508" t="s">
        <v>4385</v>
      </c>
      <c r="F14" s="508"/>
      <c r="G14" s="508"/>
      <c r="H14" s="508"/>
      <c r="I14" s="508"/>
      <c r="J14" s="508"/>
      <c r="K14" s="508"/>
      <c r="L14" s="508" t="s">
        <v>4386</v>
      </c>
      <c r="M14" s="508" t="s">
        <v>4387</v>
      </c>
      <c r="N14" s="508" t="s">
        <v>4388</v>
      </c>
      <c r="O14" s="508"/>
      <c r="P14" s="509"/>
      <c r="Q14" s="508"/>
      <c r="R14" s="510"/>
      <c r="S14" s="496"/>
    </row>
    <row r="15" spans="1:19" ht="26.5" customHeight="1">
      <c r="A15" s="504"/>
      <c r="B15" s="511">
        <v>5.5</v>
      </c>
      <c r="C15" s="512"/>
      <c r="D15" s="508" t="s">
        <v>4389</v>
      </c>
      <c r="E15" s="508" t="s">
        <v>4390</v>
      </c>
      <c r="F15" s="508"/>
      <c r="G15" s="508"/>
      <c r="H15" s="508"/>
      <c r="I15" s="508"/>
      <c r="J15" s="508"/>
      <c r="K15" s="508"/>
      <c r="L15" s="508" t="s">
        <v>4391</v>
      </c>
      <c r="M15" s="508" t="s">
        <v>4392</v>
      </c>
      <c r="N15" s="508" t="s">
        <v>4393</v>
      </c>
      <c r="O15" s="508"/>
      <c r="P15" s="509"/>
      <c r="Q15" s="508"/>
      <c r="R15" s="510"/>
      <c r="S15" s="496"/>
    </row>
    <row r="16" spans="1:19" ht="26.5" customHeight="1">
      <c r="A16" s="504"/>
      <c r="B16" s="511">
        <v>5.6</v>
      </c>
      <c r="C16" s="512"/>
      <c r="D16" s="508" t="s">
        <v>4394</v>
      </c>
      <c r="E16" s="508" t="s">
        <v>4395</v>
      </c>
      <c r="F16" s="508"/>
      <c r="G16" s="508"/>
      <c r="H16" s="508"/>
      <c r="I16" s="508"/>
      <c r="J16" s="508"/>
      <c r="K16" s="508"/>
      <c r="L16" s="508" t="s">
        <v>4396</v>
      </c>
      <c r="M16" s="508" t="s">
        <v>4397</v>
      </c>
      <c r="N16" s="508" t="s">
        <v>4398</v>
      </c>
      <c r="O16" s="508"/>
      <c r="P16" s="509"/>
      <c r="Q16" s="508"/>
      <c r="R16" s="510"/>
      <c r="S16" s="496"/>
    </row>
    <row r="17" spans="1:19" ht="15" customHeight="1" thickBot="1">
      <c r="A17" s="513"/>
      <c r="B17" s="513"/>
      <c r="C17" s="514"/>
      <c r="D17" s="515"/>
      <c r="E17" s="515"/>
      <c r="F17" s="515"/>
      <c r="G17" s="515"/>
      <c r="H17" s="515"/>
      <c r="I17" s="515"/>
      <c r="J17" s="515"/>
      <c r="K17" s="516"/>
      <c r="L17" s="515"/>
      <c r="M17" s="515"/>
      <c r="N17" s="515"/>
      <c r="O17" s="515"/>
      <c r="P17" s="517"/>
      <c r="Q17" s="515"/>
      <c r="R17" s="518"/>
      <c r="S17" s="496"/>
    </row>
    <row r="18" spans="1:19" ht="12.65" customHeight="1">
      <c r="A18" s="496"/>
      <c r="B18" s="519"/>
      <c r="C18" s="520"/>
      <c r="D18" s="496"/>
      <c r="E18" s="496"/>
      <c r="F18" s="496"/>
      <c r="G18" s="496"/>
      <c r="H18" s="496"/>
      <c r="I18" s="496"/>
      <c r="J18" s="496"/>
      <c r="K18" s="521"/>
      <c r="L18" s="496"/>
      <c r="M18" s="496"/>
      <c r="N18" s="496"/>
      <c r="O18" s="496"/>
      <c r="P18" s="522"/>
      <c r="Q18" s="496"/>
      <c r="R18" s="496"/>
      <c r="S18" s="496"/>
    </row>
    <row r="19" spans="1:19" ht="12.65" customHeight="1">
      <c r="A19" s="496"/>
      <c r="B19" s="519"/>
      <c r="C19" s="520"/>
      <c r="D19" s="496"/>
      <c r="E19" s="496"/>
      <c r="F19" s="496"/>
      <c r="G19" s="496"/>
      <c r="H19" s="496"/>
      <c r="I19" s="496"/>
      <c r="J19" s="496"/>
      <c r="K19" s="521"/>
      <c r="L19" s="496"/>
      <c r="M19" s="496"/>
      <c r="N19" s="496"/>
      <c r="O19" s="496"/>
      <c r="P19" s="522"/>
      <c r="Q19" s="496"/>
      <c r="R19" s="496"/>
      <c r="S19" s="496"/>
    </row>
    <row r="20" spans="1:19" ht="12.65" customHeight="1">
      <c r="A20" s="496"/>
      <c r="B20" s="519"/>
      <c r="C20" s="520"/>
      <c r="D20" s="496"/>
      <c r="E20" s="496"/>
      <c r="F20" s="496"/>
      <c r="G20" s="496"/>
      <c r="H20" s="496"/>
      <c r="I20" s="496"/>
      <c r="J20" s="496"/>
      <c r="K20" s="521"/>
      <c r="L20" s="496"/>
      <c r="M20" s="496"/>
      <c r="N20" s="496"/>
      <c r="O20" s="496"/>
      <c r="P20" s="522"/>
      <c r="Q20" s="496"/>
      <c r="R20" s="496"/>
      <c r="S20" s="496"/>
    </row>
    <row r="21" spans="1:19" ht="12.65" customHeight="1">
      <c r="A21" s="496"/>
      <c r="B21" s="519"/>
      <c r="C21" s="520"/>
      <c r="D21" s="496"/>
      <c r="E21" s="496"/>
      <c r="F21" s="496"/>
      <c r="G21" s="496"/>
      <c r="H21" s="496"/>
      <c r="I21" s="496"/>
      <c r="J21" s="496"/>
      <c r="K21" s="521"/>
      <c r="L21" s="496"/>
      <c r="M21" s="496"/>
      <c r="N21" s="496"/>
      <c r="O21" s="496"/>
      <c r="P21" s="522"/>
      <c r="Q21" s="496"/>
      <c r="R21" s="496"/>
      <c r="S21" s="496"/>
    </row>
    <row r="22" spans="1:19" ht="12.65" customHeight="1">
      <c r="A22" s="496"/>
      <c r="B22" s="519"/>
      <c r="C22" s="520"/>
      <c r="D22" s="496"/>
      <c r="E22" s="496"/>
      <c r="F22" s="496"/>
      <c r="G22" s="496"/>
      <c r="H22" s="496"/>
      <c r="I22" s="496"/>
      <c r="J22" s="496"/>
      <c r="K22" s="521"/>
      <c r="L22" s="496"/>
      <c r="M22" s="496"/>
      <c r="N22" s="496"/>
      <c r="O22" s="496"/>
      <c r="P22" s="522"/>
      <c r="Q22" s="496"/>
      <c r="R22" s="496"/>
      <c r="S22" s="496"/>
    </row>
    <row r="23" spans="1:19" ht="12.65" customHeight="1">
      <c r="A23" s="496"/>
      <c r="B23" s="519"/>
      <c r="C23" s="520"/>
      <c r="D23" s="496"/>
      <c r="E23" s="496"/>
      <c r="F23" s="496"/>
      <c r="G23" s="496"/>
      <c r="H23" s="496"/>
      <c r="I23" s="496"/>
      <c r="J23" s="496"/>
      <c r="K23" s="521"/>
      <c r="L23" s="496"/>
      <c r="M23" s="496"/>
      <c r="N23" s="496"/>
      <c r="O23" s="496"/>
      <c r="P23" s="522"/>
      <c r="Q23" s="496"/>
      <c r="R23" s="496"/>
      <c r="S23" s="496"/>
    </row>
    <row r="24" spans="1:19" ht="12.65" customHeight="1">
      <c r="A24" s="496"/>
      <c r="B24" s="519"/>
      <c r="C24" s="520"/>
      <c r="D24" s="496"/>
      <c r="E24" s="496"/>
      <c r="F24" s="496"/>
      <c r="G24" s="496"/>
      <c r="H24" s="496"/>
      <c r="I24" s="496"/>
      <c r="J24" s="496"/>
      <c r="K24" s="521"/>
      <c r="L24" s="496"/>
      <c r="M24" s="496"/>
      <c r="N24" s="496"/>
      <c r="O24" s="496"/>
      <c r="P24" s="522"/>
      <c r="Q24" s="496"/>
      <c r="R24" s="496"/>
      <c r="S24" s="496"/>
    </row>
    <row r="25" spans="1:19" ht="12.65" customHeight="1">
      <c r="A25" s="496"/>
      <c r="B25" s="519"/>
      <c r="C25" s="520"/>
      <c r="D25" s="496"/>
      <c r="E25" s="496"/>
      <c r="F25" s="496"/>
      <c r="G25" s="496"/>
      <c r="H25" s="496"/>
      <c r="I25" s="496"/>
      <c r="J25" s="496"/>
      <c r="K25" s="521"/>
      <c r="L25" s="496"/>
      <c r="M25" s="496"/>
      <c r="N25" s="496"/>
      <c r="O25" s="496"/>
      <c r="P25" s="522"/>
      <c r="Q25" s="496"/>
      <c r="R25" s="496"/>
      <c r="S25" s="496"/>
    </row>
    <row r="26" spans="1:19" ht="12.65" customHeight="1">
      <c r="A26" s="496"/>
      <c r="B26" s="519"/>
      <c r="C26" s="520"/>
      <c r="D26" s="496"/>
      <c r="E26" s="496"/>
      <c r="F26" s="496"/>
      <c r="G26" s="496"/>
      <c r="H26" s="496"/>
      <c r="I26" s="496"/>
      <c r="J26" s="496"/>
      <c r="K26" s="521"/>
      <c r="L26" s="496"/>
      <c r="M26" s="496"/>
      <c r="N26" s="496"/>
      <c r="O26" s="496"/>
      <c r="P26" s="522"/>
      <c r="Q26" s="496"/>
      <c r="R26" s="496"/>
      <c r="S26" s="496"/>
    </row>
  </sheetData>
  <autoFilter ref="A1:R16" xr:uid="{00000000-0009-0000-0000-00000B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8F8-1AFA-4D28-96EA-E4AF40BCF530}">
  <sheetPr>
    <outlinePr summaryBelow="0" summaryRight="0"/>
  </sheetPr>
  <dimension ref="A1:R27"/>
  <sheetViews>
    <sheetView topLeftCell="B1" zoomScale="120" zoomScaleNormal="120" workbookViewId="0">
      <pane xSplit="4" ySplit="2" topLeftCell="F9" activePane="bottomRight" state="frozen"/>
      <selection pane="topRight" activeCell="E1" sqref="E1"/>
      <selection pane="bottomLeft" activeCell="B3" sqref="B3"/>
      <selection pane="bottomRight" activeCell="E10" sqref="E10"/>
    </sheetView>
  </sheetViews>
  <sheetFormatPr defaultColWidth="12.54296875" defaultRowHeight="15.75" customHeight="1"/>
  <cols>
    <col min="1" max="1" width="21.453125" style="673" customWidth="1"/>
    <col min="2" max="2" width="8.54296875" style="673" customWidth="1"/>
    <col min="3" max="3" width="7.54296875" style="673" customWidth="1"/>
    <col min="4" max="4" width="26.54296875" style="673" customWidth="1"/>
    <col min="5" max="5" width="24.7265625" style="673" customWidth="1"/>
    <col min="6" max="6" width="19.7265625" style="714" customWidth="1"/>
    <col min="7" max="7" width="19.54296875" style="714" customWidth="1"/>
    <col min="8" max="8" width="18.453125" style="714" customWidth="1"/>
    <col min="9" max="10" width="16.81640625" style="714" customWidth="1"/>
    <col min="11" max="11" width="20.1796875" style="714" customWidth="1"/>
    <col min="12" max="12" width="22" style="714" customWidth="1"/>
    <col min="13" max="13" width="17.81640625" style="714" customWidth="1"/>
    <col min="14" max="15" width="12.54296875" style="714"/>
    <col min="16" max="16" width="18.1796875" style="714" customWidth="1"/>
    <col min="17" max="18" width="12.54296875" style="714"/>
    <col min="19" max="16384" width="12.54296875" style="673"/>
  </cols>
  <sheetData>
    <row r="1" spans="1:18" ht="44" thickBot="1">
      <c r="A1" s="669" t="s">
        <v>4399</v>
      </c>
      <c r="B1" s="670" t="s">
        <v>2056</v>
      </c>
      <c r="C1" s="670"/>
      <c r="D1" s="671" t="s">
        <v>2057</v>
      </c>
      <c r="E1" s="671" t="s">
        <v>2058</v>
      </c>
      <c r="F1" s="671" t="s">
        <v>26</v>
      </c>
      <c r="G1" s="671" t="s">
        <v>2059</v>
      </c>
      <c r="H1" s="671" t="s">
        <v>2060</v>
      </c>
      <c r="I1" s="671" t="s">
        <v>2061</v>
      </c>
      <c r="J1" s="671" t="s">
        <v>2062</v>
      </c>
      <c r="K1" s="671" t="s">
        <v>2063</v>
      </c>
      <c r="L1" s="671" t="s">
        <v>2064</v>
      </c>
      <c r="M1" s="671" t="s">
        <v>2065</v>
      </c>
      <c r="N1" s="671" t="s">
        <v>13</v>
      </c>
      <c r="O1" s="671" t="s">
        <v>2066</v>
      </c>
      <c r="P1" s="671" t="s">
        <v>2067</v>
      </c>
      <c r="Q1" s="671" t="s">
        <v>2068</v>
      </c>
      <c r="R1" s="672" t="s">
        <v>2069</v>
      </c>
    </row>
    <row r="2" spans="1:18" ht="15.75" customHeight="1" thickBot="1">
      <c r="A2" s="674" t="s">
        <v>4400</v>
      </c>
      <c r="B2" s="871"/>
      <c r="C2" s="871"/>
      <c r="D2" s="872"/>
      <c r="E2" s="872"/>
      <c r="F2" s="872"/>
      <c r="G2" s="872"/>
      <c r="H2" s="872"/>
      <c r="I2" s="872"/>
      <c r="J2" s="872"/>
      <c r="K2" s="872"/>
      <c r="L2" s="872"/>
      <c r="M2" s="872"/>
      <c r="N2" s="872"/>
      <c r="O2" s="872"/>
      <c r="P2" s="872"/>
      <c r="Q2" s="872"/>
      <c r="R2" s="873"/>
    </row>
    <row r="3" spans="1:18" ht="37.5">
      <c r="A3" s="675" t="s">
        <v>4401</v>
      </c>
      <c r="B3" s="874"/>
      <c r="C3" s="874">
        <v>1</v>
      </c>
      <c r="D3" s="874" t="s">
        <v>4402</v>
      </c>
      <c r="E3" s="676" t="s">
        <v>190</v>
      </c>
      <c r="F3" s="677">
        <v>5500000000</v>
      </c>
      <c r="G3" s="677">
        <v>6000000000</v>
      </c>
      <c r="H3" s="677">
        <v>6500000000</v>
      </c>
      <c r="I3" s="677">
        <v>7000000000</v>
      </c>
      <c r="J3" s="677">
        <v>7500000000</v>
      </c>
      <c r="K3" s="677">
        <v>8000000000</v>
      </c>
      <c r="L3" s="678" t="s">
        <v>4403</v>
      </c>
      <c r="M3" s="678" t="s">
        <v>4404</v>
      </c>
      <c r="N3" s="678" t="s">
        <v>194</v>
      </c>
      <c r="O3" s="678" t="s">
        <v>4405</v>
      </c>
      <c r="P3" s="679" t="s">
        <v>4406</v>
      </c>
      <c r="Q3" s="679" t="s">
        <v>4407</v>
      </c>
      <c r="R3" s="680" t="s">
        <v>4408</v>
      </c>
    </row>
    <row r="4" spans="1:18" ht="50">
      <c r="A4" s="675"/>
      <c r="B4" s="875"/>
      <c r="C4" s="875"/>
      <c r="D4" s="875"/>
      <c r="E4" s="676" t="s">
        <v>198</v>
      </c>
      <c r="F4" s="681">
        <v>0.03</v>
      </c>
      <c r="G4" s="681">
        <v>0.04</v>
      </c>
      <c r="H4" s="681">
        <v>0.05</v>
      </c>
      <c r="I4" s="681">
        <v>0.06</v>
      </c>
      <c r="J4" s="681">
        <v>7.0000000000000007E-2</v>
      </c>
      <c r="K4" s="681">
        <v>0.08</v>
      </c>
      <c r="L4" s="678" t="s">
        <v>4409</v>
      </c>
      <c r="M4" s="678" t="s">
        <v>4410</v>
      </c>
      <c r="N4" s="678" t="s">
        <v>194</v>
      </c>
      <c r="O4" s="678" t="s">
        <v>4405</v>
      </c>
      <c r="P4" s="679" t="s">
        <v>4411</v>
      </c>
      <c r="Q4" s="679"/>
      <c r="R4" s="680" t="s">
        <v>4408</v>
      </c>
    </row>
    <row r="5" spans="1:18" ht="70.400000000000006" customHeight="1">
      <c r="A5" s="675"/>
      <c r="B5" s="876"/>
      <c r="C5" s="876"/>
      <c r="D5" s="876"/>
      <c r="E5" s="676" t="s">
        <v>202</v>
      </c>
      <c r="F5" s="677">
        <v>5500000000</v>
      </c>
      <c r="G5" s="677">
        <v>6000000000</v>
      </c>
      <c r="H5" s="677">
        <v>6500000000</v>
      </c>
      <c r="I5" s="677">
        <v>7000000000</v>
      </c>
      <c r="J5" s="677">
        <v>7500000000</v>
      </c>
      <c r="K5" s="677">
        <v>8000000000</v>
      </c>
      <c r="L5" s="678" t="s">
        <v>4412</v>
      </c>
      <c r="M5" s="678" t="s">
        <v>4413</v>
      </c>
      <c r="N5" s="678" t="s">
        <v>205</v>
      </c>
      <c r="O5" s="678" t="s">
        <v>4405</v>
      </c>
      <c r="P5" s="679" t="s">
        <v>4414</v>
      </c>
      <c r="Q5" s="679"/>
      <c r="R5" s="680" t="s">
        <v>4408</v>
      </c>
    </row>
    <row r="6" spans="1:18" ht="40.5" customHeight="1">
      <c r="A6" s="877" t="s">
        <v>4415</v>
      </c>
      <c r="B6" s="682"/>
      <c r="C6" s="879">
        <v>1.1000000000000001</v>
      </c>
      <c r="D6" s="881" t="s">
        <v>402</v>
      </c>
      <c r="E6" s="683" t="s">
        <v>403</v>
      </c>
      <c r="F6" s="684">
        <v>0.5</v>
      </c>
      <c r="G6" s="684">
        <v>0.6</v>
      </c>
      <c r="H6" s="684">
        <v>0.65</v>
      </c>
      <c r="I6" s="684">
        <v>0.7</v>
      </c>
      <c r="J6" s="684">
        <v>0.75</v>
      </c>
      <c r="K6" s="684">
        <v>0.75</v>
      </c>
      <c r="L6" s="685" t="s">
        <v>4416</v>
      </c>
      <c r="M6" s="685" t="s">
        <v>4417</v>
      </c>
      <c r="N6" s="685" t="s">
        <v>205</v>
      </c>
      <c r="O6" s="685" t="s">
        <v>4418</v>
      </c>
      <c r="P6" s="685" t="s">
        <v>4419</v>
      </c>
      <c r="Q6" s="686" t="s">
        <v>4407</v>
      </c>
      <c r="R6" s="687" t="s">
        <v>4408</v>
      </c>
    </row>
    <row r="7" spans="1:18" ht="37.5">
      <c r="A7" s="878"/>
      <c r="B7" s="682"/>
      <c r="C7" s="880"/>
      <c r="D7" s="882"/>
      <c r="E7" s="689" t="s">
        <v>409</v>
      </c>
      <c r="F7" s="690">
        <v>0</v>
      </c>
      <c r="G7" s="691">
        <v>1</v>
      </c>
      <c r="H7" s="691">
        <v>1</v>
      </c>
      <c r="I7" s="691">
        <v>2</v>
      </c>
      <c r="J7" s="691">
        <v>2</v>
      </c>
      <c r="K7" s="691">
        <v>3</v>
      </c>
      <c r="L7" s="685" t="s">
        <v>4420</v>
      </c>
      <c r="M7" s="685" t="s">
        <v>4421</v>
      </c>
      <c r="N7" s="685" t="s">
        <v>205</v>
      </c>
      <c r="O7" s="685" t="s">
        <v>4418</v>
      </c>
      <c r="P7" s="685" t="s">
        <v>4422</v>
      </c>
      <c r="Q7" s="686" t="s">
        <v>4407</v>
      </c>
      <c r="R7" s="687" t="s">
        <v>4408</v>
      </c>
    </row>
    <row r="8" spans="1:18" ht="147.65" customHeight="1">
      <c r="A8" s="878"/>
      <c r="B8" s="692"/>
      <c r="C8" s="688">
        <v>1.2</v>
      </c>
      <c r="D8" s="683" t="s">
        <v>413</v>
      </c>
      <c r="E8" s="693" t="s">
        <v>414</v>
      </c>
      <c r="F8" s="694">
        <v>0</v>
      </c>
      <c r="G8" s="694">
        <v>1</v>
      </c>
      <c r="H8" s="694">
        <v>1</v>
      </c>
      <c r="I8" s="694">
        <v>2</v>
      </c>
      <c r="J8" s="694">
        <v>3</v>
      </c>
      <c r="K8" s="694">
        <v>4</v>
      </c>
      <c r="L8" s="695" t="s">
        <v>4347</v>
      </c>
      <c r="M8" s="695" t="s">
        <v>193</v>
      </c>
      <c r="N8" s="695" t="s">
        <v>195</v>
      </c>
      <c r="O8" s="685" t="s">
        <v>109</v>
      </c>
      <c r="P8" s="695" t="s">
        <v>4348</v>
      </c>
      <c r="Q8" s="686" t="s">
        <v>2075</v>
      </c>
      <c r="R8" s="687" t="s">
        <v>146</v>
      </c>
    </row>
    <row r="9" spans="1:18" ht="72.5">
      <c r="A9" s="860"/>
      <c r="B9" s="696"/>
      <c r="C9" s="861"/>
      <c r="D9" s="863" t="s">
        <v>1907</v>
      </c>
      <c r="E9" s="697" t="s">
        <v>1908</v>
      </c>
      <c r="F9" s="698">
        <v>1</v>
      </c>
      <c r="G9" s="698">
        <v>2</v>
      </c>
      <c r="H9" s="699">
        <v>3</v>
      </c>
      <c r="I9" s="700">
        <v>4</v>
      </c>
      <c r="J9" s="700">
        <v>5</v>
      </c>
      <c r="K9" s="700">
        <v>5</v>
      </c>
      <c r="L9" s="701" t="s">
        <v>4423</v>
      </c>
      <c r="M9" s="701" t="s">
        <v>4424</v>
      </c>
      <c r="N9" s="701" t="s">
        <v>4425</v>
      </c>
      <c r="O9" s="701" t="s">
        <v>4426</v>
      </c>
      <c r="P9" s="702" t="s">
        <v>4427</v>
      </c>
      <c r="Q9" s="701"/>
      <c r="R9" s="703" t="s">
        <v>4428</v>
      </c>
    </row>
    <row r="10" spans="1:18" ht="46.5" customHeight="1">
      <c r="A10" s="860"/>
      <c r="B10" s="696"/>
      <c r="C10" s="861"/>
      <c r="D10" s="861"/>
      <c r="E10" s="704" t="s">
        <v>1917</v>
      </c>
      <c r="F10" s="699" t="s">
        <v>4429</v>
      </c>
      <c r="G10" s="700">
        <v>1</v>
      </c>
      <c r="H10" s="700">
        <v>2</v>
      </c>
      <c r="I10" s="700">
        <v>2</v>
      </c>
      <c r="J10" s="700">
        <v>3</v>
      </c>
      <c r="K10" s="700">
        <v>3</v>
      </c>
      <c r="L10" s="701" t="s">
        <v>4430</v>
      </c>
      <c r="M10" s="701" t="s">
        <v>4431</v>
      </c>
      <c r="N10" s="701" t="s">
        <v>4432</v>
      </c>
      <c r="O10" s="701" t="s">
        <v>4433</v>
      </c>
      <c r="P10" s="702" t="s">
        <v>4434</v>
      </c>
      <c r="Q10" s="701"/>
      <c r="R10" s="703" t="s">
        <v>4428</v>
      </c>
    </row>
    <row r="11" spans="1:18" ht="58">
      <c r="A11" s="860"/>
      <c r="B11" s="696"/>
      <c r="C11" s="861"/>
      <c r="D11" s="861"/>
      <c r="E11" s="704" t="s">
        <v>1921</v>
      </c>
      <c r="F11" s="699">
        <v>0</v>
      </c>
      <c r="G11" s="700">
        <v>1</v>
      </c>
      <c r="H11" s="700">
        <v>2</v>
      </c>
      <c r="I11" s="700">
        <v>2</v>
      </c>
      <c r="J11" s="700">
        <v>3</v>
      </c>
      <c r="K11" s="700">
        <v>4</v>
      </c>
      <c r="L11" s="701" t="s">
        <v>4435</v>
      </c>
      <c r="M11" s="701" t="s">
        <v>4436</v>
      </c>
      <c r="N11" s="701" t="s">
        <v>4437</v>
      </c>
      <c r="O11" s="701" t="s">
        <v>4433</v>
      </c>
      <c r="P11" s="702" t="s">
        <v>4438</v>
      </c>
      <c r="Q11" s="701"/>
      <c r="R11" s="703" t="s">
        <v>4428</v>
      </c>
    </row>
    <row r="12" spans="1:18" ht="77.5" customHeight="1">
      <c r="A12" s="860"/>
      <c r="B12" s="696"/>
      <c r="C12" s="862"/>
      <c r="D12" s="861"/>
      <c r="E12" s="704" t="s">
        <v>4439</v>
      </c>
      <c r="F12" s="705">
        <v>0.25</v>
      </c>
      <c r="G12" s="706">
        <v>0.5</v>
      </c>
      <c r="H12" s="706">
        <v>0.75</v>
      </c>
      <c r="I12" s="704">
        <v>80</v>
      </c>
      <c r="J12" s="706">
        <v>0.9</v>
      </c>
      <c r="K12" s="706">
        <v>1</v>
      </c>
      <c r="L12" s="701" t="s">
        <v>4440</v>
      </c>
      <c r="M12" s="701" t="s">
        <v>4441</v>
      </c>
      <c r="N12" s="701" t="s">
        <v>4442</v>
      </c>
      <c r="O12" s="701" t="s">
        <v>4433</v>
      </c>
      <c r="P12" s="702" t="s">
        <v>4443</v>
      </c>
      <c r="Q12" s="701"/>
      <c r="R12" s="703" t="s">
        <v>4428</v>
      </c>
    </row>
    <row r="13" spans="1:18" ht="72.5">
      <c r="A13" s="860"/>
      <c r="B13" s="696"/>
      <c r="C13" s="864"/>
      <c r="D13" s="866" t="s">
        <v>1931</v>
      </c>
      <c r="E13" s="707" t="s">
        <v>1932</v>
      </c>
      <c r="F13" s="708">
        <v>0</v>
      </c>
      <c r="G13" s="708">
        <v>1</v>
      </c>
      <c r="H13" s="699">
        <v>2</v>
      </c>
      <c r="I13" s="699">
        <v>3</v>
      </c>
      <c r="J13" s="699">
        <v>4</v>
      </c>
      <c r="K13" s="699">
        <v>4</v>
      </c>
      <c r="L13" s="701" t="s">
        <v>4444</v>
      </c>
      <c r="M13" s="701" t="s">
        <v>4445</v>
      </c>
      <c r="N13" s="701" t="s">
        <v>4446</v>
      </c>
      <c r="O13" s="701" t="s">
        <v>4447</v>
      </c>
      <c r="P13" s="702" t="s">
        <v>4448</v>
      </c>
      <c r="Q13" s="701"/>
      <c r="R13" s="703" t="s">
        <v>4428</v>
      </c>
    </row>
    <row r="14" spans="1:18" ht="50.15" customHeight="1">
      <c r="A14" s="860"/>
      <c r="B14" s="696"/>
      <c r="C14" s="864"/>
      <c r="D14" s="866"/>
      <c r="E14" s="707" t="s">
        <v>1938</v>
      </c>
      <c r="F14" s="708">
        <v>0</v>
      </c>
      <c r="G14" s="699">
        <v>1</v>
      </c>
      <c r="H14" s="699">
        <v>1</v>
      </c>
      <c r="I14" s="704">
        <v>2</v>
      </c>
      <c r="J14" s="704">
        <v>2</v>
      </c>
      <c r="K14" s="704">
        <v>3</v>
      </c>
      <c r="L14" s="701" t="s">
        <v>4449</v>
      </c>
      <c r="M14" s="701" t="s">
        <v>4450</v>
      </c>
      <c r="N14" s="701" t="s">
        <v>4451</v>
      </c>
      <c r="O14" s="701" t="s">
        <v>4452</v>
      </c>
      <c r="P14" s="702" t="s">
        <v>4453</v>
      </c>
      <c r="Q14" s="701"/>
      <c r="R14" s="703" t="s">
        <v>4428</v>
      </c>
    </row>
    <row r="15" spans="1:18" ht="75" customHeight="1">
      <c r="A15" s="860"/>
      <c r="B15" s="696"/>
      <c r="C15" s="864"/>
      <c r="D15" s="866"/>
      <c r="E15" s="707" t="s">
        <v>1942</v>
      </c>
      <c r="F15" s="708">
        <v>0</v>
      </c>
      <c r="G15" s="704">
        <v>1</v>
      </c>
      <c r="H15" s="704">
        <v>1</v>
      </c>
      <c r="I15" s="704">
        <v>2</v>
      </c>
      <c r="J15" s="704">
        <v>2</v>
      </c>
      <c r="K15" s="704">
        <v>3</v>
      </c>
      <c r="L15" s="701" t="s">
        <v>4454</v>
      </c>
      <c r="M15" s="701" t="s">
        <v>4455</v>
      </c>
      <c r="N15" s="701" t="s">
        <v>4456</v>
      </c>
      <c r="O15" s="701" t="s">
        <v>4433</v>
      </c>
      <c r="P15" s="702" t="s">
        <v>4457</v>
      </c>
      <c r="Q15" s="701"/>
      <c r="R15" s="703" t="s">
        <v>4428</v>
      </c>
    </row>
    <row r="16" spans="1:18" ht="125.15" customHeight="1">
      <c r="A16" s="860"/>
      <c r="B16" s="696"/>
      <c r="C16" s="865"/>
      <c r="D16" s="866"/>
      <c r="E16" s="707" t="s">
        <v>1946</v>
      </c>
      <c r="F16" s="709">
        <v>0</v>
      </c>
      <c r="G16" s="709" t="s">
        <v>4458</v>
      </c>
      <c r="H16" s="709" t="s">
        <v>4458</v>
      </c>
      <c r="I16" s="709" t="s">
        <v>4459</v>
      </c>
      <c r="J16" s="709" t="s">
        <v>4460</v>
      </c>
      <c r="K16" s="709" t="s">
        <v>4461</v>
      </c>
      <c r="L16" s="701" t="s">
        <v>4462</v>
      </c>
      <c r="M16" s="701" t="s">
        <v>4463</v>
      </c>
      <c r="N16" s="701" t="s">
        <v>4464</v>
      </c>
      <c r="O16" s="701" t="s">
        <v>4433</v>
      </c>
      <c r="P16" s="702" t="s">
        <v>4465</v>
      </c>
      <c r="Q16" s="701"/>
      <c r="R16" s="703" t="s">
        <v>4428</v>
      </c>
    </row>
    <row r="17" spans="1:18" ht="61" customHeight="1">
      <c r="A17" s="860"/>
      <c r="B17" s="696"/>
      <c r="C17" s="863" t="s">
        <v>447</v>
      </c>
      <c r="D17" s="867" t="s">
        <v>1952</v>
      </c>
      <c r="E17" s="704" t="s">
        <v>1953</v>
      </c>
      <c r="F17" s="699">
        <v>0</v>
      </c>
      <c r="G17" s="699">
        <v>1</v>
      </c>
      <c r="H17" s="699">
        <v>2</v>
      </c>
      <c r="I17" s="699">
        <v>3</v>
      </c>
      <c r="J17" s="699">
        <v>4</v>
      </c>
      <c r="K17" s="699">
        <v>5</v>
      </c>
      <c r="L17" s="701" t="s">
        <v>4466</v>
      </c>
      <c r="M17" s="701" t="s">
        <v>4467</v>
      </c>
      <c r="N17" s="701" t="s">
        <v>4468</v>
      </c>
      <c r="O17" s="701" t="s">
        <v>4469</v>
      </c>
      <c r="P17" s="702" t="s">
        <v>4470</v>
      </c>
      <c r="Q17" s="701"/>
      <c r="R17" s="703" t="s">
        <v>4428</v>
      </c>
    </row>
    <row r="18" spans="1:18" ht="50.5" customHeight="1">
      <c r="A18" s="860"/>
      <c r="B18" s="696"/>
      <c r="C18" s="861"/>
      <c r="D18" s="861"/>
      <c r="E18" s="704" t="s">
        <v>1959</v>
      </c>
      <c r="F18" s="699">
        <v>0</v>
      </c>
      <c r="G18" s="704">
        <v>1</v>
      </c>
      <c r="H18" s="704">
        <v>1</v>
      </c>
      <c r="I18" s="704">
        <v>2</v>
      </c>
      <c r="J18" s="704">
        <v>2</v>
      </c>
      <c r="K18" s="704">
        <v>2</v>
      </c>
      <c r="L18" s="701" t="s">
        <v>4471</v>
      </c>
      <c r="M18" s="701" t="s">
        <v>4472</v>
      </c>
      <c r="N18" s="701" t="s">
        <v>4473</v>
      </c>
      <c r="O18" s="701" t="s">
        <v>4452</v>
      </c>
      <c r="P18" s="702" t="s">
        <v>4474</v>
      </c>
      <c r="Q18" s="701"/>
      <c r="R18" s="703" t="s">
        <v>4428</v>
      </c>
    </row>
    <row r="19" spans="1:18" ht="95.15" customHeight="1">
      <c r="A19" s="860"/>
      <c r="B19" s="696"/>
      <c r="C19" s="861"/>
      <c r="D19" s="861"/>
      <c r="E19" s="704" t="s">
        <v>1966</v>
      </c>
      <c r="F19" s="699">
        <v>3</v>
      </c>
      <c r="G19" s="699">
        <v>4</v>
      </c>
      <c r="H19" s="699">
        <v>4</v>
      </c>
      <c r="I19" s="699">
        <v>5</v>
      </c>
      <c r="J19" s="699">
        <v>5</v>
      </c>
      <c r="K19" s="699">
        <v>5</v>
      </c>
      <c r="L19" s="701" t="s">
        <v>4475</v>
      </c>
      <c r="M19" s="701" t="s">
        <v>4476</v>
      </c>
      <c r="N19" s="701" t="s">
        <v>4477</v>
      </c>
      <c r="O19" s="701" t="s">
        <v>4433</v>
      </c>
      <c r="P19" s="702" t="s">
        <v>4478</v>
      </c>
      <c r="Q19" s="701"/>
      <c r="R19" s="703" t="s">
        <v>4428</v>
      </c>
    </row>
    <row r="20" spans="1:18" ht="59.15" customHeight="1">
      <c r="A20" s="860"/>
      <c r="B20" s="696"/>
      <c r="C20" s="861"/>
      <c r="D20" s="861"/>
      <c r="E20" s="704" t="s">
        <v>1971</v>
      </c>
      <c r="F20" s="699">
        <v>1</v>
      </c>
      <c r="G20" s="699">
        <v>1</v>
      </c>
      <c r="H20" s="699">
        <v>2</v>
      </c>
      <c r="I20" s="699">
        <v>3</v>
      </c>
      <c r="J20" s="699">
        <v>4</v>
      </c>
      <c r="K20" s="699">
        <v>5</v>
      </c>
      <c r="L20" s="701" t="s">
        <v>4479</v>
      </c>
      <c r="M20" s="701" t="s">
        <v>4480</v>
      </c>
      <c r="N20" s="701" t="s">
        <v>4481</v>
      </c>
      <c r="O20" s="701" t="s">
        <v>4433</v>
      </c>
      <c r="P20" s="702" t="s">
        <v>4482</v>
      </c>
      <c r="Q20" s="701"/>
      <c r="R20" s="703" t="s">
        <v>4428</v>
      </c>
    </row>
    <row r="21" spans="1:18" ht="57" customHeight="1">
      <c r="A21" s="860"/>
      <c r="B21" s="696"/>
      <c r="C21" s="861"/>
      <c r="D21" s="861"/>
      <c r="E21" s="704" t="s">
        <v>1978</v>
      </c>
      <c r="F21" s="699" t="s">
        <v>4483</v>
      </c>
      <c r="G21" s="699">
        <v>2</v>
      </c>
      <c r="H21" s="699">
        <v>3</v>
      </c>
      <c r="I21" s="699">
        <v>3</v>
      </c>
      <c r="J21" s="699">
        <v>4</v>
      </c>
      <c r="K21" s="699">
        <v>4</v>
      </c>
      <c r="L21" s="701" t="s">
        <v>4484</v>
      </c>
      <c r="M21" s="701" t="s">
        <v>4485</v>
      </c>
      <c r="N21" s="701" t="s">
        <v>4486</v>
      </c>
      <c r="O21" s="701" t="s">
        <v>4433</v>
      </c>
      <c r="P21" s="702" t="s">
        <v>4487</v>
      </c>
      <c r="Q21" s="701"/>
      <c r="R21" s="703" t="s">
        <v>4428</v>
      </c>
    </row>
    <row r="22" spans="1:18" ht="49.5" customHeight="1">
      <c r="A22" s="860"/>
      <c r="B22" s="696"/>
      <c r="C22" s="868" t="s">
        <v>460</v>
      </c>
      <c r="D22" s="869" t="s">
        <v>1984</v>
      </c>
      <c r="E22" s="707" t="s">
        <v>1985</v>
      </c>
      <c r="F22" s="708">
        <v>0</v>
      </c>
      <c r="G22" s="699">
        <v>1</v>
      </c>
      <c r="H22" s="699">
        <v>1</v>
      </c>
      <c r="I22" s="699">
        <v>1</v>
      </c>
      <c r="J22" s="699">
        <v>1</v>
      </c>
      <c r="K22" s="708">
        <v>1</v>
      </c>
      <c r="L22" s="701" t="s">
        <v>4488</v>
      </c>
      <c r="M22" s="701" t="s">
        <v>4489</v>
      </c>
      <c r="N22" s="701" t="s">
        <v>4490</v>
      </c>
      <c r="O22" s="701" t="s">
        <v>4491</v>
      </c>
      <c r="P22" s="702" t="s">
        <v>4492</v>
      </c>
      <c r="Q22" s="701"/>
      <c r="R22" s="703" t="s">
        <v>4428</v>
      </c>
    </row>
    <row r="23" spans="1:18" ht="72.5">
      <c r="A23" s="860"/>
      <c r="B23" s="696"/>
      <c r="C23" s="865"/>
      <c r="D23" s="870"/>
      <c r="E23" s="707" t="s">
        <v>1992</v>
      </c>
      <c r="F23" s="699">
        <v>0</v>
      </c>
      <c r="G23" s="699">
        <v>1</v>
      </c>
      <c r="H23" s="699">
        <v>1</v>
      </c>
      <c r="I23" s="699">
        <v>1</v>
      </c>
      <c r="J23" s="699">
        <v>2</v>
      </c>
      <c r="K23" s="699">
        <v>2</v>
      </c>
      <c r="L23" s="699" t="s">
        <v>4493</v>
      </c>
      <c r="M23" s="699" t="s">
        <v>4494</v>
      </c>
      <c r="N23" s="699" t="s">
        <v>4495</v>
      </c>
      <c r="O23" s="699" t="s">
        <v>4433</v>
      </c>
      <c r="P23" s="710" t="s">
        <v>4496</v>
      </c>
      <c r="Q23" s="701"/>
      <c r="R23" s="703" t="s">
        <v>4428</v>
      </c>
    </row>
    <row r="24" spans="1:18" ht="75">
      <c r="A24" s="711"/>
      <c r="B24" s="696"/>
      <c r="C24" s="712" t="s">
        <v>541</v>
      </c>
      <c r="D24" s="712" t="s">
        <v>1998</v>
      </c>
      <c r="E24" s="712" t="s">
        <v>1999</v>
      </c>
      <c r="F24" s="712">
        <v>0</v>
      </c>
      <c r="G24" s="712">
        <v>1</v>
      </c>
      <c r="H24" s="712">
        <v>1</v>
      </c>
      <c r="I24" s="712">
        <v>2</v>
      </c>
      <c r="J24" s="712">
        <v>2</v>
      </c>
      <c r="K24" s="712">
        <v>2</v>
      </c>
      <c r="L24" s="712" t="s">
        <v>4356</v>
      </c>
      <c r="M24" s="712" t="s">
        <v>4357</v>
      </c>
      <c r="N24" s="712" t="s">
        <v>4358</v>
      </c>
      <c r="O24" s="699" t="s">
        <v>4433</v>
      </c>
      <c r="P24" s="713" t="s">
        <v>4359</v>
      </c>
      <c r="Q24" s="712"/>
      <c r="R24" s="703" t="s">
        <v>4428</v>
      </c>
    </row>
    <row r="25" spans="1:18" ht="62.5">
      <c r="B25" s="696"/>
      <c r="C25" s="712" t="s">
        <v>552</v>
      </c>
      <c r="D25" s="712" t="s">
        <v>2005</v>
      </c>
      <c r="E25" s="712" t="s">
        <v>2006</v>
      </c>
      <c r="F25" s="712">
        <v>3</v>
      </c>
      <c r="G25" s="712">
        <v>3</v>
      </c>
      <c r="H25" s="712">
        <v>4</v>
      </c>
      <c r="I25" s="712">
        <v>4</v>
      </c>
      <c r="J25" s="712">
        <v>4</v>
      </c>
      <c r="K25" s="712">
        <v>4</v>
      </c>
      <c r="L25" s="712" t="s">
        <v>4360</v>
      </c>
      <c r="M25" s="712" t="s">
        <v>4361</v>
      </c>
      <c r="N25" s="712" t="s">
        <v>4362</v>
      </c>
      <c r="O25" s="699" t="s">
        <v>4433</v>
      </c>
      <c r="P25" s="713" t="s">
        <v>4363</v>
      </c>
      <c r="Q25" s="712"/>
      <c r="R25" s="703" t="s">
        <v>4428</v>
      </c>
    </row>
    <row r="26" spans="1:18" ht="50">
      <c r="B26" s="696"/>
      <c r="C26" s="712" t="s">
        <v>560</v>
      </c>
      <c r="D26" s="712" t="s">
        <v>2012</v>
      </c>
      <c r="E26" s="712" t="s">
        <v>2013</v>
      </c>
      <c r="F26" s="712">
        <v>2</v>
      </c>
      <c r="G26" s="712">
        <v>2</v>
      </c>
      <c r="H26" s="712">
        <v>3</v>
      </c>
      <c r="I26" s="712">
        <v>3</v>
      </c>
      <c r="J26" s="712">
        <v>4</v>
      </c>
      <c r="K26" s="712">
        <v>4</v>
      </c>
      <c r="L26" s="712" t="s">
        <v>4364</v>
      </c>
      <c r="M26" s="712" t="s">
        <v>4365</v>
      </c>
      <c r="N26" s="712" t="s">
        <v>4366</v>
      </c>
      <c r="O26" s="699" t="s">
        <v>4433</v>
      </c>
      <c r="P26" s="713" t="s">
        <v>4367</v>
      </c>
      <c r="Q26" s="712"/>
      <c r="R26" s="703" t="s">
        <v>4428</v>
      </c>
    </row>
    <row r="27" spans="1:18" ht="50">
      <c r="B27" s="696"/>
      <c r="C27" s="712" t="s">
        <v>569</v>
      </c>
      <c r="D27" s="712" t="s">
        <v>2018</v>
      </c>
      <c r="E27" s="712" t="s">
        <v>2019</v>
      </c>
      <c r="F27" s="712">
        <v>1</v>
      </c>
      <c r="G27" s="712">
        <v>1</v>
      </c>
      <c r="H27" s="712">
        <v>2</v>
      </c>
      <c r="I27" s="712">
        <v>3</v>
      </c>
      <c r="J27" s="712">
        <v>4</v>
      </c>
      <c r="K27" s="712">
        <v>4</v>
      </c>
      <c r="L27" s="712" t="s">
        <v>4368</v>
      </c>
      <c r="M27" s="712" t="s">
        <v>4369</v>
      </c>
      <c r="N27" s="712" t="s">
        <v>4370</v>
      </c>
      <c r="O27" s="699" t="s">
        <v>4433</v>
      </c>
      <c r="P27" s="713" t="s">
        <v>4371</v>
      </c>
      <c r="Q27" s="712"/>
      <c r="R27" s="703" t="s">
        <v>4428</v>
      </c>
    </row>
  </sheetData>
  <mergeCells count="16">
    <mergeCell ref="B2:R2"/>
    <mergeCell ref="B3:B5"/>
    <mergeCell ref="C3:C5"/>
    <mergeCell ref="D3:D5"/>
    <mergeCell ref="A6:A8"/>
    <mergeCell ref="C6:C7"/>
    <mergeCell ref="D6:D7"/>
    <mergeCell ref="A9:A23"/>
    <mergeCell ref="C9:C12"/>
    <mergeCell ref="D9:D12"/>
    <mergeCell ref="C13:C16"/>
    <mergeCell ref="D13:D16"/>
    <mergeCell ref="C17:C21"/>
    <mergeCell ref="D17:D21"/>
    <mergeCell ref="C22:C23"/>
    <mergeCell ref="D22:D2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Indicator Data</vt:lpstr>
      <vt:lpstr>RM2030 Alignment</vt:lpstr>
      <vt:lpstr>OSP M&amp;E Plan revision2</vt:lpstr>
      <vt:lpstr>Field Descriptions</vt:lpstr>
      <vt:lpstr>Versions</vt:lpstr>
      <vt:lpstr>GBF Targets details</vt:lpstr>
      <vt:lpstr>Do Not Edit</vt:lpstr>
      <vt:lpstr>Sheet2</vt:lpstr>
      <vt:lpstr>PMEL Programme Output Indic</vt:lpstr>
      <vt:lpstr>Program M&amp;E Plan</vt:lpstr>
      <vt:lpstr>Program M&amp;E Plan forest</vt:lpstr>
      <vt:lpstr>OM OSP M&amp;E Plan revision2</vt:lpstr>
      <vt:lpstr>(RA M&amp;E From OM)</vt:lpstr>
      <vt:lpstr>CCO Resource Aquistion MEL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Yioryos</dc:creator>
  <cp:keywords/>
  <dc:description/>
  <cp:lastModifiedBy>ESSOMBA NKOULOU Thaddee  Ghislain</cp:lastModifiedBy>
  <cp:revision/>
  <dcterms:created xsi:type="dcterms:W3CDTF">2024-01-17T08:15:39Z</dcterms:created>
  <dcterms:modified xsi:type="dcterms:W3CDTF">2026-05-17T16:48:58Z</dcterms:modified>
  <cp:category/>
  <cp:contentStatus/>
</cp:coreProperties>
</file>