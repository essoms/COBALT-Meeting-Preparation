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OneDrive\anny\Regional DC\CB Countries OSPPPMS Workshop March 2025\15th May Updated CO OSP Excel files\OSP 01 July 2025\CCO Oct 2025 OSP Version FILES\"/>
    </mc:Choice>
  </mc:AlternateContent>
  <xr:revisionPtr revIDLastSave="0" documentId="13_ncr:1_{6ACE66B4-D92C-4392-AD18-7C95DC07887F}" xr6:coauthVersionLast="47" xr6:coauthVersionMax="47" xr10:uidLastSave="{00000000-0000-0000-0000-000000000000}"/>
  <bookViews>
    <workbookView xWindow="-110" yWindow="-110" windowWidth="19420" windowHeight="10300" tabRatio="884" firstSheet="6" activeTab="6" xr2:uid="{8C81FCA8-4428-4E05-BF83-E9F0A0632ABE}"/>
  </bookViews>
  <sheets>
    <sheet name="Programme Profile" sheetId="1" r:id="rId1"/>
    <sheet name="Situation Analysis" sheetId="2" r:id="rId2"/>
    <sheet name="Stakeholder Analysis" sheetId="3" r:id="rId3"/>
    <sheet name="Focus &amp; Goals" sheetId="4" r:id="rId4"/>
    <sheet name="Narrative TOC" sheetId="5" r:id="rId5"/>
    <sheet name="Result Chain" sheetId="6" r:id="rId6"/>
    <sheet name="Program M&amp;E Plan" sheetId="7" r:id="rId7"/>
    <sheet name="Programme Implementation Plan" sheetId="8" r:id="rId8"/>
    <sheet name="Learning Questions" sheetId="9" r:id="rId9"/>
  </sheets>
  <definedNames>
    <definedName name="_xlnm._FilterDatabase" localSheetId="6" hidden="1">'Program M&amp;E Plan'!$A$1:$W$135</definedName>
    <definedName name="_xlnm._FilterDatabase" localSheetId="5" hidden="1">'Result Chain'!$A$1:$N$4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3" i="8" l="1"/>
  <c r="F103" i="8"/>
  <c r="G103" i="8"/>
  <c r="H103" i="8"/>
  <c r="I103" i="8"/>
  <c r="D103" i="8"/>
  <c r="I80" i="8"/>
  <c r="I81" i="8"/>
  <c r="I82" i="8"/>
  <c r="I83" i="8"/>
  <c r="I84" i="8"/>
  <c r="I85" i="8"/>
  <c r="I86" i="8"/>
  <c r="I87" i="8"/>
  <c r="E88" i="8"/>
  <c r="F88" i="8"/>
  <c r="G88" i="8"/>
  <c r="H88" i="8"/>
  <c r="D88" i="8"/>
  <c r="I75" i="8"/>
  <c r="I76" i="8"/>
  <c r="E77" i="8"/>
  <c r="F77" i="8"/>
  <c r="G77" i="8"/>
  <c r="H77" i="8"/>
  <c r="I68" i="8"/>
  <c r="I69" i="8"/>
  <c r="I70" i="8"/>
  <c r="I71" i="8"/>
  <c r="E72" i="8"/>
  <c r="F72" i="8"/>
  <c r="G72" i="8"/>
  <c r="H72" i="8"/>
  <c r="I72" i="8"/>
  <c r="E65" i="8"/>
  <c r="F65" i="8"/>
  <c r="G65" i="8"/>
  <c r="H65" i="8"/>
  <c r="I65" i="8"/>
  <c r="I61" i="8"/>
  <c r="I62" i="8"/>
  <c r="I63" i="8"/>
  <c r="I64" i="8"/>
  <c r="E58" i="8"/>
  <c r="F58" i="8"/>
  <c r="G58" i="8"/>
  <c r="H58" i="8"/>
  <c r="I58" i="8"/>
  <c r="I53" i="8"/>
  <c r="I54" i="8"/>
  <c r="I55" i="8"/>
  <c r="I56" i="8"/>
  <c r="I57" i="8"/>
  <c r="E50" i="8"/>
  <c r="F50" i="8"/>
  <c r="G50" i="8"/>
  <c r="H50" i="8"/>
  <c r="I50" i="8"/>
  <c r="I18" i="8"/>
  <c r="I26" i="8"/>
  <c r="I42" i="8"/>
  <c r="I45" i="8"/>
  <c r="I46" i="8"/>
  <c r="I47" i="8"/>
  <c r="I48" i="8"/>
  <c r="I49" i="8"/>
  <c r="I29" i="8"/>
  <c r="I30" i="8"/>
  <c r="I31" i="8"/>
  <c r="I32" i="8"/>
  <c r="I33" i="8"/>
  <c r="I34" i="8"/>
  <c r="I35" i="8"/>
  <c r="I36" i="8"/>
  <c r="I37" i="8"/>
  <c r="I38" i="8"/>
  <c r="I39" i="8"/>
  <c r="I40" i="8"/>
  <c r="I41" i="8"/>
  <c r="E42" i="8"/>
  <c r="F42" i="8"/>
  <c r="G42" i="8"/>
  <c r="H42" i="8"/>
  <c r="E26" i="8"/>
  <c r="F26" i="8"/>
  <c r="G26" i="8"/>
  <c r="H26" i="8"/>
  <c r="I21" i="8"/>
  <c r="I22" i="8"/>
  <c r="I23" i="8"/>
  <c r="I24" i="8"/>
  <c r="I25" i="8"/>
  <c r="I4" i="8"/>
  <c r="I5" i="8"/>
  <c r="I6" i="8"/>
  <c r="I7" i="8"/>
  <c r="I8" i="8"/>
  <c r="I9" i="8"/>
  <c r="I10" i="8"/>
  <c r="I11" i="8"/>
  <c r="I12" i="8"/>
  <c r="I13" i="8"/>
  <c r="I14" i="8"/>
  <c r="I15" i="8"/>
  <c r="I16" i="8"/>
  <c r="I17" i="8"/>
  <c r="E18" i="8"/>
  <c r="F18" i="8"/>
  <c r="G18" i="8"/>
  <c r="H18" i="8"/>
  <c r="L105" i="8"/>
  <c r="B95" i="8"/>
  <c r="B89" i="8"/>
  <c r="B78" i="8"/>
  <c r="B73" i="8"/>
  <c r="B66" i="8"/>
  <c r="B59" i="8"/>
  <c r="B51" i="8"/>
  <c r="B43" i="8"/>
  <c r="B35" i="8"/>
  <c r="B27" i="8"/>
  <c r="B19" i="8"/>
  <c r="B12" i="8"/>
  <c r="B2" i="8"/>
  <c r="E94" i="8" l="1"/>
  <c r="F94" i="8"/>
  <c r="G94" i="8"/>
  <c r="H94" i="8"/>
  <c r="D94" i="8"/>
  <c r="D77" i="8"/>
  <c r="D72" i="8"/>
  <c r="D65" i="8"/>
  <c r="D58" i="8"/>
  <c r="D50" i="8"/>
  <c r="D42" i="8"/>
  <c r="D26" i="8" l="1"/>
  <c r="E104" i="8" l="1"/>
  <c r="F104" i="8"/>
  <c r="G104" i="8"/>
  <c r="H104" i="8"/>
  <c r="D18" i="8"/>
  <c r="D104" i="8" s="1"/>
  <c r="I102" i="8" l="1"/>
  <c r="I51" i="8" l="1"/>
  <c r="I52" i="8"/>
  <c r="I59" i="8"/>
  <c r="I60" i="8"/>
  <c r="I66" i="8"/>
  <c r="I67" i="8"/>
  <c r="I73" i="8"/>
  <c r="I74" i="8"/>
  <c r="I78" i="8"/>
  <c r="I79" i="8"/>
  <c r="I89" i="8"/>
  <c r="I90" i="8"/>
  <c r="I91" i="8"/>
  <c r="I92" i="8"/>
  <c r="I93" i="8"/>
  <c r="I95" i="8"/>
  <c r="I96" i="8"/>
  <c r="I97" i="8"/>
  <c r="I98" i="8"/>
  <c r="I99" i="8"/>
  <c r="I100" i="8"/>
  <c r="I101" i="8"/>
  <c r="I3" i="8"/>
  <c r="I19" i="8"/>
  <c r="I20" i="8"/>
  <c r="I27" i="8"/>
  <c r="I28" i="8"/>
  <c r="I43" i="8"/>
  <c r="I44" i="8"/>
  <c r="E105" i="8"/>
  <c r="F105" i="8"/>
  <c r="G105" i="8"/>
  <c r="H105" i="8"/>
  <c r="D105" i="8"/>
  <c r="I2" i="8"/>
  <c r="I77" i="8" l="1"/>
  <c r="I94" i="8"/>
  <c r="I88" i="8"/>
  <c r="I104" i="8" l="1"/>
  <c r="I105"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500-000001000000}">
      <text>
        <r>
          <rPr>
            <sz val="10"/>
            <color rgb="FF000000"/>
            <rFont val="Arial"/>
            <family val="2"/>
            <scheme val="minor"/>
          </rPr>
          <t>@hwilliams@wwfint.org, also here we should be align the language
_Assigned to hwilliams@wwfint.org_
	-Philip Kahuho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tc={ED81B901-FC4A-4331-851A-A2B0CA795674}</author>
  </authors>
  <commentList>
    <comment ref="O1" authorId="0" shapeId="0" xr:uid="{ED81B901-FC4A-4331-851A-A2B0CA7956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@Alain Ononino OSP risk assessment yet to be completed before the finalisation of the OSP 
Reply:
    @Anne Ntongho, please handle this</t>
      </text>
    </comment>
  </commentList>
</comments>
</file>

<file path=xl/sharedStrings.xml><?xml version="1.0" encoding="utf-8"?>
<sst xmlns="http://schemas.openxmlformats.org/spreadsheetml/2006/main" count="1568" uniqueCount="1145">
  <si>
    <t>Read Me First</t>
  </si>
  <si>
    <t xml:space="preserve">Programme Name
</t>
  </si>
  <si>
    <t>Please enter the Name of the Programme (Max 20 words)
See the guidance on the approach to the Programme and Project Planning</t>
  </si>
  <si>
    <t>Species conservation program</t>
  </si>
  <si>
    <t>Program Lead</t>
  </si>
  <si>
    <t>Please enter the Name of the Program Lead</t>
  </si>
  <si>
    <t>Program Team Member</t>
  </si>
  <si>
    <t xml:space="preserve">Please list the name of Program Staff. 
This will be the list of staff who will have access to the Program information in the new PMEL system. </t>
  </si>
  <si>
    <t>1) Anne Ntongho &lt;antongho@wwfcam.org&gt; 
2) Romanus Ikfuingei &lt;rikfuingei@wwfcam.org&gt;; 
3) EBENEZAR KUTCHAMBI Asaah &lt;EAsaah@wwfcam.org&gt;; 
4) Pierre Calvin FONDJA HENDJI &lt;PFondja@wwfcam.org&gt;
5) Nzooh Zacharie &lt;znzooh@wwfcam.org&gt;</t>
  </si>
  <si>
    <t>Program  Duration</t>
  </si>
  <si>
    <t xml:space="preserve">Please indicate the duration of Program. Minimum Duration of the Program is 5 years. 
</t>
  </si>
  <si>
    <t xml:space="preserve">FROM: </t>
  </si>
  <si>
    <t>FY2026</t>
  </si>
  <si>
    <t xml:space="preserve">TO: </t>
  </si>
  <si>
    <t>FY2030</t>
  </si>
  <si>
    <t>Programme Description</t>
  </si>
  <si>
    <t>Please enter a short description of the Programme (Max 200 words)</t>
  </si>
  <si>
    <t>The Species Conservation Programme aims to secure the long-term survival of elephants, great apes, duikers, and sea turtles across key landscapes in Cameroon. For elephants, the programme focuses on reducing human-elephant conflict through the C2C approach and improving local tolerance via awareness campaigns and participatory planning. Great ape conservation addresses zoonotic disease risks by strengthening surveillance and minimizing human-wildlife contact in critical areas. Sea turtle protection targets reproductive success, with efforts to deter nest predators, reduce beach plastic pollution, and ensure high hatching rates. In parallel, improved management of protected areas—through tools like IMET and capacity building—supports stronger enforcement and reduced poaching, while well-managed community hunting zones promote sustainable use of wildlife. Community wellbeing is integrated throughout. The programme supports Indigenous Peoples and Local Communities (IPLCs) with conservation-compatible livelihoods, sustainable tourism jobs, and access to grievance mechanisms, reducing dependence on poaching and enhancing trust in conservation. It also fosters positive perceptions of wildlife and strengthens IPLC rights to ensure equitable, inclusive conservation. By linking species protection with human development, the programme offers a holistic and resilient model for conservation—ensuring that both wildlife and communities thrive over the long term.</t>
  </si>
  <si>
    <t>Program Focus / Focal Area</t>
  </si>
  <si>
    <t xml:space="preserve">Please select one or more Conservation and/or Human well being Focus areas that your program will be focusing on. 
Please make sure this is a subset of what's selected in the OSP. 
</t>
  </si>
  <si>
    <t xml:space="preserve">Selected Conservation and Human Wellbeing Focus Areas:
Elephant 
Great Ape
Duiker
Sea turtle
IPLC income
ILPC access to the materials of a good life
These focal areas capture the programme’s primary goals of conserving priority species and strengthening the wellbeing of Indigenous Peoples and Local Communities in the Congo Basin.	</t>
  </si>
  <si>
    <t>Geographic Scope (Landscape)</t>
  </si>
  <si>
    <r>
      <rPr>
        <i/>
        <sz val="10"/>
        <color rgb="FF980000"/>
        <rFont val="Arial"/>
        <family val="2"/>
      </rPr>
      <t xml:space="preserve">Please list all the operational land/seascapes that are within the scope of the Program.
For each land/seascape, provide short description of why the scape is critical in the context of this Program (max 200 words per land/seascape).
Example: 
Name of the land/seascape: Description max 200 words.
All land/seascapes must must apply ESSF.
</t>
    </r>
    <r>
      <rPr>
        <i/>
        <u/>
        <sz val="10"/>
        <color rgb="FF1155CC"/>
        <rFont val="Arial"/>
        <family val="2"/>
      </rPr>
      <t>Guidance on landscape definition is here</t>
    </r>
  </si>
  <si>
    <t>Name of land/seascape</t>
  </si>
  <si>
    <t>Description (Max 200 words)</t>
  </si>
  <si>
    <t>TRIDOM Cameroon</t>
  </si>
  <si>
    <t xml:space="preserve">The Tri-National Dja-Odzala-Minkebe (TRIDOM) Landscape covers nearly 10% of the Congo Basin rainforests (178,000 km²) in Cameroon, Gabon, and Congo-Brazzaville, and currently includes 11 protected areas (in total 42,319 km² or 24% of TRIDOM ). TRIDOM holds the largest elephant population in the Congo Basin (estimated at up to 40,000, though rapidly declining) and harbours most of the biodiversity typically found in central Africa’s rainforests, including both western gorillas and central chimpanzees (great apes: estimated at up to 140,000). Most of TRIDOM has a human population density of 1-2 inhabitants per km², with people living in small towns and villages along the sparse road network. An estimated 10,000 Baka indigenous people inhabit TRIDOM. Most inhabitants are traditional Bantou shifting cultivators and small-scale cocoa farmers. Artisanal gold mining has also become a significant source of income for many families. Outside the towns, most people live below the poverty line and educational levels in general are low, but official data are lacking. With a forest cover of 97% and a deforestation rate of 0.2% per decennium (1990-2010) it is one of the most intact forest blocks in the Congo Basin. TRIDOM has low road density and few easily navigable rivers. However, the development of a growing logging road network and public road improvement have led to a big increase in bushmeat trade while the tenfold increase in ivory prices (2005-2012) has led to TRIDOM being one of Africa’s ivory poaching hotspots. </t>
  </si>
  <si>
    <t>TNS Cameroon</t>
  </si>
  <si>
    <r>
      <rPr>
        <b/>
        <sz val="10"/>
        <color theme="1"/>
        <rFont val="Arial"/>
        <family val="2"/>
      </rPr>
      <t xml:space="preserve">Geographic Location:  </t>
    </r>
    <r>
      <rPr>
        <sz val="10"/>
        <color theme="1"/>
        <rFont val="Arial"/>
        <family val="2"/>
      </rPr>
      <t xml:space="preserve">
The TNS is made up of three contiguous national parks: Nouabalé-Ndoki (Congo), Lobeke (Cameroon) and Dzanga -Sangha (CAR) and their surroundings. The landscape covers an area of 44 000 km2 (see Figure 1). The climate is generally humid with an average recorded rainfall between 1500 and 2000 mm from April to December, and a short dry season from January to March. 
</t>
    </r>
    <r>
      <rPr>
        <b/>
        <sz val="10"/>
        <color theme="1"/>
        <rFont val="Arial"/>
        <family val="2"/>
      </rPr>
      <t xml:space="preserve">Institutional and legal context: </t>
    </r>
    <r>
      <rPr>
        <sz val="10"/>
        <color theme="1"/>
        <rFont val="Arial"/>
        <family val="2"/>
      </rPr>
      <t xml:space="preserve">
The TNS is a trans-border conservation area for the shared management of contiguous protected areas, which fall under the territorial jurisdiction of the three separate states concerned. The contracting parties have committed to develop common management objectives and regulations in line with the cooperation agreement signed on 7 December 2000. 
</t>
    </r>
    <r>
      <rPr>
        <b/>
        <sz val="10"/>
        <color theme="1"/>
        <rFont val="Arial"/>
        <family val="2"/>
      </rPr>
      <t>Population</t>
    </r>
    <r>
      <rPr>
        <sz val="10"/>
        <color theme="1"/>
        <rFont val="Arial"/>
        <family val="2"/>
      </rPr>
      <t xml:space="preserve">    
The total population in the TNS is 191,000 inhabitants, who are relatively unevenly distributed across the TNS, with an urbanisation rate considerably higher than the national average (in industrial towns and villages). Administrative centres are situated exactly at the periphery of the TNS. The economic activities of the communities are essentially a function of their needs in terms of food, bush meat and non-timber forest products (NTFP). In this context, revenue originates mostly from the harvesting of forest products and the use of animal resources. These centres are an important TNS component for land use planning. 
</t>
    </r>
    <r>
      <rPr>
        <b/>
        <sz val="10"/>
        <color theme="1"/>
        <rFont val="Arial"/>
        <family val="2"/>
      </rPr>
      <t>Biodiversity</t>
    </r>
    <r>
      <rPr>
        <sz val="10"/>
        <color theme="1"/>
        <rFont val="Arial"/>
        <family val="2"/>
      </rPr>
      <t xml:space="preserve">: 
The forest landscape in the TNS includes a large portion of low Guineo-Congolese forest, which is richly populated with African mahogany and great mammals. The three parks mentioned in the introduction constitute the main protected areas in the TNS. More than 95 percent of the landscape is covered by forest, which ranges from semi-deciduous in the northwest to swampy in the southeast, with many natural glades inside and outside protected areas and Forest Management Units (FMUs). The landscape is home to major populations of some of the most threatened animal species on the continent. Great mammals such as forest elephants, great primates (lowland gorillas, chimpanzees), antelopes (Bongo, sitatunga), small mammals (colobus, Cercopithecus etc.), carnivores (leopards, golden cats, mongoose) and rodents. Wild birds are also abundant with several residents and migratory bird species. The TNS is unusual in that it is irrigated from North to South by the Sangha River, the main river in the region which has a varied and partly undiscovered piscifauna, with many fish families such as Lates niloticus (Nile perch), Malapterudae  (electric fish), Mormyridae (Kpété) etc. </t>
    </r>
  </si>
  <si>
    <t>Coastal forest</t>
  </si>
  <si>
    <r>
      <rPr>
        <b/>
        <sz val="10"/>
        <color theme="1"/>
        <rFont val="Arial"/>
        <family val="2"/>
      </rPr>
      <t xml:space="preserve">Location: </t>
    </r>
    <r>
      <rPr>
        <sz val="10"/>
        <color theme="1"/>
        <rFont val="Arial"/>
        <family val="2"/>
      </rPr>
      <t xml:space="preserve">Located in the Lower Guinian-congolian stretch of Cameroon, the coastal forests programme area falls north of River Sanaga and expands to the Cross River stretching to the Bakassi peninsula, covering a surface area of around 2.5 million hectares. The landscape is divided into functional units called technical operations units, based on geographical, ecological infrastructural functions. It hosts over 25 different categories of protected areas, based on IUCN and Cameroon standards. With Head Office in Limbe in the South West Region of Cameroon, the Coastal Forests Programme (CFP) cuts across the South West and Littoral Regions of Cameroon. The programme provides technical and administrative support to the Ministry of Forestry and Wildlife (MINFOF) at the regional, divisional, and protected areas’ levels. Technical scope: Its key protected areas of intervention include: the Bakossi, Korup and Mount Cameroon National Parks and the Banyang-Mbo Wildlife Sanctuary. This will be achieved through civil society capacity strengthening to enhance their influence in political decision-making and policy dialogue, promoting rights to resources and generating benefits for IP&amp;LCs through sustainable management of NRs, promotion of compliance with environmental and social standards and best practices to achieve sustainability in the agro-industry, involving IP&amp;LCs in co-management of protected areas, and reducing poverty around protected areas through sustainable management of NRs. The programme also
promotes promising models of sustainable natural resource management which are currently being upscaled in other landscapes within Cameroon. The landscape includes the following Technical Operations Units (TOU) with different resource regimes, land-use management units and stakeholders with different land-use interests and motivations (Chia and Sufo, 2015). The TOUs are: 1. The Mount Cameroon TOU cuts across Fako, Meme and Ndian divisions, covering 248 000 ha., and includes the Mount Cameroon National Park, Limbe Botanic Garden, the Limbe wildlife centre, and four Forest reserves: Remnants of the Bomboko Forest Reserve, Buea fuelwood plantation; Forest Management Units (FMU): FMU 11-008B2 (16,823 ha); Community forests: Etinde (4,976 ha), Bakingili (905 ha) and Woteva (1,865 ha); Cameroon Development Corporation (CDC) plantations and leasehold (40,000 ha); Communal land. The landscape harbors one of the most densely populated areas in Cameroon due to its rich volcanic soil that attracts agricultural activities both peasant and industrial, including the presence of the seascape, composed of the Atlantic Ocean (Wouri, Rio de Ray estuaries) attracting fishermen from far and wide. 2. The Bakossi-Banyang Mbo Mweh Mundani (BMBMM) TOU cuts across two regions – South West and Littoral and lies in the centre of the lower guinea congolian ecosystem called the heartland. It covers a total surface area of over 521,500 ha., with seven protected areas (Bakossi National Park, Banyang Mbo Wildlife Sanctuary, Tofala Hill Wildlife Sanctuary, Mount Muanenguba Herpeto-Ornithological Sanctuary, Loum Forest Reserve, Mahenas Forest Reserve, Mungo Forest Reserve, and Bakossi Forest Reserve), three proposed protected areas (Mak-Betchou Wildlife Sanctuary, Mount Nlonako Goliath Frog Sanctuary, and Mount Kupe Integral Ecological Reserve) and many community (including Muaku Community Forest) and council forests. 3. Korup-Ndongere TOU covers 1,217,880 ha and includes the Korup-Oban Transboundary biosphere reserve which is in the South West Region (Korup Rain Forest Biosphere Reserve) of Cameroon and the Cross River state of Nigeria (Oban Division of Cross River Park) and making the two parks an ecological continuum. Korup-Oban transboundary biosphere reserve (UNESCO) is under creation to ease the collaboration in the management of this biodiversity hotspot, which is part of the last Pleistocene refugia. It covers a proposed area of about 600.000 ha, hosting a number of protected areas (Korup National Park, Rumpi and Rata hills reserves –under upgrading into a national park, FMUs 11-001, 11-003, 11-005, 11-007, 11-008, Barombi Mbo lake reserve, …). 4. The Rio Del Rey and The Cameroon estuary blocks, covering approximately 188,000 hectares, situated in the South West and Littoral Regions. This area constitutes the largest mangrove bloc, accounting for more than half of Cameroon's mangroves and over 10% of West Africa's mangroves. The Cameroon estuary block, spanning around 88,000 hectares, stretching from the mouth of the Sanaga River to Bimbia. It includes mangroves along the Rivers Wouri and Dibamba, encompassing parts of the Littoral Region and the South West Region. Ecological and Biophysical characteristics Located in the Cameroon Highlands Forests Ecoregion (one of WWF’s G200), Gulf of Guinea and Highlands known in continental Africa for its biodiversity richness, endemism, presence of critically endangered species and coastal forests (IUCN, 1999). The CFP landscape is a biodiversity hotspot. It represents an important assemblage of wildlife corridors, most of which need to be studied and well managed to guarantee connectivity and reduce conflicts, such as the Human Wildlife and Land Use Conflicts. The landscape holds the highest density of plant species on the African continent (Cheek et al., 2004). The fauna is rich and diversified, including mammals (e.g. the critically endangered Cross River Gorilla, the Nigeria-Cameroon Chimpanzee, forest elephants, Preuss monkeys, the highly endangered Drill, the Leopard, buffalos, etc.); amphibians (the goliath frog – one of the biggest global frog species and endemic in the area); reptiles (Dwarf Crocodile), and Birds (over 329 species, including so many endemics like the Mount Kupe bush-shrike (Dowsett-Lemaire &amp; Dowsett, 2000).
The </t>
    </r>
    <r>
      <rPr>
        <b/>
        <sz val="10"/>
        <color theme="1"/>
        <rFont val="Arial"/>
        <family val="2"/>
      </rPr>
      <t>habitats</t>
    </r>
    <r>
      <rPr>
        <sz val="10"/>
        <color theme="1"/>
        <rFont val="Arial"/>
        <family val="2"/>
      </rPr>
      <t xml:space="preserve"> of the landscape can be classified into the following 5 types: lowland forest, premontane forest, submontane forest, montane forest, and montane grassland. The climate is of the Guineo-Congolian type, characterized largely by two seasons: the dry season, which runs from November to March, with the driest months being January and February. The rainy season runs from April to October, with the wettest months being July and August. The mean annual temperature ranges from 22-25˚C and rainfall of 4891 mm (Suchel, 1972, Gartlan, 1989). The landscape (MC) is home to Cameroon’s most important volcanic epicenter and the lone active volcano in West and Central Africa. The Cameroon Volcanic Line which also includes lake Nyos, with the last eruption recorded on 3rd February 2000. Also, the landscape (BMBMM) is one of Cameroon’s most important hydrological epicenters and catchments where prominent rivers, such as of the Cross River, that flows right to Calabar-Nigeria, and the Mungo that supplies many towns, including Douala with drinking water and sand for building, take their rise. It also feeds the north-western watershed of the Wouri River, which reaches the coast at Douala, constituting the largest river basin in Cameroon (Wild &amp; Ekobo, 2003). The landscape has a </t>
    </r>
    <r>
      <rPr>
        <b/>
        <sz val="10"/>
        <color theme="1"/>
        <rFont val="Arial"/>
        <family val="2"/>
      </rPr>
      <t>population</t>
    </r>
    <r>
      <rPr>
        <sz val="10"/>
        <color theme="1"/>
        <rFont val="Arial"/>
        <family val="2"/>
      </rPr>
      <t xml:space="preserve"> of about 4,000,000 inhabitants dominated by the Bantu ethnic groups (Bakweri/Bomboko, Balong, Oroko, Bafaw, Bakossi, Mbo, Manehas, Bakem, Baneka, Banyangi, Bassossi, Balong, Bangwa, Mundani, etc.) and immigrant groups, mostly from the West and North West Regions of the country, and also from Nigeria. There is also an important population of indigenous Mbororo cattle herders around the Mount Muanenguba Herpeto-Ornithological Sanctuary. Over 70% of the population of the landscape is involved in farming. The soil in most parts of the landscape is volcanic in nature and has favoured the farming of 5 key cash crops, cocoa, rubber, banana, palm and coffee, and some food crops, such as plantain, cassava, maize, cocoyams, and yams, by most households in the landscape. The traditional farming of animals, such as goats, pigs, chicken, etc., is also common. Other income-generating activities include the gathering of Non-Timber Forest Products (NTFPs), such as Njansang, bush mango and bush pepper are also very important in sustaining the livelihoods of the local populations. For example, Njansang sometime fetches up to 200,000 CFA francs per harvest season per household (800 XAF/kg =1.6$ US). Bee farming is fast becoming a popular activity in the landscape. Hunting, including poaching and, to an extent, fishing, are being practiced in the landscape. Generally, it is, perhaps, one of the poorest places in Cameroon, with most people living below the poverty line (less than 1 USD per day). Agro-industrial interest is gaining grounds in the landscape. Plantations of different crops, including Banana by Cameroon Development Corporation (CDC), Société Banane de Mbanga, and Plantations du Haut Penja (PHP); Oil palm by SG-SOC; and Rubber by CDC are found in the area. Smallholders’ schemes involved in the cultivation of pineapple and pawpaw and palms, are found in the landscape. The landscape is gaining ground as the hotspot for plantains production and has recently been lunched as a center for plantain production in the country by the government of Cameroon.</t>
    </r>
  </si>
  <si>
    <t>Campo Ma'an</t>
  </si>
  <si>
    <t>Located within the Atlantic Equatorial Coastal Forest Ecoregion, the Rio-Campo-Ma’an Landscape (930,406 ha) comprises the Campo Ma’an National Park (264,064 ha), Rio Campo Nature Reserve (33,500 ha), other land use options (506,936 ha) and the proposed marine park (125,906 ha) is a miniature reflection of the biodiversity of the Central Africa rainforests. The Campo Ma’an component is habitat to 1500 plants (of which 45 are endemic), 390 invertebrates, 249 of fish, 122 reptiles, 302 bird species (the CMNP is a designated Important Bird Area) and 80 medium and big size mammal species (MINFOF, 2014). A recent study (Nzooh, et al. 2015) provides estimates for elephant (Loxodonta africana cyclotis, 544 [425-695] individuals), and western lowland gorillas and chimpanzees, (Gorilla gorilla gorilla and Pan troglodytes troglodytes combined 2,199 [1736 – 2786] individuals). The coastal fringes of the area are important for the conservation of four marine turtle species; the Hawksbill turtle (Eretmochelys imbricata), the green turtle (Chelonia mydas), the leatherback turtle (Dermochelys coriacea) and the Olive Ridley turtle (Lepidochelys olivacea) (Angoni et Fretey 2002). The Campo Ma’an NP and the neighbouring Rio-Campo reserve (397,564 ha) in Equatorial Guinea (EQ) have been identified as one of the 18 priority landscapes for the conservation of the western lowland gorilla and the central chimpanzees and high-level meetings held in 2010 and 2011 have supported the creation of the “Río-Campo-Ma’an Binational” conservation initiative between the two countries (IUCN 2014). 
The Campo Ma’an TOU constitute five logging concessions and multiple use zones where community agro-forestry and agro-industrial activities (oil palm and rubber plantations) are found (see below, location and zoning map). The area is home to five native ethnic groups with typical livelihoods strategies; the Yasa (sea fishermen), the Mvae and the Ntumu (slash-and-burn agriculturalist), the Mabea (river fishermen) and the indigenous Bagyéli people (hunter-gatherers) (Annaud et Carrière 2000). Over the last couple of decades, forest exploitation and agro-industries have been the epicenter of the local economy and have brought about an important flux of immigrants. Since the early year 2000, the multiple use zones are increasingly solicited for the country’s major infrastructure projects such as the Memve’ele hydroelectric dam, the Kribi deep sea port and the Kribi-Lolabé highway projects. With these new economic investments coming to the area, the population has nearly doubled between 2002 and 2014, increasing from 60,338 to 111,038 inhabitants. All these populations, for their living, depend in varying degrees on natural resources (land, wildlife, timber, non-timber forest products) which for some are under unbearable pressure</t>
  </si>
  <si>
    <t>Thematic Scope (Practices)</t>
  </si>
  <si>
    <r>
      <rPr>
        <i/>
        <sz val="10"/>
        <color rgb="FF980000"/>
        <rFont val="Arial"/>
        <family val="2"/>
      </rPr>
      <t xml:space="preserve">Please list all the thematic that are relevant to the scope of the OSP. (Choice: Finance &amp; Administration, Fundraising, Communications, P&amp;C, Partnership, PMEL, etc.). 
For each theme, provide short description of why the theme is critical in the context of the OSP (max 200 words per theme).
Example: 
Name of the theme: Description max 200 words.
See </t>
    </r>
    <r>
      <rPr>
        <i/>
        <u/>
        <sz val="10"/>
        <color rgb="FF1155CC"/>
        <rFont val="Arial"/>
        <family val="2"/>
      </rPr>
      <t>Guidance by PPMS Step - Element 1.2</t>
    </r>
  </si>
  <si>
    <t>Name of Thematic Scope</t>
  </si>
  <si>
    <t>Political</t>
  </si>
  <si>
    <r>
      <rPr>
        <i/>
        <sz val="10"/>
        <color rgb="FF980000"/>
        <rFont val="Arial"/>
        <family val="2"/>
      </rPr>
      <t xml:space="preserve">Please enter the concise analysis (narrative) of context and trends (political, social, economic, climate &amp; environmental, and institutional) in country that has effects on the scope of the Programme. 
Depending on the nature of the program, some context may be more relevant than the others. 
(See </t>
    </r>
    <r>
      <rPr>
        <i/>
        <u/>
        <sz val="10"/>
        <color rgb="FF1155CC"/>
        <rFont val="Arial"/>
        <family val="2"/>
      </rPr>
      <t>Guidance by PPMS Step - Element 1.3,</t>
    </r>
    <r>
      <rPr>
        <i/>
        <sz val="10"/>
        <color rgb="FF980000"/>
        <rFont val="Arial"/>
        <family val="2"/>
      </rPr>
      <t xml:space="preserve"> and </t>
    </r>
    <r>
      <rPr>
        <i/>
        <u/>
        <sz val="10"/>
        <color rgb="FF1155CC"/>
        <rFont val="Arial"/>
        <family val="2"/>
      </rPr>
      <t>IUCN-CMP Unified classification of Threat 2.0s</t>
    </r>
    <r>
      <rPr>
        <i/>
        <sz val="10"/>
        <color rgb="FF980000"/>
        <rFont val="Arial"/>
        <family val="2"/>
      </rPr>
      <t xml:space="preserve">)
</t>
    </r>
  </si>
  <si>
    <t xml:space="preserve">Cameroon's political situation in 2025 and the past years is relatively stable guaranteeing some level of security.  This has enabled the development of agriculture, roads, and railways, as well as a petroleum industry. Cameroon is officially bilingual (French and English), with about 80% of the population Francophones and 20% Anglophones. The socio-political crisis in the English-speaking regions since 2016 has led to violence, displacement, and human rights concerns. This is coupled with ongoing conflicts in the Far North (Boko Haram insurgency), and spillover from the Central African Republic thus hosting about over 400,000 refugees putting pressure on host IP&amp;LCs and resources in general. Cameroon is planning a presidential election by the end of 2025, which might shape and orientate its socio-economic and biodiversity governance ideals. 
Cameroon's political situation in 2025 reflects a complex interplay between governance, biodiversity conservation, and environmental challenges. While there are positive developments in policy and community engagement, significant threats to biodiversity remain. The government's commitment to international treaties and initiatives like BIODEV2030 indicates a recognition of the importance of integrating biodiversity considerations into development planning. Furthermore, Cameroon has demonstrated political will and commitment to environmental sustainability through her adherence to multilateral environmental initiatives and political institutions. The country ratified; the Convention on Biodiversity (CBD) in 1995; the Sustainable Development Goals (SDGs) in 2015; the Paris Climate Change Accord, in 2016; Climate Change-Kyoto Protocol in 2002; Convention on the Prohibition of Military or Any Other Hostile Use of Environmental Modification Techniques (ENMOD) in 1977; Bamako Convention on the Ban of the Import into Africa and the Control of Transboundary Movement and Management of Hazardous Wastes within Africa in 1995; International Tropical Timber Agreement (ITTA) in 1995; and the Sendai Framework for Disaster Risk Reduction (Yaoundé Declaration, 2015). Cameroon also ratified the Convention on the Conservation of Migratory Species in 1981); RAMSAR in 2006); CITES in 1981); UNCCD in 1997); UNCCC   in 1995) and VPA FLEGT since 2011. However, the effectiveness of these efforts will depend on sustained political will, adequate funding, and active participation from all stakeholders.). These commitments demonstrate Cameroon's dedication to aligning with global efforts in biodiversity conservation and environmental protection. </t>
  </si>
  <si>
    <t>Social</t>
  </si>
  <si>
    <t>Cameroon’s social context is a nexus of culturally rich diversity, strong foundation in education, regional differences, linguistic contrast, demographic pressures, youth dynamics, and ongoing socio-political challenges linked to inequality, governance, and security. Cameroon is often referred to as "Africa in miniature" because of its remarkable cultural and ecological variety. Cameroon has over 250 ethnic groups and more than 200 languages, categorized into three main linguistic groups: Bantu, Semi-Bantu, and Sudano-Sahelian. Despite this diversity, ethnic identity remains strong, often influencing local politics, land ownership, and social cohesion. 
Cameroon has a population over 29 million (2024 est.) with more than 60% of the population under 25 years old, creating both potential for growth and pressure on education, jobs, and services. High youth unemployment and underemployment contribute to social tension and emigration. Cameroon has relatively high school enrolment rates compared to other Central African countries, but rural-urban and gender disparities persist. The quality of education is also an issue, particularly in conflict-affected regions. Cameroon still faces challenges with access to healthcare, maternal and child mortality, malaria, and more recently, the impacts of COVID-19. The health system is under-resourced and unevenly distributed. Rapid urban growth has outpaced infrastructure development leading to the growth of informal settlements, lack of access to clean water and sanitation, and increased vulnerability to disease and climate impacts.
Gender inequality remains significant in terms of access to education, political participation, and economic opportunities. Women and girls are more vulnerable to violence, early marriage, and limited healthcare access, particularly in rural areas. Civil society organizations (CSOs) play an active role, particularly in education, health, and advocacy including advocating for environmental justice, indigenous rights, and sustainable development. However, freedoms of expression, assembly, and the press are often restricted. Social media has become a major tool for youth engagement, activism, and news dissemination.
The social context of Cameroon in relation to natural resources and biodiversity is deeply knotted with issues of cultural identity, livelihoods, governance, conflict, and sustainability. More than 40% of Cameroon’s population in rural areas depends on natural resources use (forests, fishing, non-timber forest products (NTFPs) and agriculture, for survival. Forests provide food, medicinal plants, fuelwood, and materials for shelter and crafts. In regions like the East, South, and Southwest, forests are central to daily life. Biodiversity is not just environmental—it is economic and cultural capital for millions of Cameroonians. IPs such as the Baka, Bakola, and Bedzang (pygmy groups) have intimate knowledge of forest ecosystems. For these groups, biodiversity is tied to identity, traditional medicine, and spiritual practices.
However, they often face exclusion from decision-making about conservation areas and are vulnerable to displacement from protected zones (e.g., national parks).</t>
  </si>
  <si>
    <t>Economic</t>
  </si>
  <si>
    <t xml:space="preserve">Cameroon's economy is depicted by moderate growth, ongoing fiscal reforms, and significant structural challenges amidst endowed natural resources. Real GDP growth reduced to 3.3% in 2023, from 3.6% in 2022. This could be attributed to lower-than-expected public investment, rising prices, and ongoing internal conflicts .World Bank+1World Bank+1. The economy is expected to grow by 4.0% in 2024, driven by improved energy supply and stronger public investment .World Bank and growth is projected to average 4.5% over 2025–2027, supported by increased non-oil exports and investment inflows .IMF eLibrary+3World Bank+3Fitch Solutions+3. Principal economic crops include banana, cocoa, coffee, rubber, tobacco, and cotton. Petroleum products contribute to about 50% of the Cameroon’s export earnings. Cameroon's National Development Strategy 2020–2030 (NDS30) is a focus on transforming the nation into an emerging economy by 2035. Building upon the previous Growth and Employment Strategy Paper (GESP), NDS30 focuses on structural transformation, inclusive development, and sustainable growth. (http://bibliotheque.pssfp.net/livres/NATIONAL_DEVELOPMENT_STRATEGY_2020_2030.pdf) . With NDS30, there is a strong drive towards large scale infrastructure development (hydro-power dams, roads, and railway) and extractive investment (mining, large scale agriculture), agro-industry, and services to increase productivity and competitiveness, to power the economic growth. It aims to increase the manufacturing sector's contribution to GDP from 12.9% in 2016 to 25% by 2030.Business in Cameroon+1nds30.cm+1. It also takes into consideration strengthening climate change adaptation and mitigation efforts.nds30.cm and ensuring environmental management that supports inclusive economic growth and social development, dicf.develop.unepgrid.ch+1nds30.cm+1 an opportunity for influencing green growth. 
The stagnating economic growth has grown poverty showing that approximately 23% of Cameroon’s population lived below the international poverty line of $2.15 per day in 2023 .World Bank. As of 2022, Cameroon's UNDP Human Development Index (HDI) stands at 0.587, ranking it 151st globally. This marks a slight improvement from the 2021 HDI of 0.576. The unemployment rate was estimated at 3.7% in 2023, with higher rates among youth and graduates .Groupe Crédit Agricole International. Agriculture remains a key sector, employing a significant portion of the labour force while the forestry sector contributes 3.8% to GDP and provides 45,000 jobs. However, it has not reached its full potential, and fiscal reforms are needed to enhance revenue from this sector .World Bank. As of the 2024 Corruption Perceptions Index (CPI) released by Transparency International, Cameroon ranks 140th out of 180 countries, with a score of 26 out of 100. This marks a slight decline from its 2023 score of 27, indicating a worsening perception of public sector corruption in the country. Transparency International corruption perceptions index. Inflation rose to 7.4% in 2023, driven by high food prices and transportation costs.World Bank+1African Development Bank Group+1. The fiscal deficit improved to 0.9% of GDP in 2023, down from 1.1% in 2022, due to greater rationalization of public spending and policies aimed at broadening the tax base .African Development Bank Group. Public debt decreased from 45.3% of GDP in 2022 to 41.8% in 2023, though the country remains at high risk of debt distress .African Development Bank Group.
Poverty is an underlying cause of the major threats to Cameroons rich biodiversity as the poor inevitably become both the victims and willing agents of environmental degradation, and disproportionately affects women, youth and Indigenous People (IPs). Women and young girls dominate the workforce mostly in the informal sector that employs 90.5% of the active population. They cultivate land and collect firewood and NTFPs for subsistence and/or basic income. Poverty is the denial of rights, including rights to resources, protection and participation, especially depriving people of possibilities to act and voice their choices to make positive change.  Traditional structures overseeing customary and local rules reinforce poverty through age- and gender-based discrimination. Cameroon is a young country as 70.5% of the population is under the age of 35, with about 20.6% in the 15 to 24 age bracket https://www.cia.gov/library/publications/the-world-factbook/geos/cm.html. Youth voices are very weak. Customary and local rules are complex and difficult to change and provide a strong barrier to development. Building a strong civil society and strengthening affected peoples’ voices to claim their rights is an absolute necessity, hence the rational for CCPO shift in focus towards people-centred conservation. </t>
  </si>
  <si>
    <t>Climate &amp; Environmental</t>
  </si>
  <si>
    <t xml:space="preserve">Cameroon is a country of some 475,000 square kilometres and is fondly called “Africa in miniature” as it hosts over 90% of Africa’s ecological systems. The country ranks 5th in fauna and 4th in flora diversity in Africa. It harbours 409 species of mammals, 183 species of reptiles, 849 species of birds, 190 species of amphibians and over 9000 plant species. Nine ecoregions host this rich biodiversity: Atlantic Equatorial Coastal Forest (also contains Lower Guinea forests); Central Africa Mangroves; Northern Congolian forest – savannah mosaic; North Western Congolian lowland Forest; Eastern Sudanian Savannah; and Sub-Sahelian Grassland Savannah. The Cross-Sanaga-Bioko Coastal Forest; Mt. Cameroon and Bioko Montane Forest and Cameroon Highlands Forest are part of the West Africa biodiversity hotspots. Besides DRC and Congo, Cameroon host the largest portion of the Congo Basin, which contains over 15% of the world’s remaining tropical forests. The country has a significant population of flagship and threatened species such as elephants and great apes, pangolins, big cats (lions, leopards), … 
The Cameroon land cover (Figure 1) is characterised by mangroves, forests mosaics, dense rainforests, degraded forests, woodlands and wooded savannahs. Cameroon's net forest estate refers to the total area of land designated for forest use, encompassing both permanent and non-permanent forest estates. The Permanent Forest Estate (Domaine Forestier Permanent - DFP) is dedicated to sustainable forest management and conservation, while the Non-Permanent Forest Estate (Domaine Forestier Non-Permanent - DFNP) is allocated for development purposes, including agriculture and infrastructure.8xbet+1Timber Trade Portal+1. The Total Forest Area is approximately 20.34 million hectares (or 203,400 square kilometers) of Cameroon's land area, representing about 43% of the total land area. Wikipedia. The permanent Forest Estate constitutes about 80% of the total forest area, primarily comprising production forests and protected areas. 8xbet. The remaining 20% is designated for development activities and can be converted for other land uses, such as agriculture and this is referred to as the Non-Permanent Forest Estate. From a floristic point of view, Cameroon has: 7,000 species of Phanerogams (flowering plants) including 700 woody species (for wood use), many species of Mushrooms, Pteridophytes Bryophytes (Mosses), Algae and Lichens (FAO, op. cit.)
The country hosts significant population of flagship, threatened and endangered species such as Elephants, Great Apes (chimpanzees, gorillas), Pangolins, big cats (lions, leopards), … The forest elephant population in three Cameroon segments of WWF-supported landscapes (TNS, TRIDOM, Campo Ma’an) is estimated at 6,500 representing a decline of up to 60%  in 10 years . The forests are also home to two sub-species of chimpanzees (Central chimpanzees - Pan troglodytes troglodytes and Nigeria-Cameroon chimpanzee - Pan troglodytes vellerosus) and two sub-species of gorillas – western lowland gorilla - Gorilla gorilla gorilla and Cross River gorilla – Gorilla gorilla diehli (Africa's rarest ape). Wildlife population decline is mostly linked to illegal killing and/or collecting for non-commercial use (i.e. poaching for subsistence) and for illegal domestic and international trade (i.e. illegal wildlife trade). These threats are worsened by the militarized aspect of commercial poaching and by retaliatory killings ensuing from recurrent human-wildlife conflicts. 
Cameroon is climate-vulnerable but committed to action. It has signed all major climate agreements and developed national strategies, but effective implementation is hindered by limited resources, institutional weaknesses, and governance gaps. Strengthening coordination, financing, and community-based adaptation will be crucial for building climate resilience. CCO is committed to support government’s emission reduction objective through its adaptation and mitigation practices. The Government is committed through her National Adaptation Plan to reduce vulnerability and reinforce resilience capabilities within zones and across sectors with accent on measures to address age- and gender disparities. The priorities for emission reduction and adaptation for CCO is focused on facilitating the integration of climate change adaptation into policies, programmes, relevant new and on-going works, especially the development planning processes and strategies, in all sectors and at different levels where appropriate. Improve access and mobilization of climate finance for the achievement of Cameroon's conservation goals and objectives. Through participation in the Climate-Informed Conservation Strategies and National Adaptation Plans (CLICSNAP), Alliances for Climate Action (ACA) the One Planet Cities Critical Contribution Cluster of the Climate and Energy Practice and the African Adaptation Initiative, CCO will accompany government to achieve the country’s adaptation objectives. Key actions are engaging actions to support state  and non-state  actors to integrate climate change resilience and adaptation guidelines into council development plans and promoting climate-smart agriculture and enhancing forest-based livelihood to reduce community vulnerability to climate change. </t>
  </si>
  <si>
    <t>Institutional</t>
  </si>
  <si>
    <t>Cameroon’s institutional framework related to natural resources and biodiversity involves interdependency of government ministries, legal frameworks, decentralization policies, and international commitments. However, it is also marked by fragmentation, limited enforcement, and capacity constraints, which significantly affect governance outcomes. Related government institutions are Ministry of Forestry and Wildlife (MINFOF) manages forest resources, wildlife conservation, and protected areas as well as oversees logging permits, hunting regulations, and forest monitoring. Ministry of Environment, Nature Protection and Sustainable Development (MINEPDED) leading environmental policy, biodiversity conservation, and climate change adaptation/mitigation. MINEPDED also coordinates international environmental agreements and reporting (e.g., CBD, UNFCCC, REDD+). Ministry of Mines, Industry and Technological Development (MINMIDT), which regulates mining activities, including artisanal mining, which often overlaps with protected biodiversity areas. Ministry of Agriculture and Rural Development (MINADER), which influences land use policies and expansion of agriculture, which affects forest cover and biodiversity. The Ministry of Social Affairs (Ministère des Affaires Sociales, (MINAS) tasked with developing and implementing policies aimed at preventing and addressing social vulnerabilities and the protection and empowerment of socially disadvantaged groups. The Ministry of External Relations (MINREX) of Cameroon that is the central government agency responsible for managing the country’s foreign affairs and diplomatic relations, which provided the rights for WWF to operate in Cameroon. There is also the National Anti-Corruption Commission (CONAC), which has a jurisdiction over governance in natural resource sectors but has limited enforcement power.
The Legal and Regulatory Framework focuses on 1994 Forestry and Wildlife Law which establishes forest classification, logging concessions, and community forestry, which has recently revised in 2024 to capture emerging issues. However, it is still poorly enforced. There is the Environmental Management Law (1996) focusing on Environmental Impact Assessments (EIAs) for major development projects. The Mining Code (updated in 2016), which seeks to balance resource extraction with environmental concerns, but enforcement remains weak. The Land Tenure Laws, which is often unclear, leading to conflicts over land ownership and usage between local communities and investors. 
With regards to decentralization and local governance, Cameroon has adopted a decentralized framework, giving regional and municipal councils some say over natural resource use. Community forests (CF) and decentralized forest revenues are examples of local-level governance mechanisms. However, true devolution of power is limited, and decision-making remains highly centralized in Yaoundé. Local governments often lack technical capacity, funds, and legal clarity to manage biodiversity effectively. 
The Cameroon government is part of the global biodiversity and environmental initiatives. It aligns its work to the GBF 30X30 and has committed to several conventions as mentioned above, thus contributing to the overall WWF’s 2030 roadmap. Implementation of these commitments is often hampered by weak institutions, overlapping mandates, and lack of coordination. This is further exacerbated with governance challenges such as institutional overlaps (multiple ministries with overlapping mandates causing inefficiency and competition); corruption and elite capture like awarding concessions for logging and mining without transparency and  undermining conservation; weak enforcement of laws protecting forests and biodiversity due to inadequate resources and political interference; IP&amp;LC exclusion from decision-making, especially around PAs and extractive projects; human rights concerns (abuse by eco-guards and violations against IP&amp;LC in conservation areas raise accountability issues).
CCO is working with the Government of Cameroon, through former agreements/MoUs that range from WWF’s presence and operations in the country. WWF CCO has MoUs with MINREX, MINFOF, MINEPDED and MINAS, to achieve its conservation goals and objectives. Cameroon is also a member to several sub-regional initiatives such as COMIFAC, CBFP, REPAR, OCFSA, the Regional Climate Working Group-RCWG and the NEPAD-led Africa and West Africa Regional Environmental Action Plans. These multilateral initiatives have informed CCO’s choices for mainstreaming biodiversity and climate consideration into national policies and the practices of state and non-state actors at the national and sub-national levels. CCO also works with some civil society platforms with significant influence on environmental and natural resource sector namely: Cercle de Concertation des Partenaires du MINFOF et MINEPDED (CCPM), Comite Multi-Partenaires d’Agriculture (CMP-Agriculture), International Humanitarian NGO forum, Réseau Recherche Action Concertées Pygmée (RACOPY), etc. 
Some institutional innovations and opportunities influencing CCO works are: i) Community Forestry: A promising model that allows communities to manage and benefit from forests, though it faces challenges in implementation and commercialization; ii) Public-Private Partnerships (PPPs) in biodiversity conservation and ecotourism in line with PA management iii) Decentralized Forest Revenues with municipalities receiving a share of forest taxes, though actual disbursement and use remain opaque and iv) Green Economy Initiatives with increasing efforts to integrate biodiversity and ecosystem services into national planning (via NDS30 and SDGs).</t>
  </si>
  <si>
    <t>Stakeholder Name</t>
  </si>
  <si>
    <t>Stakeholder Description</t>
  </si>
  <si>
    <t>S+G12+D:I+D:I+D:H+D:G</t>
  </si>
  <si>
    <t>Engagement Stage (planning, Implementation, MEL)</t>
  </si>
  <si>
    <t>Engagement methods &amp; strategies</t>
  </si>
  <si>
    <t>Due Diligence (Y/N)</t>
  </si>
  <si>
    <t>READ Me First</t>
  </si>
  <si>
    <r>
      <rPr>
        <i/>
        <sz val="10"/>
        <color rgb="FF980000"/>
        <rFont val="Arial"/>
        <family val="2"/>
      </rPr>
      <t xml:space="preserve">Please list key groups of stakeholders (people and organizations) who will be influenced by, have an impact on, or will help implement conservation to engage during the Programme planning, implementation, monitoring, and learning. 
Max 20 words.
See </t>
    </r>
    <r>
      <rPr>
        <i/>
        <u/>
        <sz val="10"/>
        <color rgb="FF1155CC"/>
        <rFont val="Arial"/>
        <family val="2"/>
      </rPr>
      <t>Guidance by PPMS Step - Element 1.4</t>
    </r>
  </si>
  <si>
    <t>Please briefly explain the significance of engaging with the stakeholder, and what you expect  from the effective engagement. 
max 200 words</t>
  </si>
  <si>
    <t xml:space="preserve">Please indicate the type of stakeholders (individual or organization):
- Indigenous People &amp; Local Communities
- Civil Society Organization
- Government's / Public Sector Organization
- Companies / Private Sector 
- Universities / Research Organization 
- Other </t>
  </si>
  <si>
    <t>Please indicate what stage each stakeholder group will be engaged - Programme planning, implementation, M&amp;E, and Learning, etc.</t>
  </si>
  <si>
    <t xml:space="preserve">Please describe how each stakeholder group will be engaged. Make sure that stakeholders will have regular access to the Programme information and, as appropriate, are aware of complaints procedures and feedback mechanisms. </t>
  </si>
  <si>
    <r>
      <rPr>
        <i/>
        <sz val="10"/>
        <color rgb="FF980000"/>
        <rFont val="Arial"/>
        <family val="2"/>
      </rPr>
      <t xml:space="preserve">For corporate &amp; philanthropic partners (major donors, trusts, and foundations), please indicate if the due diligence is already conducted or not. For Other stakeholders, put NA.
</t>
    </r>
    <r>
      <rPr>
        <i/>
        <u/>
        <sz val="10"/>
        <color rgb="FF1155CC"/>
        <rFont val="Arial"/>
        <family val="2"/>
      </rPr>
      <t>Corporate Partnership Rules &amp; Guidelines
Philanthropy Due Diligence</t>
    </r>
    <r>
      <rPr>
        <i/>
        <sz val="10"/>
        <color rgb="FF980000"/>
        <rFont val="Arial"/>
        <family val="2"/>
      </rPr>
      <t xml:space="preserve">
</t>
    </r>
  </si>
  <si>
    <t>Ministry of Environment, Nature Protection and Sustainable Development (MINEPDED)</t>
  </si>
  <si>
    <t xml:space="preserve">
The Ministry of the Environment, Nature Protection, and Sustainable Development (MINEPDED) is a central government body in Cameroon responsible for formulating, implementing, and monitoring policies related to environmental protection, nature conservation, and sustainable development. Key collaboration focuses on environmental policy, biodiversity conservation, and climate change adaptation/mitigation, coordination of international environmental agreements and reporting (e.g., CBD, UNFCCC, REDD+) and promotion of waste management campaigns.</t>
  </si>
  <si>
    <t>Government institution</t>
  </si>
  <si>
    <t>Planning, implementation &amp; M&amp;E</t>
  </si>
  <si>
    <t>•	Information sharing 
•	Dialogue
•	Advocacy 
•	Planning
•	Implementation 
•	M&amp;E
•	Consultation/Involvement
•	Collaboration
•	Empowerment</t>
  </si>
  <si>
    <t>Y</t>
  </si>
  <si>
    <t>Ministry of Forests and Wildlife (MINFOF)</t>
  </si>
  <si>
    <t>Engaging with the Ministry of Forestry and Wildlife (MINFOF) is critical due to its administrative and legal mandate over forest and wildlife management in Cameroon. As the government authority responsible for protected areas, MINFOF’s involvement ensures legitimacy, alignment with national conservation policies, and smooth implementation of project activities.
Effective engagement with MINFOF is expected to support efforts to combat poaching, illegal logging, and the bushmeat trade, as well as strengthen wildlife monitoring and law enforcement in key conservation zones such as forest clearings. MINFOF also plays a vital role in improving protected area governance and creating an enabling environment for inclusive natural resource management. This includes facilitating the active participation of Indigenous Peoples and Local Communities (IPLCs) in conservation efforts, which is essential for long-term sustainability.</t>
  </si>
  <si>
    <t>Ministry of Agriculture and Rural Development of Cameroon (MINADER</t>
  </si>
  <si>
    <t>Engaging with MINADER is important due to its mandate in elaborating, implementing, and monitoring agricultural and rural development policies in Cameroon. As a key government body, MINADER plays a central role in shaping land use and farming practices across the country. Their involvement is crucial for ensuring that conservation initiatives align with national agricultural strategies and legal frameworks.
Effective engagement with MINADER is expected to support the integration of sustainable agricultural practices within target landscapes, promote collaboration between conservation and agricultural sectors, and enhance policy coherence. By working closely with MINADER, the project can secure institutional support, access technical expertise, and foster joint efforts that contribute to both biodiversity conservation and improved rural livelihoods. This collaboration also increases the legitimacy and long-term impact of conservation actions in areas where agriculture is a dominant land use.</t>
  </si>
  <si>
    <t>Implemetation</t>
  </si>
  <si>
    <t>•	Information sharing 
•	Dialogue
•	Advocacy 
••	Implementation 
•	Consultation/Involvement
•	Collaboration</t>
  </si>
  <si>
    <t>Ministry of Social Affairs (MINAS)</t>
  </si>
  <si>
    <t xml:space="preserve">MINAS plays a crucial role in protecting the rights of indigenous and vulnerable groups, including women. Engaging with MINAS ensures the project aligns with social and gender inclusion policies, promotes protection of rights, and addresses the needs of marginalized populations. Their involvement helps the project gain legitimacy, support, and ensures that vulnerable groups are adequately represented and protected.
Effective engagement with MINAS should result in collaboration to integrate social safeguards, receive guidance on gender and vulnerable group inclusion, obtain timely feedback, and foster joint ownership of project outcomes that promote social equity and rights protection.
</t>
  </si>
  <si>
    <t>Ministry of Decentralization and Local Development (MINDDEVEL)</t>
  </si>
  <si>
    <t xml:space="preserve">MINDDEVEL, responsible for administering local councils, is a critical stakeholder because local councils manage and oversee the distribution of forest and wildlife royalties. Engaging MINDDEVEL ensures the project gains institutional support and legitimacy at the local governance level, which is vital for transparency efforts. Through effective collaboration with MINDDEVEL, especially in Yokadouma and Salapombe, the project expects to foster transparent and accountable sharing of royalties. MINDDEVEL’s involvement will help facilitate equitable benefit-sharing to Indigenous Peoples and Local Communities (IP&amp;LC), promote good governance, and enhance trust among stakeholders.
</t>
  </si>
  <si>
    <t>Implementation</t>
  </si>
  <si>
    <t>•	Information sharing 
•	Dialogue
•	Advocacy 
•	Implementation 
•	Consultation/Involvement
•	Collaboration</t>
  </si>
  <si>
    <t xml:space="preserve">Ministry of livestock and animal husbandry (MINEPIA) </t>
  </si>
  <si>
    <t xml:space="preserve">MINEPIA’s local services play a crucial role in the development and regulation of livestock and animal husbandry across Cameroon. Their engagement is important to ensure that project activities related to Indigenous Peoples and Local Communities (IP&amp;LC) align with national livestock policies and standards. They bring technical expertise, access to veterinary support, and knowledge of local livestock systems, which is essential for the successful implementation of field-level activities. Their involvement also lends institutional credibility and fosters collaboration with local communities.
Through effective engagement, MINEPIA is expected to provide technical guidance, facilitate field-level coordination, and support monitoring and capacity building. Their participation can help ensure that livestock interventions are sustainable, locally accepted, and integrated with existing government structures. This can lead to stronger project outcomes and long-term impact for IP&amp;LC communities.
</t>
  </si>
  <si>
    <t>Ministry of Tourism and Leisure (MINTOUL),</t>
  </si>
  <si>
    <t>The Ministry of Tourism (MINTOUL) plays a key role in promoting sustainable tourism initiatives that align with national development goals. Engaging with the Ministry is important to ensure that eco-tourism activities are developed in line with policy frameworks, contribute to local economic growth, and respect environmental and cultural values. Their involvement supports planning, regulation, and the integration of tourism with conservation and community interests, which is vital for long-term success.
Through effective engagement, the Ministry is expected to provide strategic guidance, support capacity building, and help identify opportunities for community-based tourism. Their participation can enhance visibility, attract responsible investment, and ensure that tourism initiatives are inclusive and beneficial to Indigenous Peoples and Local Communities. This contributes to creating sustainable livelihoods while protecting biodiversity and cultural heritage.</t>
  </si>
  <si>
    <t xml:space="preserve">Ministry of Territorial Administration (MINAT), </t>
  </si>
  <si>
    <t>MINAT, through the DPC, is responsible for preventing and managing risks related to natural disasters, including those that impact biodiversity and the environment. This involves organizing emergency responses to environmental crises such as floods, landslides, and other natural hazards that can affect ecosystems and communities. MINAT oversees regional and local authorities, ensuring that environmental laws and regulations are implemented at the local level. This includes facilitating the participation of local communities in environmental governance and ensuring that local administrative units comply with national environmental policies. In cases of human-wildlife conflicts, MINAT leads and coordinates a valuation commission to assess damages and facilitate compensation processes. MINAT supports community-based biodiversity conservation efforts by working with local authorities to promote sustainable land use practices and resolve conflicts related to land and resource use. This includes facilitating the establishment of local governance structures that support conservation objectives and ensuring that community rights are respected in conservation areas. MINAT plays a role in land use planning and resource management by overseeing land consultation boards and commissions that address agro-pastoral conflicts. These bodies help mediate disputes over land use, which can have implications for biodiversity conservation and environmental sustainability</t>
  </si>
  <si>
    <t>Ministry of Defence (MINDEF),</t>
  </si>
  <si>
    <t>In 2016, MINDEF and MINFOF signed a MoU to enhance cooperation in wildlife protection. This partnership formalized the support of MINDEF in safeguarding endangered species within protected areas. MINDEF's contributions include: cameroonintelligencereport.com: Surveillance and security by assisting in monitoring and securing protected areas to prevent illegal activities such as poaching and deforestation. Training Eco-Guards to strengthen their capacity in wildlife conservation efforts. Assisting in the construction and maintenance of infrastructure within protected areas to facilitate conservation activities.</t>
  </si>
  <si>
    <t xml:space="preserve">Ministry of Justice (MINJUSTICE), </t>
  </si>
  <si>
    <t xml:space="preserve">MINJUSTICE plays a critical role in the administration of justice concerning biodiversity and environmental issues in Cameroon. Through the enforcement of environmental laws, capacity building for the judiciary, collaboration with other ministries and stakeholders, and public advocacy, MINJUSTICE ensures that environmental protection is upheld within the legal framework of the country and collaborates in judiciary actions against arrested poachers and other related wildlife and forest crimes </t>
  </si>
  <si>
    <t xml:space="preserve">Ministry of decentralization and local development (MINDDEVEL) </t>
  </si>
  <si>
    <t xml:space="preserve">MINDDEVEL's role in biodiversity and environmental issues is centred on integrating environmental sustainability into local governance and development processes. Through policy development, resource allocation, strategic planning, and stakeholder engagement, MINDDEVEL contributes significantly to the conservation of biodiversity and the promotion of sustainable environmental practices at the local level in Cameroon. MINDDEVEL is responsible for the administration of local councils and the promotion of transparency in sharing of forest and wildlife royalties for which IP&amp;LC are beneficiaries </t>
  </si>
  <si>
    <t>Councils</t>
  </si>
  <si>
    <t>Councils hold critical ownership, administrative, and legal responsibilities within their jurisdictions. Engaging with them is essential to ensure local governance structures support the project and that activities comply with legal and administrative requirements. Their involvement helps secure community buy-in, facilitates local decision-making, and ensures the project aligns with customary and statutory rules.
Effective engagement with councils is expected to result in smoother approvals, enhanced local coordination, and stronger enforcement of project agreements. Their support can promote transparency, conflict resolution, and sustainability, making sure the project respects local governance and benefits the community.</t>
  </si>
  <si>
    <t>NA</t>
  </si>
  <si>
    <t>SDO/DO</t>
  </si>
  <si>
    <t>Senior Divisional Officers (SDOs) and Divisional Officers (DOs) hold key administrative responsibilities within their divisions, acting as the government’s local representatives. Engaging with them is vital to ensure that project activities are aligned with government policies and local regulations. Their authority facilitates coordination among various stakeholders and helps navigate bureaucratic processes efficiently.
Effective engagement with SDOs and DOs is expected to secure necessary permissions, enhance communication between the project and local institutions, and support conflict resolution. Their involvement helps strengthen governance, ensures compliance, and promotes smooth implementation of project activities at the local level.</t>
  </si>
  <si>
    <t>CSOs/CBOs/CPN
(CAD, GDA, FORUDEF, EGI, PERAD, REPALEAC, CEFAID, ROSE, ASBABUK and AAFEBEN…)</t>
  </si>
  <si>
    <t>CSOs, CBOs, and CPNs play a vital role in advocating for the wellbeing of Indigenous Peoples and Local Communities (IPLC). They influence policy and decision-making processes related to natural resource governance, ensuring that community voices are heard and rights protected. Engaging with these groups is essential to foster inclusive, participatory approaches that reflect local priorities and knowledge.
Effective engagement is expected to enhance community empowerment, improve transparency, and facilitate collaboration between the project and IPLC. Their involvement can help shape policies, monitor social and environmental impacts, and ensure that benefits are equitably shared among community members.</t>
  </si>
  <si>
    <t>Civil Society Organizations, networks, coalitions.</t>
  </si>
  <si>
    <t>IP&amp;LC</t>
  </si>
  <si>
    <t>Indigenous Peoples and Local Communities (IP&amp;LCs) are key stakeholders whose meaningful consultation and active participation are crucial for the success of any initiative affecting their lands and resources. Engaging IP&amp;LCs ensures that their rights, knowledge, and priorities are respected and integrated into decision-making and implementation processes. Their involvement supports equitable benefit sharing and strengthens local governance systems.
Effective engagement with IP&amp;LCs is expected to enhance their capacity for resource monitoring, governance participation, and management of sustainable livelihood activities. This empowers communities to take a leading role in conserving their environment while improving socio-economic wellbeing. Recognizing and supporting IP&amp;LCs’ institutional and cultural frameworks fosters inclusiveness, sustainability, and long-term positive outcomes.</t>
  </si>
  <si>
    <t>Indigenous People &amp; Local Communities</t>
  </si>
  <si>
    <t>Cooperative/ Association</t>
  </si>
  <si>
    <t>Cooperatives and associations are important stakeholders focused on enhancing profit generation and improving livelihoods for their members. Engaging with these groups is essential to leverage their organizational capacity, collective resources, and local knowledge in project activities. Their participation helps ensure that economic benefits are distributed fairly and that initiatives support sustainable income opportunities.
Effective engagement with cooperatives and associations is expected to strengthen community-based enterprise development, promote collaboration among members, and enhance market access. Their involvement contributes to building resilient livelihoods and fosters local economic growth aligned with community priorities.</t>
  </si>
  <si>
    <t>Hunting operators (Faro Lobeke, Ngoko Safari, Boumba Safari, Mayo oldiri)</t>
  </si>
  <si>
    <t>Hunting operators play a significant role in managing wildlife resources and tourism activities. Engaging them is important to ensure that hunting practices comply with legal regulations and sustainability principles. Their involvement supports responsible wildlife management, economic development, and conservation efforts.
Effective engagement with hunting operators is expected to promote adherence to sustainable hunting quotas, enhance collaboration with local communities, and contribute to biodiversity conservation. Their participation can help balance ecological protection with livelihood opportunities derived from hunting-related tourism.</t>
  </si>
  <si>
    <t xml:space="preserve">Private sector
</t>
  </si>
  <si>
    <t xml:space="preserve">•	Information sharing 
•	Dialogue
•	Advocacy 
•	M&amp;E
•	Consultation/Involvement
•	Collaboration
</t>
  </si>
  <si>
    <t xml:space="preserve">Private Sector - Logging companies, agro-industries, etc (SEBC, SEFAC, Groupe Thanry, Alpicam-Grumcam, STBK, CIM, OLAM), STM, MTN,  </t>
  </si>
  <si>
    <t xml:space="preserve">Logging companies are key actors in forest resource use and management. Engaging them is important to ensure that timber harvesting aligns with environmental regulations, sustainable forest management practices, and community interests. Their cooperation is crucial for reducing negative environmental impacts and promoting legal and responsible operations.
Effective engagement with logging companies is expected to improve compliance with sustainability standards, foster transparency, and support mechanisms for benefit sharing with local communities. Their participation can also contribute to forest conservation and responsible land-use planning.
</t>
  </si>
  <si>
    <t xml:space="preserve">National /international research institutions (national institute of agronomic research (IRAD) and the national observatory on climate change (ONACC)). </t>
  </si>
  <si>
    <t xml:space="preserve">National and international research institutions contribute valuable scientific knowledge, technical expertise, and evidence-based insights that can inform project design, implementation, and evaluation. Engaging with these institutions ensures that interventions are grounded in research, guided by best practices, and adapted to local ecological and social contexts.
Effective engagement with research institutions is expected to enhance data collection, support innovation, and strengthen monitoring and evaluation systems. Their involvement can improve the quality and credibility of project outcomes, foster learning, and support adaptive management for long-term impact.
</t>
  </si>
  <si>
    <t>Universities/research</t>
  </si>
  <si>
    <t>•	Information sharing 
•	Dialogue
•	Advocacy 
•	Planning
•	Implementation 
•	M&amp;E
•	Consultation/Involvement
•	Collaboration</t>
  </si>
  <si>
    <t xml:space="preserve">Academia
Universities of Yaoundé, Buea and Dschang </t>
  </si>
  <si>
    <t xml:space="preserve">Universities and other national higher institutes of learning such as Universities of Yaoundé, Buea and Dschang will contribute to project objectives through various research studies in applied forestry, wildlife and social sciences. The studies will provide incredible scientific data and information to improve natural resource and biodiversity management of BBNP. Foreign universities are also expected to contribute research and science based knowledge forest ecosystems and social domains </t>
  </si>
  <si>
    <t xml:space="preserve">•	Information sharing 
•	Dialogue
•	Advocacy 
•	Planning
•	Implementation 
•	M&amp;E
•	Consultation/Involvement
•	Collaboration
</t>
  </si>
  <si>
    <t>ZSL (BLF UK), GLOBAL CONSERVATION, AWF, WCS, NOE, GiZ, Nature Africa, …</t>
  </si>
  <si>
    <t>International NGOs are important partners with experience in project implementation, advocacy, capacity building, and technical support. Engaging them brings added value through access to global networks, funding opportunities, and best practices. Their involvement helps ensure that interventions are inclusive, rights-based, and aligned with international standards.
Effective engagement with international NGOs is expected to strengthen coordination, enhance the quality of interventions, and support policy dialogue. Their participation can also promote innovation, leverage additional resources, and reinforce accountability and sustainability across project activities.</t>
  </si>
  <si>
    <t>International NGOs</t>
  </si>
  <si>
    <t xml:space="preserve">WWF National Offices (NOs) – Sweden, Canada,Netherlands, UK, US, France, Germany, Finland, Denmark, Italy, Belgium, Japan
</t>
  </si>
  <si>
    <t>WWF Cameroon operates within the broader WWF network, which includes national offices, regional hubs, and global initiatives. These entities collaborate to support and enhance the conservation efforts of WWF Cameroon, ensuring alignment with both local priorities and global conservation goals. NOs are providing strategic and operational support; help in resource mobilization and donor engagement ensuring the financial sustainability of conservation initiatives in Cameroon; build capacity and support knowledge exchange to enhance the skills and knowledge of local teams, enabling them to effectively implement conservation programs and engage with communities. NOs also engage in advocacy and policy influencing with policy briefs, engaging with policymakers, and participating in international forums to influence conservation policies and practices. NOs are also supporting monitoring and evaluation frameworks that assess the impact of conservation programs. In summary, WWF Cameroon benefits from the support of national offices through strategic guidance, resource mobilization, capacity building, advocacy, and monitoring. This collaborative approach enhances the effectiveness and sustainability of conservation initiatives in Cameroon.</t>
  </si>
  <si>
    <t>Donor</t>
  </si>
  <si>
    <t>Regular reporting, progress meetings, and review workshops,strategic dialogue and consultations</t>
  </si>
  <si>
    <t xml:space="preserve">International Bilateral &amp; Multilateral Donors (GEF, BMZ, USFWS, EU, AFD, BMZ, KFW, SIDA, DANISH, KOICA, DFID,  JAICA, BMZ,  DGIS, FINNIDA, GiZ, NORAD, ODA, FAO, UNDP, UNESCO, UNEP…)  </t>
  </si>
  <si>
    <t>Donors play a central role in providing financial resources, strategic guidance, and oversight to ensure effective and accountable implementation of initiatives. Engaging them is crucial to align project objectives with funding priorities, ensure transparency, and build mutual trust. Donors often influence project direction and scope through their policies, reporting requirements, and results-based frameworks.
Effective engagement with donors is expected to foster long-term support, facilitate adaptive planning, and ensure compliance with international standards. Their involvement also encourages learning, innovation, and knowledge sharing, contributing to stronger impact and sustainability.</t>
  </si>
  <si>
    <t>•	Information sharing 
•	Dialogue
•	Advocacy 
•	Planning
•	Implementation 
•	M&amp;E
•	Consultation/Involvement
•	Collaboration
•	Reporting</t>
  </si>
  <si>
    <t xml:space="preserve">Conservation Focus </t>
  </si>
  <si>
    <t>Relevant OSP Goals</t>
  </si>
  <si>
    <t>Key Assumptions</t>
  </si>
  <si>
    <t>Please list each conservation focus / focal interest. Biodiversity Focal Interests can be focal species or habitats/ ecological systems. Human Wellbeing Focal Interests can be those component of human wellbeing affected by the status of biodiversity focal interests (material and non-material benefits obtained by ecosystem.
Please ensure that focus / focal interest is a subset of those selected under the OSP. You may define further detail.</t>
  </si>
  <si>
    <t xml:space="preserve">Based on the focus / focal interest selected, Please select the OSP Goal that your program is aiming to deliver.
Please list the OSP Goal statement. </t>
  </si>
  <si>
    <t xml:space="preserve">Please identify the key assumptions that underpin the logical sequences linking strategies to one or more focal interests. Assumptions may also express how external variables may influence the achievement of results. 
Once the assumptions are identified, make sure to reflect them when completing the risk assessment. </t>
  </si>
  <si>
    <t>Example</t>
  </si>
  <si>
    <t xml:space="preserve">Coral Reef in Beta seascape. </t>
  </si>
  <si>
    <t>Live coral reef covers at least 25% of the reef within the priority coastal seascapes in country Y.</t>
  </si>
  <si>
    <t xml:space="preserve">WWF or its partner organization can monitor the live coral reef coverage in the coastal Beta seascape with proper funding. </t>
  </si>
  <si>
    <t>Species conservation ToC</t>
  </si>
  <si>
    <t>Narrative Theory of Change</t>
  </si>
  <si>
    <r>
      <rPr>
        <i/>
        <sz val="10"/>
        <color rgb="FF980000"/>
        <rFont val="Arial"/>
        <family val="2"/>
      </rPr>
      <t xml:space="preserve">Please articulate the Theory of Change in Narrative. 
A Theory of Change (ToC) should be underpinned by evidence of the logic.  Articulate the causal pathway that leads from the current to the desired situation, describing how the Programme activities will deliver the envisioned Programme Outputs and Outcomes, and ultimately the Programme/OSP Goals. 
Key risks associated with the key assumptions along the Theory of Change to achieve its Programme Outcomes and Goals must be articulated. 
A risk is potential future event that may impact achievement of goals.
Assumptions are explicit statements of what the CO assumes is true. The logical sequences must link activities to one or more focal interests as reflected in a theory of change. Assumptions may also express how external variables may influence the achievement of results. 
Max. 500 words
</t>
    </r>
    <r>
      <rPr>
        <i/>
        <u/>
        <sz val="10"/>
        <color rgb="FF1155CC"/>
        <rFont val="Arial"/>
        <family val="2"/>
      </rPr>
      <t>See Guidance by PPMS Step - Element 2.1</t>
    </r>
    <r>
      <rPr>
        <i/>
        <sz val="10"/>
        <color rgb="FF980000"/>
        <rFont val="Arial"/>
        <family val="2"/>
      </rPr>
      <t xml:space="preserve">
</t>
    </r>
  </si>
  <si>
    <t xml:space="preserve">The Species Conservation Programme seeks to ensure the long-term survival of elephants, great apes, duikers, and sea turtles across key conservation landscapes in Cameroon. By 2035, the goal is to stabilize populations of these species relative to established baselines.
To achieve this, the programme implements targeted interventions that address both ecological threats and systemic drivers of species decline. For elephants, human-elephant conflict is tackled through the SAFE approach, aiming to reduce revenge killings by 25% by 2030. Complementary community engagement initiatives, including awareness campaigns and participatory conservation planning, are designed to improve local perceptions of elephants, encouraging coexistence. Great ape conservation includes reducing zoonotic spillover risk through improved surveillance and thus reducing human-wildlife contact in Ape hotspots, with the goal of eliminating zoonotic disease events by 2030. 
Sea turtle protection focuses on reproductive success, aiming to reduce nest predation by 95% though predator deterrents and nest protection strategies  and keeping 90% of nesting beaches plastic-free annually, thereby maintaining hatching success above 90% through 2035. 
Improved protected area (PA) management is another key intervention. Using tools like IMET and training park staff is expected to boost PA effectiveness by 5% from 2025 levels. This in turn strengthens patrolling and enforcement, aiming to reduce poaching signs by 20% across target landscapes by 2030. Additionally, community hunting zones are supported to implement best management practices, with the aim that at least 75% of these zones are effectively managed by 2030. These measures are expected to contribute to broader population stability for these species. 
The programme also recognizes that the wellbeing of IPLC is central to conservation success who share their landscapes with these species. In this context, several wellbeing outcomes directly reinforce species protection. First, improving IPLC household income through WWF-supported activities—such as employment in conservation or sustainable tourism—reduces economic dependence on poaching or unsustainable natural resource use. Second, enhancing positive perception of conservation among at least 80% of IPLC communities fosters local stewardship and increases tolerance for potentially problematic wildlife like elephants, reducing risks of retaliation or disengagement. Additionally, the implementation of effective grievance mechanisms and a reduction in conservation-related complaints by 90% support conflict-sensitive conservation, build trust in enforcement and conservation efforts. Furthermore, policy work that secures IPLC rights ensures that conservation is inclusive and equitable.
The successful realization of this Theory of Change rests on several critical assumptions. First, it is assumed that no sudden environmental or zoonotic disturbances occur that would cause large-scale mortality among the target species. Second, government policies must remain supportive of endangered and protected species. Third, it is assumed that Indigenous Peoples and Local Communities (IPLCs), are willing to engage in positive behaviour change and conservation-friendly practices. Fourth, sufficient resources and technical support must remain available to sustain poaching patrols, beach clean-ups, and other key interventions. Fifth, the international market for wildlife products must not surge, as a price spike could undercut conservation gains.  
Together, these ecological and social strategies create an enabling environment for effective and lasting species protection—linking biodiversity conservation with community wellbeing and long-term resilience.
</t>
  </si>
  <si>
    <t>Opportunities for Innovation</t>
  </si>
  <si>
    <t>Please articulate priority areas of innovation and research where needed. Innovation and Research activities must be included in the Programme Implementation Plan, 
Max. 500 words</t>
  </si>
  <si>
    <t>•	Transboundary collaboration in wildlife management: There are six transboundary conservation initiatives in Cameroon out of which four offer a big opportunity to tackle transnational wildlife crime and ensure effective law enforcement and management, especially of migratory species. Formal transnational agreements already exist for two of these four initiatives (TNS, TRIDOM and Campo-Rio Campo and Coastal Forests Program – Korup-Oban).
•	Effective regional and international cooperation especially related to addressing transboundary wildlife threats and strengthening policy coherence. Existence of opportunities like the TRIDOM (Tri-National Dja-Odzala-Minkébé) for cross-border species protection collaborative accord; adoption of CITES e-permitting systems for regulating wildlife trade and the active role in COMIFAC for sub-regional biodiversity governance.
•	WWF Internal frameworks (Wildlife Practice, Wildlife Crime ACAI  and Central Africa WC Hub): The Central Africa WC hub is supporting Cameroon and other WWF country offices in the Congo Basin to better deliver on their wildlife crime projects and programmes (through internal capacity building, fundraising, monitoring and reporting, policy and advocacy, and communication) and therefore better contribute to Outcome 2 of the Wildlife Practice Strategy through the Wildlife Crime ACAI (former WCI). The WC Hub and the WC ACAI offer an important opportunity to address the escalating poaching crisis, by expanding the scope and impact of WWF and TRAFFIC’s work on wildlife crime. Through these initiatives, several frameworks are already operational in Cameroon including the Zero Poaching framework and the Community-Based Wildlife Crime Prevention framework. These initiatives will also play a key role to support Cameroon to effectively roll out and comply with the internal requirements and guidelines (ESSF, Practical Operational Guidelines on Law enforcement support…) developed to improve WWF support to anti-poaching and law enforcement.
•	Revision of the Forestry and Wildlife Laws and Policies: The revised 1994 forestry and wildlife law, offers opportunity to influence policy in favour of effective wildlife protection and Human rights. It is an opportunity to strengthen anti-corruption in the wildlife law enforcement chain, greater community, youths, IPs, and civil society involvement and advocacy for improved shared governance in protected areas (PAs) management through models like public-private partnership and the operationalisation of a dedicated national PAs management agency. 
•	Institutionalization of the SMART approach in Cameroon: Cameroon’s government has recently decided to institutionalise the SMART approach for surveillance and control operations monitoring in protected areas. The decision aims to improve decision-making in the management of protected areas with respect to surveillance and anti-poaching efforts as well as law enforcement effectiveness. This good decision comes as a response to the insufficient collaboration of some field wildlife officials in charge of managing protected areas (illustrated for e.g. by the reluctance to use the SMART approach due to its transparency) combined with the involvement of some of them in illicit activities and fraud in the field which has sometimes led to a drop in the results of law enforcement actions in terms of arrests and seizures (because most of the cases are allegedly settled by law enforcement agents in the field and therefore not reaching the prosecution’s level), and consequently in a decrease in the number of cases sent to court.
•	MoU between MINFOF and the indigenous and local community in Cameroon: in March 2019, an MoU was signed by MINFOF and Baka local communities living around the Lobeke, Boumba Bek and Nki national parks (the targeted landscapes in the Cameroon’s component of this project) on access to resource areas of these protected areas. One of the objectives of the MoU is to protect and promote individual and collective rights of indigenous communities in matters pertaining to biodiversity conservation. In the framework of this MoU, IP communities will be involved in the implementation and monitoring of the execution of conservation activities in the targeted protected areas. They will therefore be able to report individuals who commit any illegal acts in the targeted national parks and their vicinities. They also commit to avoid methods that are contrary to the principles of sustainable use of resources in the targeted national parks in accordance with the laws in force. MINFOF, on his part, commits to give to the local community easy access to resource areas, facilitate the creation of platforms for consultation and dialogue between government authorities, communities, NGOs and other development partners in the management of targeted national parks, inform and educate Baka communities on their rights and responsibilities in the conservation of targeted national parks amongst others. It is expected that the formalization of this collaboration framework will improve the interaction between MINFOF officials especially those carrying out enforcement activities on the ground (ecoguards) with Baka communities, improve the involvement of the latter in conservation efforts and improve the effectiveness of wildlife conservation in the targeted protected areas.
•	Innovative inclusive conservation approaches showing promising results: the pilots with joint patrolling and permanent presence inside the Boumba Bek and Nki National Parks have been a success in the past two years. Community members earn income for their families by working in these patrols, which resulted in very positive attitudes in the participating villages. No complaints were registered regarding the activities of ecoguards that work in collaboration with the community members. Poaching has completely stopped in the area where these patrols are held. This approach will also be piloted now in Republic of Congo’s, ETIC area (not part of this project). Similarly, we shall pilot the strategy of Passing On the Gift (POG) in which community eco-cooperatives are identifying, sensitizing and supporting hunters to engage in sustainable income generating activities such as beekeeping, piggery, poultry, Direct beneficiary hunters are then encouraged to Pass On the Gift to other won hunters, and the chain continues. So far, over 30 hunters have been rehabilitated to engage in this scheme, based on signed agreements, monitored by the local communities through their Village Forest Management Committees (VFMCs), Traditional Councils, cooperatives and the Cluster Platforms, within the framework of co-management. Hunters are also supported to undergo training in vocational schools of their interests such as Opportunity Industrialization Centre (OIC) in domains that do not have negative impact on NRs, and are supported to train other interested hunters in their various communities.
•	Capacity for local communities to claim civil damages in wildlife court cases in Cameroon: during the last phase of the Cameroon’s component of the program, WWF promoted the effective exercise by local communities of their legal capacity, quality and interest to appear as civil party in wildlife crime related cases and therefore file civil claims for the award of damages to compensate the negative effects of wildlife crime in their landscapes. The next phase of the program will continue on this effort with the aim that additional revenue recovered from the effective execution of court decisions will therefore contribute to the funding of local development projects in order to enhance community natural resources stewardship. Opportunities to pilot test this approach in DRC will be explored during this phase of the project.
•	Conservation Development Agreements: Within the framework of Collaborative Management Cluster Conservation and Development Agreements (CCDAs) are signed between Protected Area Management and clusters of local communities around PAs, usually for a period of five years. The purpose of the CCDA is to guide collaborative management interventions at cluster level and encourage accountability and compliance of stakeholders towards locally negotiated conservation and development objectives. It highlights agreed access zones, cluster specific management issues, roles and responsibilities of different stakeholders on site-specific interventions, conservation incentive schemes and prioritized Village Development Measures (VDMs) identified for implementation. Observed results so far are:
•	Communities are willing to give up hunting / poaching if appropriately supported with viable and sustainable alternatives. Through the CCDA, poachers are fully paid attention to and committed through hunter’s engagement strategy for prominent hunters and other resources users. These engagements not only reduce their time invested in poaching but also commit and occupy the poachers/ hunters in other activities such as piggery farming, apiculture, scholarships and vocational training schemes, establishment of improved varieties of NTFPs gardens, fallow restoration and farm enrichment program. Presently, 100 hunters have been mobilized in different activities around the parks: 43 in piggery 54 in beekeeping and 30 in vocational training.
•	As a result of the benefits accruing from co-management, communities are increasingly becoming active in the management of PAs. There is increase in wildlife encounter rate in the PAs (as observed in the Mount Cameroon National Park (MCNP) where most identified hunters’ trails are already closing up.
•	Technology-Driven Wildlife Monitoring and Protection has enhanced surveillance and anti-poaching capabilities in PAs coupled with drone surveillance for patrolling large forest landscapes (e.g., Lobéké, Boumba-Bek) and camera traps and GPS collars for real-time animal tracking and SMART (Spatial Monitoring and Reporting Tool) for rangers to monitor patrols and incidents.
•	Community-Based Wildlife Management (CBWM) offers an opportunity to involve IP&amp;LCs as stewards of wildlife resources. Currently IP&amp;LCs are engaged in Community-managed hunting zones (ZICGCs) to regulate sustainable hunting, payment for ecosystem services (PES) to incentivize conservation and wildlife-based ecotourism as a source of income (e.g., gorilla tracking in Campo-Ma’an).
•	Advanced Research and Conservation Technologies opportunities that has improve understanding of species populations, genetics, and behavior with the use of tools and approaches like the environmental DNA (eDNA) sampling in rivers and soils to detect elusive species; use of bioacoustics to monitor animal presence and biodiversity health and AI-assisted species identification from camera trap footage.
•	Ethical law enforcement and anti-trafficking efforts which currently incorporate human rights values as well as being more inclusive. This is helping to address rampant illegal wildlife trade, particularly of pangolins, ivory, and primates with the use of tools like wildlife crime databases and mobile reporting systems; forensic tools to trace seized wildlife products to origin populations and collaborations with INTERPOL and Wildlife Justice Commission for cross-border enforcement.
•	Emerging opportunity in mitigating Human-Wildlife Conflict (HWC) using the C2C approach, which is more interactive and collaborative with IP&amp;LCs more involved. With the mobile apps for real-time HWC reporting and response coordination and the development of insurance schemes or compensation programs for affected farmers, IP&amp;LCs and other relevant stakeholders are becoming more and more tolerant and learning to co-exist with the wildlife.
•	Environmental Education and Citizen Science are being mainstreamed into school’s curriculum to raise awareness and build support for wildlife protection among youth and rural communities. Currently, the wildlife curriculum for schools and rural radio programmes has been developed. A mobile citizen science platform for reporting wildlife sightings (e.g., iNaturalist, CyberTracker) and virtual and augmented reality tools to educate urban youth about conservation are some innovative ideas yielding some effects.
•	More voices of IP&amp;LCs in conservation policy and governance issues which is informing policy frameworks and aligning traditional practices with modern wildlife management. This inclusiveness has helped in decentralizing of wildlife governance to involve local councils and use of policy simulation tools to model effects of different conservation interventions.</t>
  </si>
  <si>
    <t> </t>
  </si>
  <si>
    <t xml:space="preserve">Conservation Focus of the Programme
</t>
  </si>
  <si>
    <t xml:space="preserve">Priority Threats / Other Factors </t>
  </si>
  <si>
    <t>Result ID</t>
  </si>
  <si>
    <t>Program Outcomes</t>
  </si>
  <si>
    <t>Relevant Geographic Scope</t>
  </si>
  <si>
    <t>Relevant Thematic Scope</t>
  </si>
  <si>
    <t>Annual Result -  
Year 1</t>
  </si>
  <si>
    <t>Output (Annual Result) - 
Year 2</t>
  </si>
  <si>
    <t>Output (Annual Result) - 
Year 3</t>
  </si>
  <si>
    <t>Output (Annual Result) - 
Year 4</t>
  </si>
  <si>
    <t>Output (Annual Result) - 
Year 5</t>
  </si>
  <si>
    <r>
      <rPr>
        <b/>
        <sz val="10"/>
        <color rgb="FFFFFFFF"/>
        <rFont val="Arial"/>
        <family val="2"/>
      </rPr>
      <t xml:space="preserve">Key Assumptions </t>
    </r>
    <r>
      <rPr>
        <b/>
        <sz val="10"/>
        <color rgb="FFFF0000"/>
        <rFont val="Arial"/>
        <family val="2"/>
      </rPr>
      <t>&amp; Risks</t>
    </r>
  </si>
  <si>
    <t>Sustainability &amp; Exit Plan</t>
  </si>
  <si>
    <t xml:space="preserve">Please copy the list of Conservation Focus from the previous tab. </t>
  </si>
  <si>
    <r>
      <rPr>
        <i/>
        <sz val="10"/>
        <color rgb="FF980000"/>
        <rFont val="Arial"/>
        <family val="2"/>
      </rPr>
      <t>For each Conservation Focus  please list the priority threat (or other factors). Please use one line for each threat/factor.
If a single threats affect more than one Conservation Focus, please list all the relevant conservation focus/focal interest under the column B.
CMP Direct Threat Classification is available here - h</t>
    </r>
    <r>
      <rPr>
        <i/>
        <u/>
        <sz val="10"/>
        <color rgb="FF1155CC"/>
        <rFont val="Arial"/>
        <family val="2"/>
      </rPr>
      <t xml:space="preserve">ttps://docs.google.com/spreadsheets/d/1rJSNz1LG_KOqoudVFglodx47HZ9LR-M6iVlRYMvn9Wk/edit#gid=310830663
</t>
    </r>
    <r>
      <rPr>
        <i/>
        <sz val="10"/>
        <color rgb="FF980000"/>
        <rFont val="Arial"/>
        <family val="2"/>
      </rPr>
      <t xml:space="preserve">
Please ensure that priority threats/other factors are subset of those selected under the OSP. You may define further in detail.</t>
    </r>
  </si>
  <si>
    <t>Please Describe the desired reduction of threats (or changes to the identified factors). Please make sure the statement is SMART.
Fill this in</t>
  </si>
  <si>
    <t>Please indicate the relevant Geographic Scope for each Outcome statement. 
Ensure to use one of the Geographic scope identified in the Scope tab of OSP Design Template. 
Leave this one open
The local team needs to fill this one in</t>
  </si>
  <si>
    <t xml:space="preserve">Please indicate the relevant Thematic Scope for each Goal statement. 
Ensure to use one of the Thematic scope identified in the Scope tab of OSP Design Template. </t>
  </si>
  <si>
    <r>
      <rPr>
        <i/>
        <sz val="10"/>
        <color rgb="FF980000"/>
        <rFont val="Arial"/>
        <family val="2"/>
      </rPr>
      <t xml:space="preserve">Please define measurable Programme Annual Results which are milestones in achieving Programme outcomes. 
Therefore Programme Outcome must be embedded in the Programme Outputs. Outputs must represent tangible deliverables, within our area of control, that are critical to achieving the Programme Outcomes, in line with the Theory of Change. 
If there are areas of innovation and/or research, please make sure to include those outputs and activities as well. 
See the </t>
    </r>
    <r>
      <rPr>
        <i/>
        <u/>
        <sz val="10"/>
        <color rgb="FF1155CC"/>
        <rFont val="Arial"/>
        <family val="2"/>
      </rPr>
      <t>guidance on the approach to the Programme and Project Planning</t>
    </r>
  </si>
  <si>
    <r>
      <rPr>
        <i/>
        <sz val="10"/>
        <color rgb="FF980000"/>
        <rFont val="Arial"/>
        <family val="2"/>
      </rPr>
      <t xml:space="preserve">Please identify the key assumptions that underpin the logical sequences linking Outputs, and Outcomes, and to one or more Goals 
Assumptions may also express how external variables may influence the achievement of results. 
Once the assumptions are identified, make sure to reflect them when completing the risk assessment. 
</t>
    </r>
    <r>
      <rPr>
        <i/>
        <sz val="10"/>
        <color rgb="FFFF0000"/>
        <rFont val="Arial"/>
        <family val="2"/>
      </rPr>
      <t xml:space="preserve">WWF policies do not require risk assessment at program level but at Office level and at Project level. However each Program team is encouraged to perform Program Risk assessment. Use the </t>
    </r>
    <r>
      <rPr>
        <i/>
        <u/>
        <sz val="10"/>
        <color rgb="FF1155CC"/>
        <rFont val="Arial"/>
        <family val="2"/>
      </rPr>
      <t xml:space="preserve">Office risk register template </t>
    </r>
    <r>
      <rPr>
        <i/>
        <sz val="10"/>
        <color rgb="FFFF0000"/>
        <rFont val="Arial"/>
        <family val="2"/>
      </rPr>
      <t>in such case.</t>
    </r>
  </si>
  <si>
    <r>
      <rPr>
        <i/>
        <sz val="10"/>
        <color rgb="FF980000"/>
        <rFont val="Arial"/>
        <family val="2"/>
      </rPr>
      <t xml:space="preserve">Please describe how your program aims to ensure the sustainability of the program outcome and an eventual exit by WWF. 
See </t>
    </r>
    <r>
      <rPr>
        <i/>
        <u/>
        <sz val="10"/>
        <color rgb="FF1155CC"/>
        <rFont val="Arial"/>
        <family val="2"/>
      </rPr>
      <t>Guidance by PPMS Step - Element 2.3</t>
    </r>
  </si>
  <si>
    <t>Coral Reef
Marine priority species</t>
  </si>
  <si>
    <t xml:space="preserve">Overfishing / unsustainable fisheries </t>
  </si>
  <si>
    <t xml:space="preserve">By 2030, fisheries management plans are in place (implemented &amp; monitored) in 80% of coastal fisheries in ABC coastal communities.  </t>
  </si>
  <si>
    <t>Beta seascape</t>
  </si>
  <si>
    <t>Ocean</t>
  </si>
  <si>
    <t>Awareness of unsustainable fisheries increased in ABC coastal communities by 50%</t>
  </si>
  <si>
    <t xml:space="preserve">Technical capacity of 10 fisheries communities built on fisheries management plan </t>
  </si>
  <si>
    <t>5 fisheries communities developed fisheries management plan</t>
  </si>
  <si>
    <t>4 fisheries communities developed fisheries management plan</t>
  </si>
  <si>
    <t xml:space="preserve">Local communities can improve (or at least maintain) the economic state after the fisheries management plan. </t>
  </si>
  <si>
    <t xml:space="preserve">Creation of alternative sustainable income to ensure that the sustainable implementation of the fisheries management plan. Also, inclusion of CSO (and their capacity building) in the project implementation to enable the eventual exit of WWF and transition of responsibility to the local CSO. </t>
  </si>
  <si>
    <t>Baseline assessment of current fisheries practices conducted for 10 fisheries in ABC coastal community</t>
  </si>
  <si>
    <t>50% of coastal fisheries are implementing and monitoring fisheries management plan</t>
  </si>
  <si>
    <t>80% of coastal fisheries are implementing and monitoring fisheries management plan</t>
  </si>
  <si>
    <t xml:space="preserve">WWF CCO works on both inclusive conservation and socio-economic themes with strong field presence and direct interactions with IP&amp;LCs and other related stakeholders. Reflecting on a sustainability and exit plan requires a well-structured, participatory, and phased-out approach that ensures long-term sustainability, local ownership, and resilience of the systems left behind. This sustainability and exit plan focus on the following: 
•	Evaluating the interventions of WWF CCO and the local institutions and stakeholders fully owning and driving the initiatives. This will enable a better appreciation of measures in place for continuity of biodiversity protection and monitoring; institutional sustainability of community and government partners; the long-term economic resilience of supported livelihoods and enterprises and the ongoing financing of the initiatives through diverse funding sources. 
•	Carry out a comprehensive sustainability assessment to evaluate the capacity of local institutions (communities, councils, CBOs); effectiveness of existing governance structures (e.g., COVAREFs, forest committees…); sustainability of income-generating activities (e.g., agroforestry, ecotourism), environmental impact trends (e.g., forest cover, wildlife populations); policy environment and enabling conditions…. Tools like SWOT analysis, stakeholder mapping, risk analysis, sustainability scorecards would be used during this assessment.
•	While working, there is always an intervention on strengthening local institutions and governance structures which is a strong approach to ensuring that IP&amp;LCs, cooperatives, councils and other local stakeholders are empowered to function with little or no support. A formal recognition (legal status, by-laws, charters) are also strong ways of empowering IP&amp;LCs and local institutions. IP&amp;LCs could also be equipped with tools (mobile apps, etc), equipment, and databases (e.g., GIS systems, monitoring data) for effective continuity. The support to development and implementation of the Local Conservation and Development Plans (LCDPs) with councils and local institutions fundraising for this is an added benefit to sustainability. 
•	It is important to ensure economic and livelihood sustainability by strengthening cooperatives and green enterprises (e.g., NTFP processing, ecotourism); facilitate access to markets and certifications (e.g., Fair Trade, FSC, Rainforest Alliance); support linkages with microfinance and credit institutions and promote climate-smart agriculture and sustainable forest use. This will enable IP&amp;LCs to 
demonstrate capacity to maintain income levels independently. 
•	WWF CCO in its sustainability plan should ensure that long-term financing mechanisms are in place through its interventions and policies influencing. CCO could facilitate access to EDD+ and carbon finance schemes, conservation trust funds (e.g., Cameroon Biodiversity Fund) and Payment for Ecosystem Services (PES) schemes. WWF should support local governments in budgeting for conservation in council plans and partner with private sector for ecotourism or biodiversity offsets.
•	Sustainability of interventions also go with policies reforms, which are more permanent. Institutionalize policies and legal frameworks help with resilience of interventions and ensures long-term sustainability.  
•	Build monitoring, evaluation, and adaptive management systems and ensure stakeholders have the tools and expertise to effectively use these systems. This might involve some training of local PMEL champions in the use of the tools and ensure that the data/information is linked to national and international platforms. Ensure a participatory monitoring framework is in place e.g. joint  (IP&amp;LCs, gov’t &amp; other relevant stakeholders) and functional. 
•	Promote Knowledge Transfer and Communication by creating a digital knowledge hub with manuals, toolkits, lessons learned; holding stakeholder exit forums to communicate exit plans and timelines and train media, youth, and CSOs/CBOs to continue advocacy for conservation
•	There is always need to draft an implementation phased-out and participatory exit timeline plan to be prepared to transition, exit and do a post-exit assessment. This will require gradual handover of responsibilities and assets, delegative support and joint decision-making and light-touch technical backstopping and periodic evaluations. This will also require setting of exit targets and benchmarks. </t>
  </si>
  <si>
    <t>Programme M&amp;E plan</t>
  </si>
  <si>
    <t>Programes</t>
  </si>
  <si>
    <t>Program ID (#)</t>
  </si>
  <si>
    <t>Focus</t>
  </si>
  <si>
    <t>Priority threats/ other factors</t>
  </si>
  <si>
    <t>Result ID (#)</t>
  </si>
  <si>
    <t>Result Name</t>
  </si>
  <si>
    <t>Goal, Outcome and Output Statement</t>
  </si>
  <si>
    <t>Indicator</t>
  </si>
  <si>
    <t>Description</t>
  </si>
  <si>
    <t>Means of Verification (Source of Data)</t>
  </si>
  <si>
    <t>Data Collection &amp; Analysis Methodology</t>
  </si>
  <si>
    <t>Frequency of Measurement</t>
  </si>
  <si>
    <t>Key assumptions &amp; Risks</t>
  </si>
  <si>
    <t>Baseline</t>
  </si>
  <si>
    <t>Year 1
Target</t>
  </si>
  <si>
    <t>Year 2
Target</t>
  </si>
  <si>
    <t>Year 3
Target</t>
  </si>
  <si>
    <t>Year 4
Target</t>
  </si>
  <si>
    <t xml:space="preserve">End-line Target </t>
  </si>
  <si>
    <t>Location</t>
  </si>
  <si>
    <t>Responsible</t>
  </si>
  <si>
    <t>OSP Goals</t>
  </si>
  <si>
    <t>Species Conservation Programme</t>
  </si>
  <si>
    <t>Elephant</t>
  </si>
  <si>
    <t>TRIDOM, TNS, Coastal Forest and Campo Ma'an</t>
  </si>
  <si>
    <t>Species Elephants</t>
  </si>
  <si>
    <t xml:space="preserve">By 2035, the number of elephants in CCO priority landscapes are stabilised relative to 2015 baseline for Jengi -TRIDOM, 2018 baseline for Jengi -TNS,2020 for Campo and 2013 for Mount Cameroon
</t>
  </si>
  <si>
    <t>Number of individual elephants</t>
  </si>
  <si>
    <t>Population size</t>
  </si>
  <si>
    <t>Elephant Survey Database (With validated analyses and report)</t>
  </si>
  <si>
    <t>Line Transect Distance Sampling, Camera Trap Distance Sampling, DNA Capture-Recapture</t>
  </si>
  <si>
    <t>Endline (only measured at the end)</t>
  </si>
  <si>
    <t>1. No sudden environmental disturbances that could lead to mortality of elephants
2. Government policies remain in favour of endagered and protected species</t>
  </si>
  <si>
    <t>LNP: 960 elephants (2019)
PN Boumba Bek: 178 elephants (2024)
PN Nki : 484 elephants (2024)
Campo Ma'an NP: 114 elephants (2021)
MCNP:146 elephants (2024)</t>
  </si>
  <si>
    <t>LNP: 
PN Boumba Bek: 
PN Nki : 
Campo Ma'an NP:  
MCNP:</t>
  </si>
  <si>
    <t>Programme Managers in collaboration with MINFOF</t>
  </si>
  <si>
    <t>Number of elephants per surface area in sqkm</t>
  </si>
  <si>
    <t>Density (n/sqkm)</t>
  </si>
  <si>
    <t>Endline  (only measured at the end)</t>
  </si>
  <si>
    <t>LNP: 0.44 individuals/sqkm (2019)
PN BB:0.0075 individuals/sqkm (2024)
PN Nki: 0.145 individuals/sqkm (2024)
Campo Ma'an NP: 0.044 individuals/sqkm (2021)
MCNP: 0.27 individuals/sqkm (2013)</t>
  </si>
  <si>
    <t>Number of sightings of elephants in an area per unit of sampling distance in km</t>
  </si>
  <si>
    <t>Encounter rate (n/km)</t>
  </si>
  <si>
    <t>Line Transect Distance Sampling, Reconnaissance Survey</t>
  </si>
  <si>
    <t>Midline (only measured half way and at the end)</t>
  </si>
  <si>
    <t>LNP: 5.24 individuals/km (2019)
PN BB: 2.13 individuals/km (2024)
PN Nki: 2.36 individuals/km (2024)
Campo Ma'an NP: 0.54 individuals/km (2021)
MCNP: 3.19 individuals/km (2013)</t>
  </si>
  <si>
    <t>Proportion of surface area occupied by elephants in an area</t>
  </si>
  <si>
    <t>Occupation rate (%)</t>
  </si>
  <si>
    <t>Line Transect Distance Sampling, Camera Trap Occupancy</t>
  </si>
  <si>
    <t xml:space="preserve">LNP: &gt;70% (2019)
PN BB: 38 % (2023)
Nki NP: 45.2% (2023)
Campo Ma'an NP: 
MCNP: </t>
  </si>
  <si>
    <t>Number of independent detection events of elephants captured with camera traps per unit of sampling day</t>
  </si>
  <si>
    <t>Capture/ Detection rate (# independent events/date)</t>
  </si>
  <si>
    <t>Camera Trap occupancy, Camera Trap Reconnaissance Survey</t>
  </si>
  <si>
    <t xml:space="preserve">LNP: 8 (2022-2023)
Pondo forest clearing =5.91/100nights 
Ikwa Forest Clearing=16.59/100nigths
Youmbi Forest Clearing = 13.2 /100 nigths
Makelekele Forest Clearing = 7.02 /100nigths
(Camera trap Technical Report 2023)
Campo Ma'an NP: 
MCNP: </t>
  </si>
  <si>
    <r>
      <rPr>
        <b/>
        <sz val="11"/>
        <color theme="1"/>
        <rFont val="Calibri"/>
        <family val="2"/>
      </rPr>
      <t>LNP</t>
    </r>
    <r>
      <rPr>
        <sz val="11"/>
        <color theme="1"/>
        <rFont val="Calibri"/>
        <family val="2"/>
      </rPr>
      <t xml:space="preserve">: 
*Petit Savanne clearing =
* Bolo
* Djangui 1
* Ndangaye
* Djaloumbe
* Djangui 2
</t>
    </r>
    <r>
      <rPr>
        <b/>
        <sz val="11"/>
        <color theme="1"/>
        <rFont val="Calibri"/>
        <family val="2"/>
      </rPr>
      <t>TRIDOM</t>
    </r>
    <r>
      <rPr>
        <sz val="11"/>
        <color theme="1"/>
        <rFont val="Calibri"/>
        <family val="2"/>
      </rPr>
      <t xml:space="preserve">
Pondo forest clearing =
Ikwa Forest Clearing=
Youmbi Forest Clearing = 
Makelekele Forest Clearing = 
Campo Ma'an NP: 
MCNP: </t>
    </r>
  </si>
  <si>
    <t>Great apes</t>
  </si>
  <si>
    <t>species Great Apes</t>
  </si>
  <si>
    <t xml:space="preserve">By 2035, the number of great apes in CCO priority landscapes are stabilised relative to 2015 baseline for Jengi -TRIDOM, 2018 baseline for Jengi -TNS , 2020 for Campo and 2013 for Mount Cameroon
</t>
  </si>
  <si>
    <t>Number of individual great apes</t>
  </si>
  <si>
    <t>Great apes Survey Database (With validated analyses and report)</t>
  </si>
  <si>
    <t>1. No sudden environmental and zoonotic disturbances that could lead to mortality of great apes
2. Government policies remain in favour of endagered and protected species</t>
  </si>
  <si>
    <t>LNP: 2780 gorillas, 744 chimps (2019)
PN Boumba Bek: 4830 gorilla, 478 chimps (2024)
PN Nki: 3624 gorilla, 1571 Chimps (2024)
Campo Ma'an NP: 337 gorillas, 329 chimps (2021)
MCNP: 130 chimps (2013)</t>
  </si>
  <si>
    <t>Number of great apes per surface area in sqkm</t>
  </si>
  <si>
    <t>Great apes Database (With validated analyses and report)</t>
  </si>
  <si>
    <t>Line Transect Distance Sampling, Camera Trap Distance Sampling and maybe DNA Capture-Recapture</t>
  </si>
  <si>
    <t>LNP: 1.27 individuals/sqkm (Gorillas), 0.34 individuals/sqkm (Chimps) (2019)
PN Boumba Bek: 2.04 individuals/sqkm (Gorillas), 0.202 individuals/sqkm (Chimps) (2024)
PN Nki: 1.16 individuals/sqkm (Gorillas), 0.502 individuals/sqkm (Chimps) (2024)
Campo Ma'an NP: 0.129 individuals/sqkm (Gorillas), 0.126 individuals/sqkm (Chimps) (2021)
MCNP: 0.67 individuals/sqkm (Chimps) (2013)</t>
  </si>
  <si>
    <t>Number of sightings of great apes in an area per unit of sampling distance in km</t>
  </si>
  <si>
    <t xml:space="preserve">LNP: 1.57 individuals/km (Gorillas), 0.81 individuals/km (Chimps) (2019)
BB NP :3.48 individuals/km
Nki NP:3.908 individuals/km
(Source: wildlife survey report 2025)
Campo Ma'an NP: 0.127 individuals/km (Gorillas), 0.75 individuals/km (Chimps) (2021)
MCNP: 1.63 individuals/km (Chimps) (2013)
</t>
  </si>
  <si>
    <t>Proportion of surface area occupied by great apes in an area</t>
  </si>
  <si>
    <t>LNP: &gt; 90% (2019)
BB NP: 60.1 %
Nki NP:74.4%
(Source: wildlife survey report 2025)
Campo Ma'an NP:
MCNP:</t>
  </si>
  <si>
    <t>Number of independent detection events of great apes captured with camera traps per unit of sampling day</t>
  </si>
  <si>
    <t>LNP: 4 (2022)
Pondo forest clearing =19.31/100nights 
Ikwa Forest Clearing=21.6/100nigths
Youmbi Forest Clearing = 15.75 /100 nigths
Makelekele Forest Clearing = 11.03 /100nigths
(Camera trap Technical Report 2023)
Campo Ma'an NP:
MCNP:</t>
  </si>
  <si>
    <t>duikers</t>
  </si>
  <si>
    <t>Species Duikers</t>
  </si>
  <si>
    <t xml:space="preserve">By 2035, the number of duikers in CCO priority landscapes are stabilised relative to 2015 baseline for Jengi -TRIDOM, 2018 baseline for Jengi -TNS , 2020 for Campo and 2013 for Mount Cameroon
</t>
  </si>
  <si>
    <t>Number of individual duikers</t>
  </si>
  <si>
    <t>Duikers Survey Database (With validated analyses and report)</t>
  </si>
  <si>
    <t xml:space="preserve">Endline </t>
  </si>
  <si>
    <t>1. No sudden environmental disturbances that could lead to mortality of duikers
2. Government policies remain in favour of endagered and protected species</t>
  </si>
  <si>
    <r>
      <t xml:space="preserve">* </t>
    </r>
    <r>
      <rPr>
        <b/>
        <sz val="11"/>
        <color theme="1"/>
        <rFont val="Calibri"/>
        <family val="2"/>
      </rPr>
      <t>Bay duiker</t>
    </r>
    <r>
      <rPr>
        <sz val="11"/>
        <color theme="1"/>
        <rFont val="Calibri"/>
        <family val="2"/>
      </rPr>
      <t xml:space="preserve">
LNP: 
PN BB : 
PN Nki: 
Campo Ma'an NP: 7730 (2008)
MCNP: 
* </t>
    </r>
    <r>
      <rPr>
        <b/>
        <sz val="11"/>
        <color theme="1"/>
        <rFont val="Calibri"/>
        <family val="2"/>
      </rPr>
      <t xml:space="preserve">Duikers and other ungulates 
</t>
    </r>
    <r>
      <rPr>
        <sz val="11"/>
        <color theme="1"/>
        <rFont val="Calibri"/>
        <family val="2"/>
      </rPr>
      <t xml:space="preserve">LNP: 79230 (2019)
PN BB : 12010 (2016)
PN Nki: 33400 (2016)
Campo Ma'an NP: 7000 (2021)
MCNP:
</t>
    </r>
  </si>
  <si>
    <t>Number of duikers per surface area in sqkm</t>
  </si>
  <si>
    <t>Line Transect Distance Sampling, Camera Trap Distance Sampling</t>
  </si>
  <si>
    <r>
      <rPr>
        <b/>
        <sz val="11"/>
        <color theme="1"/>
        <rFont val="Calibri"/>
        <family val="2"/>
      </rPr>
      <t xml:space="preserve">* Bay duiker
</t>
    </r>
    <r>
      <rPr>
        <sz val="11"/>
        <color theme="1"/>
        <rFont val="Calibri"/>
        <family val="2"/>
      </rPr>
      <t>LNP: 
PN BB : 
PN Nki: 
Campo Ma'an NP: 2.92 individuals/sqkm (2008)
MCNP:</t>
    </r>
    <r>
      <rPr>
        <b/>
        <sz val="11"/>
        <color theme="1"/>
        <rFont val="Calibri"/>
        <family val="2"/>
      </rPr>
      <t xml:space="preserve">
* Duikers and other ungulates</t>
    </r>
    <r>
      <rPr>
        <sz val="11"/>
        <color theme="1"/>
        <rFont val="Calibri"/>
        <family val="2"/>
      </rPr>
      <t xml:space="preserve">
LNP: 36.45 individuals/sqkm (2019)
PN BB : 4.81 individuals/sqkm (2016)
PN Nki: 10.8 individuals/sqkm (2016)
Campo Ma'an NP: 2.92 individuals/sqkm (2021)
MCNP:
</t>
    </r>
  </si>
  <si>
    <t>Number of sightings of duikers in an area per unit of sampling distance in km</t>
  </si>
  <si>
    <t>Line Transect Distance Sampling, Walk Reconnaissance Survey</t>
  </si>
  <si>
    <r>
      <rPr>
        <b/>
        <sz val="11"/>
        <color theme="1"/>
        <rFont val="Calibri"/>
        <family val="2"/>
      </rPr>
      <t xml:space="preserve">* Bay duiker
</t>
    </r>
    <r>
      <rPr>
        <sz val="11"/>
        <color theme="1"/>
        <rFont val="Calibri"/>
        <family val="2"/>
      </rPr>
      <t xml:space="preserve">LNP: 
PN BB :
PN Nki: 
Campo Ma'an NP: 2.73 individuals/km (2008)
MCNP:
</t>
    </r>
    <r>
      <rPr>
        <b/>
        <sz val="11"/>
        <color theme="1"/>
        <rFont val="Calibri"/>
        <family val="2"/>
      </rPr>
      <t>* Duikers and other ungulates</t>
    </r>
    <r>
      <rPr>
        <sz val="11"/>
        <color theme="1"/>
        <rFont val="Calibri"/>
        <family val="2"/>
      </rPr>
      <t xml:space="preserve">
LNP: 9.97 individuals/km (2019)
PN BB: 2.11 individuals/km (2016)
PN Nki: 2.0 individuals/km (2016)
Campo ma'an NP : 1.19 individuals/km (2021)
MCNP: 
</t>
    </r>
  </si>
  <si>
    <t>Proportion of surface area occupied by duikers in an area</t>
  </si>
  <si>
    <t>Occupation rate (%) or spatial distribution</t>
  </si>
  <si>
    <r>
      <rPr>
        <b/>
        <sz val="11"/>
        <color theme="1"/>
        <rFont val="Calibri"/>
        <family val="2"/>
      </rPr>
      <t>* Bay duiker</t>
    </r>
    <r>
      <rPr>
        <sz val="11"/>
        <color theme="1"/>
        <rFont val="Calibri"/>
        <family val="2"/>
      </rPr>
      <t xml:space="preserve">
LNP: 
PN BB :
PN Nki: 
Campo Ma'an NP: 
MCNP:
</t>
    </r>
    <r>
      <rPr>
        <b/>
        <sz val="11"/>
        <color theme="1"/>
        <rFont val="Calibri"/>
        <family val="2"/>
      </rPr>
      <t>* Duikers and other ungulates</t>
    </r>
    <r>
      <rPr>
        <sz val="11"/>
        <color theme="1"/>
        <rFont val="Calibri"/>
        <family val="2"/>
      </rPr>
      <t xml:space="preserve">
LNP: &gt; 90%
BB NP: 58.75%
Nki NP: 54.9%
(Source: wildlife survey report 2025)
Campo ma'an NP : 
MCNP: </t>
    </r>
  </si>
  <si>
    <t>Number of independent detection events of duikers captured with camera traps per unit of sampling day</t>
  </si>
  <si>
    <t>LNP: 15
Pondo forest clearing =16.28/100nights 
Ikwa Forest Clearing=18.94/100nigths
Youmbi Forest Clearing = 9.21 /100 nigths
Makelekele Forest Clearing = 4.67 /100nigths
(Camera trap Technical Report 2023)
Campo Ma'an NP:
MCNP:</t>
  </si>
  <si>
    <t xml:space="preserve">Species Conservation Programme
</t>
  </si>
  <si>
    <t>Sea Turtles</t>
  </si>
  <si>
    <t>Species Sear Turtle</t>
  </si>
  <si>
    <t>By 2035, the success rate of sea turtle hatching for monitored nests is maintained at least at 90% each nesting season</t>
  </si>
  <si>
    <t xml:space="preserve">The egg hatching success rate of monitored sea turtle nests
</t>
  </si>
  <si>
    <t>The number of egg hatchlings that reached the sea, relative to the number of monitored nests</t>
  </si>
  <si>
    <t>Sea Turtle monitoring Database (With validated analyses and report)</t>
  </si>
  <si>
    <t>Records of all eggs (a) in a monitored area, and record the number of hatched sea turtles that reached the sea (b), caclule the success rate = b/a *100</t>
  </si>
  <si>
    <t>1. Sea turtle nesting habitats (e.g., sand temperature, composition, beach stability) remain optimal for successful incubation.</t>
  </si>
  <si>
    <t>Campo Ma'an NP: 80%</t>
  </si>
  <si>
    <t xml:space="preserve">Campo Ma'an NP: </t>
  </si>
  <si>
    <t>Wellbeing</t>
  </si>
  <si>
    <t>1, 2</t>
  </si>
  <si>
    <t>wellbeing of IPLC</t>
  </si>
  <si>
    <t>Human wellbeing</t>
  </si>
  <si>
    <t>By 2035, the wellbeing of targeted communities in supported landscapes is improved by 20% relative to 2025 baseline.</t>
  </si>
  <si>
    <t>Wellbeing score</t>
  </si>
  <si>
    <t>Wellbeing includes materials for good life, social cohesion, rights, access to natural resources/5 categories of wellbeing</t>
  </si>
  <si>
    <t>Wellbeing survey data (with linked database)</t>
  </si>
  <si>
    <t>Socioeconomic survey related on supported wellbeing aspects</t>
  </si>
  <si>
    <t>1. Access to pre-existing basic services at least remains available and functional through public or partner support.
2. The landscapes remain free from major conflict, displacement, or political interference that would disrupt livelihoods, services, or community cohesion.</t>
  </si>
  <si>
    <t>LNP: 41.5%
BB NP
BNP:
KNP:
MCNP:
BMWS:</t>
  </si>
  <si>
    <t>LNP: 41.5%
BB NP: Improved Score
BNP: Improved Score
KNP: Improved Score
MCNP: Improved Score
BMWS: Improved Score</t>
  </si>
  <si>
    <t xml:space="preserve">LNP: 
BB NP: 
Nki NP:
BNP: 
KNP: 
MCNP: 
BMWS: </t>
  </si>
  <si>
    <t>Programme Outcomes</t>
  </si>
  <si>
    <t>Elephants</t>
  </si>
  <si>
    <t>revenge killings</t>
  </si>
  <si>
    <t>1.1.1</t>
  </si>
  <si>
    <t>HWC incidences reduced</t>
  </si>
  <si>
    <t>By 2030, incidences of negative impacts (on people and wildlife) from human wildlife conflict are reduced by at least 25% compared to the baseline established in 2025</t>
  </si>
  <si>
    <t>Number of HWC incidents that have resulted in retaliatory killing of elephants</t>
  </si>
  <si>
    <r>
      <rPr>
        <b/>
        <sz val="11"/>
        <color rgb="FF000000"/>
        <rFont val="Calibri"/>
        <family val="2"/>
      </rPr>
      <t xml:space="preserve"> Numerator</t>
    </r>
    <r>
      <rPr>
        <sz val="11"/>
        <color rgb="FF000000"/>
        <rFont val="Calibri"/>
        <family val="2"/>
      </rPr>
      <t xml:space="preserve">: Number of HWC indicdents that have resulted in 1 or more elephants/great apes being killed.  
Divided by:
</t>
    </r>
    <r>
      <rPr>
        <b/>
        <sz val="11"/>
        <color rgb="FF000000"/>
        <rFont val="Calibri"/>
        <family val="2"/>
      </rPr>
      <t>Denominator</t>
    </r>
    <r>
      <rPr>
        <sz val="11"/>
        <color rgb="FF000000"/>
        <rFont val="Calibri"/>
        <family val="2"/>
      </rPr>
      <t xml:space="preserve">: Number of reported HWC incidents </t>
    </r>
  </si>
  <si>
    <t>HWC database</t>
  </si>
  <si>
    <t xml:space="preserve">Monitoring of HWC </t>
  </si>
  <si>
    <t>Annually</t>
  </si>
  <si>
    <t xml:space="preserve">1. Targeted interventions (SAFE) is effective in adressing the HWC problem.
</t>
  </si>
  <si>
    <t>Programme Managers in collaboration with MINFOF and Community Rapid Response Team</t>
  </si>
  <si>
    <t>Total number of elephants/great apes killed as a result of HWC retaliatory killing</t>
  </si>
  <si>
    <t>-</t>
  </si>
  <si>
    <t>Anually</t>
  </si>
  <si>
    <t>Negative perception on elephants</t>
  </si>
  <si>
    <t>1.1.2.</t>
  </si>
  <si>
    <t>Positive perception of HWC improved</t>
  </si>
  <si>
    <t>By 2030, the positive perception of HWC by IPLC in priority landscapes is improved by at least 25% compared to the baseline established in 2025</t>
  </si>
  <si>
    <t>HWC perception score (%)</t>
  </si>
  <si>
    <t>Perception survey data</t>
  </si>
  <si>
    <t>Perception Survey</t>
  </si>
  <si>
    <r>
      <rPr>
        <sz val="11"/>
        <color rgb="FFFF0000"/>
        <rFont val="Calibri"/>
        <family val="2"/>
      </rPr>
      <t xml:space="preserve">Perception surveys show a true reflection on Perception (go to risks for collecting data sheet)
</t>
    </r>
    <r>
      <rPr>
        <sz val="11"/>
        <color rgb="FF000000"/>
        <rFont val="Calibri"/>
        <family val="2"/>
      </rPr>
      <t xml:space="preserve">
1. IPLC are willing to change there Perception on elephants positively</t>
    </r>
  </si>
  <si>
    <t>% of reported complaints  linked to HWC recorded each year</t>
  </si>
  <si>
    <r>
      <rPr>
        <b/>
        <sz val="11"/>
        <color rgb="FF000000"/>
        <rFont val="Calibri"/>
        <family val="2"/>
      </rPr>
      <t xml:space="preserve"> Numerator</t>
    </r>
    <r>
      <rPr>
        <sz val="11"/>
        <color rgb="FF000000"/>
        <rFont val="Calibri"/>
        <family val="2"/>
      </rPr>
      <t xml:space="preserve">: The number of complaints linked to HEC each year
Divided by:
</t>
    </r>
    <r>
      <rPr>
        <b/>
        <sz val="11"/>
        <color rgb="FF000000"/>
        <rFont val="Calibri"/>
        <family val="2"/>
      </rPr>
      <t>Denominator</t>
    </r>
    <r>
      <rPr>
        <sz val="11"/>
        <color rgb="FF000000"/>
        <rFont val="Calibri"/>
        <family val="2"/>
      </rPr>
      <t>:  The total number of reported complaints each year</t>
    </r>
  </si>
  <si>
    <t>Grievance mechanism database</t>
  </si>
  <si>
    <t>Grievance mechanism system</t>
  </si>
  <si>
    <t xml:space="preserve">Species Conservation Programme
</t>
  </si>
  <si>
    <t>Elephants, Great apes, Duikers species</t>
  </si>
  <si>
    <t>Key species poaching</t>
  </si>
  <si>
    <t xml:space="preserve">1.1.3, 
1.2.1,  
1.3.1 </t>
  </si>
  <si>
    <t>Poaching reduced</t>
  </si>
  <si>
    <t>By 2030, the number of poaching signs per unit effort in targeted landscapes is reduced by at least 20% relative to the 2024 baseline</t>
  </si>
  <si>
    <t xml:space="preserve">Number of poaching signs recorded per unit effort (n/km) </t>
  </si>
  <si>
    <t>This outcome refers to all the focus species (Elephants, Great apes, duikers), the indicator refers to the encounter rate of poaching signs</t>
  </si>
  <si>
    <t>Species Survey Database (With validated analyses and report)</t>
  </si>
  <si>
    <t>Line Transect Distance Sampling, Camera Trap Distance Sampling,  Walk Reconnaissance Survey</t>
  </si>
  <si>
    <t>1. Effective survey patrols (move data collection risk sheet)
1. Sufficient resources to support poaching survey (move data collection risk sheet)
1. The mandated authorities are able to fulfill their mandates on poaching surveying
2. WWF-int and NOs will support and fund wildlife protection activities.
3. No change on the international market that would cause an increase in the demand of ivory/ pangolin scales, bushmeat and other animal products</t>
  </si>
  <si>
    <t xml:space="preserve">LNP: 
BB NP: 
Nki NP
</t>
  </si>
  <si>
    <t>Predation on sea turtle nests</t>
  </si>
  <si>
    <t>1.4.1</t>
  </si>
  <si>
    <t>Preyed on sea turtle nests reduced</t>
  </si>
  <si>
    <t>By 2030, the % of preyed on sea turtle nests at nesting sites monitored by CCO is reduced by at least 95% compared to 2025.</t>
  </si>
  <si>
    <t>% of predated sea turtle nests</t>
  </si>
  <si>
    <t>Predated includes human predation and animal pradated nests. Number of predated nests as per the total number of nests monitored.</t>
  </si>
  <si>
    <t xml:space="preserve">Records of all nests (a) in a monitored area, and records of predated nests (b), caclule the success rate = b/a *100
</t>
  </si>
  <si>
    <t>1. No sudden change of circumstances (environmental) around sea turtle nesting beaches</t>
  </si>
  <si>
    <t>Programme Managers in collaboration with MINFOF and CSOs and community monitoring team</t>
  </si>
  <si>
    <t>Plastic pollution</t>
  </si>
  <si>
    <t>1.4.2</t>
  </si>
  <si>
    <t>Sea turtle nesting sites monitored</t>
  </si>
  <si>
    <t>Each year from 2025 to 2030, at least 90% of the length of sea turtle nesting beaches targeted by CCO is monitored and cleaned of plastic pollution.</t>
  </si>
  <si>
    <t xml:space="preserve">% of the length of sea turtle nesting beaches that is cleaned of plastic pollution 
</t>
  </si>
  <si>
    <r>
      <rPr>
        <b/>
        <sz val="11"/>
        <color rgb="FF000000"/>
        <rFont val="Calibri"/>
        <family val="2"/>
      </rPr>
      <t>Numerator</t>
    </r>
    <r>
      <rPr>
        <sz val="11"/>
        <color rgb="FF000000"/>
        <rFont val="Calibri"/>
        <family val="2"/>
      </rPr>
      <t xml:space="preserve">: Length of sea turtle nesting beaches that is cleaned of plastic
Divided by:
</t>
    </r>
    <r>
      <rPr>
        <b/>
        <sz val="11"/>
        <color rgb="FF000000"/>
        <rFont val="Calibri"/>
        <family val="2"/>
      </rPr>
      <t>Denominator</t>
    </r>
    <r>
      <rPr>
        <sz val="11"/>
        <color rgb="FF000000"/>
        <rFont val="Calibri"/>
        <family val="2"/>
      </rPr>
      <t>:  Total targeted length of nesting beach</t>
    </r>
  </si>
  <si>
    <t>Plastic clearance activities</t>
  </si>
  <si>
    <t>1. Local communities, governments, and other stakeholders will continue to cooperate or actively support the effort.</t>
  </si>
  <si>
    <t xml:space="preserve">TRIDOM, TNS, Coastal Forest and Campo Ma'an
</t>
  </si>
  <si>
    <t>Poor PA mangement</t>
  </si>
  <si>
    <t>Management effectiveness of PAs improved</t>
  </si>
  <si>
    <t xml:space="preserve">By 2030, supported PAs have improved their management effectiveness by at least 5% relative to the 2025 baseline. </t>
  </si>
  <si>
    <t>Management effectiveness score per PA</t>
  </si>
  <si>
    <t>*insert link to IMET page</t>
  </si>
  <si>
    <t>IMET scoring Database for PAs</t>
  </si>
  <si>
    <t>IMET score</t>
  </si>
  <si>
    <t>1. PA staff apply their knowledge and skills in the management of PAs.
2. The results of IMET can be used for adaptive management</t>
  </si>
  <si>
    <t>Zoonotic disease outbreak</t>
  </si>
  <si>
    <t xml:space="preserve">
1.2.1 
</t>
  </si>
  <si>
    <t>Zoonotic reduced</t>
  </si>
  <si>
    <t>By 2030, the 'known' transmission of zoonotic pathogens in the priority landscapes of CCO is reduced by at least 80% compared to the 2024 reference.</t>
  </si>
  <si>
    <t xml:space="preserve">Number of individual persons affected by zoonotic cases </t>
  </si>
  <si>
    <t>The transmission of zoonotic pathogen agents [Mpox,Yellow fever, H1N5, Brucellosis, Lassa Fever, HIV]. Transmission can go in both ways or among themselves. One reported case includes 1 affected individual.</t>
  </si>
  <si>
    <t>Landscape lab database (With validated analyses and report)</t>
  </si>
  <si>
    <t>Lab test analysis</t>
  </si>
  <si>
    <t xml:space="preserve">1. Local populations and animal handlers adopt safer practices related to wildlife, livestock, and land use that reduce zoonotic spillover risks.
</t>
  </si>
  <si>
    <t>LNP: 0
Campo Ma'an NP: 0</t>
  </si>
  <si>
    <t xml:space="preserve">Number of individual animals affected by zoonotic cases </t>
  </si>
  <si>
    <t>The transmission of zoonotic pathogen agents [Mpox,Yellow fever, H1N5, Brucellosis, Lassa Fever, HIV]. Transmission can go in both ways or among themselves. One reported case includes 1 affected individual animal.
"</t>
  </si>
  <si>
    <t>LNP: 1
Campo Ma'an NP: 0</t>
  </si>
  <si>
    <t>Hunting on key-species in protected zones</t>
  </si>
  <si>
    <t>Community hunting zones  managed</t>
  </si>
  <si>
    <t xml:space="preserve">By 2030, at least 75% of supported community hunting zones are managed using best practices, relative to 2025 baseline </t>
  </si>
  <si>
    <t>% of community hunting zones that are managed according to approved best practices</t>
  </si>
  <si>
    <r>
      <t xml:space="preserve">Best practices include (PSG, plan de chasse and compliance with national legal procedures). </t>
    </r>
    <r>
      <rPr>
        <b/>
        <sz val="11"/>
        <color rgb="FF000000"/>
        <rFont val="Calibri"/>
        <family val="2"/>
      </rPr>
      <t>Numerator</t>
    </r>
    <r>
      <rPr>
        <sz val="11"/>
        <color rgb="FF000000"/>
        <rFont val="Calibri"/>
        <family val="2"/>
      </rPr>
      <t xml:space="preserve">: Hacteres of community managed hunting zones according to approved best practices
Divided by:
</t>
    </r>
    <r>
      <rPr>
        <b/>
        <sz val="11"/>
        <color rgb="FF000000"/>
        <rFont val="Calibri"/>
        <family val="2"/>
      </rPr>
      <t>Denominator</t>
    </r>
    <r>
      <rPr>
        <sz val="11"/>
        <color rgb="FF000000"/>
        <rFont val="Calibri"/>
        <family val="2"/>
      </rPr>
      <t>: Hacteres of community hunting zones</t>
    </r>
  </si>
  <si>
    <t>Community hunting zone database (With validated analyses and report)</t>
  </si>
  <si>
    <t>Hunting area implementation survey</t>
  </si>
  <si>
    <t>1. The community will apply best management practices in managing the hunting zones, even after the end of the support</t>
  </si>
  <si>
    <t>LNP:100%</t>
  </si>
  <si>
    <t>Programme Managers in collaboration with MINFOF and COVAREFs</t>
  </si>
  <si>
    <t>Conservation complaints</t>
  </si>
  <si>
    <t>Human rights abuse</t>
  </si>
  <si>
    <t>3.1.1</t>
  </si>
  <si>
    <t>Conservation related complaints reduce</t>
  </si>
  <si>
    <t>By 2030, the percentage of conservation related complaints related to CCO-supported conservation activities in target landscapes is reduced by at least 90%.</t>
  </si>
  <si>
    <t>% of conservation related complaints related to CCO conservation activities</t>
  </si>
  <si>
    <r>
      <rPr>
        <sz val="11"/>
        <color rgb="FF000000"/>
        <rFont val="Calibri"/>
        <family val="2"/>
      </rPr>
      <t xml:space="preserve">This will be measured on national level not on program level.
</t>
    </r>
    <r>
      <rPr>
        <b/>
        <sz val="11"/>
        <color rgb="FF000000"/>
        <rFont val="Calibri"/>
        <family val="2"/>
      </rPr>
      <t xml:space="preserve">Numerator: </t>
    </r>
    <r>
      <rPr>
        <sz val="11"/>
        <color rgb="FF000000"/>
        <rFont val="Calibri"/>
        <family val="2"/>
      </rPr>
      <t xml:space="preserve">Number of conservation related complaints related to CCO conservation activities
Divided by:
</t>
    </r>
    <r>
      <rPr>
        <b/>
        <sz val="11"/>
        <color rgb="FF000000"/>
        <rFont val="Calibri"/>
        <family val="2"/>
      </rPr>
      <t xml:space="preserve">Denominator: </t>
    </r>
    <r>
      <rPr>
        <sz val="11"/>
        <color rgb="FF000000"/>
        <rFont val="Calibri"/>
        <family val="2"/>
      </rPr>
      <t>Number of conservation related complaints</t>
    </r>
  </si>
  <si>
    <t>GRM in place is well-managed, used and not abused</t>
  </si>
  <si>
    <t xml:space="preserve">LNP: 
PN BB :
PN Nki: 
Campo Ma'an NP:
MCNP: </t>
  </si>
  <si>
    <t>Programme Managers in collaboration with MINFOF and CSOs managing the GRM</t>
  </si>
  <si>
    <t>Number of reported Human Rights violation cases by WWF or implementing partners staff</t>
  </si>
  <si>
    <t>At least 80% reduction in HR violation cases by WWF or implementing partners</t>
  </si>
  <si>
    <t>At least 90% reduction in HR violation cases by WWF or implementing partners</t>
  </si>
  <si>
    <t>WWF-activity perception</t>
  </si>
  <si>
    <t>Weak support to conservation activities by IPLC</t>
  </si>
  <si>
    <t>3.1.2</t>
  </si>
  <si>
    <t>IPLC positive perception towards conservation</t>
  </si>
  <si>
    <t>By 2030, at least 80% of targeted IPLCs in CCO-supported landscapes have a positive perception towards conservation projects/ideas.</t>
  </si>
  <si>
    <t>% of targeted IPLC who have a positive perception towards CCO-supported conservation projects/ ideas</t>
  </si>
  <si>
    <t>This will be measured on national level not on program level.</t>
  </si>
  <si>
    <t>Conservation efforts produce tangible social or economic benefits for IPLCs (e.g., jobs, ecosystem services, access rights)</t>
  </si>
  <si>
    <t xml:space="preserve">Programme Managers in collaboration with MINFOF and CSOs </t>
  </si>
  <si>
    <t>IPLC income</t>
  </si>
  <si>
    <t>Poverty</t>
  </si>
  <si>
    <t>3.1.4</t>
  </si>
  <si>
    <t>Household income increased</t>
  </si>
  <si>
    <t>By 2030, targeted IP&amp;LC gain at least a 10% increase in household income from WWF-supported activities compared to the 2025 baseline</t>
  </si>
  <si>
    <t>Average annual household income of targeted IP&amp;LC</t>
  </si>
  <si>
    <t>Household income could be derived from IGA value chains, tourism, etc</t>
  </si>
  <si>
    <t>Household survey data (with linked database)</t>
  </si>
  <si>
    <t>Household survey on WWF-supported activities</t>
  </si>
  <si>
    <t>Markets remain stable or grow for the products/services linked to WWF-supported activities
Climate and environmental conditions do not severely disrupt production (e.g., droughts, disease, flooding)</t>
  </si>
  <si>
    <t>Average total annual income gained by IP&amp;LC through direct employment in conservation related activities</t>
  </si>
  <si>
    <t xml:space="preserve">The income that is paid to IPLC directly from conservation activities </t>
  </si>
  <si>
    <t>HR salary data (with linked database)</t>
  </si>
  <si>
    <t>HR salary checks</t>
  </si>
  <si>
    <t>ILPC access to materials of good life</t>
  </si>
  <si>
    <t>3.1.5</t>
  </si>
  <si>
    <t>Access to materials of good life increased</t>
  </si>
  <si>
    <t xml:space="preserve">By 2030, the number of targeted IPLC communities in WWF-supported landscapes having access to materials of good life has increased by at least 50% relative to the 2025 baseline </t>
  </si>
  <si>
    <t>% of targeted IPLC communities in the WWF-supported landscapes that have access to materials of good life</t>
  </si>
  <si>
    <r>
      <rPr>
        <sz val="11"/>
        <color rgb="FF000000"/>
        <rFont val="Calibri"/>
        <family val="2"/>
      </rPr>
      <t xml:space="preserve">Access means the ability for the targeted group to make use of the materials. Materials of good life include portable water, health care, natural resources, food, education and traditional sites inside PAs. Communities refers to a group of people living in one village. 
</t>
    </r>
    <r>
      <rPr>
        <b/>
        <sz val="11"/>
        <color rgb="FF000000"/>
        <rFont val="Calibri"/>
        <family val="2"/>
      </rPr>
      <t>Numerator</t>
    </r>
    <r>
      <rPr>
        <sz val="11"/>
        <color rgb="FF000000"/>
        <rFont val="Calibri"/>
        <family val="2"/>
      </rPr>
      <t xml:space="preserve">: Number of targeted communities with access to the materials of a good life
Divided by:
</t>
    </r>
    <r>
      <rPr>
        <b/>
        <sz val="11"/>
        <color rgb="FF000000"/>
        <rFont val="Calibri"/>
        <family val="2"/>
      </rPr>
      <t>Denominator</t>
    </r>
    <r>
      <rPr>
        <sz val="11"/>
        <color rgb="FF000000"/>
        <rFont val="Calibri"/>
        <family val="2"/>
      </rPr>
      <t>: Number of targeted communities</t>
    </r>
  </si>
  <si>
    <t>Community survey as well as program data (with linked database)</t>
  </si>
  <si>
    <t>Community surveys and program progress reports</t>
  </si>
  <si>
    <t>1. Communities are not subjected to conflict, displacement, or governance instability that disrupt access to basic needs or services.</t>
  </si>
  <si>
    <t>This outcome will be moved (ask Philip why)</t>
  </si>
  <si>
    <t>Policy interventions</t>
  </si>
  <si>
    <t>Poor law enforcement guidance on traditional IPLC rights and intrests</t>
  </si>
  <si>
    <t>3.1.6</t>
  </si>
  <si>
    <t>Policies promoting the rights of IPLC Supported</t>
  </si>
  <si>
    <t xml:space="preserve">By 2030, at least one new or revised policies or decisions promoting the rights and intrests of IPLC enacted with with WWF support </t>
  </si>
  <si>
    <t xml:space="preserve">Number of new or revised policy or decisions promoting the rights and intrests of IPLC enacted with with WWF support 
</t>
  </si>
  <si>
    <t xml:space="preserve"> policies include decrees or other circular decisions</t>
  </si>
  <si>
    <t>Policy and advocacy database (With validated analyses and report)</t>
  </si>
  <si>
    <t>Policy and advocacy activities</t>
  </si>
  <si>
    <t xml:space="preserve">1. The government is willing to engage with WWF and partners (incl. IPLC) in the propositions, enacting and reviewing of the policies/ decisions
</t>
  </si>
  <si>
    <t>1.1.1.1.</t>
  </si>
  <si>
    <t xml:space="preserve"> At least 75% of HWC hotspots identified and mapped in all CCO targeted landscapes to establish a new baseline by mid-2026</t>
  </si>
  <si>
    <t xml:space="preserve">•	% of identified and geo-referenced/mappped HWC hotspots 
</t>
  </si>
  <si>
    <t>Indicates extent of spatial targeting for interventions
Establish foundation dataset for tracking changes in revenge killings</t>
  </si>
  <si>
    <t>GIS/SMART maps; hotspot analysis reports; mapping metadata</t>
  </si>
  <si>
    <t>Spatial analysis of incident location data; ground-truthing field visits
Desk review; key informant interviews; focus groups; data validation workshops</t>
  </si>
  <si>
    <t>One‑time (2026), with annual updates</t>
  </si>
  <si>
    <t>Assumes complete spatial data; risk of missing hotspots in remote zones</t>
  </si>
  <si>
    <t>TNS: 1 map produced in 2024
MCNP: 100%
BNP:</t>
  </si>
  <si>
    <t>1.1.1.2.</t>
  </si>
  <si>
    <t>Community-level and enforcement-level reporting systems operational for tracking elephant mortality causes by end of 2025</t>
  </si>
  <si>
    <t xml:space="preserve">
•	% of reported elephant mortality cases disaggregated by cause</t>
  </si>
  <si>
    <t>Tracks availability and use of mortality reporting by communities and enforcement staff</t>
  </si>
  <si>
    <t>Reporting system logs; patrol logs; SMART entries; enforcement database extracts</t>
  </si>
  <si>
    <t>Training verification; log audits; monthly data extractions and quality checks</t>
  </si>
  <si>
    <t>Quarterly</t>
  </si>
  <si>
    <t>Assumes stakeholder commitment; risk of poor data quality or technical challenges</t>
  </si>
  <si>
    <t>TNS: 1 system (INFORBIO)</t>
  </si>
  <si>
    <t>1.1.1.3.</t>
  </si>
  <si>
    <t>All related staff and partners including community-based rapid response team in CCO targeted landscapes are trained on C2C approach by June 2026</t>
  </si>
  <si>
    <t>•	% of target group &amp; personnel with certified training on C2C</t>
  </si>
  <si>
    <t>Measures reach of capacity-building on human–elephant conflict to coexistence</t>
  </si>
  <si>
    <t>Attendance records; training materials; pre/post test scores; training evaluation reports</t>
  </si>
  <si>
    <t>Training delivery; pre/post knowledge assessment; role‑play evaluations</t>
  </si>
  <si>
    <t>One‑time training with potential refresher mid‑term</t>
  </si>
  <si>
    <t>Assumes participant availability; risk of turnover reducing impact</t>
  </si>
  <si>
    <t>LNP: 0 trained but some community members sensitized on the approach
CFP: 1 staff trained</t>
  </si>
  <si>
    <t>1.1.1.4.</t>
  </si>
  <si>
    <t>C2C approach is 100% implemented in all targeted CCO landscapes by June 2029</t>
  </si>
  <si>
    <t xml:space="preserve">•	% of landscapes with fully implemented C2C protocols
</t>
  </si>
  <si>
    <t>Tracks operationalization of coexistence strategies on the ground</t>
  </si>
  <si>
    <t>Intervention activity reports; ranger logs; community feedback; monitoring tools</t>
  </si>
  <si>
    <t>Review of implementations during field visits; structured interviews with stakeholders</t>
  </si>
  <si>
    <t>Annual 2027–2029</t>
  </si>
  <si>
    <t>Assumes institutionalization of C2C; risk of resistance or lack of funding</t>
  </si>
  <si>
    <t xml:space="preserve">LNP: Not yet implemented
CFP:Implemented in MC landscape
</t>
  </si>
  <si>
    <t>•	 # of conflict cases managed through C2C</t>
  </si>
  <si>
    <t>1.1.1.5.</t>
  </si>
  <si>
    <t>Targeted awareness campaigns on elephant behaviour and conservation laws conducted annually in all high HWC zones of CCO targeted landscapes starting January 2026</t>
  </si>
  <si>
    <t xml:space="preserve">•# of awareness campaigns conducted per year per high HWC zones covered </t>
  </si>
  <si>
    <t>Measures outreach effectiveness on elephant behavior and legal aspects of protection</t>
  </si>
  <si>
    <t>Campaign reports; attendance registers; pre/post NGO surveys; IEC materials</t>
  </si>
  <si>
    <t>Surveys at start/end of sessions; participant evaluation forms</t>
  </si>
  <si>
    <t>Annually (2026–2029)</t>
  </si>
  <si>
    <t>Assumes attendance; risk of low interest or message misalignment</t>
  </si>
  <si>
    <t>LNP:Awareness campaigns in 34% of communities
CFP:1 campaign done in the MCNP area</t>
  </si>
  <si>
    <t>1.1.1.6.</t>
  </si>
  <si>
    <t>Conflict mediation and GRM established in 100% of conflict-prone villages by June 2027</t>
  </si>
  <si>
    <t xml:space="preserve">% of conflict-prone villages with functioning grievance mechanisms </t>
  </si>
  <si>
    <t>Tracks local resolution options for community–elephant conflict</t>
  </si>
  <si>
    <t>GRM documentation; case resolution logs; committee meeting minutes</t>
  </si>
  <si>
    <t>Collection of case files; stakeholder interviews; resolution outcome reviews</t>
  </si>
  <si>
    <t>Annual check beginning 2027</t>
  </si>
  <si>
    <t>Assumes trust in grievance systems; risk of biased outcomes or low utilization</t>
  </si>
  <si>
    <t xml:space="preserve"> # of cases reported/resolved through GRM</t>
  </si>
  <si>
    <t>1.1.1.7.</t>
  </si>
  <si>
    <t>Quarterly reporting system on elephant killings and investigation established, integrated into SMART and national databases by June 2026</t>
  </si>
  <si>
    <t># of quarterly reports produced and  integrated into SMART/national databases</t>
  </si>
  <si>
    <t>Measures integration of elephant incident tracking into key databases</t>
  </si>
  <si>
    <t>Quarterly reports; SMART data logs; national database access logs</t>
  </si>
  <si>
    <t>System audit; report-to-database reconciliation; error tracking</t>
  </si>
  <si>
    <t>Assumes technical compatibility and regular updates; risk of data backlog</t>
  </si>
  <si>
    <t>TNS: 4 reports per year
CFP: Reported on weekely basis but not yet intergrated into SMART</t>
  </si>
  <si>
    <t>1.1.1.8.</t>
  </si>
  <si>
    <t>Annual progress reviews done on  killing trends and HEC mitigation outcomes starting 2026</t>
  </si>
  <si>
    <t xml:space="preserve"># of recommendations adopted from review meetings </t>
  </si>
  <si>
    <t>Tracks reflection and adaptive management process for HEC work</t>
  </si>
  <si>
    <t>Annual review documentation; meeting notes; adaptive action logs</t>
  </si>
  <si>
    <t>Trend analysis of incident data; stakeholder consultations; decision log reviews</t>
  </si>
  <si>
    <t>Annual</t>
  </si>
  <si>
    <t>Assumes stakeholder engagement; risk of inertia or lack of responsive action</t>
  </si>
  <si>
    <t>CFP: Done every 6 months</t>
  </si>
  <si>
    <t>1.1.1.9.</t>
  </si>
  <si>
    <t>Sustainable livelihood initiatives benefiting at least 50% of the conflict-affected households in the supported landscapes implemented to reduce economic pressure from elephant damage by end of 2029</t>
  </si>
  <si>
    <t xml:space="preserve">% of conflict-affected households benefiting from livelihood support 
</t>
  </si>
  <si>
    <t>Measures uptake and financial outcomes of livelihood support designed to reduce dependency</t>
  </si>
  <si>
    <t>Beneficiary lists; household income surveys; program monitoring</t>
  </si>
  <si>
    <t>Baseline/endline surveys; income tracking; FGDs with beneficiaries</t>
  </si>
  <si>
    <t>Mid-term (2028) and end-line (2029)</t>
  </si>
  <si>
    <t>Assumes significant uptake; risk of unequal distribution, lack of market access, or collapse of initiatives</t>
  </si>
  <si>
    <t>CFP: Chili pepper planting has been initiated in Bakingili and Njonji villages, with the aim of supplying it to the  MCNP services to facilitate supply of product to the PA  for establishment/recoating chili fences. Concept for other livelihood options developed and currently being discussed with PSMNR Coordination</t>
  </si>
  <si>
    <t xml:space="preserve">1.2.1.1. </t>
  </si>
  <si>
    <t>Baseline information on perception survey on HWC collected for CCO targeted landscapes by end of 2025</t>
  </si>
  <si>
    <t xml:space="preserve">Baseline survey completed and validated 
</t>
  </si>
  <si>
    <t>Establishes reference point for tracking changes in perception and behaviour over time</t>
  </si>
  <si>
    <t>Final validated survey report; raw dataset; disaggregation tables by age/gender/role</t>
  </si>
  <si>
    <t>Structured household surveys; FGDs; stakeholder interviews; KoboToolbox/ODK; thematic analysis</t>
  </si>
  <si>
    <t>One-time (by Dec 2025)</t>
  </si>
  <si>
    <t>Assumes broad community participation; risk of response bias or language barriers</t>
  </si>
  <si>
    <t xml:space="preserve">1.2.1.2. </t>
  </si>
  <si>
    <t>IP&amp;LC  awareness and sensitization campaigns implemented in the CCO targeted landscapes from Jan 2026</t>
  </si>
  <si>
    <t xml:space="preserve">% of target population reached (men, women, youth) with annual campaigns
</t>
  </si>
  <si>
    <t>Tracks the scale and effectiveness of HWC-related community education</t>
  </si>
  <si>
    <t>Campaign reports; attendance lists; radio airing logs; IEC material inventory</t>
  </si>
  <si>
    <t>Attendance tracking; media outreach logs; quick knowledge tests or feedback surveys</t>
  </si>
  <si>
    <t>Annually (from 2026 onward)</t>
  </si>
  <si>
    <t>Assumes cultural appropriateness and language clarity; risk of low turnout or logistical delays</t>
  </si>
  <si>
    <t>LNP:Awareness in 8 communities
CFP: Done in 6 communities (Bakingili, Bomana, Njonji, &amp; Bibunde) of the MCNP area.
(Ngombo Ku and Ndom in the BNP area)</t>
  </si>
  <si>
    <t xml:space="preserve">1.2.1.3. </t>
  </si>
  <si>
    <t>Elephant/Great Apes Ambassadors and IP&amp;LC Champions in CCO landscapes coached and trained by June 2026</t>
  </si>
  <si>
    <t xml:space="preserve"># of Elephant/Great apes Ambassadors/Champions trained who are using the skills </t>
  </si>
  <si>
    <t>Ensures community-led outreach and local ownership of HWC messaging</t>
  </si>
  <si>
    <t>Training records; pre/post tests; session evaluation forms; follow-up mentorship records</t>
  </si>
  <si>
    <t>Structured workshops with pre/post assessments; mentorship monitoring</t>
  </si>
  <si>
    <t>One-time (by June 2026), refreshers as needed</t>
  </si>
  <si>
    <t>Assumes correct selection and motivation of Champions; risk of attrition or limited outreach</t>
  </si>
  <si>
    <t>CFP: 1 champion</t>
  </si>
  <si>
    <t xml:space="preserve">1.2.1.4. </t>
  </si>
  <si>
    <t>C2C issues are captured in MSPs and other fora in CCO targeted landscapes starting Jan 2026.</t>
  </si>
  <si>
    <t xml:space="preserve"># of MSP (Multi-Stakeholder Platform) meetings where C2C issues are documented 
	</t>
  </si>
  <si>
    <t>Measures integration of HEC priorities into multi-stakeholder governance structures</t>
  </si>
  <si>
    <t>MSP meeting minutes; action point registers; stakeholder participation logs</t>
  </si>
  <si>
    <t>Qualitative review of MSP records and decisions; key informant interviews</t>
  </si>
  <si>
    <t>Quarterly/Biannually (starting 2026)</t>
  </si>
  <si>
    <t>Assumes active and inclusive MSPs; risk of low political will or insufficient follow-up</t>
  </si>
  <si>
    <t>CFP: Always discussing this in our stakeholders' meetings</t>
  </si>
  <si>
    <t># of resolutions or action points addressing C2C per year</t>
  </si>
  <si>
    <t xml:space="preserve">1.2.1.5. </t>
  </si>
  <si>
    <t>Annual surveys and focus groups conducted in targeted CCO landscapes to track changes in perception, evaluate impact of interventions, and adjust strategies accordingly done in May of every year</t>
  </si>
  <si>
    <t>Score in perception survey</t>
  </si>
  <si>
    <t>Tracks shifts in awareness, behaviour, and attitudes, enabling adaptive management</t>
  </si>
  <si>
    <t>Survey reports; FGD transcripts; impact assessment summaries</t>
  </si>
  <si>
    <t>Longitudinal surveys with matched communities; FGDs for qualitative insights</t>
  </si>
  <si>
    <t>Annually in May (2026–2030)</t>
  </si>
  <si>
    <t>Assumes long-term engagement and consistent methodology; risk of survey fatigue or seasonal inaccessibility</t>
  </si>
  <si>
    <t>1.1.3.1</t>
  </si>
  <si>
    <t>Comprehensive analysis of SMART (Spatial Monitoring and Reporting Tool) data from 2021-2024  conducted in CCO targeted landscapes to set a reliable benchmark for poaching indices per patrol effort and set the right baseline</t>
  </si>
  <si>
    <t>% score on SMART scorecard</t>
  </si>
  <si>
    <t>Sets baseline to evaluate trends and guide adaptive enforcement</t>
  </si>
  <si>
    <t>SMART analysis report; MIST/SMART databases; landscape-level briefs</t>
  </si>
  <si>
    <t>Spatial-temporal analysis using SMART exports (effort, arrest, encounter data); GIS mapping</t>
  </si>
  <si>
    <t>One-time (early 2026)</t>
  </si>
  <si>
    <t>Assumes data is accurate and consistently logged across years; gaps may affect baseline</t>
  </si>
  <si>
    <t>TNS: 0.15
TRIDOM: As of 2024, patrol-based detection rates range between 0.003 and 0.33 signs/km patrolled (SMART database, 2024)
CFP: 0</t>
  </si>
  <si>
    <t>1.1.3.2</t>
  </si>
  <si>
    <t>Patrol coverage increased by at least 30% in high-risk zones of CCO targeted landscapes  by 2027.</t>
  </si>
  <si>
    <t>% increase in patrol kilometers and man-days in target areas  (high-risk zones…)</t>
  </si>
  <si>
    <t>Measures scale-up of field presence in poaching hotspots</t>
  </si>
  <si>
    <t>SMART patrol records; patrol maps; deployment logs</t>
  </si>
  <si>
    <t>Comparative analysis of patrol coverage (baseline vs current); GPS tracking</t>
  </si>
  <si>
    <t>Biannually (2026–2027)</t>
  </si>
  <si>
    <t>Assumes sufficient budget and personnel; terrain or conflict may limit patrols</t>
  </si>
  <si>
    <t>TNS: 84% in 2024
TRIDOM: 84% of high-risk zone regularly patrolled (SMART database, 2024)
CFP: 0</t>
  </si>
  <si>
    <t>1.1.3.3</t>
  </si>
  <si>
    <t>Training and refresher course of new eco-guards and community rangers completed across all CCO intervention areas (training include HRBA…) by June 2026</t>
  </si>
  <si>
    <t># of trained staff(disaggregated by gender, role) demonstrating knowledge gain in HRBA, law, surveillance, ethics</t>
  </si>
  <si>
    <t>Ensures staff are equipped with knowledge and rights-based skills</t>
  </si>
  <si>
    <t>Training attendance records; pre/post test results; training reports</t>
  </si>
  <si>
    <t>Test score analysis; follow-up evaluation interviews</t>
  </si>
  <si>
    <t>One-time (June 2026), refreshers as needed</t>
  </si>
  <si>
    <t>Assumes stable staff retention; training uptake varies across individuals</t>
  </si>
  <si>
    <t>TNS: 1/year
TRIDOM: 4 women and 24 male ecoguards trained 
12 biomonitoring assistant and 17 COVILABs trained on Human rights and SMART (LNP report 2024)
40% knowledge gain in SMART and data collection tools (Training report LNP, 2024)
CFP: 1 training in HRBA done with Conservators of 3 PAs (BMWS, BNP, MCNP)</t>
  </si>
  <si>
    <t>1.1.3.4</t>
  </si>
  <si>
    <t>Regular analysis of patrol effort vs. detection rates as captured in SMART data shared with managers and MINFOF for decision making and reorientation of surveillance (adaptive management).</t>
  </si>
  <si>
    <t># of decision points influenced by shared SMART data</t>
  </si>
  <si>
    <t>Measures operationalization of SMART outputs for adaptive management</t>
  </si>
  <si>
    <t>SMART summary reports; MINFOF meeting minutes; email communications</t>
  </si>
  <si>
    <t>Descriptive stats of effort/detection trends; decision tracking matrix</t>
  </si>
  <si>
    <t>Quarterly (starting 2026)</t>
  </si>
  <si>
    <t>Assumes MINFOF uses insights; risk of weak data flow or limited internet access</t>
  </si>
  <si>
    <t>TNS: &gt;6/year
TRIDOM: &gt;30 reports per year
1–2 decision points/year (e.g., patrol progression strategy changes, patrol intensity changes) (LNP report 2024)</t>
  </si>
  <si>
    <t>1.1.3.5</t>
  </si>
  <si>
    <t>Support provided to the development of incentive systems (including due deligence) for credible intelligence leading to arrests or prevention by June 2027.</t>
  </si>
  <si>
    <t># of actionable intelligence tips received and rewarded using the incentive schemes</t>
  </si>
  <si>
    <t>Promotes community-based and internal whistleblowing on poaching threats</t>
  </si>
  <si>
    <t>Intelligence logbooks; reward distribution records; due diligence reports</t>
  </si>
  <si>
    <t>Case tracking and qualitative review of tip-off follow-up; stakeholder interviews</t>
  </si>
  <si>
    <t>Annual tracking (2026–2027)</t>
  </si>
  <si>
    <t>Assumes confidentiality and fairness in reward system; risks of misuse or false claims</t>
  </si>
  <si>
    <t>TNS: 1/year
TRIDOM: 1 incentive scheme developed (LNP report 2024)
&lt;5 actionable intelligence linked to incentives (LNP report 2024)</t>
  </si>
  <si>
    <t>1.1.3.6</t>
  </si>
  <si>
    <t>Law enforcement collaboration protocols refined between park staff, local authorities, and judiciary and with HRBA incorporated by December 2026</t>
  </si>
  <si>
    <t># of joint operations carried out annually under the signed revised stakeholders collaborative agreements/protocols</t>
  </si>
  <si>
    <t>Promotes multi-agency synergy for arrests, prosecution, and justice</t>
  </si>
  <si>
    <t>Signed MoUs; joint mission reports; judiciary feedback</t>
  </si>
  <si>
    <t>Protocol content review; qualitative interviews with enforcement partners</t>
  </si>
  <si>
    <t>Annual review (starting 2026)</t>
  </si>
  <si>
    <t>Assumes political and judicial willingness; legal bottlenecks may delay outcomes</t>
  </si>
  <si>
    <t>TRIDOM: 1 (Antipoaching membele convention 2022)
5 joint operations (LNP SMART database, 2024)</t>
  </si>
  <si>
    <t>1.4.1.1</t>
  </si>
  <si>
    <t>A comprehensive baseline study completed at Campo Ma’an-monitored nesting beaches to assess nest predation rates (species-specific, predator types, and locations) and data used to identify high-risk nesting sites and main predators by December 2026</t>
  </si>
  <si>
    <t xml:space="preserve">Baseline information completed highlighting information on predation rate per species per beach and identification of high-risk sites and predator types </t>
  </si>
  <si>
    <t>Establishes reference data for targeted conservation action</t>
  </si>
  <si>
    <t>Baseline survey report; nest monitoring logs; camera trap data</t>
  </si>
  <si>
    <t>Transect surveys; predator ID using tracks, direct obs., or camera traps; GIS mapping</t>
  </si>
  <si>
    <t>One-time (Dec 2026)</t>
  </si>
  <si>
    <t>Assumes sufficient nesting events; predation may vary seasonally</t>
  </si>
  <si>
    <t>1.4.1.2</t>
  </si>
  <si>
    <t>Night patrols and nest monitoring teams established, trained and equipped by June 2026</t>
  </si>
  <si>
    <t xml:space="preserve"># of patrol teams trained per key beaches patrolled nightly    
</t>
  </si>
  <si>
    <t>Strengthens ground protection and data collection capacity</t>
  </si>
  <si>
    <t>Patrol team attendance sheets; training records; equipment inventory logs</t>
  </si>
  <si>
    <t>Attendance records; equipment tracking forms; field supervision</t>
  </si>
  <si>
    <t>One-time (June 2026), updated as needed</t>
  </si>
  <si>
    <t>Assumes recruitment and motivation of local teams; equipment durability risks</t>
  </si>
  <si>
    <t>1.4.1.3</t>
  </si>
  <si>
    <t>Nest protection measures implemented by January 2027</t>
  </si>
  <si>
    <t xml:space="preserve"> % of protected nests surviving to hatching
</t>
  </si>
  <si>
    <t>Assesses the implementation and success of physical protection interventions</t>
  </si>
  <si>
    <t>Nest records; hatchling success data; patrol logs</t>
  </si>
  <si>
    <t>Nest tagging; survival rate monitoring; GPS data</t>
  </si>
  <si>
    <t>Nesting seasons (semi-annually or annually)</t>
  </si>
  <si>
    <t>Assumes correct identification and timing; risks from tides, poaching</t>
  </si>
  <si>
    <t>1.4.1.4</t>
  </si>
  <si>
    <t>Predator control and Management Strategies deployed including Standard Operating Procedures (SOPs) developedby June 2027</t>
  </si>
  <si>
    <t>Reduction in predation rates at treated sites</t>
  </si>
  <si>
    <t>Measures effectiveness of predator intervention methods</t>
  </si>
  <si>
    <t>Predator control logbooks; follow-up nest survival reports</t>
  </si>
  <si>
    <t>Before-after comparisons; site-level treatment vs control analysis</t>
  </si>
  <si>
    <t>Annually (starting 2027)</t>
  </si>
  <si>
    <t>Risk of non-target species harm; need for ecological sensitivity</t>
  </si>
  <si>
    <t>1.4.1.5</t>
  </si>
  <si>
    <t>Community awareness and engagement campaigns delivered starting June 2027</t>
  </si>
  <si>
    <t>Score in the change in knowledge or attitude of the population (men, women, youth) reached in awareness raising</t>
  </si>
  <si>
    <t>Promotes local support and behavioural change</t>
  </si>
  <si>
    <t>Session attendance sheets; pre/post awareness survey results</t>
  </si>
  <si>
    <t>Focus groups; short surveys; community event logs</t>
  </si>
  <si>
    <t>Assumes language and content suitability; risks of low turnout</t>
  </si>
  <si>
    <t>1.4.1.6</t>
  </si>
  <si>
    <t>Community guardians incentivized through eco-benefits promoted by June 2027</t>
  </si>
  <si>
    <t>Retention rate of community incentivized guardians</t>
  </si>
  <si>
    <t>Encourages sustained community participation and ownership</t>
  </si>
  <si>
    <t>Guardian contracts; eco-benefit distribution logs; interviews</t>
  </si>
  <si>
    <t>Incentive tracking; periodic follow-up interviews</t>
  </si>
  <si>
    <t>Biannual</t>
  </si>
  <si>
    <t>Risk of unequal benefit sharing; need for sustainability mechanism</t>
  </si>
  <si>
    <t>1.4.1.7</t>
  </si>
  <si>
    <t>Lessons learned and successful approaches documented and shared with local and regional partners annually.</t>
  </si>
  <si>
    <t xml:space="preserve">   
# of lessons learned documented and shared</t>
  </si>
  <si>
    <t>Tracks biological impact of protection measures</t>
  </si>
  <si>
    <t>Nest monitoring records; beach survey logs</t>
  </si>
  <si>
    <t>Nest tagging, excavation after hatching, statistical analysis</t>
  </si>
  <si>
    <t>Every nesting season</t>
  </si>
  <si>
    <t>Depends on consistent nest monitoring and accurate tagging</t>
  </si>
  <si>
    <t>1.4.2.1</t>
  </si>
  <si>
    <t>CCO identifies and maps 100% of sea turtle nesting beaches and priority zones under its intervention for regular cleaning and monitoring by June 2027.</t>
  </si>
  <si>
    <t>% of turtle nesting beaches and priority zones mapped</t>
  </si>
  <si>
    <t>Measures completeness of habitat identification within CCO mandate</t>
  </si>
  <si>
    <t>GIS maps, GPS logs, mapping reports, stakeholder validation meetings</t>
  </si>
  <si>
    <t>Field surveys with GPS tools; cross-validation with local ecological knowledge (LEK)</t>
  </si>
  <si>
    <t>One-time (2027), updated if new zones identified</t>
  </si>
  <si>
    <t>Assumes accessibility and full cooperation from local communities
Environmental threats may change quickly; cleaning efforts must remain adaptive</t>
  </si>
  <si>
    <t>1.4.2.2</t>
  </si>
  <si>
    <t>Local teams formed and trained to conduct beach patrols, document pollution levels, and coordinate clean-up logistics by December 2027</t>
  </si>
  <si>
    <t xml:space="preserve"># of teams trained with demonstrated skills </t>
  </si>
  <si>
    <t>Measures capacity to implement pollution control and monitoring</t>
  </si>
  <si>
    <t>Training attendance records, post-training tests, team rosters</t>
  </si>
  <si>
    <t>Pre/post-tests, observation, trainer evaluation</t>
  </si>
  <si>
    <t>One-time (Dec 2027), with refresher sessions as needed</t>
  </si>
  <si>
    <t>Risk of high turnover; requires sustained incentives and local buy-in</t>
  </si>
  <si>
    <t>1.4.2.3</t>
  </si>
  <si>
    <t>Clean-ups organized at least monthly during nesting seasons (and quarterly off-season) across 90% of beach length</t>
  </si>
  <si>
    <t># of clean-ups held per the the distance of of beach length covered</t>
  </si>
  <si>
    <t>Assesses regularity and effectiveness of beach sanitation</t>
  </si>
  <si>
    <t>Clean-up logs, GPS coverage data, patrol photos</t>
  </si>
  <si>
    <t>Direct field observation, use of GPS loggers during patrols</t>
  </si>
  <si>
    <t>Monthly (in-season), Quarterly (off-season)</t>
  </si>
  <si>
    <t>Poor weather or logistical delays could affect frequency or coverage</t>
  </si>
  <si>
    <t>1.4.2.4</t>
  </si>
  <si>
    <t>Waste management system implemented, and partnerships established with municipal services or recycling companies by December 2027</t>
  </si>
  <si>
    <t xml:space="preserve"># of partnerships with joint action plan   </t>
  </si>
  <si>
    <t>Measures systemic support and sustainability of clean-ups</t>
  </si>
  <si>
    <t>MoUs with recycling companies/municipalities, photos of infrastructure</t>
  </si>
  <si>
    <t>Partnership documentation; site inspections</t>
  </si>
  <si>
    <t>One-time (Dec 2027), monitored annually</t>
  </si>
  <si>
    <t>Requires municipal cooperation and recycling facilities in proximity</t>
  </si>
  <si>
    <t>1.4.2.5</t>
  </si>
  <si>
    <t>Community education and school outreach programs conducted each year to build awareness on plastic waste, its impact on turtles, and behaviour change</t>
  </si>
  <si>
    <t xml:space="preserve"> % score in perception survey for schools reached</t>
  </si>
  <si>
    <t>Tracks outreach efforts and impact on behaviour change</t>
  </si>
  <si>
    <t>Attendance sheets, pre/post awareness survey results, IEC materials</t>
  </si>
  <si>
    <t>Surveys, interviews, school visit records</t>
  </si>
  <si>
    <t>School calendar alignment, participation may be influenced by community attitudes</t>
  </si>
  <si>
    <t>1.4.2.6</t>
  </si>
  <si>
    <t>Reports generated every year showing percentage of beach cleaned, volume/type of plastic collected, and improvements over time.</t>
  </si>
  <si>
    <t>Report showing change in pollution levels and 
# of waste types identified and tracked</t>
  </si>
  <si>
    <t>Tracks progress, informs evidence-based decision making</t>
  </si>
  <si>
    <t>Annual reporting, waste analysis reports, photographic evidence</t>
  </si>
  <si>
    <t>Weight-based audit of collected waste, plastic classification by type</t>
  </si>
  <si>
    <t>Requires consistent data collection tools and trained staff</t>
  </si>
  <si>
    <t>CCO supported PAs governance and co-management mechanisms strengthened with more inclusivity by June 2026.</t>
  </si>
  <si>
    <t># of PAs with functioning co-management bodies and inclusive decision-making platforms</t>
  </si>
  <si>
    <t>Measures the extent to which PAs involve local stakeholders, including marginalized groups, in governance and planning</t>
  </si>
  <si>
    <t>Co-management meeting minutes, stakeholder rosters, community satisfaction surveys</t>
  </si>
  <si>
    <t>Interviews, desk review of governance documentation, participation scoring matrix</t>
  </si>
  <si>
    <t>Assumes community willingness and political support; risk of elite capture or tokenism</t>
  </si>
  <si>
    <t>PA management effectiveness (IMET) conducted after every two years, and score recorded lessons learned shared across the landscape for all CCO PAs</t>
  </si>
  <si>
    <t># of CCO targeted PAs with IMET reports and knowledge-sharing documentation</t>
  </si>
  <si>
    <t>Tracks change in management effectiveness and institutional learning</t>
  </si>
  <si>
    <t>IMET reports, knowledge-sharing workshop reports</t>
  </si>
  <si>
    <t>Facilitated IMET assessment workshops; comparative score analysis</t>
  </si>
  <si>
    <t>Every 2 years (2026, 2028, etc.)</t>
  </si>
  <si>
    <t>Assumes IMET tools remain relevant; risk of data manipulation or poor facilitation</t>
  </si>
  <si>
    <t>Existing management plans  of CCO supported PAs revised or updated to reflect current threats, stakeholder needs, and conservation priorities starting June 2026</t>
  </si>
  <si>
    <t>% of PAs with revised, validated, and operationalized management plans</t>
  </si>
  <si>
    <t>Assesses PA planning relevance and adaptability to emerging challenges</t>
  </si>
  <si>
    <t>Updated management plans, approval letters, implementation logs</t>
  </si>
  <si>
    <t>Review of plans, threat assessments, stakeholder consultations</t>
  </si>
  <si>
    <t>Bi-annually (2026, 2028)</t>
  </si>
  <si>
    <t>Assumes stakeholder participation and technical resources are available; delays due to policy bottlenecks</t>
  </si>
  <si>
    <t>Capacity building for PA staff delivered with at least one training session carried out annually for ecoguards, managers, and technical staff in areas like monitoring, SMART, enforcement, GIS, and stakeholder engagement, human rights,</t>
  </si>
  <si>
    <t xml:space="preserve"># of staff trained per PA/year
</t>
  </si>
  <si>
    <t>Measures improvements in staff knowledge, skills, and application</t>
  </si>
  <si>
    <t>Training reports, participant lists, pre/post-tests, feedback forms</t>
  </si>
  <si>
    <t>Training needs assessments, session evaluations, tracking skills application</t>
  </si>
  <si>
    <t>Assumes continuous funding and staff retention; risk of knowledge drain if staff leave</t>
  </si>
  <si>
    <t>Operational equipment and infrastructure improved (e.g., radios, ranger posts, vehicles, GPS devices) for all CCO PAs by June 2026</t>
  </si>
  <si>
    <t xml:space="preserve"># of CCO targeted PAs with minimum operational facilities </t>
  </si>
  <si>
    <t>Monitors investment in operational effectiveness and readiness</t>
  </si>
  <si>
    <t>Procurement records, asset inventories, site inspection reports</t>
  </si>
  <si>
    <t>Field verification, GPS-tagged infrastructure photos, PA equipment audits</t>
  </si>
  <si>
    <t>Baseline in 2025; update in 2026</t>
  </si>
  <si>
    <t>Assumes timely procurement; risk of theft, poor maintenance, or unsuitable equipment</t>
  </si>
  <si>
    <t>By 2028; sustainable financing mechanisms piloted or expanded focusing on areas of establishing eco-tourism, conservation trust funds, or payment for ecosystem services (PES) schemes to increase financial sustainability for all CCO supported PAs</t>
  </si>
  <si>
    <t xml:space="preserve">
% increase in PA-generated revenue or external finance facilitaed by the sustainable finance mechanism in place</t>
  </si>
  <si>
    <t>Measures the diversification and sustainability of PA funding</t>
  </si>
  <si>
    <t>Finance plans, revenue tracking reports, MoUs with private/finance actors</t>
  </si>
  <si>
    <t>Financial data analysis, stakeholder interviews, case studies of pilot projects</t>
  </si>
  <si>
    <t>Annual updates starting 2026; full review in 2028</t>
  </si>
  <si>
    <t>Assumes investor interest and enabling environment; risk of low visitor turnout, weak policy framework for PES</t>
  </si>
  <si>
    <t>By 2030, the 'Known' transmission of zoonotic pathogens in the priority landscapes of CCO is reduced to 0 compared to the 2024 reference</t>
  </si>
  <si>
    <t>Functional One Health surveillance system established in CCO targeted landscapes (TNS, Campo Ma’an &amp; Lobeke) with annual monitoring of wildlife, livestock, and human populations and early detection and response mechanism for zoonotic outbreaks</t>
  </si>
  <si>
    <t>% of zoonotic events detected and responded to within target time</t>
  </si>
  <si>
    <t>Assesses operationalization of wildlife, livestock, and human health surveillance systems</t>
  </si>
  <si>
    <t>Surveillance reports, outbreak response logs, system protocols, field data from veterinary/public health officers</t>
  </si>
  <si>
    <t>Cross-sectoral data integration (wildlife, livestock, human health), GIS mapping, trend analysis</t>
  </si>
  <si>
    <t>Assumes collaboration between sectors; risk of weak reporting culture, data fragmentation</t>
  </si>
  <si>
    <t>TNS: 1 community alert mechanism establised in 2024</t>
  </si>
  <si>
    <t xml:space="preserve">IP&amp;LCs in CCO supported landscapes are annually sensitized and are practicing safe behaviours to reduce zoonotic risk through awareness campaigns against risky practices (e.g., bushmeat consumption, unsafe animal handling) </t>
  </si>
  <si>
    <t>% of sensitised population demonstrating knowledge and behavior change</t>
  </si>
  <si>
    <t>Measures awareness and behavior change regarding zoonotic risks (e.g. bushmeat, unsafe handling)</t>
  </si>
  <si>
    <t>Event reports, pre/post surveys, behavior change assessments, IEC materials</t>
  </si>
  <si>
    <t>KAP surveys (Knowledge, Attitude, Practice), community interviews, focus groups</t>
  </si>
  <si>
    <t>Assumes community engagement and cultural adaptability; risk of deeply rooted traditions and misinformation</t>
  </si>
  <si>
    <t>LNP:&gt;70% pf communities sensitized
MCNP: 1 sensitisation workshop on health, safety and security organised in the West Coast cluster of the MCNP</t>
  </si>
  <si>
    <t>Support to alternative livelihoods to reduce human-wildlife contact and dependency on bushmeat (poultry, agroforestry…) provided in each landscape by 2030</t>
  </si>
  <si>
    <t xml:space="preserve"># and type of alternative livelihoods initiatives supported 
</t>
  </si>
  <si>
    <t>Measures the adoption of alternative income/livelihood sources (e.g., poultry, agroforestry)</t>
  </si>
  <si>
    <t>Project activity reports, livelihood assessment surveys, income tracking</t>
  </si>
  <si>
    <t>Household surveys, beneficiary interviews, comparative income analysis</t>
  </si>
  <si>
    <t>Bi-annually</t>
  </si>
  <si>
    <t>Assumes market access and technical support; risks include low adoption, economic shocks, or cultural resistance</t>
  </si>
  <si>
    <t>LNP: No support because of numerous  unsuccessfull past experience
MCNP: Livelihood concept developed for the West Coast cluster of the MCNP and currently being discussed with PSMNR for support</t>
  </si>
  <si>
    <t xml:space="preserve">Degraded habitats restored and buffer zones established to limit human-wildlife interaction by 2030 </t>
  </si>
  <si>
    <t xml:space="preserve"> # of hectares of restored habitat and functional buffer zones  
</t>
  </si>
  <si>
    <t>Measures physical intervention to reduce zoonotic interfaces and protect ecological boundaries</t>
  </si>
  <si>
    <t>Restoration reports, satellite imagery, patrol logs, wildlife incident reports</t>
  </si>
  <si>
    <t>GIS-based mapping, participatory mapping, field verification</t>
  </si>
  <si>
    <t>Assumes ecological viability and land tenure clarity; risks include encroachment, weak enforcement</t>
  </si>
  <si>
    <t>MCNP: 03 Corridors identified around the MCNP, KNP-Rumpi, BNP-BMWS identified, pending assessment of their state</t>
  </si>
  <si>
    <t>Intersectoral coordination mechanism (One Health platform) operational at landscape level involving all the sectorial stakeholders (Health, agriculture, environment, and wildlife services) and information-sharing and joint planning annually conducted.</t>
  </si>
  <si>
    <t xml:space="preserve"># of joint action points implemented by key stakeholders </t>
  </si>
  <si>
    <t>Evaluates effectiveness of One Health multi-stakeholder platforms at the landscape level</t>
  </si>
  <si>
    <t>Meeting minutes, action plans, inter-agency MoUs, attendance records</t>
  </si>
  <si>
    <t>Stakeholder surveys, review of implementation status, coordination logs</t>
  </si>
  <si>
    <t>Assumes institutional buy-in and continuity; risks include silos, political shifts, or low prioritization</t>
  </si>
  <si>
    <t>TNS: 1 response mechanism established in 2024 will all key actors</t>
  </si>
  <si>
    <t>By June 2026, policies and protocols developed or strengthened to support zoonotic disease prevention and response e.g. Standard Operating Procedures (SOPs) for outbreak response established and zoonotic risk mitigation are integrated into local development plans</t>
  </si>
  <si>
    <t># of local development plans with zoonotic risk measures integrated</t>
  </si>
  <si>
    <t>Tracks formalization of guidance, procedures, and local planning for disease preparedness</t>
  </si>
  <si>
    <t>Policy documents, SOPs, development plans, government approval letters</t>
  </si>
  <si>
    <t>Policy review, stakeholder validation workshops, alignment analysis with national frameworks</t>
  </si>
  <si>
    <t>One-time (2026), with updates as needed</t>
  </si>
  <si>
    <t>Assumes legal and institutional capacity; risks include bureaucratic delays, lack of political will, or donor dependency</t>
  </si>
  <si>
    <t>TNS: 1 protocol established in 2024 will all key actors
CFP: Not done. Have initated discussions with the Limbe Zoological center for possible collaboration on this. However, due to limited resources, this has stalled</t>
  </si>
  <si>
    <t>Management plans for community hunting zones (CHZ) in CCO targeted landscapes developed or updated mainstreaming best practices by June 2030</t>
  </si>
  <si>
    <t xml:space="preserve"> % of CHZs with updated, validated management plans incorporating best practices (e.g., quotas, participatory zoning, sustainability principles)</t>
  </si>
  <si>
    <t>Measures CHZ planning quality and its alignment with sustainable and inclusive wildlife management norms</t>
  </si>
  <si>
    <t>Finalized and approved plans, stakeholder validation reports, zoning maps</t>
  </si>
  <si>
    <t>Desk review, stakeholder consultation records, benchmarking against national CHZ guidelines</t>
  </si>
  <si>
    <t>Mid-term (2026) and final (2030)</t>
  </si>
  <si>
    <t>Assumes government collaboration and community participation; risk of delays from policy bottlenecks or local disputes</t>
  </si>
  <si>
    <t>All CCO supported CHZs local management committees (COVAREFs) trained on related theme ( governance, conflict resolution, wildlife monitoring…) and are functional by December 2026</t>
  </si>
  <si>
    <t xml:space="preserve"> # of CHZs with active and trained COVAREFs on various thematic issues</t>
  </si>
  <si>
    <t>Assesses capacity and functionality of local CHZ governance bodies (COVAREFs)</t>
  </si>
  <si>
    <t>Training attendance sheets, COVAREF meeting minutes, governance assessment reports</t>
  </si>
  <si>
    <t>Capacity needs assessments, post-training evaluations, interviews with committee members</t>
  </si>
  <si>
    <t>Annually until 2026</t>
  </si>
  <si>
    <t>Assumes stable leadership and community buy-in; risk of elite capture or low retention</t>
  </si>
  <si>
    <t>TNS: More than 20 COVILABs trained yearly</t>
  </si>
  <si>
    <t>Participatory wildlife monitoring and reporting systems implemented and informs adaptive management decisions by June 2026</t>
  </si>
  <si>
    <t># of wildlife monitoring   protocols data-driven management decisions per year</t>
  </si>
  <si>
    <t>Tracks establishment and use of community-based wildlife monitoring systems (e.g., transects, sightings, poaching data)</t>
  </si>
  <si>
    <t>Monitoring records, GPS logs, SMART data, management meeting notes</t>
  </si>
  <si>
    <t>Transect surveys, camera trap data, patrol observations, participatory analysis with local teams</t>
  </si>
  <si>
    <t>Bi-annually (dry and wet seasons)</t>
  </si>
  <si>
    <t>Assumes technical capacity and data quality; risk of low coverage or reporting fatigue</t>
  </si>
  <si>
    <t>TNS: 02 Community led biomonitroing (GEF7 and Inforbio)</t>
  </si>
  <si>
    <t xml:space="preserve">Annual support provided in designing and implementation of benefit-sharing mechanisms showing effective sharing of revenue from legal hunting licenses, eco-tourism, or sustainable game meat schemes in all CCO supported landscapes </t>
  </si>
  <si>
    <t xml:space="preserve"> # of CHZs households receiving benefits annually   </t>
  </si>
  <si>
    <t>Measures fairness and transparency in sharing revenue from legal hunting, tourism, and sustainable wild meat sales</t>
  </si>
  <si>
    <t>Financial distribution reports, community feedback sessions, benefit registers</t>
  </si>
  <si>
    <t>Household surveys, financial audits, participatory scoring of equity and satisfaction</t>
  </si>
  <si>
    <t>Assumes legal framework supports benefit sharing; risk of corruption, lack of transparency, or disputes</t>
  </si>
  <si>
    <t>Coordination platforms and monitoring systems established with government and partners for annual review of hunting zone performance with MINFOF and joint missions carried out, and policy dialogue on community-based hunting in CCO supported landscapes.</t>
  </si>
  <si>
    <t xml:space="preserve"># of joint monitoring missions and annual review meetings organised per year    
</t>
  </si>
  <si>
    <t>Tracks effectiveness of multi-actor governance, review, and policy engagement processes</t>
  </si>
  <si>
    <t>Meeting minutes, mission reports, joint recommendations, signed MoUs</t>
  </si>
  <si>
    <t>Stakeholder interviews, review of action point implementation, monitoring field reports</t>
  </si>
  <si>
    <t>Assumes political will and institutional coordination; risk of fragmented agendas or underfunded participation</t>
  </si>
  <si>
    <t>Community grievance redress mechanisms (GRMs) GRM is functional in all CCO supported landscapes by December 2026</t>
  </si>
  <si>
    <t xml:space="preserve"># of functional GRMs in CCO supported landscapes with demonstrated results </t>
  </si>
  <si>
    <t>Tracks the existence, accessibility, and effectiveness of GRMs in addressing community concerns</t>
  </si>
  <si>
    <t>GRM records/logbooks, resolution reports, community feedback surveys</t>
  </si>
  <si>
    <t>Desk review, interviews, grievance resolution audits, participatory assessments</t>
  </si>
  <si>
    <t>Assumes safe reporting channels and trust in the process; risk of retaliation, poor documentation, or lack of follow-up</t>
  </si>
  <si>
    <t>TNS: 1 GRM
CFP: Roadmap to develop GM for Bakossi-Banyang Mbo landscape developed</t>
  </si>
  <si>
    <t>Regular and inclusive IP&amp;LC engagement processes (in project/programme design and MEL, structured dialogue platforms, …) functional in all CCO supported landscapes by December 2025</t>
  </si>
  <si>
    <t># of IP&amp;LC participants disaggregated by gender/age in MSPs</t>
  </si>
  <si>
    <t>Measures meaningful participation of Indigenous Peoples and Local Communities (IP&amp;LCs) in decision-making and project processes</t>
  </si>
  <si>
    <t>Meeting reports, consultation attendance sheets, IP&amp;LC feedback forms</t>
  </si>
  <si>
    <t>Focus groups, perception surveys, gender-disaggregated participation tracking</t>
  </si>
  <si>
    <t>Assumes openness from both sides and language/cultural accessibility; risk of exclusion, tokenism, or fatigue</t>
  </si>
  <si>
    <t>TNS: 1 functional
CFP: IP &amp; LC contribution integrated in the LtC project through CSOs</t>
  </si>
  <si>
    <t>CCO staff and partners trained on conflict sensitivity and human rights-based approaches (FPIC, gender-sensitive engagement, conflict resolution…) by June 2026</t>
  </si>
  <si>
    <t># of staff/partners trained on FPIC, gender, conflict resolution who are applying acquired knowledge in project activities</t>
  </si>
  <si>
    <t>Assesses capacity-building efforts to ensure conflict-sensitive, rights-based programming</t>
  </si>
  <si>
    <t>Training attendance sheets, pre/post-test results, field activity reports</t>
  </si>
  <si>
    <t>Training evaluations, knowledge application checklists, case study analysis</t>
  </si>
  <si>
    <t>Assumes retention of trained staff and institutional support; risk of low uptake or inconsistent application</t>
  </si>
  <si>
    <t>TNS: 1 training on HR based approaches/year
CFP: 1 staff trained in conflict sensitivity and HRBA</t>
  </si>
  <si>
    <t xml:space="preserve">Equitable benefit-sharing mechanisms implemented and strengthened with IP&amp;LC perceive tangible benefits from conservation (e.g. jobs, services, micro-projects) in all CCO supported landscapes by December 2027, </t>
  </si>
  <si>
    <t xml:space="preserve"># and types of conservation benefits (jobs, micro-projects, services) delivered per IP&amp;LC households   
</t>
  </si>
  <si>
    <t>Evaluates effectiveness and fairness of benefit-sharing across community demographics</t>
  </si>
  <si>
    <t>Community benefit registers, micro-project reports, household surveys</t>
  </si>
  <si>
    <t>Perception surveys, cost-benefit analysis, gender &amp; equity lens reviews</t>
  </si>
  <si>
    <t>Assumes revenue flow and clear benefit criteria; risk of mismanagement, exclusion, or elite capture</t>
  </si>
  <si>
    <t>CFP: 2 benefit sharing mechanisms of cooperatives (honey and pigs) established &amp; functional</t>
  </si>
  <si>
    <t>Annual monitoring and learning system for social impact and complaints established based on regular tracking of complaints, response rates, and resolution quality and used for adaptive management.</t>
  </si>
  <si>
    <t>Functional monitoring and learning system in place with demonstrated results</t>
  </si>
  <si>
    <t>Tracks the integration of social monitoring and grievance data into program management</t>
  </si>
  <si>
    <t>M&amp;E system records, adaptive management meeting minutes, dashboard reports</t>
  </si>
  <si>
    <t>Analysis of complaints log, decision tracker reviews, learning session outputs</t>
  </si>
  <si>
    <t>Assumes strong M&amp;E capacity and willingness to adapt; risk of data overload, low responsiveness, or underreporting</t>
  </si>
  <si>
    <t>Perception surveys and participatory assessments carried out after every two years to understand and track IP&amp;LC attitudes, values, and concerns related to conservation</t>
  </si>
  <si>
    <t xml:space="preserve"> # of perception surveys conducted per landscape
</t>
  </si>
  <si>
    <t>Measures IP&amp;LC views on conservation, participation, conflicts, and expectations</t>
  </si>
  <si>
    <t>Survey reports, community discussion summaries, digital or paper survey tools</t>
  </si>
  <si>
    <t>Structured questionnaires, focus group discussions, key informant interviews, comparative analysis over time</t>
  </si>
  <si>
    <t>Every 2 years (e.g., 2024, 2026, 2028…)</t>
  </si>
  <si>
    <t>Assumes willingness to share honest opinions; risk of bias or mistrust in surveyors</t>
  </si>
  <si>
    <t>By June 2028, IP&amp;LCs are involved in co-management and decision-making e.g. community members have representation in governance structures for PAs or other community-managed zones (CF, CHZs, …) and they are included in the elaboration of PA management plans or land-use decisions</t>
  </si>
  <si>
    <t xml:space="preserve"># of governance structures with IP&amp;LC representatives and participation (e.g., PA boards, CHZs, CFs)     
</t>
  </si>
  <si>
    <t>Evaluates formal and meaningful participation of IP&amp;LCs in land use and conservation governance</t>
  </si>
  <si>
    <t>Governance meeting minutes, membership records, land-use plans, workshop reports</t>
  </si>
  <si>
    <t>Document review, stakeholder analysis, scoring participation quality (not just presence)</t>
  </si>
  <si>
    <t>Annually (until 2028)</t>
  </si>
  <si>
    <t>Assumes legal recognition of IP&amp;LC representation; risk of symbolic participation or internal power imbalances</t>
  </si>
  <si>
    <t>CFP: IPLCs have signed 20 CCDAs with 04 PAs defining their involvement &amp; benefits in the implementation of PA activities
1 Simple Management Plan for the Muaku CF approved</t>
  </si>
  <si>
    <t>By June 2026, Conservation-related livelihood benefits delivered for IP&amp;LCs (e.g. employment, support for eco-friendly enterprises, access to resources…) in all CCO supported landscapes</t>
  </si>
  <si>
    <t xml:space="preserve"># and type of benefits delivered (jobs, eco-enterprises, resource access)       
</t>
  </si>
  <si>
    <t>Tracks tangible socio-economic returns from conservation efforts for IP&amp;LCs</t>
  </si>
  <si>
    <t>Employment records, business support reports, community benefit tracking logs, household surveys</t>
  </si>
  <si>
    <t>Baseline &amp; endline surveys, income assessments, disaggregated beneficiary data collection</t>
  </si>
  <si>
    <t>Assumes adequate funding and market access; risks include elite capture, benefit inequality, or livelihood failure</t>
  </si>
  <si>
    <t>TNS: 13 ASMO, &gt;10 covilabs, &gt;15 mambele youth, &gt;20 womens
CFP: Beekeeping is contributing to household income base and has created green jobs (sewing of veils, suits; making of smokers, etc.)
Pig and organic farming are contributing to household income</t>
  </si>
  <si>
    <t>By 2030, targeted IPLC gain at least a 10% increase in household income from WWF-supported activities compared to the 2025 baseline</t>
  </si>
  <si>
    <t>Needs assessment and on types of culturally contextualise IGAs carried out in targeted CCO landscapes by June 2026</t>
  </si>
  <si>
    <t xml:space="preserve">Needs assessment completed with prioritized IGAs identified per community     
</t>
  </si>
  <si>
    <t>Identifies appropriate income-generating activities aligned with local traditions and ecological potential</t>
  </si>
  <si>
    <t>Assessment reports, focus group documentation, community validation records</t>
  </si>
  <si>
    <t>Participatory Rural Appraisal (PRA), FGDs, household surveys</t>
  </si>
  <si>
    <t>Once (2026)</t>
  </si>
  <si>
    <t>Assumes full community engagement; risk of selecting IGAs not aligned with market realities</t>
  </si>
  <si>
    <t>CFP: Need assessment for IGA done for 18 clusters of communities that have signd CCDA with PA services</t>
  </si>
  <si>
    <t>By June 2026 baseline income and livelihood assessment conducted in CCO targeted landscapes through a survey to assess the current household income levels, income sources, and economic vulnerabilities of targeted IP&amp;LC communities.</t>
  </si>
  <si>
    <t>Baseline data on income vulnerability and livelihood diversity completed</t>
  </si>
  <si>
    <t>Establishes baseline for tracking impact of livelihood interventions</t>
  </si>
  <si>
    <t>Survey reports, household economic profile database, GIS mapping of income zones</t>
  </si>
  <si>
    <t>Structured household surveys, wealth ranking, seasonal calendar analysis</t>
  </si>
  <si>
    <t>Assumes household willingness to share income data; risk of inaccuracies or seasonal biases</t>
  </si>
  <si>
    <t>CFP: Assessment for IGA done for 18 clusters of  communities that have signd CCDA with PA services</t>
  </si>
  <si>
    <t>By 2030 at least 3 green diversified and climate-resilient livelihoods initiatives (agroforestry, organic farming, fisheries management, ecotourism, handicrafts, and small business development…) implemented with support from CCO in each supported landscape.</t>
  </si>
  <si>
    <t xml:space="preserve"># of IP&amp;LC households engaged per livelihood initiatives </t>
  </si>
  <si>
    <t>Measures scale and diversity of sustainable livelihoods supported by CCO</t>
  </si>
  <si>
    <t>Project implementation reports, IGA registration lists, environmental impact snapshots</t>
  </si>
  <si>
    <t>Mixed-method assessment: IGA success stories, activity logs, GPS tagging</t>
  </si>
  <si>
    <t>Annually until 2030</t>
  </si>
  <si>
    <t>Assumes ecological suitability and market demand; risk of climate shocks or poor adoption</t>
  </si>
  <si>
    <t>CFP: 1 community (Mbororo IPs) supported in organic crop farming in the Bakossi-Banyang Mbo landscape</t>
  </si>
  <si>
    <t>By December 2027, technical support and capacity provided for targeted IP&amp;LC enterprises in areas like product development, quality control, marketing, business management and formation of cooperatives or community-based enterprises for efficient and sustainable production.</t>
  </si>
  <si>
    <t xml:space="preserve"># of individuals trained in business/quality/marketing and other enterprises who are using the skills 
</t>
  </si>
  <si>
    <t>Tracks quality and scale of enterprise strengthening for IP&amp;LCs</t>
  </si>
  <si>
    <t>Training reports, coaching records, product improvement evaluations</t>
  </si>
  <si>
    <t>Pre/post capacity assessments, case studies, product audits</t>
  </si>
  <si>
    <t>Annually (2025–2027)</t>
  </si>
  <si>
    <t>Assumes continuity of mentorship and technical staff; risk of low retention or implementation gaps</t>
  </si>
  <si>
    <t>CFP: 1 Beekeeping cooperative supported on quality control, marketing, market access, value chain development, and business plan</t>
  </si>
  <si>
    <t>By 2030, access to national and at least 3 international markets for IP&amp;LC products, including the development of branding, packaging, and marketing strategies facilitated and support provided to boost IP&amp;LC capacity to engage in direct trade relationships and ensure fair pricing for their products.</t>
  </si>
  <si>
    <t xml:space="preserve"># of IP&amp;LC products accessing external markets     
</t>
  </si>
  <si>
    <t>Measures market integration and business competitiveness of IP&amp;LC products</t>
  </si>
  <si>
    <t>Trade partnership MoUs, export documentation, branding kits, sales records</t>
  </si>
  <si>
    <t>Market analysis, value chain tracking, buyer interviews</t>
  </si>
  <si>
    <t>Annually after 2027</t>
  </si>
  <si>
    <t>Assumes stable trade relations and production consistency; risk of regulatory or logistical barriers</t>
  </si>
  <si>
    <t>CFP: Beekeeping cooperative (TOCCODEC) supported in branding and market access</t>
  </si>
  <si>
    <t>By 2030, CCO is offering 100% support to sustainable eco-tourism and conservation-linked employment opportunities, such as eco-tourism opportunities (guides, rangers,…)  in line with community-based tourism initiatives that link conservation to income generation</t>
  </si>
  <si>
    <t># of IP&amp;LCs employed in tourism-linked roles (e.g. guides, rangers</t>
  </si>
  <si>
    <t>Assesses livelihood contribution of conservation-linked tourism</t>
  </si>
  <si>
    <t>Employment records, income tracking, eco-tourism business logs</t>
  </si>
  <si>
    <t>Impact stories, tourism income monitoring, visitor satisfaction reviews</t>
  </si>
  <si>
    <t>Assumes tourism demand and security in sites; risk of market downturn or infrastructure issues</t>
  </si>
  <si>
    <t>CFP: 1 CBST strategy available, with implementation initiated</t>
  </si>
  <si>
    <t>By 2030, there is at least 50% increment in the involvement of IP&amp;LC participation in activities like wildlife monitoring or habitat restoration, …. in CCO supported landscapes</t>
  </si>
  <si>
    <t>% increased in the involvement of IP&amp;LC participation in activities like wildlife monitoring or habitat restoration, …. in CCO supported landscapes</t>
  </si>
  <si>
    <t>CFP: 2 communities (Bakingili &amp; Njonji) supported through RRT to monitor elephants</t>
  </si>
  <si>
    <t>A monitoring system to track household income changes, particularly related to WWF-supported activities established and functional by June 2026.</t>
  </si>
  <si>
    <t>System in place and used to track supported households income annually  (income trends linked to WWF interventions identified)</t>
  </si>
  <si>
    <t>Tracks meaningful involvement in conservation beyond income</t>
  </si>
  <si>
    <t>Activity records, volunteer logs, incentive disbursement files</t>
  </si>
  <si>
    <t>Before-and-after participation comparison, gender/social inclusion scoring</t>
  </si>
  <si>
    <t>Mid-term (2026) and end-term (2030)</t>
  </si>
  <si>
    <t>Assumes equitable recruitment and cultural alignment; risk of participation fatigue or lack of incentives</t>
  </si>
  <si>
    <t>CFP: Livelihood data collection guideline developed &amp; functional</t>
  </si>
  <si>
    <t>By 2030, partnerships with local and international organizations, NGOs, and private sector players to enhance income opportunities for IP&amp;LCs, local businesses and NGOs to bring technical, financial, and market support to IP&amp;LC communities is strengthened in all CCO supported landscapes.</t>
  </si>
  <si>
    <t># of functional partnerships</t>
  </si>
  <si>
    <t>Enables real-time tracking of income trends and attribution to project support</t>
  </si>
  <si>
    <t>Income monitoring dashboards, annual survey tools, enterprise reports</t>
  </si>
  <si>
    <t>Integrated digital tracking + annual household income surveys</t>
  </si>
  <si>
    <t>Annually from 2026</t>
  </si>
  <si>
    <t>Assumes system usability and data security; risk of low literacy or reporting fatigue</t>
  </si>
  <si>
    <t>CFPO: 3 CSOs (FORUDEF, CAD, &amp; AAFEBEN) supported to promote livelihoods in IP&amp;LCs. FORUDEF on NTFP, CAD on CBST, beekeeping, &amp; pig farming, AAFEBEN on NTFP</t>
  </si>
  <si>
    <t xml:space="preserve">By 2030, the number of targeted IP&amp;LC communities in WWF-supported landscapes having access to materials of good life has increased by at least 50% relative to the 2025 baseline </t>
  </si>
  <si>
    <t>By June 2026, a comprehensive survey to evaluate the current levels of access to key materials such as clean water, energy, education, healthcare, sanitation, and housing within targeted IP&amp;LC communities carried out.</t>
  </si>
  <si>
    <t xml:space="preserve">Survey completed and validated    
</t>
  </si>
  <si>
    <t>Establishes baseline levels of access to critical services to guide targeted interventions</t>
  </si>
  <si>
    <t>Survey report, field data, GIS maps, community feedback</t>
  </si>
  <si>
    <t>Structured household surveys, observational checklists, FGDs, mapping of infrastructure</t>
  </si>
  <si>
    <t>One-time (by June 2026)</t>
  </si>
  <si>
    <t>Assumes full participation; risks include logistical challenges in remote areas and data quality limitations</t>
  </si>
  <si>
    <t>TNS: 1 borehole and 07 wells</t>
  </si>
  <si>
    <t xml:space="preserve">By 2030, at least 50% of the targeted IP&amp;LCs in the CCO targeted landscapes have improved access to clean water by installation or upgrading of community-based water systems (e.g., wells, boreholes, watersheds points, streams, rivers, rainwater harvesting systems) </t>
  </si>
  <si>
    <t xml:space="preserve"># of targeted households with access to clean water points    
</t>
  </si>
  <si>
    <t>Tracks tangible infrastructure improvements and their impact on IP&amp;LC well-being</t>
  </si>
  <si>
    <t>Technical inspection reports, community feedback, GPS water point mapping, maintenance logs</t>
  </si>
  <si>
    <t>Household surveys, water point audits, participatory validation</t>
  </si>
  <si>
    <t>Mid-term (2027) and end-line (2030)</t>
  </si>
  <si>
    <t>Assumes sufficient funding and water source availability; risks include system failure, contamination, or lack of community ownership</t>
  </si>
  <si>
    <t>By December 2026, community governance and participation in local development strengthened through enhanced leadership and governance structures to empower IP&amp;LCs to manage and advocate for their needs and rights.</t>
  </si>
  <si>
    <t xml:space="preserve"># of functional local governance structures established or revitalized     
</t>
  </si>
  <si>
    <t>Measures community empowerment and influence in planning and resource allocation</t>
  </si>
  <si>
    <t>Meeting minutes, local development plans, participant registers, training attendance</t>
  </si>
  <si>
    <t>FGDs, governance capacity assessments, stakeholder analysis</t>
  </si>
  <si>
    <t>Assumes inclusive leadership and government collaboration; risks include elite capture, internal conflicts, or weak capacity</t>
  </si>
  <si>
    <t xml:space="preserve">CFP: 7 community green business cooperatives (beekeeping, pig farming, sustainable tourism, NTFP sustainable collection and commercialisation) functional
20 cluster constituting 110 IPLCs promoting and participating in development and advocating for their need and rights in their respective PAs </t>
  </si>
  <si>
    <t>By June 2026, a monitoring system to track access changes over time and identify priority areas for adaptive interventions is in place and being implemented.</t>
  </si>
  <si>
    <t xml:space="preserve">Monitoring system designed and being implemented      
</t>
  </si>
  <si>
    <t>Enables ongoing analysis of service access changes and adaptation of interventions</t>
  </si>
  <si>
    <t>Digital or manual tracking system, community monitoring committee reports, dashboards</t>
  </si>
  <si>
    <t>Routine monitoring, mobile data collection, quarterly updates from field monitors</t>
  </si>
  <si>
    <t>Quarterly (data collection); Annual (review/reporting)</t>
  </si>
  <si>
    <t>Assumes data management capacity at local level; risks include low digital literacy, data fatigue, or poor system maintenance</t>
  </si>
  <si>
    <t>An assessment to identify gaps in existing policies regarding the rights of IPLCs, focusing on areas such as land tenure, natural resource use, cultural preservation, and governance conducted by December 2026</t>
  </si>
  <si>
    <t>Policy gaps analysis report completed by theme (land, culture, governance, NRM)</t>
  </si>
  <si>
    <t>Assesses strengths and weaknesses of existing laws/policies affecting IP&amp;LC rights</t>
  </si>
  <si>
    <t>Assessment report, legal framework review, consultation minutes</t>
  </si>
  <si>
    <t>Literature review, policy analysis, key informant interviews, legal expert consultation</t>
  </si>
  <si>
    <t>One-time (2026)</t>
  </si>
  <si>
    <t>Assumes access to legal texts and cooperation from institutions; risk of politically sensitive findings</t>
  </si>
  <si>
    <t>TNS: 01 MoU signed (MINFOF-ASBABUK)
CFP: Policy gaps identified in NR access &amp; use at local and national level</t>
  </si>
  <si>
    <t>By 2028, multi-stakeholder platforms to ensure that IP&amp;LC concerns are heard and incorporated into policy recommendations facilitated by CCO in all CCO supported landscapes.</t>
  </si>
  <si>
    <t># of active platforms that IP&amp;LC and other CCO partners are engaged in</t>
  </si>
  <si>
    <t>Tracks participatory mechanisms where IP&amp;LC voices influence policy</t>
  </si>
  <si>
    <t>Meeting minutes, attendance sheets, platform terms of reference, recommendations submitted</t>
  </si>
  <si>
    <t>Stakeholder mapping, perception surveys, content analysis of meeting outcomes</t>
  </si>
  <si>
    <t>Annually (2025–2028)</t>
  </si>
  <si>
    <t>Assumes willingness of diverse actors to engage meaningfully; risk of elite capture or lack of follow-up</t>
  </si>
  <si>
    <t>By 2030, IP&amp;LC leaders and community representatives on policy analysis, legal frameworks, and advocacy strategies are empowered and effectively engaged with decision-makers and participate in the policy development process</t>
  </si>
  <si>
    <t xml:space="preserve"># of IP&amp;LC representatives trained who are engaging in national or regional policy and decisions-making dialogues    </t>
  </si>
  <si>
    <t>Measures capacity-building and active participation of IP&amp;LC in advocacy</t>
  </si>
  <si>
    <t>Training reports, participant evaluations, records of participation in consultations</t>
  </si>
  <si>
    <t>Pre/post training assessments, interviews, activity tracking</t>
  </si>
  <si>
    <t>Annually (starting 2025)</t>
  </si>
  <si>
    <t>Assumes sustained interest and support; risk of intimidation, travel barriers, or legal restrictions</t>
  </si>
  <si>
    <t>TNS: New Forestry  &amp; Wildlife Law
CFP: 10 Community leaders empowered to advocate for CBST
12 community leaders empowered to advocate for community involvement and participation in PA management through CCDAs</t>
  </si>
  <si>
    <t>By 2030, there is effective collaboration with legal experts, researchers, and policymakers for synergy in drafting comprehensive policy proposals aimed at enhancing the rights and participation of IPLCs in governance and natural resource management.</t>
  </si>
  <si>
    <t xml:space="preserve"> # of policy briefs or recommendations jointly produced</t>
  </si>
  <si>
    <t>Tracks technical cooperation in designing robust legal/policy reforms</t>
  </si>
  <si>
    <t>MoUs, joint publications, legal proposal drafts, working group records</t>
  </si>
  <si>
    <t>Document review, expert interviews, co-authorship analysis</t>
  </si>
  <si>
    <t>Annually (2025–2030)</t>
  </si>
  <si>
    <t>Assumes commitment and availability of technical partners; risk of conflicting interests or lack of harmonization</t>
  </si>
  <si>
    <t>By 2030 CCO is implementing an advocacy campaign action plan targeting relevant decision-makers, such as government officials, legislative bodies, and international organizations, to promote the proposed policy changes conducted.</t>
  </si>
  <si>
    <t xml:space="preserve"># of advocacy events conducted     
</t>
  </si>
  <si>
    <t>Measures outreach and influence on key decision-makers</t>
  </si>
  <si>
    <t>Advocacy strategy document, media tracking reports, meeting summaries, campaign materials</t>
  </si>
  <si>
    <t>Outcome harvesting, policy discourse analysis, media content review</t>
  </si>
  <si>
    <t>Annually (2026–2030)</t>
  </si>
  <si>
    <t>Assumes political will and freedom of expression; risk of backlash or politicization of advocacy</t>
  </si>
  <si>
    <t>CFP: 2 advocacy campaigns organised with MINTOUL &amp; Ministry of Employment and Vocational Training on CBST. Among others, MINTOUL committed to mainstream elements of CBST into the National Tourism Strategy &amp; signing MoUs with WWF CMR &amp; the CBST association to facilitate the implementation of the CBST strategy in the Bakossi-Banyang Mbo landscape, while MINEFOP committed to support the piloting of CBST in the Bakossi-Banyang Mbo Landscape for upscaling to other Regions and landscapes in Cameroon</t>
  </si>
  <si>
    <t>By 2030, CCO is carrying out formal consultations with government agencies and lawmakers to ensure that the proposed policy is reviewed and eventually adopted.</t>
  </si>
  <si>
    <t xml:space="preserve"># of formal consultation meetings held     </t>
  </si>
  <si>
    <t>Measures official engagement with policymakers toward law/policy adoption</t>
  </si>
  <si>
    <t>Meeting minutes, legal drafts submitted, policy track logs</t>
  </si>
  <si>
    <t>Legislative tracking, stakeholder interviews, consultation feedback forms</t>
  </si>
  <si>
    <t>Annually from 2027–2030</t>
  </si>
  <si>
    <t>Assumes openness to policy change; risk of administrative delays or shifting political priorities</t>
  </si>
  <si>
    <t>The impact of the policy on IP&amp;LC rights and livelihoods, ensuring that it achieves the intended outcomes and remains responsive to the evolving needs of communities monitored and evaluated annually.</t>
  </si>
  <si>
    <t># of policy changes implemented     
Evidence of IP&amp;LC inclusion in governance/Natural Resource Management (NRM) (e.g. policy changes, etc)</t>
  </si>
  <si>
    <t>Assesses whether adopted policies lead to real improvements for IP&amp;LCs</t>
  </si>
  <si>
    <t>Policy outcome reports, livelihood assessments, community perception surveys</t>
  </si>
  <si>
    <t>Mixed-methods: household surveys, impact evaluations, focus groups, rights-based M&amp;E</t>
  </si>
  <si>
    <t>Annually (post-adoption)</t>
  </si>
  <si>
    <t>Assumes enforceability and resourcing of new policies; risk of poor implementation or rollback under political pressure</t>
  </si>
  <si>
    <t>Output number</t>
  </si>
  <si>
    <t>Output Statement</t>
  </si>
  <si>
    <t>FY26 Cost (XAF)</t>
  </si>
  <si>
    <t>FY27 Cost (XAF)</t>
  </si>
  <si>
    <t>FY28 Cost (XAF)</t>
  </si>
  <si>
    <t>FY29 Cost (XAF)</t>
  </si>
  <si>
    <t>FY30 Cost (XAF)</t>
  </si>
  <si>
    <t>Total Output Cost + Management fee (XAF)</t>
  </si>
  <si>
    <t>Current Project (CPM Project #)</t>
  </si>
  <si>
    <t xml:space="preserve">Target Funding Source </t>
  </si>
  <si>
    <t>At least 75% of HWC hotspots identified and mapped in all CCO targeted landscapes to establish a new baseline by mid-2026</t>
  </si>
  <si>
    <t>HEC only costing</t>
  </si>
  <si>
    <t xml:space="preserve">ANNUAL TOTAL BUDGET FOR C2C </t>
  </si>
  <si>
    <t>ANNUAL TOTAL BUDGET FOR ETHICAL LE WITH HRBA</t>
  </si>
  <si>
    <t>Night patrols and nest monitoring teams established and trained and equipped by June 2026</t>
  </si>
  <si>
    <t>Predator control and Management Strategies deployed including Standard Operating Procedures (SOPs) developed by June 2027</t>
  </si>
  <si>
    <t>ANNUAL TOTAL BUDGET FOR MARINE TURTLES MANAGEMENT</t>
  </si>
  <si>
    <t>Capacity building for PA staff delivered with at least one training session carried out annually for ecoguards, managers, and technical staff in areas like monitoring, SMART, enforcement, GIS, and stakeholder engagement, human rights, ….</t>
  </si>
  <si>
    <t>ANNUAL TOTAL BUDGET FOR PA MANAGEMENT</t>
  </si>
  <si>
    <t>ANNUAL TOTAL BUDGET FOR ONE HEALTH INTERVENTIONS</t>
  </si>
  <si>
    <t>ANNUAL TOTAL BUDGET FOR CHZ INITIATIVES</t>
  </si>
  <si>
    <t>ANNUAL TOTAL BUDGET FOR GRM</t>
  </si>
  <si>
    <t>ANNUAL TOTAL BUDGET FOR IP&amp;LC BEHAVIOUR CHANGE</t>
  </si>
  <si>
    <t>ANNUAL TOTAL BUDGET FOR IGA PROMOTION</t>
  </si>
  <si>
    <t>ANNUAL TOTAL BUDGET FOR IP&amp;LC WELLBEING</t>
  </si>
  <si>
    <t>ANNUAL TOTAL BUDGET FOR POLICIES AND ADVOCACY</t>
  </si>
  <si>
    <t>Total Annual Cost + Management Fee</t>
  </si>
  <si>
    <t>Learning Questions</t>
  </si>
  <si>
    <t>Please articulate specific learning questions that your program will regularly reflect on for the learning priority.
Max 100 words.</t>
  </si>
  <si>
    <t xml:space="preserve">- To what extent are the program's activities effective in achieving the planned results? 
- What worked and what didn’t?
- Were there any unintended consequences? (positive or negative/ internal or external)
- Were there any emergent results? (more than the planned results)
</t>
  </si>
  <si>
    <t xml:space="preserve">LNP: 0
MCNP:0
TRIDOM Cameroon:
Campo Ma'an:
</t>
  </si>
  <si>
    <t>LNP: 
MCNP:
TRIDOM Cameroon:
Campo Ma'an:</t>
  </si>
  <si>
    <r>
      <rPr>
        <b/>
        <sz val="11"/>
        <color theme="1"/>
        <rFont val="Calibri"/>
        <family val="2"/>
      </rPr>
      <t>2023 Reference</t>
    </r>
    <r>
      <rPr>
        <sz val="11"/>
        <color theme="1"/>
        <rFont val="Calibri"/>
        <family val="2"/>
      </rPr>
      <t xml:space="preserve">
LNP: 0.14
NNP: 1.45 
BBNP: 0.96</t>
    </r>
  </si>
  <si>
    <t xml:space="preserve">LNP: 0
MCNP:2
TRIDOM Cameroon: 2
Campo Ma'an: 0
</t>
  </si>
  <si>
    <t xml:space="preserve">LNP: 0
MCNP:0
TRIDOM Cameroon:0
Campo Ma'an: 0
</t>
  </si>
  <si>
    <t xml:space="preserve">LNP: 0
MCNP: 0
TRIDOM Cameroon:0
Campo Ma'an:0
</t>
  </si>
  <si>
    <t xml:space="preserve">LNP: 0
MCNP:0
TRIDOM Cameroon: 0
Campo Ma'an:0
</t>
  </si>
  <si>
    <t>LNP: 0
MCNP:0
TRIDOM Cameroon: 0
Campo Ma'an: 0</t>
  </si>
  <si>
    <t>LNP: 0
MCNP:0
TRIDOM Cameroon:0
Campo Ma'an:0</t>
  </si>
  <si>
    <t xml:space="preserve">LNP: 0
MCNP:0
TRIDOM Cameroon:0
Campo Ma'an:0
</t>
  </si>
  <si>
    <t xml:space="preserve">LNP: 60%
MCNP:65%
TRIDOM Cameroon: 60%
Campo Ma'an: 60%
</t>
  </si>
  <si>
    <t xml:space="preserve">LNP: 65%
MCNP:70%
TRIDOM Cameroon: 65%
Campo Ma'an: 65%
</t>
  </si>
  <si>
    <t xml:space="preserve">LNP: 70%
MCNP:75%
TRIDOM Cameroon: 70%
Campo Ma'an: 70%
</t>
  </si>
  <si>
    <t xml:space="preserve">LNP: 75%
MCNP:80%
TRIDOM Cameroon: 75%
Campo Ma'an: 75%
</t>
  </si>
  <si>
    <t xml:space="preserve">LNP: 80%
MCNP:85%
TRIDOM Cameroon: 80%
Campo Ma'an: 80%
</t>
  </si>
  <si>
    <t xml:space="preserve">LNP: 85%
MCNP:90%
TRIDOM Cameroon: 85%
Campo Ma'an: 85%
</t>
  </si>
  <si>
    <t xml:space="preserve">LNP: 90%
MCNP:98%
TRIDOM Cameroon: 90%
Campo Ma'an: 98%
</t>
  </si>
  <si>
    <t xml:space="preserve">LNP: 85%
MCNP: 90%
TRIDOM Cameroon: 85%
Campo Ma'an: 90%
</t>
  </si>
  <si>
    <t xml:space="preserve">LNP: 80%
MCNP: 85%
TRIDOM Cameroon: 80%
Campo Ma'an: 85%
</t>
  </si>
  <si>
    <t xml:space="preserve">LNP: 75%
MCNP: 80%
TRIDOM Cameroon: 75%
Campo Ma'an: 80%
</t>
  </si>
  <si>
    <t xml:space="preserve">LNP: 70%
MCNP: 75%
TRIDOM Cameroon: 70%
Campo Ma'an: 75%
</t>
  </si>
  <si>
    <t xml:space="preserve">LNP: 65%
MCNP: 70%
TRIDOM Cameroon: 65%
Campo Ma'an: 70%
</t>
  </si>
  <si>
    <t xml:space="preserve">LNP: 
MCNP:
TRIDOM Cameroon:
Campo Ma'an:
</t>
  </si>
  <si>
    <t>LNP: 0.007
NNP: 0.0725
BBNP: 0.048</t>
  </si>
  <si>
    <t>LNP: 0.0007
NNP: 0.00725
BBNP: 0.0049</t>
  </si>
  <si>
    <t>LNP: 0.0014
NNP: 0.0145
BBNP: 0.0096</t>
  </si>
  <si>
    <t>LNP: 0.000105
NNP: 0010875
BBNP: 0.00075</t>
  </si>
  <si>
    <t>LNP: 0.000021
NNP: 0.0002175
BBNP: 0.000152</t>
  </si>
  <si>
    <t>Campo Ma'an NP: 40%</t>
  </si>
  <si>
    <t xml:space="preserve">Campo Ma'an NP: 81% </t>
  </si>
  <si>
    <t xml:space="preserve">Campo Ma'an NP: 85% </t>
  </si>
  <si>
    <t xml:space="preserve">Campo Ma'an NP: 90% </t>
  </si>
  <si>
    <t xml:space="preserve">Campo Ma'an NP: 95% </t>
  </si>
  <si>
    <t xml:space="preserve">Campo Ma'an NP: 100% </t>
  </si>
  <si>
    <t xml:space="preserve">LNP: 69% 
PN BB: 56% 
PN Nki: 54 % 
Ngoyla WR: 42%
Campo Ma'an NP: 62%
</t>
  </si>
  <si>
    <t xml:space="preserve">LNP: 68% 
PN BB: 55.11% 
PN Nki: 53.58 % 
Ngoyla WR: 40.11%
Campo Ma'an NP: 60.78%
</t>
  </si>
  <si>
    <t xml:space="preserve">LNP: 71% 
PN BB: 58% 
PN Nki: 56 % 
Ngoyla WR: 45%
Campo Ma'an NP: 65%
</t>
  </si>
  <si>
    <t xml:space="preserve">LNP: 72 
PN BB: 60% 
PN Nki: 58 % 
Ngoyla WR: 50%
Campo Ma'an NP: 68%
</t>
  </si>
  <si>
    <t xml:space="preserve">LNP: 75 
PN BB: 63% 
PN Nki: 60 % 
Ngoyla WR: 53%
Campo Ma'an NP: 70%
</t>
  </si>
  <si>
    <t xml:space="preserve">LNP: 75 
PN BB: 65% 
PN Nki: 65 % 
Ngoyla WR: 55%
Campo Ma'an NP: 70%
</t>
  </si>
  <si>
    <t xml:space="preserve">LNP: 
</t>
  </si>
  <si>
    <t xml:space="preserve">LNP: 10%
PN BB : 15%
PN Nki: 15%
Campo Ma'an NP: 15%
MCNP: 15%
</t>
  </si>
  <si>
    <t xml:space="preserve">LNP: 5%
PN BB : 10%
PN Nki: 10%
Campo Ma'an NP: 10%
MCNP: 10%
</t>
  </si>
  <si>
    <t xml:space="preserve">LNP: 5%
PN BB : 8%
PN Nki: 8%
Campo Ma'an NP: 8%
MCNP: 8%
</t>
  </si>
  <si>
    <t xml:space="preserve">LNP: 0%
PN BB : 5%
PN Nki: 5%
Campo Ma'an NP: 5%
MCNP: 5%
</t>
  </si>
  <si>
    <t xml:space="preserve">LNP: 0%
PN BB : 0%
PN Nki: 0%
Campo Ma'an NP: 0%
MCNP: 0%
</t>
  </si>
  <si>
    <t>LNP: 1
TRIDOM: 3
Campo Ma'an NP: 1
CFP: 0</t>
  </si>
  <si>
    <t>LNP: 0
TRIDOM: 2
Campo Ma'an NP: 0
CFP: 0</t>
  </si>
  <si>
    <t>LNP: 0
TRIDOM: 1
Campo Ma'an NP: 0
CFP: 0</t>
  </si>
  <si>
    <t>LNP: 0
TRIDOM: 0
Campo Ma'an NP: 0
CFP: 0</t>
  </si>
  <si>
    <t>Entire Cameroon</t>
  </si>
  <si>
    <t>In collaboration with WWF International</t>
  </si>
  <si>
    <t>CFP: 500 000 XAF
TNS Lobeke :300,000 XAF
Jengi TRIDOM: :300,000 XAF
Rio Campo Ma'an: :400,000 XAF</t>
  </si>
  <si>
    <t>CFP: 550 000 XAF
TNS Lobeke :350,000 XAF
Jengi TRIDOM: :350,000 XAF
Rio Campo Ma'an: :450,000 XAF</t>
  </si>
  <si>
    <t>CFP: 600 000 XAF
TNS Lobeke :400,000 XAF
Jengi TRIDOM: :400,000 XAF
Rio Campo Ma'an: :500,000 XAF</t>
  </si>
  <si>
    <t>CFP: 650 000 XAF
TNS Lobeke :400,000 XAF
Jengi TRIDOM: :400,000 XAF
Rio Campo Ma'an: :500,000 XAF</t>
  </si>
  <si>
    <t>CFP: 700 000 XAF
TNS Lobeke :450,000 XAF
Jengi TRIDOM: :450,000 XAF
Rio Campo Ma'an: :550,000 XAF</t>
  </si>
  <si>
    <t>CFP: 750 000 XAF
TNS Lobeke :500,000 XAF
Jengi TRIDOM: :500,000 XAF
Rio Campo Ma'an: :600,000 XAF</t>
  </si>
  <si>
    <t>CFP: 
TNS Lobeke :
Jengi TRIDOM: :
Rio Campo Ma'an: :</t>
  </si>
  <si>
    <t>CFP: 10,000 000 XAF
TNS Lobeke :20,000,000 XAF
Jengi TRIDOM: :15,000,000 XAF
Rio Campo Ma'an: :10,000,000 XAF</t>
  </si>
  <si>
    <t>CFP: 12,000 000 XAF
TNS Lobeke :22,000,000 XAF
Jengi TRIDOM: :17,000,000 XAF
Rio Campo Ma'an: :12,000,000 XAF</t>
  </si>
  <si>
    <t>CFP: 15,000 000 XAF
TNS Lobeke :25,000,000 XAF
Jengi TRIDOM: :20,000,000 XAF
Rio Campo Ma'an: :15,000,000 XAF</t>
  </si>
  <si>
    <t xml:space="preserve">Programme Managers in collaboration with MINFOF, other international NGOs and CSOs </t>
  </si>
  <si>
    <t xml:space="preserve">TNS: 35%
CFP: 52.63%
Jengi TRIDOM: 30%
Rio Campo Ma'an: :50% </t>
  </si>
  <si>
    <t xml:space="preserve">TNS: 40%
CFP: 55%
Jengi TRIDOM: 35%
Rio Campo Ma'an: :55% </t>
  </si>
  <si>
    <t xml:space="preserve">TNS: 45%
CFP: 60%
Jengi TRIDOM: 40%
Rio Campo Ma'an: :60% </t>
  </si>
  <si>
    <t xml:space="preserve">TNS: 50%
CFP: 65%
Jengi TRIDOM: 45%
Rio Campo Ma'an: :65% </t>
  </si>
  <si>
    <t xml:space="preserve">TNS: 55%
CFP: 70%
Jengi TRIDOM: 50%
Rio Campo Ma'an: :70% </t>
  </si>
  <si>
    <t xml:space="preserve">TNS: 60%
CFP: 70%
Jengi TRIDOM: 50%
Rio Campo Ma'an: :70% </t>
  </si>
  <si>
    <t>TNS: 
CFP: 
Jengi TRIDOM: 
Rio Campo Ma'an: :</t>
  </si>
  <si>
    <t>Cameroon in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</si>
</sst>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_(* #,##0_);_(* \(#,##0\);_(* &quot;-&quot;??_);_(@_)"/>
  </numFmts>
  <fonts count="48" x14ac:knownFonts="1">
    <font>
      <sz val="10"/>
      <color rgb="FF000000"/>
      <name val="Arial"/>
      <scheme val="minor"/>
    </font>
    <font>
      <sz val="11"/>
      <color theme="1"/>
      <name val="Arial"/>
      <family val="2"/>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b/>
      <sz val="10"/>
      <color rgb="FFFFFFFF"/>
      <name val="Arial"/>
      <family val="2"/>
    </font>
    <font>
      <i/>
      <sz val="10"/>
      <color rgb="FF980000"/>
      <name val="Arial"/>
      <family val="2"/>
    </font>
    <font>
      <sz val="10"/>
      <color theme="1"/>
      <name val="Arial"/>
      <family val="2"/>
    </font>
    <font>
      <i/>
      <u/>
      <sz val="10"/>
      <color rgb="FF980000"/>
      <name val="Arial"/>
      <family val="2"/>
    </font>
    <font>
      <b/>
      <sz val="10"/>
      <color theme="1"/>
      <name val="Arial"/>
      <family val="2"/>
    </font>
    <font>
      <i/>
      <sz val="10"/>
      <color theme="1"/>
      <name val="Arial"/>
      <family val="2"/>
      <scheme val="minor"/>
    </font>
    <font>
      <b/>
      <i/>
      <sz val="10"/>
      <color theme="1"/>
      <name val="Arial"/>
      <family val="2"/>
      <scheme val="minor"/>
    </font>
    <font>
      <b/>
      <i/>
      <sz val="10"/>
      <color rgb="FFFFFFFF"/>
      <name val="Arial"/>
      <family val="2"/>
    </font>
    <font>
      <b/>
      <sz val="10"/>
      <color rgb="FF000000"/>
      <name val="Arial"/>
      <family val="2"/>
      <scheme val="minor"/>
    </font>
    <font>
      <b/>
      <sz val="10"/>
      <color theme="1"/>
      <name val="Arial"/>
      <family val="2"/>
      <scheme val="minor"/>
    </font>
    <font>
      <i/>
      <sz val="10"/>
      <color rgb="FF1C4587"/>
      <name val="Arial"/>
      <family val="2"/>
      <scheme val="minor"/>
    </font>
    <font>
      <i/>
      <sz val="10"/>
      <color theme="1"/>
      <name val="Arial"/>
      <family val="2"/>
    </font>
    <font>
      <b/>
      <sz val="11"/>
      <color rgb="FFFFFFFF"/>
      <name val="Calibri"/>
      <family val="2"/>
    </font>
    <font>
      <sz val="11"/>
      <color theme="1"/>
      <name val="Calibri"/>
      <family val="2"/>
    </font>
    <font>
      <b/>
      <sz val="11"/>
      <color theme="1"/>
      <name val="Calibri"/>
      <family val="2"/>
    </font>
    <font>
      <b/>
      <sz val="11"/>
      <color rgb="FF000000"/>
      <name val="Calibri"/>
      <family val="2"/>
    </font>
    <font>
      <i/>
      <u/>
      <sz val="10"/>
      <color rgb="FF1155CC"/>
      <name val="Arial"/>
      <family val="2"/>
    </font>
    <font>
      <b/>
      <sz val="10"/>
      <color rgb="FFFF0000"/>
      <name val="Arial"/>
      <family val="2"/>
    </font>
    <font>
      <i/>
      <sz val="10"/>
      <color rgb="FFFF0000"/>
      <name val="Arial"/>
      <family val="2"/>
    </font>
    <font>
      <sz val="10"/>
      <color rgb="FF000000"/>
      <name val="Arial"/>
      <family val="2"/>
      <scheme val="minor"/>
    </font>
    <font>
      <sz val="8"/>
      <name val="Arial"/>
      <family val="2"/>
      <scheme val="minor"/>
    </font>
    <font>
      <b/>
      <sz val="12"/>
      <color theme="1"/>
      <name val="Arial"/>
      <family val="2"/>
      <scheme val="minor"/>
    </font>
    <font>
      <sz val="11"/>
      <color rgb="FF000000"/>
      <name val="Calibri"/>
      <family val="2"/>
    </font>
    <font>
      <sz val="11"/>
      <name val="Calibri"/>
      <family val="2"/>
    </font>
    <font>
      <b/>
      <sz val="10"/>
      <name val="Arial"/>
      <family val="2"/>
    </font>
    <font>
      <sz val="11"/>
      <color rgb="FFFF0000"/>
      <name val="Calibri"/>
      <family val="2"/>
    </font>
    <font>
      <sz val="11"/>
      <color rgb="FF000000"/>
      <name val="Calibri"/>
      <family val="2"/>
      <charset val="1"/>
    </font>
    <font>
      <sz val="10"/>
      <color rgb="FFFF0000"/>
      <name val="Arial"/>
      <family val="2"/>
    </font>
    <font>
      <b/>
      <sz val="11"/>
      <name val="Calibri"/>
      <family val="2"/>
    </font>
    <font>
      <sz val="10"/>
      <name val="Arial"/>
      <family val="2"/>
      <scheme val="minor"/>
    </font>
    <font>
      <b/>
      <sz val="11"/>
      <color theme="1"/>
      <name val="Arial"/>
      <family val="2"/>
      <scheme val="minor"/>
    </font>
    <font>
      <b/>
      <sz val="11"/>
      <name val="Arial"/>
      <family val="2"/>
      <scheme val="minor"/>
    </font>
    <font>
      <sz val="11"/>
      <name val="Arial"/>
      <family val="2"/>
      <scheme val="minor"/>
    </font>
    <font>
      <sz val="12"/>
      <color rgb="FF000000"/>
      <name val="Arial"/>
      <family val="2"/>
      <scheme val="minor"/>
    </font>
    <font>
      <sz val="12"/>
      <color theme="1"/>
      <name val="Arial"/>
      <family val="2"/>
      <scheme val="minor"/>
    </font>
    <font>
      <b/>
      <sz val="12"/>
      <color rgb="FFC00000"/>
      <name val="Arial"/>
      <family val="2"/>
      <scheme val="minor"/>
    </font>
    <font>
      <b/>
      <sz val="14"/>
      <color rgb="FFC00000"/>
      <name val="Arial"/>
      <family val="2"/>
      <scheme val="minor"/>
    </font>
    <font>
      <sz val="14"/>
      <color rgb="FFC00000"/>
      <name val="Arial"/>
      <family val="2"/>
      <scheme val="minor"/>
    </font>
    <font>
      <sz val="16"/>
      <color rgb="FF000000"/>
      <name val="Arial"/>
      <family val="2"/>
      <scheme val="minor"/>
    </font>
    <font>
      <sz val="16"/>
      <color theme="1"/>
      <name val="Arial"/>
      <family val="2"/>
      <scheme val="minor"/>
    </font>
    <font>
      <sz val="10"/>
      <color rgb="FFFF0000"/>
      <name val="Arial"/>
      <family val="2"/>
      <scheme val="minor"/>
    </font>
  </fonts>
  <fills count="19">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1F3864"/>
        <bgColor rgb="FF1F3864"/>
      </patternFill>
    </fill>
    <fill>
      <patternFill patternType="solid">
        <fgColor rgb="FFED7D31"/>
        <bgColor rgb="FFED7D31"/>
      </patternFill>
    </fill>
    <fill>
      <patternFill patternType="solid">
        <fgColor rgb="FFFFC000"/>
        <bgColor rgb="FFFFC000"/>
      </patternFill>
    </fill>
    <fill>
      <patternFill patternType="solid">
        <fgColor rgb="FFFEF2CB"/>
        <bgColor rgb="FFFEF2CB"/>
      </patternFill>
    </fill>
    <fill>
      <patternFill patternType="solid">
        <fgColor rgb="FF70AD47"/>
        <bgColor rgb="FF70AD47"/>
      </patternFill>
    </fill>
    <fill>
      <patternFill patternType="solid">
        <fgColor theme="1" tint="0.49998474074526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EF2CB"/>
        <bgColor indexed="64"/>
      </patternFill>
    </fill>
    <fill>
      <patternFill patternType="solid">
        <fgColor theme="7" tint="0.59999389629810485"/>
        <bgColor rgb="FFFFC000"/>
      </patternFill>
    </fill>
    <fill>
      <patternFill patternType="solid">
        <fgColor theme="7" tint="0.59999389629810485"/>
        <bgColor indexed="64"/>
      </patternFill>
    </fill>
    <fill>
      <patternFill patternType="solid">
        <fgColor theme="7" tint="0.59999389629810485"/>
        <bgColor rgb="FFFEF2CB"/>
      </patternFill>
    </fill>
  </fills>
  <borders count="67">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diagonal/>
    </border>
    <border>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bottom/>
      <diagonal/>
    </border>
    <border>
      <left/>
      <right style="hair">
        <color rgb="FF000000"/>
      </right>
      <top/>
      <bottom/>
      <diagonal/>
    </border>
    <border>
      <left/>
      <right style="thin">
        <color rgb="FF000000"/>
      </right>
      <top/>
      <bottom style="hair">
        <color rgb="FF000000"/>
      </bottom>
      <diagonal/>
    </border>
    <border>
      <left/>
      <right style="thin">
        <color rgb="FF000000"/>
      </right>
      <top/>
      <bottom/>
      <diagonal/>
    </border>
    <border>
      <left style="thin">
        <color rgb="FF000000"/>
      </left>
      <right style="hair">
        <color rgb="FF000000"/>
      </right>
      <top/>
      <bottom style="thin">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thin">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top style="medium">
        <color rgb="FF000000"/>
      </top>
      <bottom style="medium">
        <color rgb="FF000000"/>
      </bottom>
      <diagonal/>
    </border>
    <border>
      <left/>
      <right style="medium">
        <color rgb="FF000000"/>
      </right>
      <top/>
      <bottom style="thin">
        <color rgb="FF000000"/>
      </bottom>
      <diagonal/>
    </border>
    <border>
      <left style="medium">
        <color rgb="FF000000"/>
      </left>
      <right/>
      <top/>
      <bottom/>
      <diagonal/>
    </border>
    <border>
      <left style="medium">
        <color rgb="FF000000"/>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right/>
      <top/>
      <bottom style="thin">
        <color rgb="FF000000"/>
      </bottom>
      <diagonal/>
    </border>
    <border>
      <left/>
      <right style="medium">
        <color rgb="FF000000"/>
      </right>
      <top/>
      <bottom/>
      <diagonal/>
    </border>
    <border>
      <left style="medium">
        <color rgb="FF000000"/>
      </left>
      <right style="thin">
        <color rgb="FF000000"/>
      </right>
      <top/>
      <bottom/>
      <diagonal/>
    </border>
    <border>
      <left/>
      <right/>
      <top/>
      <bottom style="hair">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hair">
        <color rgb="FF000000"/>
      </left>
      <right/>
      <top style="hair">
        <color rgb="FF000000"/>
      </top>
      <bottom/>
      <diagonal/>
    </border>
    <border>
      <left/>
      <right/>
      <top style="hair">
        <color rgb="FF000000"/>
      </top>
      <bottom/>
      <diagonal/>
    </border>
    <border>
      <left style="thin">
        <color indexed="64"/>
      </left>
      <right/>
      <top style="thin">
        <color indexed="64"/>
      </top>
      <bottom style="thin">
        <color indexed="64"/>
      </bottom>
      <diagonal/>
    </border>
    <border>
      <left style="thin">
        <color indexed="64"/>
      </left>
      <right style="thin">
        <color rgb="FF000000"/>
      </right>
      <top/>
      <bottom style="thin">
        <color rgb="FF000000"/>
      </bottom>
      <diagonal/>
    </border>
    <border>
      <left style="thin">
        <color indexed="64"/>
      </left>
      <right/>
      <top style="thin">
        <color rgb="FF000000"/>
      </top>
      <bottom/>
      <diagonal/>
    </border>
    <border>
      <left/>
      <right style="thin">
        <color indexed="64"/>
      </right>
      <top style="thin">
        <color indexed="64"/>
      </top>
      <bottom/>
      <diagonal/>
    </border>
  </borders>
  <cellStyleXfs count="2">
    <xf numFmtId="0" fontId="0" fillId="0" borderId="0"/>
    <xf numFmtId="43" fontId="26" fillId="0" borderId="0" applyFont="0" applyFill="0" applyBorder="0" applyAlignment="0" applyProtection="0"/>
  </cellStyleXfs>
  <cellXfs count="487">
    <xf numFmtId="0" fontId="0" fillId="0" borderId="0" xfId="0"/>
    <xf numFmtId="0" fontId="2" fillId="0" borderId="1" xfId="0" applyFont="1" applyBorder="1" applyAlignment="1">
      <alignment horizontal="left" vertical="center" wrapText="1"/>
    </xf>
    <xf numFmtId="0" fontId="3" fillId="2" borderId="2" xfId="0" applyFont="1" applyFill="1" applyBorder="1" applyAlignment="1">
      <alignment horizontal="center" vertical="center" wrapText="1"/>
    </xf>
    <xf numFmtId="0" fontId="5" fillId="3"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9" fillId="0" borderId="9" xfId="0" applyFont="1" applyBorder="1" applyAlignment="1">
      <alignment horizontal="right" vertical="top"/>
    </xf>
    <xf numFmtId="0" fontId="9" fillId="0" borderId="10" xfId="0" applyFont="1" applyBorder="1" applyAlignment="1">
      <alignment vertical="top"/>
    </xf>
    <xf numFmtId="0" fontId="9" fillId="0" borderId="0" xfId="0" applyFont="1"/>
    <xf numFmtId="0" fontId="9" fillId="0" borderId="13" xfId="0" applyFont="1" applyBorder="1" applyAlignment="1">
      <alignment horizontal="right" vertical="top"/>
    </xf>
    <xf numFmtId="0" fontId="9" fillId="0" borderId="14" xfId="0" applyFont="1" applyBorder="1" applyAlignment="1">
      <alignment vertical="top"/>
    </xf>
    <xf numFmtId="0" fontId="11" fillId="0" borderId="9" xfId="0" applyFont="1" applyBorder="1" applyAlignment="1">
      <alignment horizontal="center" vertical="top"/>
    </xf>
    <xf numFmtId="0" fontId="11" fillId="0" borderId="10" xfId="0" applyFont="1" applyBorder="1" applyAlignment="1">
      <alignment horizontal="center" vertical="top"/>
    </xf>
    <xf numFmtId="0" fontId="9" fillId="0" borderId="12" xfId="0" applyFont="1" applyBorder="1" applyAlignment="1">
      <alignment vertical="top"/>
    </xf>
    <xf numFmtId="0" fontId="9" fillId="0" borderId="17" xfId="0" applyFont="1" applyBorder="1" applyAlignment="1">
      <alignment vertical="top"/>
    </xf>
    <xf numFmtId="0" fontId="9" fillId="0" borderId="16" xfId="0" applyFont="1" applyBorder="1" applyAlignment="1">
      <alignment vertical="top"/>
    </xf>
    <xf numFmtId="0" fontId="9" fillId="0" borderId="13" xfId="0" applyFont="1" applyBorder="1" applyAlignment="1">
      <alignment vertical="top"/>
    </xf>
    <xf numFmtId="0" fontId="5" fillId="3" borderId="0" xfId="0" applyFont="1" applyFill="1" applyAlignment="1">
      <alignment horizontal="left" vertical="center" wrapText="1"/>
    </xf>
    <xf numFmtId="0" fontId="6" fillId="2" borderId="0" xfId="0" applyFont="1" applyFill="1"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center" vertical="top" wrapText="1"/>
    </xf>
    <xf numFmtId="0" fontId="2" fillId="0" borderId="20" xfId="0" applyFont="1" applyBorder="1"/>
    <xf numFmtId="0" fontId="5" fillId="3" borderId="24" xfId="0" applyFont="1" applyFill="1" applyBorder="1" applyAlignment="1">
      <alignment horizontal="left" vertical="center" wrapText="1"/>
    </xf>
    <xf numFmtId="0" fontId="12" fillId="0" borderId="0" xfId="0" applyFont="1" applyAlignment="1">
      <alignment horizontal="left" vertical="top" wrapText="1"/>
    </xf>
    <xf numFmtId="0" fontId="2" fillId="0" borderId="0" xfId="0" applyFont="1" applyAlignment="1">
      <alignment vertical="top"/>
    </xf>
    <xf numFmtId="0" fontId="9" fillId="0" borderId="1" xfId="0" applyFont="1" applyBorder="1" applyAlignment="1">
      <alignment vertical="center"/>
    </xf>
    <xf numFmtId="0" fontId="7" fillId="3" borderId="27" xfId="0" applyFont="1" applyFill="1" applyBorder="1" applyAlignment="1">
      <alignment vertical="top"/>
    </xf>
    <xf numFmtId="0" fontId="9" fillId="0" borderId="0" xfId="0" applyFont="1" applyAlignment="1">
      <alignment vertical="top"/>
    </xf>
    <xf numFmtId="0" fontId="3" fillId="2" borderId="5" xfId="0" applyFont="1" applyFill="1" applyBorder="1" applyAlignment="1">
      <alignment vertical="center" wrapText="1"/>
    </xf>
    <xf numFmtId="0" fontId="8" fillId="2" borderId="9" xfId="0" applyFont="1" applyFill="1" applyBorder="1" applyAlignment="1">
      <alignment vertical="top" wrapText="1"/>
    </xf>
    <xf numFmtId="0" fontId="6" fillId="2" borderId="29" xfId="0" applyFont="1" applyFill="1" applyBorder="1" applyAlignment="1">
      <alignment horizontal="left" vertical="top" wrapText="1"/>
    </xf>
    <xf numFmtId="0" fontId="6" fillId="2" borderId="29" xfId="0" applyFont="1" applyFill="1" applyBorder="1" applyAlignment="1">
      <alignment vertical="top" wrapText="1"/>
    </xf>
    <xf numFmtId="0" fontId="6" fillId="0" borderId="0" xfId="0" applyFont="1"/>
    <xf numFmtId="0" fontId="2" fillId="0" borderId="5" xfId="0" applyFont="1" applyBorder="1" applyAlignment="1">
      <alignment vertical="top"/>
    </xf>
    <xf numFmtId="0" fontId="2" fillId="0" borderId="29" xfId="0" applyFont="1" applyBorder="1" applyAlignment="1">
      <alignment vertical="top"/>
    </xf>
    <xf numFmtId="0" fontId="2" fillId="0" borderId="29" xfId="0" applyFont="1" applyBorder="1"/>
    <xf numFmtId="0" fontId="2" fillId="0" borderId="24" xfId="0" applyFont="1" applyBorder="1" applyAlignment="1">
      <alignment vertical="top"/>
    </xf>
    <xf numFmtId="0" fontId="15" fillId="0" borderId="12" xfId="0" applyFont="1" applyBorder="1" applyAlignment="1">
      <alignment vertical="center" wrapText="1"/>
    </xf>
    <xf numFmtId="0" fontId="5" fillId="3" borderId="31" xfId="0" applyFont="1" applyFill="1" applyBorder="1" applyAlignment="1">
      <alignment vertical="center" wrapText="1"/>
    </xf>
    <xf numFmtId="0" fontId="5" fillId="3" borderId="31" xfId="0" applyFont="1" applyFill="1" applyBorder="1" applyAlignment="1">
      <alignment horizontal="center" vertical="top" wrapText="1"/>
    </xf>
    <xf numFmtId="0" fontId="16" fillId="0" borderId="0" xfId="0" applyFont="1" applyAlignment="1">
      <alignment vertical="center" wrapText="1"/>
    </xf>
    <xf numFmtId="0" fontId="3" fillId="2" borderId="9" xfId="0" applyFont="1" applyFill="1" applyBorder="1" applyAlignment="1">
      <alignment vertical="top" wrapText="1"/>
    </xf>
    <xf numFmtId="0" fontId="17" fillId="0" borderId="0" xfId="0" applyFont="1" applyAlignment="1">
      <alignment vertical="top"/>
    </xf>
    <xf numFmtId="0" fontId="6" fillId="2" borderId="29" xfId="0" applyFont="1" applyFill="1" applyBorder="1" applyAlignment="1">
      <alignment vertical="top"/>
    </xf>
    <xf numFmtId="0" fontId="2" fillId="0" borderId="9" xfId="0" applyFont="1" applyBorder="1" applyAlignment="1">
      <alignment wrapText="1"/>
    </xf>
    <xf numFmtId="0" fontId="2" fillId="0" borderId="8" xfId="0" applyFont="1" applyBorder="1" applyAlignment="1">
      <alignment wrapText="1"/>
    </xf>
    <xf numFmtId="0" fontId="2" fillId="0" borderId="21" xfId="0" applyFont="1" applyBorder="1"/>
    <xf numFmtId="0" fontId="2" fillId="0" borderId="0" xfId="0" applyFont="1" applyAlignment="1">
      <alignment wrapText="1"/>
    </xf>
    <xf numFmtId="0" fontId="2" fillId="0" borderId="1" xfId="0" applyFont="1" applyBorder="1" applyAlignment="1">
      <alignment horizontal="center" vertical="top"/>
    </xf>
    <xf numFmtId="0" fontId="5" fillId="3" borderId="5" xfId="0" applyFont="1" applyFill="1" applyBorder="1" applyAlignment="1">
      <alignment horizontal="center" vertical="top"/>
    </xf>
    <xf numFmtId="0" fontId="15" fillId="0" borderId="12" xfId="0" applyFont="1" applyBorder="1" applyAlignment="1">
      <alignment horizontal="center" vertical="center" wrapText="1"/>
    </xf>
    <xf numFmtId="0" fontId="7" fillId="3" borderId="31" xfId="0" applyFont="1" applyFill="1" applyBorder="1" applyAlignment="1">
      <alignment horizontal="center" vertical="top" wrapText="1"/>
    </xf>
    <xf numFmtId="0" fontId="7" fillId="3" borderId="12" xfId="0" applyFont="1" applyFill="1" applyBorder="1" applyAlignment="1">
      <alignment horizontal="center" vertical="top" wrapText="1"/>
    </xf>
    <xf numFmtId="0" fontId="5" fillId="3" borderId="0" xfId="0" applyFont="1" applyFill="1" applyAlignment="1">
      <alignment horizontal="center" vertical="top" wrapText="1"/>
    </xf>
    <xf numFmtId="0" fontId="16" fillId="0" borderId="0" xfId="0" applyFont="1" applyAlignment="1">
      <alignment horizontal="center" vertical="top" wrapText="1"/>
    </xf>
    <xf numFmtId="0" fontId="3" fillId="2" borderId="9" xfId="0" applyFont="1" applyFill="1" applyBorder="1" applyAlignment="1">
      <alignment vertical="center" wrapText="1"/>
    </xf>
    <xf numFmtId="0" fontId="8" fillId="2" borderId="31" xfId="0" applyFont="1" applyFill="1" applyBorder="1" applyAlignment="1">
      <alignment vertical="top" wrapText="1"/>
    </xf>
    <xf numFmtId="0" fontId="8" fillId="2" borderId="12" xfId="0" applyFont="1" applyFill="1" applyBorder="1" applyAlignment="1">
      <alignment vertical="top" wrapText="1"/>
    </xf>
    <xf numFmtId="0" fontId="12" fillId="2" borderId="29" xfId="0" applyFont="1" applyFill="1" applyBorder="1" applyAlignment="1">
      <alignment vertical="center" wrapText="1"/>
    </xf>
    <xf numFmtId="0" fontId="2" fillId="0" borderId="9" xfId="0" applyFont="1" applyBorder="1" applyAlignment="1">
      <alignment vertical="center" wrapText="1"/>
    </xf>
    <xf numFmtId="0" fontId="2" fillId="0" borderId="0" xfId="0" applyFont="1" applyAlignment="1">
      <alignment vertical="center" wrapText="1"/>
    </xf>
    <xf numFmtId="0" fontId="20" fillId="0" borderId="0" xfId="0" applyFont="1"/>
    <xf numFmtId="0" fontId="20" fillId="0" borderId="0" xfId="0" applyFont="1" applyAlignment="1">
      <alignment horizontal="center"/>
    </xf>
    <xf numFmtId="0" fontId="15" fillId="3" borderId="12" xfId="0" applyFont="1" applyFill="1" applyBorder="1" applyAlignment="1">
      <alignment vertical="center" wrapText="1"/>
    </xf>
    <xf numFmtId="0" fontId="5" fillId="3" borderId="0" xfId="0" applyFont="1" applyFill="1" applyAlignment="1">
      <alignment vertical="center" wrapText="1"/>
    </xf>
    <xf numFmtId="0" fontId="16" fillId="0" borderId="0" xfId="0" applyFont="1" applyAlignment="1">
      <alignment wrapText="1"/>
    </xf>
    <xf numFmtId="0" fontId="2" fillId="0" borderId="9" xfId="0" applyFont="1" applyBorder="1"/>
    <xf numFmtId="0" fontId="15" fillId="0" borderId="12" xfId="0" applyFont="1" applyBorder="1" applyAlignment="1">
      <alignment wrapText="1"/>
    </xf>
    <xf numFmtId="0" fontId="5" fillId="3" borderId="31" xfId="0" applyFont="1" applyFill="1" applyBorder="1" applyAlignment="1">
      <alignment wrapText="1"/>
    </xf>
    <xf numFmtId="0" fontId="3" fillId="2" borderId="9" xfId="0" applyFont="1" applyFill="1" applyBorder="1" applyAlignment="1">
      <alignment vertical="top"/>
    </xf>
    <xf numFmtId="0" fontId="13" fillId="2" borderId="9" xfId="0" applyFont="1" applyFill="1" applyBorder="1" applyAlignment="1">
      <alignment vertical="center"/>
    </xf>
    <xf numFmtId="0" fontId="2" fillId="0" borderId="8" xfId="0" applyFont="1" applyBorder="1"/>
    <xf numFmtId="0" fontId="19" fillId="4" borderId="33" xfId="0" applyFont="1" applyFill="1" applyBorder="1" applyAlignment="1">
      <alignment horizontal="center" vertical="center"/>
    </xf>
    <xf numFmtId="0" fontId="20" fillId="0" borderId="0" xfId="0" applyFont="1" applyAlignment="1">
      <alignment vertical="center"/>
    </xf>
    <xf numFmtId="0" fontId="0" fillId="0" borderId="0" xfId="0" applyAlignment="1">
      <alignment vertical="center"/>
    </xf>
    <xf numFmtId="0" fontId="10" fillId="2" borderId="29" xfId="0" applyFont="1" applyFill="1" applyBorder="1" applyAlignment="1">
      <alignment vertical="top" wrapText="1"/>
    </xf>
    <xf numFmtId="0" fontId="10" fillId="2" borderId="29" xfId="0" applyFont="1" applyFill="1" applyBorder="1" applyAlignment="1">
      <alignment horizontal="left" vertical="top" wrapText="1"/>
    </xf>
    <xf numFmtId="0" fontId="10" fillId="2" borderId="9" xfId="0" applyFont="1" applyFill="1" applyBorder="1" applyAlignment="1">
      <alignment vertical="top" wrapText="1"/>
    </xf>
    <xf numFmtId="0" fontId="10" fillId="2" borderId="0" xfId="0" applyFont="1" applyFill="1" applyAlignment="1">
      <alignment vertical="top" wrapText="1"/>
    </xf>
    <xf numFmtId="0" fontId="19" fillId="4" borderId="38" xfId="0" applyFont="1" applyFill="1" applyBorder="1" applyAlignment="1">
      <alignment horizontal="center" vertical="center"/>
    </xf>
    <xf numFmtId="0" fontId="19" fillId="4" borderId="38" xfId="0" applyFont="1" applyFill="1" applyBorder="1" applyAlignment="1">
      <alignment horizontal="center" vertical="center" wrapText="1"/>
    </xf>
    <xf numFmtId="0" fontId="19" fillId="4" borderId="41" xfId="0" applyFont="1" applyFill="1" applyBorder="1" applyAlignment="1">
      <alignment horizontal="center" vertical="center" wrapText="1"/>
    </xf>
    <xf numFmtId="0" fontId="21" fillId="11" borderId="39" xfId="0" applyFont="1" applyFill="1" applyBorder="1" applyAlignment="1">
      <alignment horizontal="center" vertical="center" wrapText="1"/>
    </xf>
    <xf numFmtId="0" fontId="20" fillId="11" borderId="39"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20" fillId="11" borderId="44" xfId="0" applyFont="1" applyFill="1" applyBorder="1" applyAlignment="1">
      <alignment horizontal="center" vertical="center" wrapText="1"/>
    </xf>
    <xf numFmtId="0" fontId="21" fillId="11" borderId="42" xfId="0" applyFont="1" applyFill="1" applyBorder="1" applyAlignment="1">
      <alignment horizontal="center" vertical="center" wrapText="1"/>
    </xf>
    <xf numFmtId="0" fontId="21" fillId="11" borderId="44" xfId="0" applyFont="1" applyFill="1" applyBorder="1" applyAlignment="1">
      <alignment horizontal="center" vertical="center" wrapText="1"/>
    </xf>
    <xf numFmtId="0" fontId="20" fillId="11" borderId="49" xfId="0" applyFont="1" applyFill="1" applyBorder="1" applyAlignment="1">
      <alignment horizontal="center" vertical="center" wrapText="1"/>
    </xf>
    <xf numFmtId="0" fontId="21" fillId="11" borderId="49" xfId="0" applyFont="1" applyFill="1" applyBorder="1" applyAlignment="1">
      <alignment horizontal="center" vertical="center" wrapText="1"/>
    </xf>
    <xf numFmtId="0" fontId="20" fillId="7" borderId="39" xfId="0" applyFont="1" applyFill="1" applyBorder="1" applyAlignment="1">
      <alignment vertical="top" wrapText="1"/>
    </xf>
    <xf numFmtId="0" fontId="20" fillId="7" borderId="39" xfId="0" quotePrefix="1" applyFont="1" applyFill="1" applyBorder="1" applyAlignment="1">
      <alignment vertical="top" wrapText="1"/>
    </xf>
    <xf numFmtId="0" fontId="4" fillId="12" borderId="39" xfId="0" applyFont="1" applyFill="1" applyBorder="1" applyAlignment="1">
      <alignment horizontal="center" vertical="center" wrapText="1"/>
    </xf>
    <xf numFmtId="0" fontId="4" fillId="14" borderId="0" xfId="0" applyFont="1" applyFill="1"/>
    <xf numFmtId="0" fontId="4" fillId="12" borderId="42" xfId="0" applyFont="1" applyFill="1" applyBorder="1" applyAlignment="1">
      <alignment horizontal="center" vertical="center" wrapText="1"/>
    </xf>
    <xf numFmtId="0" fontId="20" fillId="11" borderId="43" xfId="0" applyFont="1" applyFill="1" applyBorder="1" applyAlignment="1">
      <alignment horizontal="center" vertical="center" wrapText="1"/>
    </xf>
    <xf numFmtId="0" fontId="31" fillId="12" borderId="42" xfId="0" applyFont="1" applyFill="1" applyBorder="1" applyAlignment="1">
      <alignment vertical="center" wrapText="1"/>
    </xf>
    <xf numFmtId="0" fontId="4" fillId="12" borderId="39" xfId="0" applyFont="1" applyFill="1" applyBorder="1" applyAlignment="1">
      <alignment vertical="center" wrapText="1"/>
    </xf>
    <xf numFmtId="0" fontId="31" fillId="12" borderId="39" xfId="0" applyFont="1" applyFill="1" applyBorder="1" applyAlignment="1">
      <alignment vertical="center" wrapText="1"/>
    </xf>
    <xf numFmtId="0" fontId="20" fillId="14" borderId="0" xfId="0" applyFont="1" applyFill="1" applyAlignment="1">
      <alignment vertical="top"/>
    </xf>
    <xf numFmtId="0" fontId="21" fillId="11" borderId="43" xfId="0" applyFont="1" applyFill="1" applyBorder="1" applyAlignment="1">
      <alignment horizontal="center" vertical="center" wrapText="1"/>
    </xf>
    <xf numFmtId="0" fontId="21" fillId="11" borderId="48" xfId="0" applyFont="1" applyFill="1" applyBorder="1" applyAlignment="1">
      <alignment horizontal="center" vertical="center" wrapText="1"/>
    </xf>
    <xf numFmtId="0" fontId="20" fillId="11" borderId="39" xfId="0" applyFont="1" applyFill="1" applyBorder="1" applyAlignment="1">
      <alignment horizontal="left" vertical="center" wrapText="1"/>
    </xf>
    <xf numFmtId="0" fontId="20" fillId="11" borderId="48" xfId="0" applyFont="1" applyFill="1" applyBorder="1" applyAlignment="1">
      <alignment horizontal="left" vertical="top" wrapText="1"/>
    </xf>
    <xf numFmtId="0" fontId="4" fillId="12" borderId="43" xfId="0" applyFont="1" applyFill="1" applyBorder="1" applyAlignment="1">
      <alignment horizontal="center" vertical="center" wrapText="1"/>
    </xf>
    <xf numFmtId="0" fontId="12" fillId="2" borderId="21" xfId="0" applyFont="1" applyFill="1" applyBorder="1" applyAlignment="1">
      <alignment vertical="center" wrapText="1"/>
    </xf>
    <xf numFmtId="0" fontId="20" fillId="11" borderId="40" xfId="0" applyFont="1" applyFill="1" applyBorder="1" applyAlignment="1">
      <alignment horizontal="left" vertical="center" wrapText="1"/>
    </xf>
    <xf numFmtId="0" fontId="20" fillId="11" borderId="4" xfId="0" applyFont="1" applyFill="1" applyBorder="1" applyAlignment="1">
      <alignment horizontal="left" vertical="top" wrapText="1"/>
    </xf>
    <xf numFmtId="0" fontId="20" fillId="11" borderId="45" xfId="0" applyFont="1" applyFill="1" applyBorder="1" applyAlignment="1">
      <alignment horizontal="left" vertical="center" wrapText="1"/>
    </xf>
    <xf numFmtId="0" fontId="20" fillId="11" borderId="42" xfId="0" applyFont="1" applyFill="1" applyBorder="1" applyAlignment="1">
      <alignment horizontal="left" vertical="center" wrapText="1"/>
    </xf>
    <xf numFmtId="0" fontId="20" fillId="7" borderId="14" xfId="0" applyFont="1" applyFill="1" applyBorder="1" applyAlignment="1">
      <alignment horizontal="left"/>
    </xf>
    <xf numFmtId="0" fontId="20" fillId="7" borderId="14" xfId="0" applyFont="1" applyFill="1" applyBorder="1" applyAlignment="1">
      <alignment horizontal="left" vertical="top" wrapText="1"/>
    </xf>
    <xf numFmtId="0" fontId="20" fillId="7" borderId="18" xfId="0" applyFont="1" applyFill="1" applyBorder="1" applyAlignment="1">
      <alignment horizontal="left" vertical="top" wrapText="1"/>
    </xf>
    <xf numFmtId="0" fontId="20" fillId="7" borderId="39" xfId="0" applyFont="1" applyFill="1" applyBorder="1" applyAlignment="1">
      <alignment horizontal="left" vertical="center" wrapText="1"/>
    </xf>
    <xf numFmtId="0" fontId="20" fillId="7" borderId="39" xfId="0" applyFont="1" applyFill="1" applyBorder="1" applyAlignment="1">
      <alignment horizontal="left" vertical="top" wrapText="1"/>
    </xf>
    <xf numFmtId="0" fontId="32" fillId="12" borderId="39" xfId="0" applyFont="1" applyFill="1" applyBorder="1" applyAlignment="1">
      <alignment horizontal="left" vertical="top" wrapText="1"/>
    </xf>
    <xf numFmtId="0" fontId="20" fillId="7" borderId="43" xfId="0" applyFont="1" applyFill="1" applyBorder="1" applyAlignment="1">
      <alignment horizontal="left" vertical="center" wrapText="1"/>
    </xf>
    <xf numFmtId="0" fontId="20" fillId="7" borderId="42" xfId="0" applyFont="1" applyFill="1" applyBorder="1" applyAlignment="1">
      <alignment horizontal="left" vertical="top" wrapText="1"/>
    </xf>
    <xf numFmtId="0" fontId="20" fillId="7" borderId="43" xfId="0" applyFont="1" applyFill="1" applyBorder="1" applyAlignment="1">
      <alignment horizontal="left" vertical="top" wrapText="1"/>
    </xf>
    <xf numFmtId="0" fontId="20" fillId="7" borderId="48" xfId="0" applyFont="1" applyFill="1" applyBorder="1" applyAlignment="1">
      <alignment horizontal="left" vertical="top" wrapText="1"/>
    </xf>
    <xf numFmtId="0" fontId="20" fillId="7" borderId="45" xfId="0" applyFont="1" applyFill="1" applyBorder="1" applyAlignment="1">
      <alignment horizontal="left" vertical="top" wrapText="1"/>
    </xf>
    <xf numFmtId="0" fontId="20" fillId="7" borderId="4" xfId="0" applyFont="1" applyFill="1" applyBorder="1" applyAlignment="1">
      <alignment horizontal="left" vertical="top" wrapText="1"/>
    </xf>
    <xf numFmtId="0" fontId="20" fillId="12" borderId="39" xfId="0" applyFont="1" applyFill="1" applyBorder="1" applyAlignment="1">
      <alignment horizontal="left" vertical="center" wrapText="1"/>
    </xf>
    <xf numFmtId="0" fontId="20" fillId="12" borderId="43" xfId="0" applyFont="1" applyFill="1" applyBorder="1" applyAlignment="1">
      <alignment horizontal="left" vertical="center" wrapText="1"/>
    </xf>
    <xf numFmtId="0" fontId="4" fillId="0" borderId="31" xfId="0" applyFont="1" applyBorder="1"/>
    <xf numFmtId="0" fontId="21" fillId="11" borderId="40" xfId="0" applyFont="1" applyFill="1" applyBorder="1" applyAlignment="1">
      <alignment vertical="center"/>
    </xf>
    <xf numFmtId="0" fontId="21" fillId="11" borderId="47" xfId="0" applyFont="1" applyFill="1" applyBorder="1" applyAlignment="1">
      <alignment vertical="center"/>
    </xf>
    <xf numFmtId="0" fontId="4" fillId="12" borderId="40" xfId="0" applyFont="1" applyFill="1" applyBorder="1" applyAlignment="1">
      <alignment vertical="center" wrapText="1"/>
    </xf>
    <xf numFmtId="0" fontId="4" fillId="12" borderId="47" xfId="0" applyFont="1" applyFill="1" applyBorder="1" applyAlignment="1">
      <alignment vertical="center" wrapText="1"/>
    </xf>
    <xf numFmtId="0" fontId="20" fillId="7" borderId="48" xfId="0" applyFont="1" applyFill="1" applyBorder="1" applyAlignment="1">
      <alignment horizontal="left" vertical="center" wrapText="1"/>
    </xf>
    <xf numFmtId="0" fontId="30" fillId="12" borderId="39" xfId="0" applyFont="1" applyFill="1" applyBorder="1" applyAlignment="1">
      <alignment horizontal="left" vertical="top" wrapText="1"/>
    </xf>
    <xf numFmtId="0" fontId="20" fillId="12" borderId="39" xfId="0" applyFont="1" applyFill="1" applyBorder="1" applyAlignment="1">
      <alignment horizontal="left" vertical="top" wrapText="1"/>
    </xf>
    <xf numFmtId="0" fontId="20" fillId="7" borderId="39" xfId="0" applyFont="1" applyFill="1" applyBorder="1" applyAlignment="1">
      <alignment horizontal="left"/>
    </xf>
    <xf numFmtId="0" fontId="20" fillId="12" borderId="53" xfId="0" applyFont="1" applyFill="1" applyBorder="1" applyAlignment="1">
      <alignment horizontal="left" vertical="top" wrapText="1"/>
    </xf>
    <xf numFmtId="0" fontId="20" fillId="11" borderId="39" xfId="0" applyFont="1" applyFill="1" applyBorder="1" applyAlignment="1">
      <alignment vertical="top" wrapText="1"/>
    </xf>
    <xf numFmtId="0" fontId="20" fillId="11" borderId="45" xfId="0" applyFont="1" applyFill="1" applyBorder="1" applyAlignment="1">
      <alignment horizontal="left" vertical="top" wrapText="1"/>
    </xf>
    <xf numFmtId="0" fontId="20" fillId="11" borderId="48" xfId="0" applyFont="1" applyFill="1" applyBorder="1" applyAlignment="1">
      <alignment horizontal="center" vertical="center" wrapText="1"/>
    </xf>
    <xf numFmtId="0" fontId="29" fillId="11" borderId="0" xfId="0" applyFont="1" applyFill="1" applyAlignment="1">
      <alignment horizontal="left" vertical="center" wrapText="1"/>
    </xf>
    <xf numFmtId="0" fontId="29" fillId="12" borderId="39" xfId="0" applyFont="1" applyFill="1" applyBorder="1" applyAlignment="1">
      <alignment horizontal="left" vertical="center" wrapText="1"/>
    </xf>
    <xf numFmtId="0" fontId="29" fillId="12" borderId="18" xfId="0" applyFont="1" applyFill="1" applyBorder="1" applyAlignment="1">
      <alignment horizontal="left" vertical="center" wrapText="1"/>
    </xf>
    <xf numFmtId="0" fontId="29" fillId="12" borderId="39" xfId="0" applyFont="1" applyFill="1" applyBorder="1" applyAlignment="1">
      <alignment horizontal="left" vertical="top" wrapText="1"/>
    </xf>
    <xf numFmtId="0" fontId="22" fillId="15" borderId="42" xfId="0" applyFont="1" applyFill="1" applyBorder="1" applyAlignment="1">
      <alignment horizontal="left" vertical="top" wrapText="1"/>
    </xf>
    <xf numFmtId="0" fontId="22" fillId="15" borderId="50" xfId="0" applyFont="1" applyFill="1" applyBorder="1" applyAlignment="1">
      <alignment horizontal="left" vertical="top" wrapText="1"/>
    </xf>
    <xf numFmtId="0" fontId="29" fillId="12" borderId="47" xfId="0" applyFont="1" applyFill="1" applyBorder="1" applyAlignment="1">
      <alignment horizontal="left" vertical="center" wrapText="1"/>
    </xf>
    <xf numFmtId="0" fontId="29" fillId="12" borderId="47" xfId="0" applyFont="1" applyFill="1" applyBorder="1" applyAlignment="1">
      <alignment horizontal="left" vertical="top" wrapText="1"/>
    </xf>
    <xf numFmtId="0" fontId="33" fillId="0" borderId="0" xfId="0" applyFont="1"/>
    <xf numFmtId="0" fontId="0" fillId="0" borderId="0" xfId="0" applyAlignment="1">
      <alignment horizontal="left" vertical="top" wrapText="1"/>
    </xf>
    <xf numFmtId="0" fontId="9" fillId="0" borderId="56" xfId="0" applyFont="1" applyBorder="1" applyAlignment="1">
      <alignment vertical="top"/>
    </xf>
    <xf numFmtId="0" fontId="9" fillId="0" borderId="17" xfId="0" applyFont="1" applyBorder="1" applyAlignment="1">
      <alignment vertical="top" wrapText="1"/>
    </xf>
    <xf numFmtId="0" fontId="20" fillId="0" borderId="0" xfId="0" applyFont="1" applyAlignment="1">
      <alignment wrapText="1"/>
    </xf>
    <xf numFmtId="0" fontId="0" fillId="0" borderId="0" xfId="0" applyAlignment="1">
      <alignment wrapText="1"/>
    </xf>
    <xf numFmtId="0" fontId="0" fillId="0" borderId="44" xfId="0" applyBorder="1"/>
    <xf numFmtId="0" fontId="9" fillId="0" borderId="18" xfId="0" applyFont="1" applyBorder="1" applyAlignment="1">
      <alignment vertical="top" wrapText="1"/>
    </xf>
    <xf numFmtId="0" fontId="21" fillId="16" borderId="35" xfId="0" applyFont="1" applyFill="1" applyBorder="1" applyAlignment="1">
      <alignment horizontal="center" vertical="center" wrapText="1"/>
    </xf>
    <xf numFmtId="0" fontId="24" fillId="17" borderId="42" xfId="0" applyFont="1" applyFill="1" applyBorder="1" applyAlignment="1">
      <alignment vertical="center" wrapText="1"/>
    </xf>
    <xf numFmtId="0" fontId="34" fillId="17" borderId="46" xfId="0" applyFont="1" applyFill="1" applyBorder="1" applyAlignment="1">
      <alignment vertical="center" wrapText="1"/>
    </xf>
    <xf numFmtId="0" fontId="34" fillId="17" borderId="48" xfId="0" applyFont="1" applyFill="1" applyBorder="1" applyAlignment="1">
      <alignment vertical="center" wrapText="1"/>
    </xf>
    <xf numFmtId="0" fontId="34" fillId="17" borderId="42" xfId="0" applyFont="1" applyFill="1" applyBorder="1" applyAlignment="1">
      <alignment vertical="center" wrapText="1"/>
    </xf>
    <xf numFmtId="0" fontId="32" fillId="18" borderId="14" xfId="0" applyFont="1" applyFill="1" applyBorder="1" applyAlignment="1">
      <alignment horizontal="left" vertical="center" wrapText="1"/>
    </xf>
    <xf numFmtId="0" fontId="32" fillId="18" borderId="43" xfId="0" applyFont="1" applyFill="1" applyBorder="1" applyAlignment="1">
      <alignment horizontal="left" vertical="center" wrapText="1"/>
    </xf>
    <xf numFmtId="0" fontId="32" fillId="17" borderId="53" xfId="0" applyFont="1" applyFill="1" applyBorder="1" applyAlignment="1">
      <alignment horizontal="left" vertical="center" wrapText="1"/>
    </xf>
    <xf numFmtId="0" fontId="32" fillId="17" borderId="14" xfId="0" applyFont="1" applyFill="1" applyBorder="1" applyAlignment="1">
      <alignment horizontal="left" vertical="center" wrapText="1"/>
    </xf>
    <xf numFmtId="0" fontId="32" fillId="18" borderId="14" xfId="0" applyFont="1" applyFill="1" applyBorder="1" applyAlignment="1">
      <alignment vertical="top" wrapText="1"/>
    </xf>
    <xf numFmtId="0" fontId="20" fillId="18" borderId="14" xfId="0" applyFont="1" applyFill="1" applyBorder="1" applyAlignment="1">
      <alignment vertical="top" wrapText="1"/>
    </xf>
    <xf numFmtId="0" fontId="20" fillId="18" borderId="14" xfId="0" quotePrefix="1" applyFont="1" applyFill="1" applyBorder="1" applyAlignment="1">
      <alignment vertical="top" wrapText="1"/>
    </xf>
    <xf numFmtId="0" fontId="20" fillId="18" borderId="53" xfId="0" quotePrefix="1" applyFont="1" applyFill="1" applyBorder="1" applyAlignment="1">
      <alignment vertical="top" wrapText="1"/>
    </xf>
    <xf numFmtId="0" fontId="20" fillId="17" borderId="0" xfId="0" applyFont="1" applyFill="1"/>
    <xf numFmtId="0" fontId="0" fillId="17" borderId="0" xfId="0" applyFill="1"/>
    <xf numFmtId="0" fontId="35" fillId="18" borderId="14" xfId="0" applyFont="1" applyFill="1" applyBorder="1" applyAlignment="1">
      <alignment horizontal="left" vertical="center" wrapText="1"/>
    </xf>
    <xf numFmtId="0" fontId="2" fillId="0" borderId="29" xfId="0" applyFont="1" applyBorder="1" applyAlignment="1">
      <alignment vertical="top" wrapText="1"/>
    </xf>
    <xf numFmtId="0" fontId="2" fillId="0" borderId="30" xfId="0" applyFont="1" applyBorder="1" applyAlignment="1">
      <alignment vertical="top" wrapText="1"/>
    </xf>
    <xf numFmtId="0" fontId="2" fillId="0" borderId="7" xfId="0" applyFont="1" applyBorder="1" applyAlignment="1">
      <alignment vertical="top"/>
    </xf>
    <xf numFmtId="0" fontId="2" fillId="0" borderId="21" xfId="0" applyFont="1" applyBorder="1" applyAlignment="1">
      <alignment vertical="top" wrapText="1"/>
    </xf>
    <xf numFmtId="0" fontId="2" fillId="0" borderId="23" xfId="0" applyFont="1" applyBorder="1" applyAlignment="1">
      <alignment vertical="top" wrapText="1"/>
    </xf>
    <xf numFmtId="0" fontId="2" fillId="0" borderId="44" xfId="0" applyFont="1" applyBorder="1" applyAlignment="1">
      <alignment vertical="top"/>
    </xf>
    <xf numFmtId="0" fontId="2" fillId="0" borderId="44" xfId="0" applyFont="1" applyBorder="1" applyAlignment="1">
      <alignment vertical="top" wrapText="1"/>
    </xf>
    <xf numFmtId="0" fontId="7" fillId="3" borderId="27" xfId="0" applyFont="1" applyFill="1" applyBorder="1" applyAlignment="1">
      <alignment vertical="center"/>
    </xf>
    <xf numFmtId="0" fontId="6" fillId="2" borderId="29" xfId="0" applyFont="1" applyFill="1" applyBorder="1" applyAlignment="1">
      <alignment vertical="center" wrapText="1"/>
    </xf>
    <xf numFmtId="0" fontId="2" fillId="0" borderId="29" xfId="0" applyFont="1" applyBorder="1" applyAlignment="1">
      <alignment vertical="center" wrapText="1"/>
    </xf>
    <xf numFmtId="0" fontId="2" fillId="0" borderId="29" xfId="0" applyFont="1" applyBorder="1" applyAlignment="1">
      <alignment vertical="center"/>
    </xf>
    <xf numFmtId="0" fontId="2" fillId="0" borderId="21" xfId="0" applyFont="1" applyBorder="1" applyAlignment="1">
      <alignment vertical="center"/>
    </xf>
    <xf numFmtId="0" fontId="2" fillId="0" borderId="30" xfId="0" applyFont="1" applyBorder="1" applyAlignment="1">
      <alignment vertical="center"/>
    </xf>
    <xf numFmtId="0" fontId="2" fillId="0" borderId="21" xfId="0" applyFont="1" applyBorder="1" applyAlignment="1">
      <alignment vertical="center" wrapText="1"/>
    </xf>
    <xf numFmtId="0" fontId="2" fillId="0" borderId="44" xfId="0" applyFont="1" applyBorder="1" applyAlignment="1">
      <alignment vertical="center" wrapText="1"/>
    </xf>
    <xf numFmtId="0" fontId="14" fillId="3" borderId="27" xfId="0" applyFont="1" applyFill="1" applyBorder="1" applyAlignment="1">
      <alignment vertical="center" wrapText="1"/>
    </xf>
    <xf numFmtId="0" fontId="6" fillId="2" borderId="29" xfId="0" applyFont="1" applyFill="1" applyBorder="1" applyAlignment="1">
      <alignment horizontal="left" vertical="center" wrapText="1"/>
    </xf>
    <xf numFmtId="0" fontId="12" fillId="0" borderId="29" xfId="0" applyFont="1" applyBorder="1" applyAlignment="1">
      <alignment horizontal="left" vertical="center" wrapText="1"/>
    </xf>
    <xf numFmtId="0" fontId="7" fillId="3" borderId="28" xfId="0" applyFont="1" applyFill="1" applyBorder="1" applyAlignment="1">
      <alignment vertical="center"/>
    </xf>
    <xf numFmtId="0" fontId="8" fillId="2" borderId="9" xfId="0" applyFont="1" applyFill="1" applyBorder="1" applyAlignment="1">
      <alignment vertical="center" wrapText="1"/>
    </xf>
    <xf numFmtId="0" fontId="10" fillId="2" borderId="22" xfId="0" applyFont="1" applyFill="1" applyBorder="1" applyAlignment="1">
      <alignment vertical="center" wrapText="1"/>
    </xf>
    <xf numFmtId="0" fontId="2" fillId="0" borderId="22" xfId="0" applyFont="1" applyBorder="1" applyAlignment="1">
      <alignment vertical="center"/>
    </xf>
    <xf numFmtId="0" fontId="2" fillId="0" borderId="61" xfId="0" applyFont="1" applyBorder="1" applyAlignment="1">
      <alignment vertical="center"/>
    </xf>
    <xf numFmtId="0" fontId="2" fillId="0" borderId="30" xfId="0" applyFont="1" applyBorder="1" applyAlignment="1">
      <alignment vertical="center" wrapText="1"/>
    </xf>
    <xf numFmtId="0" fontId="2" fillId="0" borderId="44" xfId="0" applyFont="1" applyBorder="1" applyAlignment="1">
      <alignment vertical="center"/>
    </xf>
    <xf numFmtId="0" fontId="2" fillId="0" borderId="20" xfId="0" applyFont="1" applyBorder="1" applyAlignment="1">
      <alignment vertical="top"/>
    </xf>
    <xf numFmtId="0" fontId="2" fillId="0" borderId="22" xfId="0" applyFont="1" applyBorder="1" applyAlignment="1">
      <alignment vertical="top" wrapText="1"/>
    </xf>
    <xf numFmtId="0" fontId="2" fillId="0" borderId="26" xfId="0" applyFont="1" applyBorder="1" applyAlignment="1">
      <alignment vertical="top" wrapText="1"/>
    </xf>
    <xf numFmtId="0" fontId="0" fillId="0" borderId="0" xfId="0" applyAlignment="1">
      <alignment vertical="top"/>
    </xf>
    <xf numFmtId="0" fontId="29" fillId="0" borderId="39" xfId="0" applyFont="1" applyBorder="1" applyAlignment="1">
      <alignment horizontal="left" vertical="top" wrapText="1"/>
    </xf>
    <xf numFmtId="0" fontId="20" fillId="11" borderId="42" xfId="0" applyFont="1" applyFill="1" applyBorder="1" applyAlignment="1">
      <alignment horizontal="left" vertical="top" wrapText="1"/>
    </xf>
    <xf numFmtId="0" fontId="20" fillId="11" borderId="39" xfId="0" applyFont="1" applyFill="1" applyBorder="1" applyAlignment="1">
      <alignment horizontal="left" vertical="top" wrapText="1"/>
    </xf>
    <xf numFmtId="0" fontId="26" fillId="0" borderId="0" xfId="0" applyFont="1" applyAlignment="1">
      <alignment horizontal="left" vertical="top" wrapText="1"/>
    </xf>
    <xf numFmtId="0" fontId="26" fillId="0" borderId="0" xfId="0" applyFont="1" applyAlignment="1">
      <alignment wrapText="1"/>
    </xf>
    <xf numFmtId="0" fontId="20" fillId="11" borderId="44" xfId="0" applyFont="1" applyFill="1" applyBorder="1" applyAlignment="1">
      <alignment horizontal="left" vertical="top" wrapText="1"/>
    </xf>
    <xf numFmtId="10" fontId="20" fillId="12" borderId="14" xfId="0" applyNumberFormat="1" applyFont="1" applyFill="1" applyBorder="1" applyAlignment="1">
      <alignment horizontal="left" vertical="top" wrapText="1"/>
    </xf>
    <xf numFmtId="9" fontId="20" fillId="12" borderId="39" xfId="0" applyNumberFormat="1" applyFont="1" applyFill="1" applyBorder="1" applyAlignment="1">
      <alignment horizontal="left" vertical="top" wrapText="1"/>
    </xf>
    <xf numFmtId="0" fontId="4" fillId="13" borderId="39" xfId="0" applyFont="1" applyFill="1" applyBorder="1" applyAlignment="1">
      <alignment horizontal="left" vertical="top"/>
    </xf>
    <xf numFmtId="0" fontId="22" fillId="13" borderId="39" xfId="0" applyFont="1" applyFill="1" applyBorder="1" applyAlignment="1">
      <alignment horizontal="left" vertical="top" wrapText="1"/>
    </xf>
    <xf numFmtId="0" fontId="22" fillId="13" borderId="48" xfId="0" applyFont="1" applyFill="1" applyBorder="1" applyAlignment="1">
      <alignment horizontal="left" vertical="top" wrapText="1"/>
    </xf>
    <xf numFmtId="0" fontId="20" fillId="13" borderId="14" xfId="0" applyFont="1" applyFill="1" applyBorder="1" applyAlignment="1">
      <alignment horizontal="left" vertical="top" wrapText="1"/>
    </xf>
    <xf numFmtId="0" fontId="20" fillId="13" borderId="14" xfId="0" applyFont="1" applyFill="1" applyBorder="1" applyAlignment="1">
      <alignment horizontal="left" vertical="top"/>
    </xf>
    <xf numFmtId="0" fontId="20" fillId="13" borderId="34" xfId="0" applyFont="1" applyFill="1" applyBorder="1" applyAlignment="1">
      <alignment horizontal="left" vertical="top"/>
    </xf>
    <xf numFmtId="0" fontId="20" fillId="0" borderId="0" xfId="0" applyFont="1" applyAlignment="1">
      <alignment horizontal="left" vertical="top"/>
    </xf>
    <xf numFmtId="0" fontId="0" fillId="0" borderId="0" xfId="0" applyAlignment="1">
      <alignment horizontal="left" vertical="top"/>
    </xf>
    <xf numFmtId="0" fontId="22" fillId="13" borderId="52" xfId="0" applyFont="1" applyFill="1" applyBorder="1" applyAlignment="1">
      <alignment horizontal="left" vertical="top" wrapText="1"/>
    </xf>
    <xf numFmtId="0" fontId="4" fillId="13" borderId="47" xfId="0" applyFont="1" applyFill="1" applyBorder="1" applyAlignment="1">
      <alignment horizontal="left" vertical="top"/>
    </xf>
    <xf numFmtId="0" fontId="22" fillId="13" borderId="43" xfId="0" applyFont="1" applyFill="1" applyBorder="1" applyAlignment="1">
      <alignment horizontal="left" vertical="top" wrapText="1"/>
    </xf>
    <xf numFmtId="0" fontId="22" fillId="13" borderId="47" xfId="0" applyFont="1" applyFill="1" applyBorder="1" applyAlignment="1">
      <alignment horizontal="left" vertical="top" wrapText="1"/>
    </xf>
    <xf numFmtId="0" fontId="4" fillId="13" borderId="46" xfId="0" applyFont="1" applyFill="1" applyBorder="1" applyAlignment="1">
      <alignment horizontal="left" vertical="top"/>
    </xf>
    <xf numFmtId="0" fontId="22" fillId="13" borderId="46" xfId="0" applyFont="1" applyFill="1" applyBorder="1" applyAlignment="1">
      <alignment horizontal="left" vertical="top" wrapText="1"/>
    </xf>
    <xf numFmtId="0" fontId="22" fillId="13" borderId="4" xfId="0" applyFont="1" applyFill="1" applyBorder="1" applyAlignment="1">
      <alignment horizontal="left" vertical="top" wrapText="1"/>
    </xf>
    <xf numFmtId="0" fontId="20" fillId="13" borderId="18" xfId="0" applyFont="1" applyFill="1" applyBorder="1" applyAlignment="1">
      <alignment horizontal="left" vertical="top" wrapText="1"/>
    </xf>
    <xf numFmtId="0" fontId="20" fillId="13" borderId="18" xfId="0" applyFont="1" applyFill="1" applyBorder="1" applyAlignment="1">
      <alignment horizontal="left" vertical="top"/>
    </xf>
    <xf numFmtId="0" fontId="20" fillId="13" borderId="54" xfId="0" applyFont="1" applyFill="1" applyBorder="1" applyAlignment="1">
      <alignment horizontal="left" vertical="top"/>
    </xf>
    <xf numFmtId="0" fontId="4" fillId="17" borderId="44" xfId="0" applyFont="1" applyFill="1" applyBorder="1" applyAlignment="1">
      <alignment horizontal="left" vertical="top"/>
    </xf>
    <xf numFmtId="0" fontId="22" fillId="17" borderId="44" xfId="0" applyFont="1" applyFill="1" applyBorder="1" applyAlignment="1">
      <alignment horizontal="left" vertical="top" wrapText="1"/>
    </xf>
    <xf numFmtId="0" fontId="20" fillId="17" borderId="44" xfId="0" applyFont="1" applyFill="1" applyBorder="1" applyAlignment="1">
      <alignment horizontal="left" vertical="top"/>
    </xf>
    <xf numFmtId="0" fontId="21" fillId="17" borderId="44" xfId="0" applyFont="1" applyFill="1" applyBorder="1" applyAlignment="1">
      <alignment horizontal="left" vertical="top" wrapText="1"/>
    </xf>
    <xf numFmtId="0" fontId="20" fillId="17" borderId="44" xfId="0" applyFont="1" applyFill="1" applyBorder="1" applyAlignment="1">
      <alignment horizontal="left" vertical="top" wrapText="1"/>
    </xf>
    <xf numFmtId="0" fontId="0" fillId="17" borderId="44" xfId="0" applyFill="1" applyBorder="1" applyAlignment="1">
      <alignment horizontal="left" vertical="top"/>
    </xf>
    <xf numFmtId="0" fontId="22" fillId="13" borderId="53" xfId="0" applyFont="1" applyFill="1" applyBorder="1" applyAlignment="1">
      <alignment horizontal="left" vertical="top" wrapText="1"/>
    </xf>
    <xf numFmtId="0" fontId="22" fillId="13" borderId="60" xfId="0" applyFont="1" applyFill="1" applyBorder="1" applyAlignment="1">
      <alignment horizontal="left" vertical="top" wrapText="1"/>
    </xf>
    <xf numFmtId="2" fontId="20" fillId="13" borderId="48" xfId="0" applyNumberFormat="1" applyFont="1" applyFill="1" applyBorder="1" applyAlignment="1">
      <alignment horizontal="left" vertical="top"/>
    </xf>
    <xf numFmtId="0" fontId="4" fillId="17" borderId="47" xfId="0" applyFont="1" applyFill="1" applyBorder="1" applyAlignment="1">
      <alignment horizontal="left" vertical="top"/>
    </xf>
    <xf numFmtId="0" fontId="22" fillId="17" borderId="43" xfId="0" applyFont="1" applyFill="1" applyBorder="1" applyAlignment="1">
      <alignment horizontal="left" vertical="top" wrapText="1"/>
    </xf>
    <xf numFmtId="0" fontId="22" fillId="17" borderId="47" xfId="0" applyFont="1" applyFill="1" applyBorder="1" applyAlignment="1">
      <alignment horizontal="left" vertical="top" wrapText="1"/>
    </xf>
    <xf numFmtId="0" fontId="22" fillId="17" borderId="60" xfId="0" applyFont="1" applyFill="1" applyBorder="1" applyAlignment="1">
      <alignment horizontal="left" vertical="top" wrapText="1"/>
    </xf>
    <xf numFmtId="0" fontId="22" fillId="17" borderId="58" xfId="0" applyFont="1" applyFill="1" applyBorder="1" applyAlignment="1">
      <alignment horizontal="left" vertical="top" wrapText="1"/>
    </xf>
    <xf numFmtId="2" fontId="20" fillId="17" borderId="48" xfId="0" applyNumberFormat="1" applyFont="1" applyFill="1" applyBorder="1" applyAlignment="1">
      <alignment horizontal="left" vertical="top"/>
    </xf>
    <xf numFmtId="0" fontId="21" fillId="17" borderId="14" xfId="0" applyFont="1" applyFill="1" applyBorder="1" applyAlignment="1">
      <alignment horizontal="left" vertical="top" wrapText="1"/>
    </xf>
    <xf numFmtId="0" fontId="20" fillId="17" borderId="14" xfId="0" applyFont="1" applyFill="1" applyBorder="1" applyAlignment="1">
      <alignment horizontal="left" vertical="top"/>
    </xf>
    <xf numFmtId="0" fontId="20" fillId="17" borderId="14" xfId="0" applyFont="1" applyFill="1" applyBorder="1" applyAlignment="1">
      <alignment horizontal="left" vertical="top" wrapText="1"/>
    </xf>
    <xf numFmtId="0" fontId="20" fillId="17" borderId="34" xfId="0" applyFont="1" applyFill="1" applyBorder="1" applyAlignment="1">
      <alignment horizontal="left" vertical="top"/>
    </xf>
    <xf numFmtId="0" fontId="20" fillId="17" borderId="0" xfId="0" applyFont="1" applyFill="1" applyAlignment="1">
      <alignment horizontal="left" vertical="top"/>
    </xf>
    <xf numFmtId="0" fontId="0" fillId="17" borderId="0" xfId="0" applyFill="1" applyAlignment="1">
      <alignment horizontal="left" vertical="top"/>
    </xf>
    <xf numFmtId="2" fontId="20" fillId="13" borderId="39" xfId="0" applyNumberFormat="1" applyFont="1" applyFill="1" applyBorder="1" applyAlignment="1">
      <alignment horizontal="left" vertical="top"/>
    </xf>
    <xf numFmtId="0" fontId="22" fillId="17" borderId="48" xfId="0" applyFont="1" applyFill="1" applyBorder="1" applyAlignment="1">
      <alignment horizontal="left" vertical="top" wrapText="1"/>
    </xf>
    <xf numFmtId="0" fontId="22" fillId="17" borderId="52" xfId="0" applyFont="1" applyFill="1" applyBorder="1" applyAlignment="1">
      <alignment horizontal="left" vertical="top" wrapText="1"/>
    </xf>
    <xf numFmtId="2" fontId="20" fillId="17" borderId="39" xfId="0" applyNumberFormat="1" applyFont="1" applyFill="1" applyBorder="1" applyAlignment="1">
      <alignment horizontal="left" vertical="top"/>
    </xf>
    <xf numFmtId="0" fontId="4" fillId="13" borderId="43" xfId="0" applyFont="1" applyFill="1" applyBorder="1" applyAlignment="1">
      <alignment horizontal="left" vertical="top"/>
    </xf>
    <xf numFmtId="0" fontId="4" fillId="13" borderId="40" xfId="0" applyFont="1" applyFill="1" applyBorder="1" applyAlignment="1">
      <alignment horizontal="left" vertical="top"/>
    </xf>
    <xf numFmtId="0" fontId="4" fillId="17" borderId="0" xfId="0" applyFont="1" applyFill="1" applyAlignment="1">
      <alignment horizontal="left" vertical="top"/>
    </xf>
    <xf numFmtId="0" fontId="31" fillId="17" borderId="0" xfId="0" applyFont="1" applyFill="1" applyAlignment="1">
      <alignment horizontal="left" vertical="top" wrapText="1"/>
    </xf>
    <xf numFmtId="2" fontId="20" fillId="17" borderId="0" xfId="0" applyNumberFormat="1" applyFont="1" applyFill="1" applyAlignment="1">
      <alignment horizontal="left" vertical="top"/>
    </xf>
    <xf numFmtId="0" fontId="21" fillId="17" borderId="0" xfId="0" applyFont="1" applyFill="1" applyAlignment="1">
      <alignment horizontal="left" vertical="top" wrapText="1"/>
    </xf>
    <xf numFmtId="0" fontId="20" fillId="17" borderId="0" xfId="0" applyFont="1" applyFill="1" applyAlignment="1">
      <alignment horizontal="left" vertical="top" wrapText="1"/>
    </xf>
    <xf numFmtId="0" fontId="4" fillId="13" borderId="44" xfId="0" applyFont="1" applyFill="1" applyBorder="1" applyAlignment="1">
      <alignment horizontal="left" vertical="top"/>
    </xf>
    <xf numFmtId="2" fontId="20" fillId="13" borderId="44" xfId="0" applyNumberFormat="1" applyFont="1" applyFill="1" applyBorder="1" applyAlignment="1">
      <alignment horizontal="left" vertical="top"/>
    </xf>
    <xf numFmtId="0" fontId="20" fillId="13" borderId="44" xfId="0" applyFont="1" applyFill="1" applyBorder="1" applyAlignment="1">
      <alignment horizontal="left" vertical="top" wrapText="1"/>
    </xf>
    <xf numFmtId="0" fontId="20" fillId="13" borderId="44" xfId="0" applyFont="1" applyFill="1" applyBorder="1" applyAlignment="1">
      <alignment horizontal="left" vertical="top"/>
    </xf>
    <xf numFmtId="0" fontId="20" fillId="0" borderId="44" xfId="0" applyFont="1" applyBorder="1" applyAlignment="1">
      <alignment horizontal="left" vertical="top"/>
    </xf>
    <xf numFmtId="0" fontId="0" fillId="0" borderId="44" xfId="0" applyBorder="1" applyAlignment="1">
      <alignment horizontal="left" vertical="top"/>
    </xf>
    <xf numFmtId="0" fontId="31" fillId="17" borderId="58" xfId="0" applyFont="1" applyFill="1" applyBorder="1" applyAlignment="1">
      <alignment horizontal="left" vertical="top" wrapText="1"/>
    </xf>
    <xf numFmtId="2" fontId="20" fillId="17" borderId="44" xfId="0" applyNumberFormat="1" applyFont="1" applyFill="1" applyBorder="1" applyAlignment="1">
      <alignment horizontal="left" vertical="top"/>
    </xf>
    <xf numFmtId="0" fontId="31" fillId="13" borderId="44" xfId="0" applyFont="1" applyFill="1" applyBorder="1" applyAlignment="1">
      <alignment horizontal="left" vertical="top" wrapText="1"/>
    </xf>
    <xf numFmtId="0" fontId="24" fillId="17" borderId="52" xfId="0" applyFont="1" applyFill="1" applyBorder="1" applyAlignment="1">
      <alignment horizontal="center" vertical="center" wrapText="1"/>
    </xf>
    <xf numFmtId="0" fontId="35" fillId="13" borderId="43" xfId="0" applyFont="1" applyFill="1" applyBorder="1" applyAlignment="1">
      <alignment horizontal="left" vertical="top" wrapText="1"/>
    </xf>
    <xf numFmtId="0" fontId="35" fillId="13" borderId="47" xfId="0" applyFont="1" applyFill="1" applyBorder="1" applyAlignment="1">
      <alignment horizontal="left" vertical="top" wrapText="1"/>
    </xf>
    <xf numFmtId="0" fontId="35" fillId="13" borderId="48" xfId="0" applyFont="1" applyFill="1" applyBorder="1" applyAlignment="1">
      <alignment horizontal="left" vertical="top" wrapText="1"/>
    </xf>
    <xf numFmtId="2" fontId="30" fillId="13" borderId="39" xfId="0" applyNumberFormat="1" applyFont="1" applyFill="1" applyBorder="1" applyAlignment="1">
      <alignment horizontal="left" vertical="top"/>
    </xf>
    <xf numFmtId="0" fontId="30" fillId="13" borderId="14" xfId="0" applyFont="1" applyFill="1" applyBorder="1" applyAlignment="1">
      <alignment horizontal="left" vertical="top" wrapText="1"/>
    </xf>
    <xf numFmtId="0" fontId="30" fillId="13" borderId="14" xfId="0" applyFont="1" applyFill="1" applyBorder="1" applyAlignment="1">
      <alignment horizontal="left" vertical="top"/>
    </xf>
    <xf numFmtId="0" fontId="30" fillId="13" borderId="34" xfId="0" applyFont="1" applyFill="1" applyBorder="1" applyAlignment="1">
      <alignment horizontal="left" vertical="top"/>
    </xf>
    <xf numFmtId="0" fontId="30" fillId="0" borderId="0" xfId="0" applyFont="1" applyAlignment="1">
      <alignment horizontal="left" vertical="top"/>
    </xf>
    <xf numFmtId="0" fontId="36" fillId="0" borderId="0" xfId="0" applyFont="1" applyAlignment="1">
      <alignment horizontal="left" vertical="top"/>
    </xf>
    <xf numFmtId="0" fontId="20" fillId="13" borderId="14" xfId="0" applyFont="1" applyFill="1" applyBorder="1"/>
    <xf numFmtId="0" fontId="20" fillId="13" borderId="14" xfId="0" applyFont="1" applyFill="1" applyBorder="1" applyAlignment="1">
      <alignment wrapText="1"/>
    </xf>
    <xf numFmtId="0" fontId="20" fillId="13" borderId="14" xfId="0" applyFont="1" applyFill="1" applyBorder="1" applyAlignment="1">
      <alignment vertical="top" wrapText="1"/>
    </xf>
    <xf numFmtId="0" fontId="20" fillId="13" borderId="44" xfId="0" applyFont="1" applyFill="1" applyBorder="1"/>
    <xf numFmtId="0" fontId="30" fillId="13" borderId="44" xfId="0" applyFont="1" applyFill="1" applyBorder="1" applyAlignment="1">
      <alignment horizontal="left" vertical="top" wrapText="1"/>
    </xf>
    <xf numFmtId="0" fontId="20" fillId="13" borderId="44" xfId="0" applyFont="1" applyFill="1" applyBorder="1" applyAlignment="1">
      <alignment vertical="center" wrapText="1"/>
    </xf>
    <xf numFmtId="0" fontId="38" fillId="18" borderId="61" xfId="0" applyFont="1" applyFill="1" applyBorder="1" applyAlignment="1">
      <alignment vertical="center" wrapText="1"/>
    </xf>
    <xf numFmtId="0" fontId="37" fillId="17" borderId="0" xfId="0" applyFont="1" applyFill="1" applyAlignment="1">
      <alignment horizontal="left" vertical="top" wrapText="1"/>
    </xf>
    <xf numFmtId="0" fontId="26" fillId="0" borderId="0" xfId="0" applyFont="1"/>
    <xf numFmtId="0" fontId="38" fillId="18" borderId="62" xfId="0" applyFont="1" applyFill="1" applyBorder="1" applyAlignment="1">
      <alignment vertical="center" wrapText="1"/>
    </xf>
    <xf numFmtId="0" fontId="37" fillId="17" borderId="63" xfId="0" applyFont="1" applyFill="1" applyBorder="1" applyAlignment="1">
      <alignment horizontal="left" vertical="top" wrapText="1"/>
    </xf>
    <xf numFmtId="0" fontId="37" fillId="17" borderId="53" xfId="0" applyFont="1" applyFill="1" applyBorder="1" applyAlignment="1">
      <alignment horizontal="left" vertical="top" wrapText="1"/>
    </xf>
    <xf numFmtId="0" fontId="39" fillId="13" borderId="53" xfId="0" applyFont="1" applyFill="1" applyBorder="1" applyAlignment="1">
      <alignment horizontal="left" vertical="top" wrapText="1"/>
    </xf>
    <xf numFmtId="3" fontId="16" fillId="0" borderId="44" xfId="1" applyNumberFormat="1" applyFont="1" applyBorder="1"/>
    <xf numFmtId="3" fontId="40" fillId="0" borderId="44" xfId="0" applyNumberFormat="1" applyFont="1" applyBorder="1" applyAlignment="1">
      <alignment horizontal="right" vertical="center" wrapText="1"/>
    </xf>
    <xf numFmtId="3" fontId="28" fillId="0" borderId="44" xfId="1" applyNumberFormat="1" applyFont="1" applyBorder="1" applyAlignment="1">
      <alignment vertical="center"/>
    </xf>
    <xf numFmtId="3" fontId="41" fillId="0" borderId="44" xfId="0" applyNumberFormat="1" applyFont="1" applyBorder="1" applyAlignment="1">
      <alignment horizontal="right" vertical="center" wrapText="1"/>
    </xf>
    <xf numFmtId="0" fontId="42" fillId="0" borderId="9" xfId="0" applyFont="1" applyBorder="1"/>
    <xf numFmtId="0" fontId="42" fillId="13" borderId="53" xfId="0" applyFont="1" applyFill="1" applyBorder="1" applyAlignment="1">
      <alignment horizontal="left" vertical="top" wrapText="1"/>
    </xf>
    <xf numFmtId="3" fontId="42" fillId="0" borderId="44" xfId="0" applyNumberFormat="1" applyFont="1" applyBorder="1" applyAlignment="1">
      <alignment horizontal="right" vertical="center" wrapText="1"/>
    </xf>
    <xf numFmtId="0" fontId="42" fillId="0" borderId="0" xfId="0" applyFont="1"/>
    <xf numFmtId="164" fontId="43" fillId="10" borderId="44" xfId="1" applyNumberFormat="1" applyFont="1" applyFill="1" applyBorder="1" applyAlignment="1">
      <alignment vertical="center" wrapText="1"/>
    </xf>
    <xf numFmtId="3" fontId="43" fillId="10" borderId="44" xfId="1" applyNumberFormat="1" applyFont="1" applyFill="1" applyBorder="1" applyAlignment="1">
      <alignment vertical="center" wrapText="1"/>
    </xf>
    <xf numFmtId="0" fontId="44" fillId="0" borderId="0" xfId="0" applyFont="1" applyAlignment="1">
      <alignment vertical="center"/>
    </xf>
    <xf numFmtId="0" fontId="20" fillId="12" borderId="47" xfId="0" applyFont="1" applyFill="1" applyBorder="1" applyAlignment="1">
      <alignment horizontal="left" vertical="center" wrapText="1"/>
    </xf>
    <xf numFmtId="0" fontId="20" fillId="7" borderId="14" xfId="0" applyFont="1" applyFill="1" applyBorder="1" applyAlignment="1">
      <alignment horizontal="left" vertical="center" wrapText="1"/>
    </xf>
    <xf numFmtId="0" fontId="20" fillId="13" borderId="18" xfId="0" applyFont="1" applyFill="1" applyBorder="1" applyAlignment="1">
      <alignment vertical="center" wrapText="1"/>
    </xf>
    <xf numFmtId="0" fontId="2" fillId="0" borderId="0" xfId="0" applyFont="1"/>
    <xf numFmtId="0" fontId="36" fillId="0" borderId="9" xfId="0" applyFont="1" applyBorder="1"/>
    <xf numFmtId="0" fontId="36" fillId="0" borderId="0" xfId="0" applyFont="1"/>
    <xf numFmtId="0" fontId="11" fillId="12" borderId="42" xfId="0" applyFont="1" applyFill="1" applyBorder="1" applyAlignment="1">
      <alignment vertical="center" wrapText="1"/>
    </xf>
    <xf numFmtId="0" fontId="11" fillId="12" borderId="52" xfId="0" applyFont="1" applyFill="1" applyBorder="1" applyAlignment="1">
      <alignment horizontal="center" vertical="center" wrapText="1"/>
    </xf>
    <xf numFmtId="0" fontId="9" fillId="12" borderId="46" xfId="0" applyFont="1" applyFill="1" applyBorder="1" applyAlignment="1">
      <alignment vertical="center" wrapText="1"/>
    </xf>
    <xf numFmtId="0" fontId="9" fillId="12" borderId="39" xfId="0" applyFont="1" applyFill="1" applyBorder="1" applyAlignment="1">
      <alignment vertical="center" wrapText="1"/>
    </xf>
    <xf numFmtId="0" fontId="20" fillId="7" borderId="48" xfId="0" applyFont="1" applyFill="1" applyBorder="1" applyAlignment="1">
      <alignment vertical="top" wrapText="1"/>
    </xf>
    <xf numFmtId="0" fontId="43" fillId="9" borderId="44" xfId="0" applyFont="1" applyFill="1" applyBorder="1" applyAlignment="1">
      <alignment vertical="center"/>
    </xf>
    <xf numFmtId="0" fontId="45" fillId="0" borderId="0" xfId="0" applyFont="1"/>
    <xf numFmtId="0" fontId="46" fillId="0" borderId="0" xfId="0" applyFont="1" applyAlignment="1">
      <alignment wrapText="1"/>
    </xf>
    <xf numFmtId="165" fontId="46" fillId="0" borderId="0" xfId="0" applyNumberFormat="1" applyFont="1" applyAlignment="1">
      <alignment wrapText="1"/>
    </xf>
    <xf numFmtId="0" fontId="20" fillId="13" borderId="40" xfId="0" applyFont="1" applyFill="1" applyBorder="1" applyAlignment="1">
      <alignment horizontal="left" vertical="top"/>
    </xf>
    <xf numFmtId="0" fontId="20" fillId="13" borderId="45" xfId="0" applyFont="1" applyFill="1" applyBorder="1" applyAlignment="1">
      <alignment horizontal="left" vertical="top"/>
    </xf>
    <xf numFmtId="0" fontId="20" fillId="17" borderId="63" xfId="0" applyFont="1" applyFill="1" applyBorder="1" applyAlignment="1">
      <alignment horizontal="left" vertical="top"/>
    </xf>
    <xf numFmtId="2" fontId="20" fillId="13" borderId="53" xfId="0" applyNumberFormat="1" applyFont="1" applyFill="1" applyBorder="1" applyAlignment="1">
      <alignment horizontal="left" vertical="top"/>
    </xf>
    <xf numFmtId="2" fontId="20" fillId="13" borderId="60" xfId="0" applyNumberFormat="1" applyFont="1" applyFill="1" applyBorder="1" applyAlignment="1">
      <alignment horizontal="left" vertical="top"/>
    </xf>
    <xf numFmtId="0" fontId="21" fillId="17" borderId="51" xfId="0" applyFont="1" applyFill="1" applyBorder="1" applyAlignment="1">
      <alignment horizontal="left" vertical="top" wrapText="1"/>
    </xf>
    <xf numFmtId="0" fontId="20" fillId="11" borderId="44" xfId="0" applyFont="1" applyFill="1" applyBorder="1" applyAlignment="1">
      <alignment horizontal="center" vertical="center"/>
    </xf>
    <xf numFmtId="0" fontId="20" fillId="7" borderId="44" xfId="0" applyFont="1" applyFill="1" applyBorder="1" applyAlignment="1">
      <alignment horizontal="center" vertical="center" wrapText="1"/>
    </xf>
    <xf numFmtId="0" fontId="20" fillId="7" borderId="44" xfId="0" applyFont="1" applyFill="1" applyBorder="1" applyAlignment="1">
      <alignment vertical="center" wrapText="1"/>
    </xf>
    <xf numFmtId="0" fontId="21" fillId="11" borderId="40" xfId="0" applyFont="1" applyFill="1" applyBorder="1" applyAlignment="1">
      <alignment vertical="center" wrapText="1"/>
    </xf>
    <xf numFmtId="0" fontId="29" fillId="11" borderId="51" xfId="0" applyFont="1" applyFill="1" applyBorder="1" applyAlignment="1">
      <alignment horizontal="left" vertical="top" wrapText="1"/>
    </xf>
    <xf numFmtId="0" fontId="29" fillId="11" borderId="66" xfId="0" applyFont="1" applyFill="1" applyBorder="1" applyAlignment="1">
      <alignment horizontal="left" vertical="top" wrapText="1"/>
    </xf>
    <xf numFmtId="0" fontId="29" fillId="11" borderId="48" xfId="0" applyFont="1" applyFill="1" applyBorder="1" applyAlignment="1">
      <alignment horizontal="left" vertical="top" wrapText="1"/>
    </xf>
    <xf numFmtId="0" fontId="29" fillId="11" borderId="4" xfId="0" applyFont="1" applyFill="1" applyBorder="1" applyAlignment="1">
      <alignment horizontal="left" vertical="center" wrapText="1"/>
    </xf>
    <xf numFmtId="0" fontId="19" fillId="4" borderId="49" xfId="0" applyFont="1" applyFill="1" applyBorder="1" applyAlignment="1">
      <alignment horizontal="center" vertical="center" wrapText="1"/>
    </xf>
    <xf numFmtId="0" fontId="20" fillId="11" borderId="44" xfId="0" applyFont="1" applyFill="1" applyBorder="1" applyAlignment="1">
      <alignment horizontal="left" vertical="center" wrapText="1"/>
    </xf>
    <xf numFmtId="0" fontId="21" fillId="11" borderId="44" xfId="0" applyFont="1" applyFill="1" applyBorder="1" applyAlignment="1">
      <alignment vertical="center"/>
    </xf>
    <xf numFmtId="0" fontId="9" fillId="12" borderId="40" xfId="0" applyFont="1" applyFill="1" applyBorder="1" applyAlignment="1">
      <alignment vertical="center" wrapText="1"/>
    </xf>
    <xf numFmtId="0" fontId="32" fillId="18" borderId="47" xfId="0" applyFont="1" applyFill="1" applyBorder="1" applyAlignment="1">
      <alignment horizontal="center" vertical="center" wrapText="1"/>
    </xf>
    <xf numFmtId="0" fontId="32" fillId="18" borderId="59" xfId="0" applyFont="1" applyFill="1" applyBorder="1" applyAlignment="1">
      <alignment horizontal="center" vertical="center" wrapText="1"/>
    </xf>
    <xf numFmtId="0" fontId="20" fillId="7" borderId="44" xfId="0" applyFont="1" applyFill="1" applyBorder="1" applyAlignment="1">
      <alignment horizontal="left" vertical="center" wrapText="1"/>
    </xf>
    <xf numFmtId="0" fontId="20" fillId="7" borderId="44" xfId="0" applyFont="1" applyFill="1" applyBorder="1" applyAlignment="1">
      <alignment horizontal="left" vertical="top" wrapText="1"/>
    </xf>
    <xf numFmtId="2" fontId="20" fillId="13" borderId="44" xfId="0" applyNumberFormat="1" applyFont="1" applyFill="1" applyBorder="1" applyAlignment="1">
      <alignment horizontal="left" vertical="top" wrapText="1"/>
    </xf>
    <xf numFmtId="2" fontId="20" fillId="13" borderId="14" xfId="0" applyNumberFormat="1" applyFont="1" applyFill="1" applyBorder="1" applyAlignment="1">
      <alignment horizontal="left" vertical="top" wrapText="1"/>
    </xf>
    <xf numFmtId="2" fontId="20" fillId="17" borderId="14" xfId="0" applyNumberFormat="1" applyFont="1" applyFill="1" applyBorder="1" applyAlignment="1">
      <alignment horizontal="left" vertical="top" wrapText="1"/>
    </xf>
    <xf numFmtId="2" fontId="30" fillId="13" borderId="14" xfId="0" applyNumberFormat="1" applyFont="1" applyFill="1" applyBorder="1" applyAlignment="1">
      <alignment horizontal="left" vertical="top" wrapText="1"/>
    </xf>
    <xf numFmtId="2" fontId="20" fillId="17" borderId="0" xfId="0" applyNumberFormat="1" applyFont="1" applyFill="1" applyAlignment="1">
      <alignment horizontal="left" vertical="top" wrapText="1"/>
    </xf>
    <xf numFmtId="2" fontId="20" fillId="17" borderId="44" xfId="0" applyNumberFormat="1" applyFont="1" applyFill="1" applyBorder="1" applyAlignment="1">
      <alignment horizontal="left" vertical="top" wrapText="1"/>
    </xf>
    <xf numFmtId="0" fontId="20" fillId="0" borderId="0" xfId="0" applyFont="1" applyAlignment="1">
      <alignment horizontal="center" wrapText="1"/>
    </xf>
    <xf numFmtId="0" fontId="2" fillId="0" borderId="29" xfId="0" applyFont="1" applyBorder="1" applyAlignment="1">
      <alignment wrapText="1"/>
    </xf>
    <xf numFmtId="0" fontId="42" fillId="0" borderId="29" xfId="0" applyFont="1" applyBorder="1" applyAlignment="1">
      <alignment wrapText="1"/>
    </xf>
    <xf numFmtId="0" fontId="36" fillId="0" borderId="29" xfId="0" applyFont="1" applyBorder="1" applyAlignment="1">
      <alignment wrapText="1"/>
    </xf>
    <xf numFmtId="0" fontId="45" fillId="0" borderId="0" xfId="0" applyFont="1" applyAlignment="1">
      <alignment wrapText="1"/>
    </xf>
    <xf numFmtId="0" fontId="47" fillId="0" borderId="29" xfId="0" applyFont="1" applyBorder="1" applyAlignment="1">
      <alignment wrapText="1"/>
    </xf>
    <xf numFmtId="2" fontId="20" fillId="13" borderId="42" xfId="0" applyNumberFormat="1" applyFont="1" applyFill="1" applyBorder="1" applyAlignment="1">
      <alignment horizontal="left" vertical="top"/>
    </xf>
    <xf numFmtId="2" fontId="20" fillId="13" borderId="18" xfId="0" applyNumberFormat="1" applyFont="1" applyFill="1" applyBorder="1" applyAlignment="1">
      <alignment horizontal="left" vertical="top" wrapText="1"/>
    </xf>
    <xf numFmtId="2" fontId="20" fillId="13" borderId="43" xfId="0" applyNumberFormat="1" applyFont="1" applyFill="1" applyBorder="1" applyAlignment="1">
      <alignment horizontal="left" vertical="top"/>
    </xf>
    <xf numFmtId="2" fontId="20" fillId="13" borderId="44" xfId="0" applyNumberFormat="1" applyFont="1" applyFill="1" applyBorder="1" applyAlignment="1">
      <alignment vertical="top"/>
    </xf>
    <xf numFmtId="2" fontId="20" fillId="13" borderId="44" xfId="0" applyNumberFormat="1" applyFont="1" applyFill="1" applyBorder="1" applyAlignment="1">
      <alignment vertical="top" wrapText="1"/>
    </xf>
    <xf numFmtId="0" fontId="20" fillId="13" borderId="44" xfId="0" applyFont="1" applyFill="1" applyBorder="1" applyAlignment="1">
      <alignment vertical="top" wrapText="1"/>
    </xf>
    <xf numFmtId="4" fontId="0" fillId="0" borderId="0" xfId="0" applyNumberFormat="1"/>
    <xf numFmtId="0" fontId="1" fillId="13" borderId="53" xfId="0" applyFont="1" applyFill="1" applyBorder="1" applyAlignment="1">
      <alignment horizontal="left" vertical="top" wrapText="1"/>
    </xf>
    <xf numFmtId="0" fontId="1" fillId="13" borderId="0" xfId="0" applyFont="1" applyFill="1" applyAlignment="1">
      <alignment horizontal="left" vertical="top" wrapText="1"/>
    </xf>
    <xf numFmtId="0" fontId="1" fillId="13" borderId="63" xfId="0" applyFont="1" applyFill="1" applyBorder="1" applyAlignment="1">
      <alignment horizontal="left" vertical="top" wrapText="1"/>
    </xf>
    <xf numFmtId="0" fontId="7" fillId="3" borderId="7" xfId="0" applyFont="1" applyFill="1" applyBorder="1" applyAlignment="1">
      <alignment horizontal="left" vertical="top" wrapText="1"/>
    </xf>
    <xf numFmtId="0" fontId="4" fillId="0" borderId="11" xfId="0" applyFont="1" applyBorder="1"/>
    <xf numFmtId="0" fontId="4" fillId="0" borderId="15" xfId="0" applyFont="1" applyBorder="1"/>
    <xf numFmtId="0" fontId="10" fillId="2" borderId="8" xfId="0" applyFont="1" applyFill="1" applyBorder="1" applyAlignment="1">
      <alignment vertical="top" wrapText="1"/>
    </xf>
    <xf numFmtId="0" fontId="4" fillId="0" borderId="16" xfId="0" applyFont="1" applyBorder="1"/>
    <xf numFmtId="0" fontId="4" fillId="0" borderId="12" xfId="0" applyFont="1" applyBorder="1"/>
    <xf numFmtId="0" fontId="4" fillId="0" borderId="19" xfId="0" applyFont="1" applyBorder="1"/>
    <xf numFmtId="0" fontId="4" fillId="0" borderId="13" xfId="0" applyFont="1" applyBorder="1"/>
    <xf numFmtId="0" fontId="8" fillId="2" borderId="8" xfId="0" applyFont="1" applyFill="1" applyBorder="1" applyAlignment="1">
      <alignment vertical="top" wrapText="1"/>
    </xf>
    <xf numFmtId="0" fontId="2" fillId="0" borderId="3" xfId="0" applyFont="1" applyBorder="1"/>
    <xf numFmtId="0" fontId="4" fillId="0" borderId="4" xfId="0" applyFont="1" applyBorder="1"/>
    <xf numFmtId="0" fontId="2" fillId="0" borderId="3" xfId="0" applyFont="1" applyBorder="1" applyAlignment="1">
      <alignment vertical="top"/>
    </xf>
    <xf numFmtId="0" fontId="4" fillId="0" borderId="4" xfId="0" applyFont="1" applyBorder="1" applyAlignment="1">
      <alignment vertical="top"/>
    </xf>
    <xf numFmtId="0" fontId="2" fillId="0" borderId="3" xfId="0" applyFont="1" applyBorder="1" applyAlignment="1">
      <alignment vertical="top" wrapText="1"/>
    </xf>
    <xf numFmtId="0" fontId="4" fillId="0" borderId="4" xfId="0" applyFont="1" applyBorder="1" applyAlignment="1">
      <alignment vertical="top" wrapText="1"/>
    </xf>
    <xf numFmtId="0" fontId="10" fillId="2" borderId="21" xfId="0" applyFont="1" applyFill="1" applyBorder="1" applyAlignment="1">
      <alignment horizontal="left" vertical="top" wrapText="1"/>
    </xf>
    <xf numFmtId="0" fontId="4" fillId="0" borderId="23" xfId="0" applyFont="1" applyBorder="1"/>
    <xf numFmtId="0" fontId="4" fillId="0" borderId="25" xfId="0" applyFont="1" applyBorder="1"/>
    <xf numFmtId="0" fontId="2" fillId="0" borderId="21" xfId="0" applyFont="1" applyBorder="1" applyAlignment="1">
      <alignment horizontal="left" vertical="center" wrapText="1"/>
    </xf>
    <xf numFmtId="0" fontId="2" fillId="0" borderId="31" xfId="0" applyFont="1" applyBorder="1" applyAlignment="1">
      <alignment horizontal="left" vertical="center" wrapText="1"/>
    </xf>
    <xf numFmtId="0" fontId="18" fillId="2" borderId="16" xfId="0" applyFont="1" applyFill="1" applyBorder="1" applyAlignment="1">
      <alignment vertical="center" wrapText="1"/>
    </xf>
    <xf numFmtId="0" fontId="18" fillId="2" borderId="0" xfId="0" applyFont="1" applyFill="1" applyAlignment="1">
      <alignment vertical="center" wrapText="1"/>
    </xf>
    <xf numFmtId="0" fontId="0" fillId="0" borderId="0" xfId="0"/>
    <xf numFmtId="0" fontId="10" fillId="2" borderId="6" xfId="0" applyFont="1" applyFill="1" applyBorder="1" applyAlignment="1">
      <alignment vertical="top" wrapText="1"/>
    </xf>
    <xf numFmtId="0" fontId="4" fillId="0" borderId="32" xfId="0" applyFont="1" applyBorder="1"/>
    <xf numFmtId="0" fontId="4" fillId="0" borderId="9" xfId="0" applyFont="1" applyBorder="1"/>
    <xf numFmtId="0" fontId="13" fillId="2" borderId="8" xfId="0" applyFont="1" applyFill="1" applyBorder="1" applyAlignment="1">
      <alignment vertical="center" wrapText="1"/>
    </xf>
    <xf numFmtId="0" fontId="12" fillId="2" borderId="21" xfId="0" applyFont="1" applyFill="1" applyBorder="1" applyAlignment="1">
      <alignment vertical="center"/>
    </xf>
    <xf numFmtId="0" fontId="4" fillId="0" borderId="31" xfId="0" applyFont="1" applyBorder="1"/>
    <xf numFmtId="0" fontId="12" fillId="2" borderId="21" xfId="0" applyFont="1" applyFill="1" applyBorder="1" applyAlignment="1">
      <alignment vertical="center" wrapText="1"/>
    </xf>
    <xf numFmtId="0" fontId="20" fillId="13" borderId="42" xfId="0" applyFont="1" applyFill="1" applyBorder="1" applyAlignment="1">
      <alignment horizontal="left" wrapText="1"/>
    </xf>
    <xf numFmtId="0" fontId="20" fillId="13" borderId="43" xfId="0" applyFont="1" applyFill="1" applyBorder="1" applyAlignment="1">
      <alignment horizontal="left" wrapText="1"/>
    </xf>
    <xf numFmtId="0" fontId="20" fillId="13" borderId="4" xfId="0" applyFont="1" applyFill="1" applyBorder="1" applyAlignment="1">
      <alignment horizontal="left" vertical="top" wrapText="1"/>
    </xf>
    <xf numFmtId="0" fontId="20" fillId="13" borderId="14" xfId="0" applyFont="1" applyFill="1" applyBorder="1" applyAlignment="1">
      <alignment horizontal="left" vertical="top" wrapText="1"/>
    </xf>
    <xf numFmtId="0" fontId="20" fillId="13" borderId="45" xfId="0" applyFont="1" applyFill="1" applyBorder="1" applyAlignment="1">
      <alignment horizontal="left" vertical="top"/>
    </xf>
    <xf numFmtId="0" fontId="20" fillId="13" borderId="47" xfId="0" applyFont="1" applyFill="1" applyBorder="1" applyAlignment="1">
      <alignment horizontal="left" vertical="top"/>
    </xf>
    <xf numFmtId="0" fontId="20" fillId="13" borderId="42" xfId="0" applyFont="1" applyFill="1" applyBorder="1" applyAlignment="1">
      <alignment horizontal="left" vertical="top" wrapText="1"/>
    </xf>
    <xf numFmtId="0" fontId="20" fillId="13" borderId="43" xfId="0" applyFont="1" applyFill="1" applyBorder="1" applyAlignment="1">
      <alignment horizontal="left" vertical="top" wrapText="1"/>
    </xf>
    <xf numFmtId="2" fontId="20" fillId="13" borderId="65" xfId="0" applyNumberFormat="1" applyFont="1" applyFill="1" applyBorder="1" applyAlignment="1">
      <alignment horizontal="left" vertical="top"/>
    </xf>
    <xf numFmtId="2" fontId="20" fillId="13" borderId="64" xfId="0" applyNumberFormat="1" applyFont="1" applyFill="1" applyBorder="1" applyAlignment="1">
      <alignment horizontal="left" vertical="top"/>
    </xf>
    <xf numFmtId="0" fontId="20" fillId="13" borderId="42" xfId="0" applyFont="1" applyFill="1" applyBorder="1" applyAlignment="1">
      <alignment vertical="top" wrapText="1"/>
    </xf>
    <xf numFmtId="0" fontId="20" fillId="13" borderId="43" xfId="0" applyFont="1" applyFill="1" applyBorder="1" applyAlignment="1">
      <alignment vertical="top" wrapText="1"/>
    </xf>
    <xf numFmtId="0" fontId="20" fillId="12" borderId="52" xfId="0" applyFont="1" applyFill="1" applyBorder="1" applyAlignment="1">
      <alignment horizontal="center" vertical="center" wrapText="1"/>
    </xf>
    <xf numFmtId="0" fontId="20" fillId="12" borderId="43" xfId="0" applyFont="1" applyFill="1" applyBorder="1" applyAlignment="1">
      <alignment horizontal="center" vertical="center" wrapText="1"/>
    </xf>
    <xf numFmtId="0" fontId="20" fillId="12" borderId="46" xfId="0" applyFont="1" applyFill="1" applyBorder="1" applyAlignment="1">
      <alignment vertical="center" wrapText="1"/>
    </xf>
    <xf numFmtId="0" fontId="20" fillId="12" borderId="47" xfId="0" applyFont="1" applyFill="1" applyBorder="1" applyAlignment="1">
      <alignment vertical="center" wrapText="1"/>
    </xf>
    <xf numFmtId="0" fontId="20" fillId="12" borderId="45" xfId="0" applyFont="1" applyFill="1" applyBorder="1" applyAlignment="1">
      <alignment horizontal="left" vertical="center" wrapText="1"/>
    </xf>
    <xf numFmtId="0" fontId="20" fillId="12" borderId="47" xfId="0" applyFont="1" applyFill="1" applyBorder="1" applyAlignment="1">
      <alignment horizontal="left" vertical="center" wrapText="1"/>
    </xf>
    <xf numFmtId="0" fontId="21" fillId="12" borderId="42" xfId="0" applyFont="1" applyFill="1" applyBorder="1" applyAlignment="1">
      <alignment vertical="center" wrapText="1"/>
    </xf>
    <xf numFmtId="0" fontId="21" fillId="12" borderId="43" xfId="0" applyFont="1" applyFill="1" applyBorder="1" applyAlignment="1">
      <alignment vertical="center" wrapText="1"/>
    </xf>
    <xf numFmtId="0" fontId="4" fillId="12" borderId="42" xfId="0" applyFont="1" applyFill="1" applyBorder="1" applyAlignment="1">
      <alignment horizontal="center" vertical="center"/>
    </xf>
    <xf numFmtId="0" fontId="4" fillId="12" borderId="52" xfId="0" applyFont="1" applyFill="1" applyBorder="1" applyAlignment="1">
      <alignment horizontal="center" vertical="center"/>
    </xf>
    <xf numFmtId="0" fontId="4" fillId="12" borderId="45" xfId="0" applyFont="1" applyFill="1" applyBorder="1" applyAlignment="1">
      <alignment vertical="center" wrapText="1"/>
    </xf>
    <xf numFmtId="0" fontId="4" fillId="12" borderId="46" xfId="0" applyFont="1" applyFill="1" applyBorder="1" applyAlignment="1">
      <alignment vertical="center" wrapText="1"/>
    </xf>
    <xf numFmtId="0" fontId="20" fillId="7" borderId="44" xfId="0" applyFont="1" applyFill="1" applyBorder="1" applyAlignment="1">
      <alignment horizontal="center" vertical="center"/>
    </xf>
    <xf numFmtId="0" fontId="31" fillId="12" borderId="42" xfId="0" applyFont="1" applyFill="1" applyBorder="1" applyAlignment="1">
      <alignment vertical="center" wrapText="1"/>
    </xf>
    <xf numFmtId="0" fontId="31" fillId="12" borderId="43" xfId="0" applyFont="1" applyFill="1" applyBorder="1" applyAlignment="1">
      <alignment vertical="center" wrapText="1"/>
    </xf>
    <xf numFmtId="0" fontId="4" fillId="12" borderId="42" xfId="0" applyFont="1" applyFill="1" applyBorder="1" applyAlignment="1">
      <alignment horizontal="center" vertical="center" wrapText="1"/>
    </xf>
    <xf numFmtId="0" fontId="4" fillId="12" borderId="43" xfId="0" applyFont="1" applyFill="1" applyBorder="1" applyAlignment="1">
      <alignment horizontal="center" vertical="center" wrapText="1"/>
    </xf>
    <xf numFmtId="0" fontId="4" fillId="12" borderId="47" xfId="0" applyFont="1" applyFill="1" applyBorder="1" applyAlignment="1">
      <alignment vertical="center" wrapText="1"/>
    </xf>
    <xf numFmtId="0" fontId="20" fillId="7" borderId="44" xfId="0" applyFont="1" applyFill="1" applyBorder="1" applyAlignment="1">
      <alignment horizontal="center" vertical="center" wrapText="1"/>
    </xf>
    <xf numFmtId="0" fontId="29" fillId="12" borderId="42" xfId="0" applyFont="1" applyFill="1" applyBorder="1" applyAlignment="1">
      <alignment vertical="center" wrapText="1"/>
    </xf>
    <xf numFmtId="0" fontId="20" fillId="12" borderId="43" xfId="0" applyFont="1" applyFill="1" applyBorder="1" applyAlignment="1">
      <alignment vertical="center" wrapText="1"/>
    </xf>
    <xf numFmtId="0" fontId="4" fillId="12" borderId="42" xfId="0" applyFont="1" applyFill="1" applyBorder="1" applyAlignment="1">
      <alignment vertical="center" wrapText="1"/>
    </xf>
    <xf numFmtId="0" fontId="4" fillId="12" borderId="43" xfId="0" applyFont="1" applyFill="1" applyBorder="1" applyAlignment="1">
      <alignment vertical="center" wrapText="1"/>
    </xf>
    <xf numFmtId="0" fontId="20" fillId="12" borderId="42" xfId="0" applyFont="1" applyFill="1" applyBorder="1" applyAlignment="1">
      <alignment vertical="center" wrapText="1"/>
    </xf>
    <xf numFmtId="0" fontId="20" fillId="12" borderId="46" xfId="0" applyFont="1" applyFill="1" applyBorder="1" applyAlignment="1">
      <alignment vertical="center"/>
    </xf>
    <xf numFmtId="0" fontId="20" fillId="12" borderId="47" xfId="0" applyFont="1" applyFill="1" applyBorder="1" applyAlignment="1">
      <alignment vertical="center"/>
    </xf>
    <xf numFmtId="0" fontId="20" fillId="7" borderId="44" xfId="0" applyFont="1" applyFill="1" applyBorder="1" applyAlignment="1">
      <alignment horizontal="left" vertical="center" wrapText="1"/>
    </xf>
    <xf numFmtId="0" fontId="21" fillId="11" borderId="42" xfId="0" applyFont="1" applyFill="1" applyBorder="1" applyAlignment="1">
      <alignment horizontal="center" vertical="center" wrapText="1"/>
    </xf>
    <xf numFmtId="0" fontId="21" fillId="11" borderId="52" xfId="0" applyFont="1" applyFill="1" applyBorder="1" applyAlignment="1">
      <alignment horizontal="center" vertical="center" wrapText="1"/>
    </xf>
    <xf numFmtId="0" fontId="21" fillId="11" borderId="43" xfId="0" applyFont="1" applyFill="1" applyBorder="1" applyAlignment="1">
      <alignment horizontal="center" vertical="center" wrapText="1"/>
    </xf>
    <xf numFmtId="0" fontId="21" fillId="11" borderId="45" xfId="0" applyFont="1" applyFill="1" applyBorder="1" applyAlignment="1">
      <alignment vertical="center" wrapText="1"/>
    </xf>
    <xf numFmtId="0" fontId="21" fillId="11" borderId="46" xfId="0" applyFont="1" applyFill="1" applyBorder="1" applyAlignment="1">
      <alignment vertical="center" wrapText="1"/>
    </xf>
    <xf numFmtId="0" fontId="21" fillId="11" borderId="47" xfId="0" applyFont="1" applyFill="1" applyBorder="1" applyAlignment="1">
      <alignment vertical="center" wrapText="1"/>
    </xf>
    <xf numFmtId="0" fontId="21" fillId="11" borderId="45" xfId="0" applyFont="1" applyFill="1" applyBorder="1" applyAlignment="1">
      <alignment vertical="center"/>
    </xf>
    <xf numFmtId="0" fontId="21" fillId="11" borderId="46" xfId="0" applyFont="1" applyFill="1" applyBorder="1" applyAlignment="1">
      <alignment vertical="center"/>
    </xf>
    <xf numFmtId="0" fontId="21" fillId="11" borderId="39" xfId="0" applyFont="1" applyFill="1" applyBorder="1" applyAlignment="1">
      <alignment horizontal="center" vertical="center" wrapText="1"/>
    </xf>
    <xf numFmtId="0" fontId="21" fillId="11" borderId="40" xfId="0" applyFont="1" applyFill="1" applyBorder="1" applyAlignment="1">
      <alignment vertical="center"/>
    </xf>
    <xf numFmtId="0" fontId="20" fillId="11" borderId="39" xfId="0" applyFont="1" applyFill="1" applyBorder="1" applyAlignment="1">
      <alignment horizontal="center" vertical="center" wrapText="1"/>
    </xf>
    <xf numFmtId="0" fontId="21" fillId="11" borderId="44" xfId="0" applyFont="1" applyFill="1" applyBorder="1" applyAlignment="1">
      <alignment vertical="center" wrapText="1"/>
    </xf>
    <xf numFmtId="0" fontId="21" fillId="5" borderId="36" xfId="0" applyFont="1" applyFill="1" applyBorder="1" applyAlignment="1">
      <alignment vertical="center"/>
    </xf>
    <xf numFmtId="0" fontId="21" fillId="5" borderId="35" xfId="0" applyFont="1" applyFill="1" applyBorder="1" applyAlignment="1">
      <alignment vertical="center"/>
    </xf>
    <xf numFmtId="0" fontId="21" fillId="12" borderId="52" xfId="0" applyFont="1" applyFill="1" applyBorder="1" applyAlignment="1">
      <alignment vertical="center" wrapText="1"/>
    </xf>
    <xf numFmtId="0" fontId="20" fillId="11" borderId="44" xfId="0" applyFont="1" applyFill="1" applyBorder="1" applyAlignment="1">
      <alignment horizontal="left" vertical="center" wrapText="1"/>
    </xf>
    <xf numFmtId="0" fontId="20" fillId="11" borderId="44" xfId="0" applyFont="1" applyFill="1" applyBorder="1" applyAlignment="1">
      <alignment horizontal="center" vertical="center"/>
    </xf>
    <xf numFmtId="0" fontId="20" fillId="11" borderId="42" xfId="0" applyFont="1" applyFill="1" applyBorder="1" applyAlignment="1">
      <alignment horizontal="center" vertical="center" wrapText="1"/>
    </xf>
    <xf numFmtId="0" fontId="20" fillId="11" borderId="52" xfId="0" applyFont="1" applyFill="1" applyBorder="1" applyAlignment="1">
      <alignment horizontal="center" vertical="center" wrapText="1"/>
    </xf>
    <xf numFmtId="0" fontId="20" fillId="11" borderId="43" xfId="0" applyFont="1" applyFill="1" applyBorder="1" applyAlignment="1">
      <alignment horizontal="center" vertical="center" wrapText="1"/>
    </xf>
    <xf numFmtId="0" fontId="21" fillId="6" borderId="55" xfId="0" applyFont="1" applyFill="1" applyBorder="1" applyAlignment="1">
      <alignment horizontal="center" vertical="center" wrapText="1"/>
    </xf>
    <xf numFmtId="0" fontId="20" fillId="7" borderId="18" xfId="0" applyFont="1" applyFill="1" applyBorder="1" applyAlignment="1">
      <alignment horizontal="left" vertical="center" wrapText="1"/>
    </xf>
    <xf numFmtId="0" fontId="20" fillId="7" borderId="4" xfId="0" applyFont="1" applyFill="1" applyBorder="1" applyAlignment="1">
      <alignment horizontal="left" vertical="center" wrapText="1"/>
    </xf>
    <xf numFmtId="0" fontId="20" fillId="7" borderId="14" xfId="0" applyFont="1" applyFill="1" applyBorder="1" applyAlignment="1">
      <alignment horizontal="left" vertical="center" wrapText="1"/>
    </xf>
    <xf numFmtId="0" fontId="20" fillId="7" borderId="4" xfId="0" applyFont="1" applyFill="1" applyBorder="1" applyAlignment="1">
      <alignment horizontal="left" vertical="top" wrapText="1"/>
    </xf>
    <xf numFmtId="0" fontId="20" fillId="7" borderId="14" xfId="0" applyFont="1" applyFill="1" applyBorder="1" applyAlignment="1">
      <alignment horizontal="left" vertical="top" wrapText="1"/>
    </xf>
    <xf numFmtId="0" fontId="20" fillId="7" borderId="48" xfId="0" applyFont="1" applyFill="1" applyBorder="1" applyAlignment="1">
      <alignment horizontal="left" vertical="center" wrapText="1"/>
    </xf>
    <xf numFmtId="0" fontId="22" fillId="8" borderId="35" xfId="0" applyFont="1" applyFill="1" applyBorder="1" applyAlignment="1">
      <alignment horizontal="left" vertical="top" wrapText="1"/>
    </xf>
    <xf numFmtId="0" fontId="4" fillId="0" borderId="35" xfId="0" applyFont="1" applyBorder="1" applyAlignment="1">
      <alignment horizontal="left" vertical="top"/>
    </xf>
    <xf numFmtId="0" fontId="4" fillId="0" borderId="37" xfId="0" applyFont="1" applyBorder="1" applyAlignment="1">
      <alignment horizontal="left" vertical="top"/>
    </xf>
    <xf numFmtId="0" fontId="20" fillId="7" borderId="42" xfId="0" applyFont="1" applyFill="1" applyBorder="1" applyAlignment="1">
      <alignment horizontal="left" vertical="top" wrapText="1"/>
    </xf>
    <xf numFmtId="0" fontId="20" fillId="7" borderId="43" xfId="0" applyFont="1" applyFill="1" applyBorder="1" applyAlignment="1">
      <alignment horizontal="left" vertical="top" wrapText="1"/>
    </xf>
    <xf numFmtId="0" fontId="20" fillId="7" borderId="43" xfId="0" applyFont="1" applyFill="1" applyBorder="1" applyAlignment="1">
      <alignment horizontal="left" vertical="center" wrapText="1"/>
    </xf>
    <xf numFmtId="0" fontId="29" fillId="7" borderId="42" xfId="0" applyFont="1" applyFill="1" applyBorder="1" applyAlignment="1">
      <alignment horizontal="left" vertical="center" wrapText="1"/>
    </xf>
    <xf numFmtId="0" fontId="31" fillId="13" borderId="57" xfId="0" applyFont="1" applyFill="1" applyBorder="1" applyAlignment="1">
      <alignment horizontal="left" vertical="top" wrapText="1"/>
    </xf>
    <xf numFmtId="0" fontId="31" fillId="13" borderId="58" xfId="0" applyFont="1" applyFill="1" applyBorder="1" applyAlignment="1">
      <alignment horizontal="left" vertical="top" wrapText="1"/>
    </xf>
    <xf numFmtId="0" fontId="31" fillId="13" borderId="59" xfId="0" applyFont="1" applyFill="1" applyBorder="1" applyAlignment="1">
      <alignment horizontal="left" vertical="top" wrapText="1"/>
    </xf>
    <xf numFmtId="0" fontId="31" fillId="13" borderId="49" xfId="0" applyFont="1" applyFill="1" applyBorder="1" applyAlignment="1">
      <alignment horizontal="left" vertical="top" wrapText="1"/>
    </xf>
    <xf numFmtId="0" fontId="22" fillId="13" borderId="42" xfId="0" applyFont="1" applyFill="1" applyBorder="1" applyAlignment="1">
      <alignment horizontal="left" vertical="top" wrapText="1"/>
    </xf>
    <xf numFmtId="0" fontId="22" fillId="13" borderId="52" xfId="0" applyFont="1" applyFill="1" applyBorder="1" applyAlignment="1">
      <alignment horizontal="left" vertical="top" wrapText="1"/>
    </xf>
    <xf numFmtId="0" fontId="22" fillId="13" borderId="46" xfId="0" applyFont="1" applyFill="1" applyBorder="1" applyAlignment="1">
      <alignment horizontal="left" vertical="top" wrapText="1"/>
    </xf>
    <xf numFmtId="0" fontId="22" fillId="13" borderId="43" xfId="0" applyFont="1" applyFill="1" applyBorder="1" applyAlignment="1">
      <alignment horizontal="left" vertical="top" wrapText="1"/>
    </xf>
    <xf numFmtId="0" fontId="31" fillId="13" borderId="42" xfId="0" applyFont="1" applyFill="1" applyBorder="1" applyAlignment="1">
      <alignment horizontal="left" vertical="top" wrapText="1"/>
    </xf>
    <xf numFmtId="0" fontId="31" fillId="13" borderId="52" xfId="0" applyFont="1" applyFill="1" applyBorder="1" applyAlignment="1">
      <alignment horizontal="left" vertical="top" wrapText="1"/>
    </xf>
    <xf numFmtId="0" fontId="31" fillId="13" borderId="43" xfId="0" applyFont="1" applyFill="1" applyBorder="1" applyAlignment="1">
      <alignment horizontal="left" vertical="top" wrapText="1"/>
    </xf>
    <xf numFmtId="0" fontId="20" fillId="7" borderId="42" xfId="0" quotePrefix="1" applyFont="1" applyFill="1" applyBorder="1" applyAlignment="1">
      <alignment vertical="top" wrapText="1"/>
    </xf>
    <xf numFmtId="0" fontId="20" fillId="7" borderId="43" xfId="0" quotePrefix="1" applyFont="1" applyFill="1" applyBorder="1" applyAlignment="1">
      <alignment vertical="top" wrapText="1"/>
    </xf>
    <xf numFmtId="0" fontId="20" fillId="7" borderId="42" xfId="0" applyFont="1" applyFill="1" applyBorder="1" applyAlignment="1">
      <alignment vertical="top" wrapText="1"/>
    </xf>
    <xf numFmtId="0" fontId="20" fillId="7" borderId="43" xfId="0" applyFont="1" applyFill="1" applyBorder="1" applyAlignment="1">
      <alignment vertical="top" wrapText="1"/>
    </xf>
    <xf numFmtId="0" fontId="20" fillId="7" borderId="44" xfId="0" applyFont="1" applyFill="1" applyBorder="1" applyAlignment="1">
      <alignment horizontal="left" vertical="top" wrapText="1"/>
    </xf>
    <xf numFmtId="0" fontId="20" fillId="11" borderId="42" xfId="0" applyFont="1" applyFill="1" applyBorder="1" applyAlignment="1">
      <alignment horizontal="left" vertical="top" wrapText="1"/>
    </xf>
    <xf numFmtId="0" fontId="20" fillId="11" borderId="52" xfId="0" applyFont="1" applyFill="1" applyBorder="1" applyAlignment="1">
      <alignment horizontal="left" vertical="top" wrapText="1"/>
    </xf>
    <xf numFmtId="0" fontId="20" fillId="11" borderId="43" xfId="0" applyFont="1" applyFill="1" applyBorder="1" applyAlignment="1">
      <alignment horizontal="left" vertical="top" wrapText="1"/>
    </xf>
    <xf numFmtId="0" fontId="20" fillId="11" borderId="39" xfId="0" applyFont="1" applyFill="1" applyBorder="1" applyAlignment="1">
      <alignment horizontal="left" vertical="top" wrapText="1"/>
    </xf>
    <xf numFmtId="0" fontId="20" fillId="12" borderId="42" xfId="0" applyFont="1" applyFill="1" applyBorder="1" applyAlignment="1">
      <alignment horizontal="left" vertical="top" wrapText="1"/>
    </xf>
    <xf numFmtId="0" fontId="20" fillId="12" borderId="43" xfId="0" applyFont="1" applyFill="1" applyBorder="1" applyAlignment="1">
      <alignment horizontal="left" vertical="top" wrapText="1"/>
    </xf>
    <xf numFmtId="0" fontId="22" fillId="13" borderId="49" xfId="0" applyFont="1" applyFill="1" applyBorder="1" applyAlignment="1">
      <alignment horizontal="left" vertical="top" wrapText="1"/>
    </xf>
    <xf numFmtId="0" fontId="22" fillId="13" borderId="58" xfId="0" applyFont="1" applyFill="1" applyBorder="1" applyAlignment="1">
      <alignment horizontal="left" vertical="top" wrapText="1"/>
    </xf>
    <xf numFmtId="0" fontId="22" fillId="13" borderId="59" xfId="0" applyFont="1" applyFill="1" applyBorder="1" applyAlignment="1">
      <alignment horizontal="left" vertical="top" wrapText="1"/>
    </xf>
    <xf numFmtId="9" fontId="20" fillId="7" borderId="39" xfId="0" applyNumberFormat="1" applyFont="1" applyFill="1" applyBorder="1" applyAlignment="1">
      <alignment vertical="top" wrapText="1"/>
    </xf>
  </cellXfs>
  <cellStyles count="2">
    <cellStyle name="Comma" xfId="1" builtinId="3"/>
    <cellStyle name="Normal" xfId="0" builtinId="0"/>
  </cellStyles>
  <dxfs count="1">
    <dxf>
      <font>
        <color rgb="FF9C0006"/>
      </font>
      <fill>
        <patternFill>
          <bgColor rgb="FFFFC7CE"/>
        </patternFill>
      </fill>
    </dxf>
  </dxfs>
  <tableStyles count="1" defaultTableStyle="TableStyleMedium2" defaultPivotStyle="PivotStyleLight16">
    <tableStyle name="Invisible" pivot="0" table="0" count="0" xr9:uid="{419820D0-6BBF-4310-A536-3879FAE242E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ocumenttasks/documenttask1.xml><?xml version="1.0" encoding="utf-8"?>
<Tasks xmlns="http://schemas.microsoft.com/office/tasks/2019/documenttasks">
  <Task id="{0FE74CDE-41CB-4B90-9AA7-3E5588A2B475}">
    <Anchor>
      <Comment id="{ED81B901-FC4A-4331-851A-A2B0CA795674}"/>
    </Anchor>
    <History>
      <Event time="2025-07-10T13:15:26.15" id="{20BEB1E1-D8A5-4B30-8B58-F58F69EE5E0C}">
        <Attribution userId="S::anjiraini@wwfint.org::d557b7a7-4bb2-40fd-91c0-864ae5da9c3c" userName="Andrew Njiraini" userProvider="AD"/>
        <Anchor>
          <Comment id="{ED81B901-FC4A-4331-851A-A2B0CA795674}"/>
        </Anchor>
        <Create/>
      </Event>
      <Event time="2025-07-10T13:15:26.15" id="{8311FA54-A54B-4C95-9B59-111441514AC8}">
        <Attribution userId="S::anjiraini@wwfint.org::d557b7a7-4bb2-40fd-91c0-864ae5da9c3c" userName="Andrew Njiraini" userProvider="AD"/>
        <Anchor>
          <Comment id="{ED81B901-FC4A-4331-851A-A2B0CA795674}"/>
        </Anchor>
        <Assign userId="S::aononino@wwfcam.org::600e72eb-5e00-4e5a-a254-7faa73ec9bae" userName="Alain Ononino" userProvider="AD"/>
      </Event>
      <Event time="2025-07-10T13:15:26.15" id="{AE02B44A-F3F8-441B-842A-E0385E0C9AD6}">
        <Attribution userId="S::anjiraini@wwfint.org::d557b7a7-4bb2-40fd-91c0-864ae5da9c3c" userName="Andrew Njiraini" userProvider="AD"/>
        <Anchor>
          <Comment id="{ED81B901-FC4A-4331-851A-A2B0CA795674}"/>
        </Anchor>
        <SetTitle title="@Alain Ononino OSP risk assessment yet to be completed before the finalisation of the OSP"/>
      </Event>
      <Event time="2025-07-10T13:39:06.86" id="{0C643732-3EFE-4AA8-864C-EB4058B410FB}">
        <Attribution userId="S::aononino@wwfcam.org::600e72eb-5e00-4e5a-a254-7faa73ec9bae" userName="Alain Ononino" userProvider="AD"/>
        <Anchor>
          <Comment id="{FBD94654-BAF8-4616-917B-905F311FC9E5}"/>
        </Anchor>
        <UnassignAll/>
      </Event>
      <Event time="2025-07-10T13:39:06.86" id="{08F404C7-919A-440A-AFCD-86029999D06B}">
        <Attribution userId="S::aononino@wwfcam.org::600e72eb-5e00-4e5a-a254-7faa73ec9bae" userName="Alain Ononino" userProvider="AD"/>
        <Anchor>
          <Comment id="{FBD94654-BAF8-4616-917B-905F311FC9E5}"/>
        </Anchor>
        <Assign userId="S::antongho@wwfcam.org::da504469-837c-4567-b299-81912a82fc87" userName="Anne Ntongho" userProvider="AD"/>
      </Event>
    </History>
  </Task>
</Tasks>
</file>

<file path=xl/persons/person.xml><?xml version="1.0" encoding="utf-8"?>
<personList xmlns="http://schemas.microsoft.com/office/spreadsheetml/2018/threadedcomments" xmlns:x="http://schemas.openxmlformats.org/spreadsheetml/2006/main">
  <person displayName="Anne Ntongho" id="{71A4DF77-8157-4923-83CB-C93D3CD02AF9}" userId="antongho@wwfcam.org" providerId="PeoplePicker"/>
  <person displayName="Alain Ononino" id="{DEAFFAB3-A20E-44D1-8281-B6768FD8930B}" userId="aononino@wwfcam.org" providerId="PeoplePicker"/>
  <person displayName="Alain Ononino" id="{E908E0CA-4BC1-4576-9B10-728EB7C603DE}" userId="S::aononino@wwfcam.org::600e72eb-5e00-4e5a-a254-7faa73ec9bae" providerId="AD"/>
  <person displayName="Andrew Njiraini" id="{4C8FF2E8-A034-4F60-AB95-5750B19899C8}" userId="S::anjiraini@wwfint.org::d557b7a7-4bb2-40fd-91c0-864ae5da9c3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 dT="2025-07-10T13:15:25.97" personId="{4C8FF2E8-A034-4F60-AB95-5750B19899C8}" id="{ED81B901-FC4A-4331-851A-A2B0CA795674}">
    <text xml:space="preserve">@Alain Ononino OSP risk assessment yet to be completed before the finalisation of the OSP </text>
    <mentions>
      <mention mentionpersonId="{DEAFFAB3-A20E-44D1-8281-B6768FD8930B}" mentionId="{595A29A7-D9F6-4429-B49A-3F5C656283D9}" startIndex="0" length="14"/>
    </mentions>
  </threadedComment>
  <threadedComment ref="O1" dT="2025-07-10T13:39:07.00" personId="{E908E0CA-4BC1-4576-9B10-728EB7C603DE}" id="{FBD94654-BAF8-4616-917B-905F311FC9E5}" parentId="{ED81B901-FC4A-4331-851A-A2B0CA795674}">
    <text>@Anne Ntongho, please handle this</text>
    <mentions>
      <mention mentionpersonId="{71A4DF77-8157-4923-83CB-C93D3CD02AF9}" mentionId="{7611A89E-5873-42E2-B84C-D9A88ADBC650}" startIndex="0" length="13"/>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sites.google.com/wwf.panda.org/networkstandards/policy-areas/project-and-initiative-management/2-4-guidance-by-ppms-step" TargetMode="External"/><Relationship Id="rId1" Type="http://schemas.openxmlformats.org/officeDocument/2006/relationships/hyperlink" Target="https://docs.google.com/document/d/1Yf9FS3-lfBxl0m3i-Vhrw6evzd6Z2oIVjc4GuzK85DY/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ites.google.com/wwf.panda.org/policyportal/corporate-partnerships"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google.com/spreadsheets/d/12w9iVzqPBKFrypyBXrGP7D5opTqItKBmNHEHdp55NzQ/edit?gid=2139057269" TargetMode="External"/><Relationship Id="rId2" Type="http://schemas.openxmlformats.org/officeDocument/2006/relationships/hyperlink" Target="https://docs.google.com/document/d/1ET4NoRCPXj9JSFroxgGZ44kO9lW6i7NNU02J-UMBai8/edit" TargetMode="External"/><Relationship Id="rId1" Type="http://schemas.openxmlformats.org/officeDocument/2006/relationships/hyperlink" Target="https://docs.google.com/spreadsheets/d/1rJSNz1LG_KOqoudVFglodx47HZ9LR-M6iVlRYMvn9Wk/ed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sites.google.com/wwf.panda.org/networkstandards/policy-areas/project-and-initiative-management/2-4-guidance-by-ppms-step" TargetMode="Externa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3"/>
  <sheetViews>
    <sheetView topLeftCell="A11" workbookViewId="0">
      <selection activeCell="D12" sqref="D12"/>
    </sheetView>
  </sheetViews>
  <sheetFormatPr defaultColWidth="12.81640625" defaultRowHeight="15.75" customHeight="1" x14ac:dyDescent="0.25"/>
  <cols>
    <col min="1" max="1" width="14.81640625" customWidth="1"/>
    <col min="2" max="2" width="19.54296875" customWidth="1"/>
    <col min="3" max="3" width="22.1796875" customWidth="1"/>
    <col min="4" max="4" width="100.81640625" customWidth="1"/>
  </cols>
  <sheetData>
    <row r="1" spans="1:26" ht="13" x14ac:dyDescent="0.25">
      <c r="A1" s="1"/>
      <c r="B1" s="2" t="s">
        <v>0</v>
      </c>
      <c r="C1" s="367"/>
      <c r="D1" s="368"/>
    </row>
    <row r="2" spans="1:26" ht="117" x14ac:dyDescent="0.25">
      <c r="A2" s="3" t="s">
        <v>1</v>
      </c>
      <c r="B2" s="4" t="s">
        <v>2</v>
      </c>
      <c r="C2" s="369" t="s">
        <v>3</v>
      </c>
      <c r="D2" s="370"/>
    </row>
    <row r="3" spans="1:26" ht="80.25" customHeight="1" x14ac:dyDescent="0.25">
      <c r="A3" s="3" t="s">
        <v>4</v>
      </c>
      <c r="B3" s="4" t="s">
        <v>5</v>
      </c>
      <c r="C3" s="367"/>
      <c r="D3" s="368"/>
    </row>
    <row r="4" spans="1:26" ht="98.5" customHeight="1" x14ac:dyDescent="0.25">
      <c r="A4" s="3" t="s">
        <v>6</v>
      </c>
      <c r="B4" s="4" t="s">
        <v>7</v>
      </c>
      <c r="C4" s="371" t="s">
        <v>8</v>
      </c>
      <c r="D4" s="370"/>
    </row>
    <row r="5" spans="1:26" ht="29.25" customHeight="1" x14ac:dyDescent="0.25">
      <c r="A5" s="358" t="s">
        <v>9</v>
      </c>
      <c r="B5" s="366" t="s">
        <v>10</v>
      </c>
      <c r="C5" s="5" t="s">
        <v>11</v>
      </c>
      <c r="D5" s="6" t="s">
        <v>12</v>
      </c>
      <c r="E5" s="7"/>
      <c r="F5" s="7"/>
      <c r="G5" s="7"/>
      <c r="H5" s="7"/>
      <c r="I5" s="7"/>
      <c r="J5" s="7"/>
      <c r="K5" s="7"/>
      <c r="L5" s="7"/>
      <c r="M5" s="7"/>
      <c r="N5" s="7"/>
      <c r="O5" s="7"/>
      <c r="P5" s="7"/>
      <c r="Q5" s="7"/>
      <c r="R5" s="7"/>
      <c r="S5" s="7"/>
      <c r="T5" s="7"/>
      <c r="U5" s="7"/>
      <c r="V5" s="7"/>
      <c r="W5" s="7"/>
      <c r="X5" s="7"/>
      <c r="Y5" s="7"/>
      <c r="Z5" s="7"/>
    </row>
    <row r="6" spans="1:26" ht="32.25" customHeight="1" x14ac:dyDescent="0.25">
      <c r="A6" s="359"/>
      <c r="B6" s="363"/>
      <c r="C6" s="8" t="s">
        <v>13</v>
      </c>
      <c r="D6" s="9" t="s">
        <v>14</v>
      </c>
      <c r="E6" s="7"/>
      <c r="F6" s="7"/>
      <c r="G6" s="7"/>
      <c r="H6" s="7"/>
      <c r="I6" s="7"/>
      <c r="J6" s="7"/>
      <c r="K6" s="7"/>
      <c r="L6" s="7"/>
      <c r="M6" s="7"/>
      <c r="N6" s="7"/>
      <c r="O6" s="7"/>
      <c r="P6" s="7"/>
      <c r="Q6" s="7"/>
      <c r="R6" s="7"/>
      <c r="S6" s="7"/>
      <c r="T6" s="7"/>
      <c r="U6" s="7"/>
      <c r="V6" s="7"/>
      <c r="W6" s="7"/>
      <c r="X6" s="7"/>
      <c r="Y6" s="7"/>
      <c r="Z6" s="7"/>
    </row>
    <row r="7" spans="1:26" ht="169.5" customHeight="1" x14ac:dyDescent="0.25">
      <c r="A7" s="3" t="s">
        <v>15</v>
      </c>
      <c r="B7" s="4" t="s">
        <v>16</v>
      </c>
      <c r="C7" s="371" t="s">
        <v>17</v>
      </c>
      <c r="D7" s="372"/>
    </row>
    <row r="8" spans="1:26" ht="143" x14ac:dyDescent="0.25">
      <c r="A8" s="3" t="s">
        <v>18</v>
      </c>
      <c r="B8" s="4" t="s">
        <v>19</v>
      </c>
      <c r="C8" s="371" t="s">
        <v>20</v>
      </c>
      <c r="D8" s="370"/>
    </row>
    <row r="9" spans="1:26" ht="13" x14ac:dyDescent="0.25">
      <c r="A9" s="358" t="s">
        <v>21</v>
      </c>
      <c r="B9" s="361" t="s">
        <v>22</v>
      </c>
      <c r="C9" s="10" t="s">
        <v>23</v>
      </c>
      <c r="D9" s="11" t="s">
        <v>24</v>
      </c>
      <c r="E9" s="7"/>
    </row>
    <row r="10" spans="1:26" ht="203" x14ac:dyDescent="0.25">
      <c r="A10" s="360"/>
      <c r="B10" s="362"/>
      <c r="C10" s="147" t="s">
        <v>25</v>
      </c>
      <c r="D10" s="198" t="s">
        <v>26</v>
      </c>
      <c r="E10" s="7"/>
    </row>
    <row r="11" spans="1:26" ht="377" x14ac:dyDescent="0.25">
      <c r="A11" s="360"/>
      <c r="B11" s="362"/>
      <c r="C11" s="12" t="s">
        <v>27</v>
      </c>
      <c r="D11" s="148" t="s">
        <v>28</v>
      </c>
      <c r="E11" s="7"/>
    </row>
    <row r="12" spans="1:26" ht="409.15" customHeight="1" x14ac:dyDescent="0.25">
      <c r="A12" s="360"/>
      <c r="B12" s="362"/>
      <c r="C12" s="12" t="s">
        <v>29</v>
      </c>
      <c r="D12" s="148" t="s">
        <v>30</v>
      </c>
      <c r="E12" s="7"/>
    </row>
    <row r="13" spans="1:26" ht="66.75" customHeight="1" x14ac:dyDescent="0.25">
      <c r="A13" s="359"/>
      <c r="B13" s="363"/>
      <c r="C13" s="14" t="s">
        <v>31</v>
      </c>
      <c r="D13" s="152" t="s">
        <v>32</v>
      </c>
      <c r="E13" s="7"/>
    </row>
    <row r="14" spans="1:26" ht="61.5" customHeight="1" x14ac:dyDescent="0.25">
      <c r="A14" s="358" t="s">
        <v>33</v>
      </c>
      <c r="B14" s="361" t="s">
        <v>34</v>
      </c>
      <c r="C14" s="10" t="s">
        <v>35</v>
      </c>
      <c r="D14" s="11" t="s">
        <v>24</v>
      </c>
      <c r="E14" s="7"/>
    </row>
    <row r="15" spans="1:26" ht="61.5" customHeight="1" x14ac:dyDescent="0.25">
      <c r="A15" s="360"/>
      <c r="B15" s="362"/>
      <c r="C15" s="12"/>
      <c r="D15" s="13"/>
      <c r="E15" s="7"/>
    </row>
    <row r="16" spans="1:26" ht="61.5" customHeight="1" x14ac:dyDescent="0.25">
      <c r="A16" s="360"/>
      <c r="B16" s="362"/>
      <c r="C16" s="12"/>
      <c r="D16" s="13"/>
      <c r="E16" s="7"/>
    </row>
    <row r="17" spans="1:5" ht="61.5" customHeight="1" x14ac:dyDescent="0.25">
      <c r="A17" s="360"/>
      <c r="B17" s="362"/>
      <c r="C17" s="12"/>
      <c r="D17" s="13"/>
      <c r="E17" s="7"/>
    </row>
    <row r="18" spans="1:5" ht="61.5" customHeight="1" x14ac:dyDescent="0.25">
      <c r="A18" s="364"/>
      <c r="B18" s="365"/>
      <c r="C18" s="15"/>
      <c r="D18" s="9"/>
      <c r="E18" s="7"/>
    </row>
    <row r="19" spans="1:5" ht="13" x14ac:dyDescent="0.25">
      <c r="A19" s="16"/>
      <c r="B19" s="17"/>
      <c r="C19" s="367"/>
      <c r="D19" s="368"/>
    </row>
    <row r="20" spans="1:5" ht="12.5" x14ac:dyDescent="0.25">
      <c r="A20" s="18"/>
      <c r="B20" s="19"/>
    </row>
    <row r="21" spans="1:5" ht="12.5" x14ac:dyDescent="0.25">
      <c r="A21" s="18"/>
      <c r="B21" s="19"/>
    </row>
    <row r="22" spans="1:5" ht="12.5" x14ac:dyDescent="0.25">
      <c r="A22" s="18"/>
      <c r="B22" s="19"/>
    </row>
    <row r="23" spans="1:5" ht="12.5" x14ac:dyDescent="0.25">
      <c r="A23" s="18"/>
      <c r="B23" s="19"/>
    </row>
    <row r="24" spans="1:5" ht="12.5" x14ac:dyDescent="0.25">
      <c r="A24" s="18"/>
      <c r="B24" s="19"/>
    </row>
    <row r="25" spans="1:5" ht="12.5" x14ac:dyDescent="0.25">
      <c r="A25" s="18"/>
      <c r="B25" s="19"/>
    </row>
    <row r="26" spans="1:5" ht="12.5" x14ac:dyDescent="0.25">
      <c r="A26" s="18"/>
      <c r="B26" s="19"/>
    </row>
    <row r="27" spans="1:5" ht="12.5" x14ac:dyDescent="0.25">
      <c r="A27" s="18"/>
      <c r="B27" s="19"/>
    </row>
    <row r="28" spans="1:5" ht="12.5" x14ac:dyDescent="0.25">
      <c r="A28" s="18"/>
      <c r="B28" s="19"/>
    </row>
    <row r="29" spans="1:5" ht="12.5" x14ac:dyDescent="0.25">
      <c r="A29" s="18"/>
      <c r="B29" s="19"/>
    </row>
    <row r="30" spans="1:5" ht="12.5" x14ac:dyDescent="0.25">
      <c r="A30" s="18"/>
      <c r="B30" s="19"/>
    </row>
    <row r="31" spans="1:5" ht="12.5" x14ac:dyDescent="0.25">
      <c r="A31" s="18"/>
      <c r="B31" s="19"/>
    </row>
    <row r="32" spans="1:5" ht="12.5" x14ac:dyDescent="0.25">
      <c r="A32" s="18"/>
      <c r="B32" s="19"/>
    </row>
    <row r="33" spans="1:2" ht="12.5" x14ac:dyDescent="0.25">
      <c r="A33" s="18"/>
      <c r="B33" s="19"/>
    </row>
    <row r="34" spans="1:2" ht="12.5" x14ac:dyDescent="0.25">
      <c r="A34" s="18"/>
      <c r="B34" s="19"/>
    </row>
    <row r="35" spans="1:2" ht="12.5" x14ac:dyDescent="0.25">
      <c r="A35" s="18"/>
      <c r="B35" s="19"/>
    </row>
    <row r="36" spans="1:2" ht="12.5" x14ac:dyDescent="0.25">
      <c r="A36" s="18"/>
      <c r="B36" s="19"/>
    </row>
    <row r="37" spans="1:2" ht="12.5" x14ac:dyDescent="0.25">
      <c r="A37" s="18"/>
      <c r="B37" s="19"/>
    </row>
    <row r="38" spans="1:2" ht="12.5" x14ac:dyDescent="0.25">
      <c r="A38" s="18"/>
      <c r="B38" s="19"/>
    </row>
    <row r="39" spans="1:2" ht="12.5" x14ac:dyDescent="0.25">
      <c r="A39" s="18"/>
      <c r="B39" s="19"/>
    </row>
    <row r="40" spans="1:2" ht="12.5" x14ac:dyDescent="0.25">
      <c r="A40" s="18"/>
      <c r="B40" s="19"/>
    </row>
    <row r="41" spans="1:2" ht="12.5" x14ac:dyDescent="0.25">
      <c r="A41" s="18"/>
      <c r="B41" s="19"/>
    </row>
    <row r="42" spans="1:2" ht="12.5" x14ac:dyDescent="0.25">
      <c r="A42" s="18"/>
      <c r="B42" s="19"/>
    </row>
    <row r="43" spans="1:2" ht="12.5" x14ac:dyDescent="0.25">
      <c r="A43" s="18"/>
      <c r="B43" s="19"/>
    </row>
    <row r="44" spans="1:2" ht="12.5" x14ac:dyDescent="0.25">
      <c r="A44" s="18"/>
      <c r="B44" s="19"/>
    </row>
    <row r="45" spans="1:2" ht="12.5" x14ac:dyDescent="0.25">
      <c r="A45" s="18"/>
      <c r="B45" s="19"/>
    </row>
    <row r="46" spans="1:2" ht="12.5" x14ac:dyDescent="0.25">
      <c r="A46" s="18"/>
      <c r="B46" s="19"/>
    </row>
    <row r="47" spans="1:2" ht="12.5" x14ac:dyDescent="0.25">
      <c r="A47" s="18"/>
      <c r="B47" s="19"/>
    </row>
    <row r="48" spans="1:2" ht="12.5" x14ac:dyDescent="0.25">
      <c r="A48" s="18"/>
      <c r="B48" s="19"/>
    </row>
    <row r="49" spans="1:2" ht="12.5" x14ac:dyDescent="0.25">
      <c r="A49" s="18"/>
      <c r="B49" s="19"/>
    </row>
    <row r="50" spans="1:2" ht="12.5" x14ac:dyDescent="0.25">
      <c r="A50" s="18"/>
      <c r="B50" s="19"/>
    </row>
    <row r="51" spans="1:2" ht="12.5" x14ac:dyDescent="0.25">
      <c r="A51" s="18"/>
      <c r="B51" s="19"/>
    </row>
    <row r="52" spans="1:2" ht="12.5" x14ac:dyDescent="0.25">
      <c r="A52" s="18"/>
      <c r="B52" s="19"/>
    </row>
    <row r="53" spans="1:2" ht="12.5" x14ac:dyDescent="0.25">
      <c r="A53" s="18"/>
      <c r="B53" s="19"/>
    </row>
    <row r="54" spans="1:2" ht="12.5" x14ac:dyDescent="0.25">
      <c r="A54" s="18"/>
      <c r="B54" s="19"/>
    </row>
    <row r="55" spans="1:2" ht="12.5" x14ac:dyDescent="0.25">
      <c r="A55" s="18"/>
      <c r="B55" s="19"/>
    </row>
    <row r="56" spans="1:2" ht="12.5" x14ac:dyDescent="0.25">
      <c r="A56" s="18"/>
      <c r="B56" s="19"/>
    </row>
    <row r="57" spans="1:2" ht="12.5" x14ac:dyDescent="0.25">
      <c r="A57" s="18"/>
      <c r="B57" s="19"/>
    </row>
    <row r="58" spans="1:2" ht="12.5" x14ac:dyDescent="0.25">
      <c r="A58" s="18"/>
      <c r="B58" s="19"/>
    </row>
    <row r="59" spans="1:2" ht="12.5" x14ac:dyDescent="0.25">
      <c r="A59" s="18"/>
      <c r="B59" s="19"/>
    </row>
    <row r="60" spans="1:2" ht="12.5" x14ac:dyDescent="0.25">
      <c r="A60" s="18"/>
      <c r="B60" s="19"/>
    </row>
    <row r="61" spans="1:2" ht="12.5" x14ac:dyDescent="0.25">
      <c r="A61" s="18"/>
      <c r="B61" s="19"/>
    </row>
    <row r="62" spans="1:2" ht="12.5" x14ac:dyDescent="0.25">
      <c r="A62" s="18"/>
      <c r="B62" s="19"/>
    </row>
    <row r="63" spans="1:2" ht="12.5" x14ac:dyDescent="0.25">
      <c r="A63" s="18"/>
      <c r="B63" s="19"/>
    </row>
    <row r="64" spans="1:2" ht="12.5" x14ac:dyDescent="0.25">
      <c r="A64" s="18"/>
      <c r="B64" s="19"/>
    </row>
    <row r="65" spans="1:2" ht="12.5" x14ac:dyDescent="0.25">
      <c r="A65" s="18"/>
      <c r="B65" s="19"/>
    </row>
    <row r="66" spans="1:2" ht="12.5" x14ac:dyDescent="0.25">
      <c r="A66" s="18"/>
      <c r="B66" s="19"/>
    </row>
    <row r="67" spans="1:2" ht="12.5" x14ac:dyDescent="0.25">
      <c r="A67" s="18"/>
      <c r="B67" s="19"/>
    </row>
    <row r="68" spans="1:2" ht="12.5" x14ac:dyDescent="0.25">
      <c r="A68" s="18"/>
      <c r="B68" s="19"/>
    </row>
    <row r="69" spans="1:2" ht="12.5" x14ac:dyDescent="0.25">
      <c r="A69" s="18"/>
      <c r="B69" s="19"/>
    </row>
    <row r="70" spans="1:2" ht="12.5" x14ac:dyDescent="0.25">
      <c r="A70" s="18"/>
      <c r="B70" s="19"/>
    </row>
    <row r="71" spans="1:2" ht="12.5" x14ac:dyDescent="0.25">
      <c r="A71" s="18"/>
      <c r="B71" s="19"/>
    </row>
    <row r="72" spans="1:2" ht="12.5" x14ac:dyDescent="0.25">
      <c r="A72" s="18"/>
      <c r="B72" s="19"/>
    </row>
    <row r="73" spans="1:2" ht="12.5" x14ac:dyDescent="0.25">
      <c r="A73" s="18"/>
      <c r="B73" s="19"/>
    </row>
    <row r="74" spans="1:2" ht="12.5" x14ac:dyDescent="0.25">
      <c r="A74" s="18"/>
      <c r="B74" s="19"/>
    </row>
    <row r="75" spans="1:2" ht="12.5" x14ac:dyDescent="0.25">
      <c r="A75" s="18"/>
      <c r="B75" s="19"/>
    </row>
    <row r="76" spans="1:2" ht="12.5" x14ac:dyDescent="0.25">
      <c r="A76" s="18"/>
      <c r="B76" s="19"/>
    </row>
    <row r="77" spans="1:2" ht="12.5" x14ac:dyDescent="0.25">
      <c r="A77" s="18"/>
      <c r="B77" s="19"/>
    </row>
    <row r="78" spans="1:2" ht="12.5" x14ac:dyDescent="0.25">
      <c r="A78" s="18"/>
      <c r="B78" s="19"/>
    </row>
    <row r="79" spans="1:2" ht="12.5" x14ac:dyDescent="0.25">
      <c r="A79" s="18"/>
      <c r="B79" s="19"/>
    </row>
    <row r="80" spans="1:2" ht="12.5" x14ac:dyDescent="0.25">
      <c r="A80" s="18"/>
      <c r="B80" s="19"/>
    </row>
    <row r="81" spans="1:2" ht="12.5" x14ac:dyDescent="0.25">
      <c r="A81" s="18"/>
      <c r="B81" s="19"/>
    </row>
    <row r="82" spans="1:2" ht="12.5" x14ac:dyDescent="0.25">
      <c r="A82" s="18"/>
      <c r="B82" s="19"/>
    </row>
    <row r="83" spans="1:2" ht="12.5" x14ac:dyDescent="0.25">
      <c r="A83" s="18"/>
      <c r="B83" s="19"/>
    </row>
    <row r="84" spans="1:2" ht="12.5" x14ac:dyDescent="0.25">
      <c r="A84" s="18"/>
      <c r="B84" s="19"/>
    </row>
    <row r="85" spans="1:2" ht="12.5" x14ac:dyDescent="0.25">
      <c r="A85" s="18"/>
      <c r="B85" s="19"/>
    </row>
    <row r="86" spans="1:2" ht="12.5" x14ac:dyDescent="0.25">
      <c r="A86" s="18"/>
      <c r="B86" s="19"/>
    </row>
    <row r="87" spans="1:2" ht="12.5" x14ac:dyDescent="0.25">
      <c r="A87" s="18"/>
      <c r="B87" s="19"/>
    </row>
    <row r="88" spans="1:2" ht="12.5" x14ac:dyDescent="0.25">
      <c r="A88" s="18"/>
      <c r="B88" s="19"/>
    </row>
    <row r="89" spans="1:2" ht="12.5" x14ac:dyDescent="0.25">
      <c r="A89" s="18"/>
      <c r="B89" s="19"/>
    </row>
    <row r="90" spans="1:2" ht="12.5" x14ac:dyDescent="0.25">
      <c r="A90" s="18"/>
      <c r="B90" s="19"/>
    </row>
    <row r="91" spans="1:2" ht="12.5" x14ac:dyDescent="0.25">
      <c r="A91" s="18"/>
      <c r="B91" s="19"/>
    </row>
    <row r="92" spans="1:2" ht="12.5" x14ac:dyDescent="0.25">
      <c r="A92" s="18"/>
      <c r="B92" s="19"/>
    </row>
    <row r="93" spans="1:2" ht="12.5" x14ac:dyDescent="0.25">
      <c r="A93" s="18"/>
      <c r="B93" s="19"/>
    </row>
    <row r="94" spans="1:2" ht="12.5" x14ac:dyDescent="0.25">
      <c r="A94" s="18"/>
      <c r="B94" s="19"/>
    </row>
    <row r="95" spans="1:2" ht="12.5" x14ac:dyDescent="0.25">
      <c r="A95" s="18"/>
      <c r="B95" s="19"/>
    </row>
    <row r="96" spans="1:2" ht="12.5" x14ac:dyDescent="0.25">
      <c r="A96" s="18"/>
      <c r="B96" s="19"/>
    </row>
    <row r="97" spans="1:2" ht="12.5" x14ac:dyDescent="0.25">
      <c r="A97" s="18"/>
      <c r="B97" s="19"/>
    </row>
    <row r="98" spans="1:2" ht="12.5" x14ac:dyDescent="0.25">
      <c r="A98" s="18"/>
      <c r="B98" s="19"/>
    </row>
    <row r="99" spans="1:2" ht="12.5" x14ac:dyDescent="0.25">
      <c r="A99" s="18"/>
      <c r="B99" s="19"/>
    </row>
    <row r="100" spans="1:2" ht="12.5" x14ac:dyDescent="0.25">
      <c r="A100" s="18"/>
      <c r="B100" s="19"/>
    </row>
    <row r="101" spans="1:2" ht="12.5" x14ac:dyDescent="0.25">
      <c r="A101" s="18"/>
      <c r="B101" s="19"/>
    </row>
    <row r="102" spans="1:2" ht="12.5" x14ac:dyDescent="0.25">
      <c r="A102" s="18"/>
      <c r="B102" s="19"/>
    </row>
    <row r="103" spans="1:2" ht="12.5" x14ac:dyDescent="0.25">
      <c r="A103" s="18"/>
      <c r="B103" s="19"/>
    </row>
    <row r="104" spans="1:2" ht="12.5" x14ac:dyDescent="0.25">
      <c r="A104" s="18"/>
      <c r="B104" s="19"/>
    </row>
    <row r="105" spans="1:2" ht="12.5" x14ac:dyDescent="0.25">
      <c r="A105" s="18"/>
      <c r="B105" s="19"/>
    </row>
    <row r="106" spans="1:2" ht="12.5" x14ac:dyDescent="0.25">
      <c r="A106" s="18"/>
      <c r="B106" s="19"/>
    </row>
    <row r="107" spans="1:2" ht="12.5" x14ac:dyDescent="0.25">
      <c r="A107" s="18"/>
      <c r="B107" s="19"/>
    </row>
    <row r="108" spans="1:2" ht="12.5" x14ac:dyDescent="0.25">
      <c r="A108" s="18"/>
      <c r="B108" s="19"/>
    </row>
    <row r="109" spans="1:2" ht="12.5" x14ac:dyDescent="0.25">
      <c r="A109" s="18"/>
      <c r="B109" s="19"/>
    </row>
    <row r="110" spans="1:2" ht="12.5" x14ac:dyDescent="0.25">
      <c r="A110" s="18"/>
      <c r="B110" s="19"/>
    </row>
    <row r="111" spans="1:2" ht="12.5" x14ac:dyDescent="0.25">
      <c r="A111" s="18"/>
      <c r="B111" s="19"/>
    </row>
    <row r="112" spans="1:2" ht="12.5" x14ac:dyDescent="0.25">
      <c r="A112" s="18"/>
      <c r="B112" s="19"/>
    </row>
    <row r="113" spans="1:2" ht="12.5" x14ac:dyDescent="0.25">
      <c r="A113" s="18"/>
      <c r="B113" s="19"/>
    </row>
    <row r="114" spans="1:2" ht="12.5" x14ac:dyDescent="0.25">
      <c r="A114" s="18"/>
      <c r="B114" s="19"/>
    </row>
    <row r="115" spans="1:2" ht="12.5" x14ac:dyDescent="0.25">
      <c r="A115" s="18"/>
      <c r="B115" s="19"/>
    </row>
    <row r="116" spans="1:2" ht="12.5" x14ac:dyDescent="0.25">
      <c r="A116" s="18"/>
      <c r="B116" s="19"/>
    </row>
    <row r="117" spans="1:2" ht="12.5" x14ac:dyDescent="0.25">
      <c r="A117" s="18"/>
      <c r="B117" s="19"/>
    </row>
    <row r="118" spans="1:2" ht="12.5" x14ac:dyDescent="0.25">
      <c r="A118" s="18"/>
      <c r="B118" s="19"/>
    </row>
    <row r="119" spans="1:2" ht="12.5" x14ac:dyDescent="0.25">
      <c r="A119" s="18"/>
      <c r="B119" s="19"/>
    </row>
    <row r="120" spans="1:2" ht="12.5" x14ac:dyDescent="0.25">
      <c r="A120" s="18"/>
      <c r="B120" s="19"/>
    </row>
    <row r="121" spans="1:2" ht="12.5" x14ac:dyDescent="0.25">
      <c r="A121" s="18"/>
      <c r="B121" s="19"/>
    </row>
    <row r="122" spans="1:2" ht="12.5" x14ac:dyDescent="0.25">
      <c r="A122" s="18"/>
      <c r="B122" s="19"/>
    </row>
    <row r="123" spans="1:2" ht="12.5" x14ac:dyDescent="0.25">
      <c r="A123" s="18"/>
      <c r="B123" s="19"/>
    </row>
    <row r="124" spans="1:2" ht="12.5" x14ac:dyDescent="0.25">
      <c r="A124" s="18"/>
      <c r="B124" s="19"/>
    </row>
    <row r="125" spans="1:2" ht="12.5" x14ac:dyDescent="0.25">
      <c r="A125" s="18"/>
      <c r="B125" s="19"/>
    </row>
    <row r="126" spans="1:2" ht="12.5" x14ac:dyDescent="0.25">
      <c r="A126" s="18"/>
      <c r="B126" s="19"/>
    </row>
    <row r="127" spans="1:2" ht="12.5" x14ac:dyDescent="0.25">
      <c r="A127" s="18"/>
      <c r="B127" s="19"/>
    </row>
    <row r="128" spans="1:2" ht="12.5" x14ac:dyDescent="0.25">
      <c r="A128" s="18"/>
      <c r="B128" s="19"/>
    </row>
    <row r="129" spans="1:2" ht="12.5" x14ac:dyDescent="0.25">
      <c r="A129" s="18"/>
      <c r="B129" s="19"/>
    </row>
    <row r="130" spans="1:2" ht="12.5" x14ac:dyDescent="0.25">
      <c r="A130" s="18"/>
      <c r="B130" s="19"/>
    </row>
    <row r="131" spans="1:2" ht="12.5" x14ac:dyDescent="0.25">
      <c r="A131" s="18"/>
      <c r="B131" s="19"/>
    </row>
    <row r="132" spans="1:2" ht="12.5" x14ac:dyDescent="0.25">
      <c r="A132" s="18"/>
      <c r="B132" s="19"/>
    </row>
    <row r="133" spans="1:2" ht="12.5" x14ac:dyDescent="0.25">
      <c r="A133" s="18"/>
      <c r="B133" s="19"/>
    </row>
    <row r="134" spans="1:2" ht="12.5" x14ac:dyDescent="0.25">
      <c r="A134" s="18"/>
      <c r="B134" s="19"/>
    </row>
    <row r="135" spans="1:2" ht="12.5" x14ac:dyDescent="0.25">
      <c r="A135" s="18"/>
      <c r="B135" s="19"/>
    </row>
    <row r="136" spans="1:2" ht="12.5" x14ac:dyDescent="0.25">
      <c r="A136" s="18"/>
      <c r="B136" s="19"/>
    </row>
    <row r="137" spans="1:2" ht="12.5" x14ac:dyDescent="0.25">
      <c r="A137" s="18"/>
      <c r="B137" s="19"/>
    </row>
    <row r="138" spans="1:2" ht="12.5" x14ac:dyDescent="0.25">
      <c r="A138" s="18"/>
      <c r="B138" s="19"/>
    </row>
    <row r="139" spans="1:2" ht="12.5" x14ac:dyDescent="0.25">
      <c r="A139" s="18"/>
      <c r="B139" s="19"/>
    </row>
    <row r="140" spans="1:2" ht="12.5" x14ac:dyDescent="0.25">
      <c r="A140" s="18"/>
      <c r="B140" s="19"/>
    </row>
    <row r="141" spans="1:2" ht="12.5" x14ac:dyDescent="0.25">
      <c r="A141" s="18"/>
      <c r="B141" s="19"/>
    </row>
    <row r="142" spans="1:2" ht="12.5" x14ac:dyDescent="0.25">
      <c r="A142" s="18"/>
      <c r="B142" s="19"/>
    </row>
    <row r="143" spans="1:2" ht="12.5" x14ac:dyDescent="0.25">
      <c r="A143" s="18"/>
      <c r="B143" s="19"/>
    </row>
    <row r="144" spans="1:2" ht="12.5" x14ac:dyDescent="0.25">
      <c r="A144" s="18"/>
      <c r="B144" s="19"/>
    </row>
    <row r="145" spans="1:2" ht="12.5" x14ac:dyDescent="0.25">
      <c r="A145" s="18"/>
      <c r="B145" s="19"/>
    </row>
    <row r="146" spans="1:2" ht="12.5" x14ac:dyDescent="0.25">
      <c r="A146" s="18"/>
      <c r="B146" s="19"/>
    </row>
    <row r="147" spans="1:2" ht="12.5" x14ac:dyDescent="0.25">
      <c r="A147" s="18"/>
      <c r="B147" s="19"/>
    </row>
    <row r="148" spans="1:2" ht="12.5" x14ac:dyDescent="0.25">
      <c r="A148" s="18"/>
      <c r="B148" s="19"/>
    </row>
    <row r="149" spans="1:2" ht="12.5" x14ac:dyDescent="0.25">
      <c r="A149" s="18"/>
      <c r="B149" s="19"/>
    </row>
    <row r="150" spans="1:2" ht="12.5" x14ac:dyDescent="0.25">
      <c r="A150" s="18"/>
      <c r="B150" s="19"/>
    </row>
    <row r="151" spans="1:2" ht="12.5" x14ac:dyDescent="0.25">
      <c r="A151" s="18"/>
      <c r="B151" s="19"/>
    </row>
    <row r="152" spans="1:2" ht="12.5" x14ac:dyDescent="0.25">
      <c r="A152" s="18"/>
      <c r="B152" s="19"/>
    </row>
    <row r="153" spans="1:2" ht="12.5" x14ac:dyDescent="0.25">
      <c r="A153" s="18"/>
      <c r="B153" s="19"/>
    </row>
    <row r="154" spans="1:2" ht="12.5" x14ac:dyDescent="0.25">
      <c r="A154" s="18"/>
      <c r="B154" s="19"/>
    </row>
    <row r="155" spans="1:2" ht="12.5" x14ac:dyDescent="0.25">
      <c r="A155" s="18"/>
      <c r="B155" s="19"/>
    </row>
    <row r="156" spans="1:2" ht="12.5" x14ac:dyDescent="0.25">
      <c r="A156" s="18"/>
      <c r="B156" s="19"/>
    </row>
    <row r="157" spans="1:2" ht="12.5" x14ac:dyDescent="0.25">
      <c r="A157" s="18"/>
      <c r="B157" s="19"/>
    </row>
    <row r="158" spans="1:2" ht="12.5" x14ac:dyDescent="0.25">
      <c r="A158" s="18"/>
      <c r="B158" s="19"/>
    </row>
    <row r="159" spans="1:2" ht="12.5" x14ac:dyDescent="0.25">
      <c r="A159" s="18"/>
      <c r="B159" s="19"/>
    </row>
    <row r="160" spans="1:2" ht="12.5" x14ac:dyDescent="0.25">
      <c r="A160" s="18"/>
      <c r="B160" s="19"/>
    </row>
    <row r="161" spans="1:2" ht="12.5" x14ac:dyDescent="0.25">
      <c r="A161" s="18"/>
      <c r="B161" s="19"/>
    </row>
    <row r="162" spans="1:2" ht="12.5" x14ac:dyDescent="0.25">
      <c r="A162" s="18"/>
      <c r="B162" s="19"/>
    </row>
    <row r="163" spans="1:2" ht="12.5" x14ac:dyDescent="0.25">
      <c r="A163" s="18"/>
      <c r="B163" s="19"/>
    </row>
    <row r="164" spans="1:2" ht="12.5" x14ac:dyDescent="0.25">
      <c r="A164" s="18"/>
      <c r="B164" s="19"/>
    </row>
    <row r="165" spans="1:2" ht="12.5" x14ac:dyDescent="0.25">
      <c r="A165" s="18"/>
      <c r="B165" s="19"/>
    </row>
    <row r="166" spans="1:2" ht="12.5" x14ac:dyDescent="0.25">
      <c r="A166" s="18"/>
      <c r="B166" s="19"/>
    </row>
    <row r="167" spans="1:2" ht="12.5" x14ac:dyDescent="0.25">
      <c r="A167" s="18"/>
      <c r="B167" s="19"/>
    </row>
    <row r="168" spans="1:2" ht="12.5" x14ac:dyDescent="0.25">
      <c r="A168" s="18"/>
      <c r="B168" s="19"/>
    </row>
    <row r="169" spans="1:2" ht="12.5" x14ac:dyDescent="0.25">
      <c r="A169" s="18"/>
      <c r="B169" s="19"/>
    </row>
    <row r="170" spans="1:2" ht="12.5" x14ac:dyDescent="0.25">
      <c r="A170" s="18"/>
      <c r="B170" s="19"/>
    </row>
    <row r="171" spans="1:2" ht="12.5" x14ac:dyDescent="0.25">
      <c r="A171" s="18"/>
      <c r="B171" s="19"/>
    </row>
    <row r="172" spans="1:2" ht="12.5" x14ac:dyDescent="0.25">
      <c r="A172" s="18"/>
      <c r="B172" s="19"/>
    </row>
    <row r="173" spans="1:2" ht="12.5" x14ac:dyDescent="0.25">
      <c r="A173" s="18"/>
      <c r="B173" s="19"/>
    </row>
    <row r="174" spans="1:2" ht="12.5" x14ac:dyDescent="0.25">
      <c r="A174" s="18"/>
      <c r="B174" s="19"/>
    </row>
    <row r="175" spans="1:2" ht="12.5" x14ac:dyDescent="0.25">
      <c r="A175" s="18"/>
      <c r="B175" s="19"/>
    </row>
    <row r="176" spans="1:2" ht="12.5" x14ac:dyDescent="0.25">
      <c r="A176" s="18"/>
      <c r="B176" s="19"/>
    </row>
    <row r="177" spans="1:2" ht="12.5" x14ac:dyDescent="0.25">
      <c r="A177" s="18"/>
      <c r="B177" s="19"/>
    </row>
    <row r="178" spans="1:2" ht="12.5" x14ac:dyDescent="0.25">
      <c r="A178" s="18"/>
      <c r="B178" s="19"/>
    </row>
    <row r="179" spans="1:2" ht="12.5" x14ac:dyDescent="0.25">
      <c r="A179" s="18"/>
      <c r="B179" s="19"/>
    </row>
    <row r="180" spans="1:2" ht="12.5" x14ac:dyDescent="0.25">
      <c r="A180" s="18"/>
      <c r="B180" s="19"/>
    </row>
    <row r="181" spans="1:2" ht="12.5" x14ac:dyDescent="0.25">
      <c r="A181" s="18"/>
      <c r="B181" s="19"/>
    </row>
    <row r="182" spans="1:2" ht="12.5" x14ac:dyDescent="0.25">
      <c r="A182" s="18"/>
      <c r="B182" s="19"/>
    </row>
    <row r="183" spans="1:2" ht="12.5" x14ac:dyDescent="0.25">
      <c r="A183" s="18"/>
      <c r="B183" s="19"/>
    </row>
    <row r="184" spans="1:2" ht="12.5" x14ac:dyDescent="0.25">
      <c r="A184" s="18"/>
      <c r="B184" s="19"/>
    </row>
    <row r="185" spans="1:2" ht="12.5" x14ac:dyDescent="0.25">
      <c r="A185" s="18"/>
      <c r="B185" s="19"/>
    </row>
    <row r="186" spans="1:2" ht="12.5" x14ac:dyDescent="0.25">
      <c r="A186" s="18"/>
      <c r="B186" s="19"/>
    </row>
    <row r="187" spans="1:2" ht="12.5" x14ac:dyDescent="0.25">
      <c r="A187" s="18"/>
      <c r="B187" s="19"/>
    </row>
    <row r="188" spans="1:2" ht="12.5" x14ac:dyDescent="0.25">
      <c r="A188" s="18"/>
      <c r="B188" s="19"/>
    </row>
    <row r="189" spans="1:2" ht="12.5" x14ac:dyDescent="0.25">
      <c r="A189" s="18"/>
      <c r="B189" s="19"/>
    </row>
    <row r="190" spans="1:2" ht="12.5" x14ac:dyDescent="0.25">
      <c r="A190" s="18"/>
      <c r="B190" s="19"/>
    </row>
    <row r="191" spans="1:2" ht="12.5" x14ac:dyDescent="0.25">
      <c r="A191" s="18"/>
      <c r="B191" s="19"/>
    </row>
    <row r="192" spans="1:2" ht="12.5" x14ac:dyDescent="0.25">
      <c r="A192" s="18"/>
      <c r="B192" s="19"/>
    </row>
    <row r="193" spans="1:2" ht="12.5" x14ac:dyDescent="0.25">
      <c r="A193" s="18"/>
      <c r="B193" s="19"/>
    </row>
    <row r="194" spans="1:2" ht="12.5" x14ac:dyDescent="0.25">
      <c r="A194" s="18"/>
      <c r="B194" s="19"/>
    </row>
    <row r="195" spans="1:2" ht="12.5" x14ac:dyDescent="0.25">
      <c r="A195" s="18"/>
      <c r="B195" s="19"/>
    </row>
    <row r="196" spans="1:2" ht="12.5" x14ac:dyDescent="0.25">
      <c r="A196" s="18"/>
      <c r="B196" s="19"/>
    </row>
    <row r="197" spans="1:2" ht="12.5" x14ac:dyDescent="0.25">
      <c r="A197" s="18"/>
      <c r="B197" s="19"/>
    </row>
    <row r="198" spans="1:2" ht="12.5" x14ac:dyDescent="0.25">
      <c r="A198" s="18"/>
      <c r="B198" s="19"/>
    </row>
    <row r="199" spans="1:2" ht="12.5" x14ac:dyDescent="0.25">
      <c r="A199" s="18"/>
      <c r="B199" s="19"/>
    </row>
    <row r="200" spans="1:2" ht="12.5" x14ac:dyDescent="0.25">
      <c r="A200" s="18"/>
      <c r="B200" s="19"/>
    </row>
    <row r="201" spans="1:2" ht="12.5" x14ac:dyDescent="0.25">
      <c r="A201" s="18"/>
      <c r="B201" s="19"/>
    </row>
    <row r="202" spans="1:2" ht="12.5" x14ac:dyDescent="0.25">
      <c r="A202" s="18"/>
      <c r="B202" s="19"/>
    </row>
    <row r="203" spans="1:2" ht="12.5" x14ac:dyDescent="0.25">
      <c r="A203" s="18"/>
      <c r="B203" s="19"/>
    </row>
    <row r="204" spans="1:2" ht="12.5" x14ac:dyDescent="0.25">
      <c r="A204" s="18"/>
      <c r="B204" s="19"/>
    </row>
    <row r="205" spans="1:2" ht="12.5" x14ac:dyDescent="0.25">
      <c r="A205" s="18"/>
      <c r="B205" s="19"/>
    </row>
    <row r="206" spans="1:2" ht="12.5" x14ac:dyDescent="0.25">
      <c r="A206" s="18"/>
      <c r="B206" s="19"/>
    </row>
    <row r="207" spans="1:2" ht="12.5" x14ac:dyDescent="0.25">
      <c r="A207" s="18"/>
      <c r="B207" s="19"/>
    </row>
    <row r="208" spans="1:2" ht="12.5" x14ac:dyDescent="0.25">
      <c r="A208" s="18"/>
      <c r="B208" s="19"/>
    </row>
    <row r="209" spans="1:2" ht="12.5" x14ac:dyDescent="0.25">
      <c r="A209" s="18"/>
      <c r="B209" s="19"/>
    </row>
    <row r="210" spans="1:2" ht="12.5" x14ac:dyDescent="0.25">
      <c r="A210" s="18"/>
      <c r="B210" s="19"/>
    </row>
    <row r="211" spans="1:2" ht="12.5" x14ac:dyDescent="0.25">
      <c r="A211" s="18"/>
      <c r="B211" s="19"/>
    </row>
    <row r="212" spans="1:2" ht="12.5" x14ac:dyDescent="0.25">
      <c r="A212" s="18"/>
      <c r="B212" s="19"/>
    </row>
    <row r="213" spans="1:2" ht="12.5" x14ac:dyDescent="0.25">
      <c r="A213" s="18"/>
      <c r="B213" s="19"/>
    </row>
    <row r="214" spans="1:2" ht="12.5" x14ac:dyDescent="0.25">
      <c r="A214" s="18"/>
      <c r="B214" s="19"/>
    </row>
    <row r="215" spans="1:2" ht="12.5" x14ac:dyDescent="0.25">
      <c r="A215" s="18"/>
      <c r="B215" s="19"/>
    </row>
    <row r="216" spans="1:2" ht="12.5" x14ac:dyDescent="0.25">
      <c r="A216" s="18"/>
      <c r="B216" s="19"/>
    </row>
    <row r="217" spans="1:2" ht="12.5" x14ac:dyDescent="0.25">
      <c r="A217" s="18"/>
      <c r="B217" s="19"/>
    </row>
    <row r="218" spans="1:2" ht="12.5" x14ac:dyDescent="0.25">
      <c r="A218" s="18"/>
      <c r="B218" s="19"/>
    </row>
    <row r="219" spans="1:2" ht="12.5" x14ac:dyDescent="0.25">
      <c r="A219" s="18"/>
      <c r="B219" s="19"/>
    </row>
    <row r="220" spans="1:2" ht="12.5" x14ac:dyDescent="0.25">
      <c r="A220" s="18"/>
      <c r="B220" s="19"/>
    </row>
    <row r="221" spans="1:2" ht="12.5" x14ac:dyDescent="0.25">
      <c r="A221" s="18"/>
      <c r="B221" s="19"/>
    </row>
    <row r="222" spans="1:2" ht="12.5" x14ac:dyDescent="0.25">
      <c r="A222" s="18"/>
      <c r="B222" s="19"/>
    </row>
    <row r="223" spans="1:2" ht="12.5" x14ac:dyDescent="0.25">
      <c r="A223" s="18"/>
      <c r="B223" s="19"/>
    </row>
    <row r="224" spans="1:2" ht="12.5" x14ac:dyDescent="0.25">
      <c r="A224" s="18"/>
      <c r="B224" s="19"/>
    </row>
    <row r="225" spans="1:2" ht="12.5" x14ac:dyDescent="0.25">
      <c r="A225" s="18"/>
      <c r="B225" s="19"/>
    </row>
    <row r="226" spans="1:2" ht="12.5" x14ac:dyDescent="0.25">
      <c r="A226" s="18"/>
      <c r="B226" s="19"/>
    </row>
    <row r="227" spans="1:2" ht="12.5" x14ac:dyDescent="0.25">
      <c r="A227" s="18"/>
      <c r="B227" s="19"/>
    </row>
    <row r="228" spans="1:2" ht="12.5" x14ac:dyDescent="0.25">
      <c r="A228" s="18"/>
      <c r="B228" s="19"/>
    </row>
    <row r="229" spans="1:2" ht="12.5" x14ac:dyDescent="0.25">
      <c r="A229" s="18"/>
      <c r="B229" s="19"/>
    </row>
    <row r="230" spans="1:2" ht="12.5" x14ac:dyDescent="0.25">
      <c r="A230" s="18"/>
      <c r="B230" s="19"/>
    </row>
    <row r="231" spans="1:2" ht="12.5" x14ac:dyDescent="0.25">
      <c r="A231" s="18"/>
      <c r="B231" s="19"/>
    </row>
    <row r="232" spans="1:2" ht="12.5" x14ac:dyDescent="0.25">
      <c r="A232" s="18"/>
      <c r="B232" s="19"/>
    </row>
    <row r="233" spans="1:2" ht="12.5" x14ac:dyDescent="0.25">
      <c r="A233" s="18"/>
      <c r="B233" s="19"/>
    </row>
    <row r="234" spans="1:2" ht="12.5" x14ac:dyDescent="0.25">
      <c r="A234" s="18"/>
      <c r="B234" s="19"/>
    </row>
    <row r="235" spans="1:2" ht="12.5" x14ac:dyDescent="0.25">
      <c r="A235" s="18"/>
      <c r="B235" s="19"/>
    </row>
    <row r="236" spans="1:2" ht="12.5" x14ac:dyDescent="0.25">
      <c r="A236" s="18"/>
      <c r="B236" s="19"/>
    </row>
    <row r="237" spans="1:2" ht="12.5" x14ac:dyDescent="0.25">
      <c r="A237" s="18"/>
      <c r="B237" s="19"/>
    </row>
    <row r="238" spans="1:2" ht="12.5" x14ac:dyDescent="0.25">
      <c r="A238" s="18"/>
      <c r="B238" s="19"/>
    </row>
    <row r="239" spans="1:2" ht="12.5" x14ac:dyDescent="0.25">
      <c r="A239" s="18"/>
      <c r="B239" s="19"/>
    </row>
    <row r="240" spans="1:2" ht="12.5" x14ac:dyDescent="0.25">
      <c r="A240" s="18"/>
      <c r="B240" s="19"/>
    </row>
    <row r="241" spans="1:2" ht="12.5" x14ac:dyDescent="0.25">
      <c r="A241" s="18"/>
      <c r="B241" s="19"/>
    </row>
    <row r="242" spans="1:2" ht="12.5" x14ac:dyDescent="0.25">
      <c r="A242" s="18"/>
      <c r="B242" s="19"/>
    </row>
    <row r="243" spans="1:2" ht="12.5" x14ac:dyDescent="0.25">
      <c r="A243" s="18"/>
      <c r="B243" s="19"/>
    </row>
    <row r="244" spans="1:2" ht="12.5" x14ac:dyDescent="0.25">
      <c r="A244" s="18"/>
      <c r="B244" s="19"/>
    </row>
    <row r="245" spans="1:2" ht="12.5" x14ac:dyDescent="0.25">
      <c r="A245" s="18"/>
      <c r="B245" s="19"/>
    </row>
    <row r="246" spans="1:2" ht="12.5" x14ac:dyDescent="0.25">
      <c r="A246" s="18"/>
      <c r="B246" s="19"/>
    </row>
    <row r="247" spans="1:2" ht="12.5" x14ac:dyDescent="0.25">
      <c r="A247" s="18"/>
      <c r="B247" s="19"/>
    </row>
    <row r="248" spans="1:2" ht="12.5" x14ac:dyDescent="0.25">
      <c r="A248" s="18"/>
      <c r="B248" s="19"/>
    </row>
    <row r="249" spans="1:2" ht="12.5" x14ac:dyDescent="0.25">
      <c r="A249" s="18"/>
      <c r="B249" s="19"/>
    </row>
    <row r="250" spans="1:2" ht="12.5" x14ac:dyDescent="0.25">
      <c r="A250" s="18"/>
      <c r="B250" s="19"/>
    </row>
    <row r="251" spans="1:2" ht="12.5" x14ac:dyDescent="0.25">
      <c r="A251" s="18"/>
      <c r="B251" s="19"/>
    </row>
    <row r="252" spans="1:2" ht="12.5" x14ac:dyDescent="0.25">
      <c r="A252" s="18"/>
      <c r="B252" s="19"/>
    </row>
    <row r="253" spans="1:2" ht="12.5" x14ac:dyDescent="0.25">
      <c r="A253" s="18"/>
      <c r="B253" s="19"/>
    </row>
    <row r="254" spans="1:2" ht="12.5" x14ac:dyDescent="0.25">
      <c r="A254" s="18"/>
      <c r="B254" s="19"/>
    </row>
    <row r="255" spans="1:2" ht="12.5" x14ac:dyDescent="0.25">
      <c r="A255" s="18"/>
      <c r="B255" s="19"/>
    </row>
    <row r="256" spans="1:2" ht="12.5" x14ac:dyDescent="0.25">
      <c r="A256" s="18"/>
      <c r="B256" s="19"/>
    </row>
    <row r="257" spans="1:2" ht="12.5" x14ac:dyDescent="0.25">
      <c r="A257" s="18"/>
      <c r="B257" s="19"/>
    </row>
    <row r="258" spans="1:2" ht="12.5" x14ac:dyDescent="0.25">
      <c r="A258" s="18"/>
      <c r="B258" s="19"/>
    </row>
    <row r="259" spans="1:2" ht="12.5" x14ac:dyDescent="0.25">
      <c r="A259" s="18"/>
      <c r="B259" s="19"/>
    </row>
    <row r="260" spans="1:2" ht="12.5" x14ac:dyDescent="0.25">
      <c r="A260" s="18"/>
      <c r="B260" s="19"/>
    </row>
    <row r="261" spans="1:2" ht="12.5" x14ac:dyDescent="0.25">
      <c r="A261" s="18"/>
      <c r="B261" s="19"/>
    </row>
    <row r="262" spans="1:2" ht="12.5" x14ac:dyDescent="0.25">
      <c r="A262" s="18"/>
      <c r="B262" s="19"/>
    </row>
    <row r="263" spans="1:2" ht="12.5" x14ac:dyDescent="0.25">
      <c r="A263" s="18"/>
      <c r="B263" s="19"/>
    </row>
    <row r="264" spans="1:2" ht="12.5" x14ac:dyDescent="0.25">
      <c r="A264" s="18"/>
      <c r="B264" s="19"/>
    </row>
    <row r="265" spans="1:2" ht="12.5" x14ac:dyDescent="0.25">
      <c r="A265" s="18"/>
      <c r="B265" s="19"/>
    </row>
    <row r="266" spans="1:2" ht="12.5" x14ac:dyDescent="0.25">
      <c r="A266" s="18"/>
      <c r="B266" s="19"/>
    </row>
    <row r="267" spans="1:2" ht="12.5" x14ac:dyDescent="0.25">
      <c r="A267" s="18"/>
      <c r="B267" s="19"/>
    </row>
    <row r="268" spans="1:2" ht="12.5" x14ac:dyDescent="0.25">
      <c r="A268" s="18"/>
      <c r="B268" s="19"/>
    </row>
    <row r="269" spans="1:2" ht="12.5" x14ac:dyDescent="0.25">
      <c r="A269" s="18"/>
      <c r="B269" s="19"/>
    </row>
    <row r="270" spans="1:2" ht="12.5" x14ac:dyDescent="0.25">
      <c r="A270" s="18"/>
      <c r="B270" s="19"/>
    </row>
    <row r="271" spans="1:2" ht="12.5" x14ac:dyDescent="0.25">
      <c r="A271" s="18"/>
      <c r="B271" s="19"/>
    </row>
    <row r="272" spans="1:2" ht="12.5" x14ac:dyDescent="0.25">
      <c r="A272" s="18"/>
      <c r="B272" s="19"/>
    </row>
    <row r="273" spans="1:2" ht="12.5" x14ac:dyDescent="0.25">
      <c r="A273" s="18"/>
      <c r="B273" s="19"/>
    </row>
    <row r="274" spans="1:2" ht="12.5" x14ac:dyDescent="0.25">
      <c r="A274" s="18"/>
      <c r="B274" s="19"/>
    </row>
    <row r="275" spans="1:2" ht="12.5" x14ac:dyDescent="0.25">
      <c r="A275" s="18"/>
      <c r="B275" s="19"/>
    </row>
    <row r="276" spans="1:2" ht="12.5" x14ac:dyDescent="0.25">
      <c r="A276" s="18"/>
      <c r="B276" s="19"/>
    </row>
    <row r="277" spans="1:2" ht="12.5" x14ac:dyDescent="0.25">
      <c r="A277" s="18"/>
      <c r="B277" s="19"/>
    </row>
    <row r="278" spans="1:2" ht="12.5" x14ac:dyDescent="0.25">
      <c r="A278" s="18"/>
      <c r="B278" s="19"/>
    </row>
    <row r="279" spans="1:2" ht="12.5" x14ac:dyDescent="0.25">
      <c r="A279" s="18"/>
      <c r="B279" s="19"/>
    </row>
    <row r="280" spans="1:2" ht="12.5" x14ac:dyDescent="0.25">
      <c r="A280" s="18"/>
      <c r="B280" s="19"/>
    </row>
    <row r="281" spans="1:2" ht="12.5" x14ac:dyDescent="0.25">
      <c r="A281" s="18"/>
      <c r="B281" s="19"/>
    </row>
    <row r="282" spans="1:2" ht="12.5" x14ac:dyDescent="0.25">
      <c r="A282" s="18"/>
      <c r="B282" s="19"/>
    </row>
    <row r="283" spans="1:2" ht="12.5" x14ac:dyDescent="0.25">
      <c r="A283" s="18"/>
      <c r="B283" s="19"/>
    </row>
    <row r="284" spans="1:2" ht="12.5" x14ac:dyDescent="0.25">
      <c r="A284" s="18"/>
      <c r="B284" s="19"/>
    </row>
    <row r="285" spans="1:2" ht="12.5" x14ac:dyDescent="0.25">
      <c r="A285" s="18"/>
      <c r="B285" s="19"/>
    </row>
    <row r="286" spans="1:2" ht="12.5" x14ac:dyDescent="0.25">
      <c r="A286" s="18"/>
      <c r="B286" s="19"/>
    </row>
    <row r="287" spans="1:2" ht="12.5" x14ac:dyDescent="0.25">
      <c r="A287" s="18"/>
      <c r="B287" s="19"/>
    </row>
    <row r="288" spans="1:2" ht="12.5" x14ac:dyDescent="0.25">
      <c r="A288" s="18"/>
      <c r="B288" s="19"/>
    </row>
    <row r="289" spans="1:2" ht="12.5" x14ac:dyDescent="0.25">
      <c r="A289" s="18"/>
      <c r="B289" s="19"/>
    </row>
    <row r="290" spans="1:2" ht="12.5" x14ac:dyDescent="0.25">
      <c r="A290" s="18"/>
      <c r="B290" s="19"/>
    </row>
    <row r="291" spans="1:2" ht="12.5" x14ac:dyDescent="0.25">
      <c r="A291" s="18"/>
      <c r="B291" s="19"/>
    </row>
    <row r="292" spans="1:2" ht="12.5" x14ac:dyDescent="0.25">
      <c r="A292" s="18"/>
      <c r="B292" s="19"/>
    </row>
    <row r="293" spans="1:2" ht="12.5" x14ac:dyDescent="0.25">
      <c r="A293" s="18"/>
      <c r="B293" s="19"/>
    </row>
    <row r="294" spans="1:2" ht="12.5" x14ac:dyDescent="0.25">
      <c r="A294" s="18"/>
      <c r="B294" s="19"/>
    </row>
    <row r="295" spans="1:2" ht="12.5" x14ac:dyDescent="0.25">
      <c r="A295" s="18"/>
      <c r="B295" s="19"/>
    </row>
    <row r="296" spans="1:2" ht="12.5" x14ac:dyDescent="0.25">
      <c r="A296" s="18"/>
      <c r="B296" s="19"/>
    </row>
    <row r="297" spans="1:2" ht="12.5" x14ac:dyDescent="0.25">
      <c r="A297" s="18"/>
      <c r="B297" s="19"/>
    </row>
    <row r="298" spans="1:2" ht="12.5" x14ac:dyDescent="0.25">
      <c r="A298" s="18"/>
      <c r="B298" s="19"/>
    </row>
    <row r="299" spans="1:2" ht="12.5" x14ac:dyDescent="0.25">
      <c r="A299" s="18"/>
      <c r="B299" s="19"/>
    </row>
    <row r="300" spans="1:2" ht="12.5" x14ac:dyDescent="0.25">
      <c r="A300" s="18"/>
      <c r="B300" s="19"/>
    </row>
    <row r="301" spans="1:2" ht="12.5" x14ac:dyDescent="0.25">
      <c r="A301" s="18"/>
      <c r="B301" s="19"/>
    </row>
    <row r="302" spans="1:2" ht="12.5" x14ac:dyDescent="0.25">
      <c r="A302" s="18"/>
      <c r="B302" s="19"/>
    </row>
    <row r="303" spans="1:2" ht="12.5" x14ac:dyDescent="0.25">
      <c r="A303" s="18"/>
      <c r="B303" s="19"/>
    </row>
    <row r="304" spans="1:2" ht="12.5" x14ac:dyDescent="0.25">
      <c r="A304" s="18"/>
      <c r="B304" s="19"/>
    </row>
    <row r="305" spans="1:2" ht="12.5" x14ac:dyDescent="0.25">
      <c r="A305" s="18"/>
      <c r="B305" s="19"/>
    </row>
    <row r="306" spans="1:2" ht="12.5" x14ac:dyDescent="0.25">
      <c r="A306" s="18"/>
      <c r="B306" s="19"/>
    </row>
    <row r="307" spans="1:2" ht="12.5" x14ac:dyDescent="0.25">
      <c r="A307" s="18"/>
      <c r="B307" s="19"/>
    </row>
    <row r="308" spans="1:2" ht="12.5" x14ac:dyDescent="0.25">
      <c r="A308" s="18"/>
      <c r="B308" s="19"/>
    </row>
    <row r="309" spans="1:2" ht="12.5" x14ac:dyDescent="0.25">
      <c r="A309" s="18"/>
      <c r="B309" s="19"/>
    </row>
    <row r="310" spans="1:2" ht="12.5" x14ac:dyDescent="0.25">
      <c r="A310" s="18"/>
      <c r="B310" s="19"/>
    </row>
    <row r="311" spans="1:2" ht="12.5" x14ac:dyDescent="0.25">
      <c r="A311" s="18"/>
      <c r="B311" s="19"/>
    </row>
    <row r="312" spans="1:2" ht="12.5" x14ac:dyDescent="0.25">
      <c r="A312" s="18"/>
      <c r="B312" s="19"/>
    </row>
    <row r="313" spans="1:2" ht="12.5" x14ac:dyDescent="0.25">
      <c r="A313" s="18"/>
      <c r="B313" s="19"/>
    </row>
    <row r="314" spans="1:2" ht="12.5" x14ac:dyDescent="0.25">
      <c r="A314" s="18"/>
      <c r="B314" s="19"/>
    </row>
    <row r="315" spans="1:2" ht="12.5" x14ac:dyDescent="0.25">
      <c r="A315" s="18"/>
      <c r="B315" s="19"/>
    </row>
    <row r="316" spans="1:2" ht="12.5" x14ac:dyDescent="0.25">
      <c r="A316" s="18"/>
      <c r="B316" s="19"/>
    </row>
    <row r="317" spans="1:2" ht="12.5" x14ac:dyDescent="0.25">
      <c r="A317" s="18"/>
      <c r="B317" s="19"/>
    </row>
    <row r="318" spans="1:2" ht="12.5" x14ac:dyDescent="0.25">
      <c r="A318" s="18"/>
      <c r="B318" s="19"/>
    </row>
    <row r="319" spans="1:2" ht="12.5" x14ac:dyDescent="0.25">
      <c r="A319" s="18"/>
      <c r="B319" s="19"/>
    </row>
    <row r="320" spans="1:2" ht="12.5" x14ac:dyDescent="0.25">
      <c r="A320" s="18"/>
      <c r="B320" s="19"/>
    </row>
    <row r="321" spans="1:2" ht="12.5" x14ac:dyDescent="0.25">
      <c r="A321" s="18"/>
      <c r="B321" s="19"/>
    </row>
    <row r="322" spans="1:2" ht="12.5" x14ac:dyDescent="0.25">
      <c r="A322" s="18"/>
      <c r="B322" s="19"/>
    </row>
    <row r="323" spans="1:2" ht="12.5" x14ac:dyDescent="0.25">
      <c r="A323" s="18"/>
      <c r="B323" s="19"/>
    </row>
    <row r="324" spans="1:2" ht="12.5" x14ac:dyDescent="0.25">
      <c r="A324" s="18"/>
      <c r="B324" s="19"/>
    </row>
    <row r="325" spans="1:2" ht="12.5" x14ac:dyDescent="0.25">
      <c r="A325" s="18"/>
      <c r="B325" s="19"/>
    </row>
    <row r="326" spans="1:2" ht="12.5" x14ac:dyDescent="0.25">
      <c r="A326" s="18"/>
      <c r="B326" s="19"/>
    </row>
    <row r="327" spans="1:2" ht="12.5" x14ac:dyDescent="0.25">
      <c r="A327" s="18"/>
      <c r="B327" s="19"/>
    </row>
    <row r="328" spans="1:2" ht="12.5" x14ac:dyDescent="0.25">
      <c r="A328" s="18"/>
      <c r="B328" s="19"/>
    </row>
    <row r="329" spans="1:2" ht="12.5" x14ac:dyDescent="0.25">
      <c r="A329" s="18"/>
      <c r="B329" s="19"/>
    </row>
    <row r="330" spans="1:2" ht="12.5" x14ac:dyDescent="0.25">
      <c r="A330" s="18"/>
      <c r="B330" s="19"/>
    </row>
    <row r="331" spans="1:2" ht="12.5" x14ac:dyDescent="0.25">
      <c r="A331" s="18"/>
      <c r="B331" s="19"/>
    </row>
    <row r="332" spans="1:2" ht="12.5" x14ac:dyDescent="0.25">
      <c r="A332" s="18"/>
      <c r="B332" s="19"/>
    </row>
    <row r="333" spans="1:2" ht="12.5" x14ac:dyDescent="0.25">
      <c r="A333" s="18"/>
      <c r="B333" s="19"/>
    </row>
    <row r="334" spans="1:2" ht="12.5" x14ac:dyDescent="0.25">
      <c r="A334" s="18"/>
      <c r="B334" s="19"/>
    </row>
    <row r="335" spans="1:2" ht="12.5" x14ac:dyDescent="0.25">
      <c r="A335" s="18"/>
      <c r="B335" s="19"/>
    </row>
    <row r="336" spans="1:2" ht="12.5" x14ac:dyDescent="0.25">
      <c r="A336" s="18"/>
      <c r="B336" s="19"/>
    </row>
    <row r="337" spans="1:2" ht="12.5" x14ac:dyDescent="0.25">
      <c r="A337" s="18"/>
      <c r="B337" s="19"/>
    </row>
    <row r="338" spans="1:2" ht="12.5" x14ac:dyDescent="0.25">
      <c r="A338" s="18"/>
      <c r="B338" s="19"/>
    </row>
    <row r="339" spans="1:2" ht="12.5" x14ac:dyDescent="0.25">
      <c r="A339" s="18"/>
      <c r="B339" s="19"/>
    </row>
    <row r="340" spans="1:2" ht="12.5" x14ac:dyDescent="0.25">
      <c r="A340" s="18"/>
      <c r="B340" s="19"/>
    </row>
    <row r="341" spans="1:2" ht="12.5" x14ac:dyDescent="0.25">
      <c r="A341" s="18"/>
      <c r="B341" s="19"/>
    </row>
    <row r="342" spans="1:2" ht="12.5" x14ac:dyDescent="0.25">
      <c r="A342" s="18"/>
      <c r="B342" s="19"/>
    </row>
    <row r="343" spans="1:2" ht="12.5" x14ac:dyDescent="0.25">
      <c r="A343" s="18"/>
      <c r="B343" s="19"/>
    </row>
    <row r="344" spans="1:2" ht="12.5" x14ac:dyDescent="0.25">
      <c r="A344" s="18"/>
      <c r="B344" s="19"/>
    </row>
    <row r="345" spans="1:2" ht="12.5" x14ac:dyDescent="0.25">
      <c r="A345" s="18"/>
      <c r="B345" s="19"/>
    </row>
    <row r="346" spans="1:2" ht="12.5" x14ac:dyDescent="0.25">
      <c r="A346" s="18"/>
      <c r="B346" s="19"/>
    </row>
    <row r="347" spans="1:2" ht="12.5" x14ac:dyDescent="0.25">
      <c r="A347" s="18"/>
      <c r="B347" s="19"/>
    </row>
    <row r="348" spans="1:2" ht="12.5" x14ac:dyDescent="0.25">
      <c r="A348" s="18"/>
      <c r="B348" s="19"/>
    </row>
    <row r="349" spans="1:2" ht="12.5" x14ac:dyDescent="0.25">
      <c r="A349" s="18"/>
      <c r="B349" s="19"/>
    </row>
    <row r="350" spans="1:2" ht="12.5" x14ac:dyDescent="0.25">
      <c r="A350" s="18"/>
      <c r="B350" s="19"/>
    </row>
    <row r="351" spans="1:2" ht="12.5" x14ac:dyDescent="0.25">
      <c r="A351" s="18"/>
      <c r="B351" s="19"/>
    </row>
    <row r="352" spans="1:2" ht="12.5" x14ac:dyDescent="0.25">
      <c r="A352" s="18"/>
      <c r="B352" s="19"/>
    </row>
    <row r="353" spans="1:2" ht="12.5" x14ac:dyDescent="0.25">
      <c r="A353" s="18"/>
      <c r="B353" s="19"/>
    </row>
    <row r="354" spans="1:2" ht="12.5" x14ac:dyDescent="0.25">
      <c r="A354" s="18"/>
      <c r="B354" s="19"/>
    </row>
    <row r="355" spans="1:2" ht="12.5" x14ac:dyDescent="0.25">
      <c r="A355" s="18"/>
      <c r="B355" s="19"/>
    </row>
    <row r="356" spans="1:2" ht="12.5" x14ac:dyDescent="0.25">
      <c r="A356" s="18"/>
      <c r="B356" s="19"/>
    </row>
    <row r="357" spans="1:2" ht="12.5" x14ac:dyDescent="0.25">
      <c r="A357" s="18"/>
      <c r="B357" s="19"/>
    </row>
    <row r="358" spans="1:2" ht="12.5" x14ac:dyDescent="0.25">
      <c r="A358" s="18"/>
      <c r="B358" s="19"/>
    </row>
    <row r="359" spans="1:2" ht="12.5" x14ac:dyDescent="0.25">
      <c r="A359" s="18"/>
      <c r="B359" s="19"/>
    </row>
    <row r="360" spans="1:2" ht="12.5" x14ac:dyDescent="0.25">
      <c r="A360" s="18"/>
      <c r="B360" s="19"/>
    </row>
    <row r="361" spans="1:2" ht="12.5" x14ac:dyDescent="0.25">
      <c r="A361" s="18"/>
      <c r="B361" s="19"/>
    </row>
    <row r="362" spans="1:2" ht="12.5" x14ac:dyDescent="0.25">
      <c r="A362" s="18"/>
      <c r="B362" s="19"/>
    </row>
    <row r="363" spans="1:2" ht="12.5" x14ac:dyDescent="0.25">
      <c r="A363" s="18"/>
      <c r="B363" s="19"/>
    </row>
    <row r="364" spans="1:2" ht="12.5" x14ac:dyDescent="0.25">
      <c r="A364" s="18"/>
      <c r="B364" s="19"/>
    </row>
    <row r="365" spans="1:2" ht="12.5" x14ac:dyDescent="0.25">
      <c r="A365" s="18"/>
      <c r="B365" s="19"/>
    </row>
    <row r="366" spans="1:2" ht="12.5" x14ac:dyDescent="0.25">
      <c r="A366" s="18"/>
      <c r="B366" s="19"/>
    </row>
    <row r="367" spans="1:2" ht="12.5" x14ac:dyDescent="0.25">
      <c r="A367" s="18"/>
      <c r="B367" s="19"/>
    </row>
    <row r="368" spans="1:2" ht="12.5" x14ac:dyDescent="0.25">
      <c r="A368" s="18"/>
      <c r="B368" s="19"/>
    </row>
    <row r="369" spans="1:2" ht="12.5" x14ac:dyDescent="0.25">
      <c r="A369" s="18"/>
      <c r="B369" s="19"/>
    </row>
    <row r="370" spans="1:2" ht="12.5" x14ac:dyDescent="0.25">
      <c r="A370" s="18"/>
      <c r="B370" s="19"/>
    </row>
    <row r="371" spans="1:2" ht="12.5" x14ac:dyDescent="0.25">
      <c r="A371" s="18"/>
      <c r="B371" s="19"/>
    </row>
    <row r="372" spans="1:2" ht="12.5" x14ac:dyDescent="0.25">
      <c r="A372" s="18"/>
      <c r="B372" s="19"/>
    </row>
    <row r="373" spans="1:2" ht="12.5" x14ac:dyDescent="0.25">
      <c r="A373" s="18"/>
      <c r="B373" s="19"/>
    </row>
    <row r="374" spans="1:2" ht="12.5" x14ac:dyDescent="0.25">
      <c r="A374" s="18"/>
      <c r="B374" s="19"/>
    </row>
    <row r="375" spans="1:2" ht="12.5" x14ac:dyDescent="0.25">
      <c r="A375" s="18"/>
      <c r="B375" s="19"/>
    </row>
    <row r="376" spans="1:2" ht="12.5" x14ac:dyDescent="0.25">
      <c r="A376" s="18"/>
      <c r="B376" s="19"/>
    </row>
    <row r="377" spans="1:2" ht="12.5" x14ac:dyDescent="0.25">
      <c r="A377" s="18"/>
      <c r="B377" s="19"/>
    </row>
    <row r="378" spans="1:2" ht="12.5" x14ac:dyDescent="0.25">
      <c r="A378" s="18"/>
      <c r="B378" s="19"/>
    </row>
    <row r="379" spans="1:2" ht="12.5" x14ac:dyDescent="0.25">
      <c r="A379" s="18"/>
      <c r="B379" s="19"/>
    </row>
    <row r="380" spans="1:2" ht="12.5" x14ac:dyDescent="0.25">
      <c r="A380" s="18"/>
      <c r="B380" s="19"/>
    </row>
    <row r="381" spans="1:2" ht="12.5" x14ac:dyDescent="0.25">
      <c r="A381" s="18"/>
      <c r="B381" s="19"/>
    </row>
    <row r="382" spans="1:2" ht="12.5" x14ac:dyDescent="0.25">
      <c r="A382" s="18"/>
      <c r="B382" s="19"/>
    </row>
    <row r="383" spans="1:2" ht="12.5" x14ac:dyDescent="0.25">
      <c r="A383" s="18"/>
      <c r="B383" s="19"/>
    </row>
    <row r="384" spans="1:2" ht="12.5" x14ac:dyDescent="0.25">
      <c r="A384" s="18"/>
      <c r="B384" s="19"/>
    </row>
    <row r="385" spans="1:2" ht="12.5" x14ac:dyDescent="0.25">
      <c r="A385" s="18"/>
      <c r="B385" s="19"/>
    </row>
    <row r="386" spans="1:2" ht="12.5" x14ac:dyDescent="0.25">
      <c r="A386" s="18"/>
      <c r="B386" s="19"/>
    </row>
    <row r="387" spans="1:2" ht="12.5" x14ac:dyDescent="0.25">
      <c r="A387" s="18"/>
      <c r="B387" s="19"/>
    </row>
    <row r="388" spans="1:2" ht="12.5" x14ac:dyDescent="0.25">
      <c r="A388" s="18"/>
      <c r="B388" s="19"/>
    </row>
    <row r="389" spans="1:2" ht="12.5" x14ac:dyDescent="0.25">
      <c r="A389" s="18"/>
      <c r="B389" s="19"/>
    </row>
    <row r="390" spans="1:2" ht="12.5" x14ac:dyDescent="0.25">
      <c r="A390" s="18"/>
      <c r="B390" s="19"/>
    </row>
    <row r="391" spans="1:2" ht="12.5" x14ac:dyDescent="0.25">
      <c r="A391" s="18"/>
      <c r="B391" s="19"/>
    </row>
    <row r="392" spans="1:2" ht="12.5" x14ac:dyDescent="0.25">
      <c r="A392" s="18"/>
      <c r="B392" s="19"/>
    </row>
    <row r="393" spans="1:2" ht="12.5" x14ac:dyDescent="0.25">
      <c r="A393" s="18"/>
      <c r="B393" s="19"/>
    </row>
    <row r="394" spans="1:2" ht="12.5" x14ac:dyDescent="0.25">
      <c r="A394" s="18"/>
      <c r="B394" s="19"/>
    </row>
    <row r="395" spans="1:2" ht="12.5" x14ac:dyDescent="0.25">
      <c r="A395" s="18"/>
      <c r="B395" s="19"/>
    </row>
    <row r="396" spans="1:2" ht="12.5" x14ac:dyDescent="0.25">
      <c r="A396" s="18"/>
      <c r="B396" s="19"/>
    </row>
    <row r="397" spans="1:2" ht="12.5" x14ac:dyDescent="0.25">
      <c r="A397" s="18"/>
      <c r="B397" s="19"/>
    </row>
    <row r="398" spans="1:2" ht="12.5" x14ac:dyDescent="0.25">
      <c r="A398" s="18"/>
      <c r="B398" s="19"/>
    </row>
    <row r="399" spans="1:2" ht="12.5" x14ac:dyDescent="0.25">
      <c r="A399" s="18"/>
      <c r="B399" s="19"/>
    </row>
    <row r="400" spans="1:2" ht="12.5" x14ac:dyDescent="0.25">
      <c r="A400" s="18"/>
      <c r="B400" s="19"/>
    </row>
    <row r="401" spans="1:2" ht="12.5" x14ac:dyDescent="0.25">
      <c r="A401" s="18"/>
      <c r="B401" s="19"/>
    </row>
    <row r="402" spans="1:2" ht="12.5" x14ac:dyDescent="0.25">
      <c r="A402" s="18"/>
      <c r="B402" s="19"/>
    </row>
    <row r="403" spans="1:2" ht="12.5" x14ac:dyDescent="0.25">
      <c r="A403" s="18"/>
      <c r="B403" s="19"/>
    </row>
    <row r="404" spans="1:2" ht="12.5" x14ac:dyDescent="0.25">
      <c r="A404" s="18"/>
      <c r="B404" s="19"/>
    </row>
    <row r="405" spans="1:2" ht="12.5" x14ac:dyDescent="0.25">
      <c r="A405" s="18"/>
      <c r="B405" s="19"/>
    </row>
    <row r="406" spans="1:2" ht="12.5" x14ac:dyDescent="0.25">
      <c r="A406" s="18"/>
      <c r="B406" s="19"/>
    </row>
    <row r="407" spans="1:2" ht="12.5" x14ac:dyDescent="0.25">
      <c r="A407" s="18"/>
      <c r="B407" s="19"/>
    </row>
    <row r="408" spans="1:2" ht="12.5" x14ac:dyDescent="0.25">
      <c r="A408" s="18"/>
      <c r="B408" s="19"/>
    </row>
    <row r="409" spans="1:2" ht="12.5" x14ac:dyDescent="0.25">
      <c r="A409" s="18"/>
      <c r="B409" s="19"/>
    </row>
    <row r="410" spans="1:2" ht="12.5" x14ac:dyDescent="0.25">
      <c r="A410" s="18"/>
      <c r="B410" s="19"/>
    </row>
    <row r="411" spans="1:2" ht="12.5" x14ac:dyDescent="0.25">
      <c r="A411" s="18"/>
      <c r="B411" s="19"/>
    </row>
    <row r="412" spans="1:2" ht="12.5" x14ac:dyDescent="0.25">
      <c r="A412" s="18"/>
      <c r="B412" s="19"/>
    </row>
    <row r="413" spans="1:2" ht="12.5" x14ac:dyDescent="0.25">
      <c r="A413" s="18"/>
      <c r="B413" s="19"/>
    </row>
    <row r="414" spans="1:2" ht="12.5" x14ac:dyDescent="0.25">
      <c r="A414" s="18"/>
      <c r="B414" s="19"/>
    </row>
    <row r="415" spans="1:2" ht="12.5" x14ac:dyDescent="0.25">
      <c r="A415" s="18"/>
      <c r="B415" s="19"/>
    </row>
    <row r="416" spans="1:2" ht="12.5" x14ac:dyDescent="0.25">
      <c r="A416" s="18"/>
      <c r="B416" s="19"/>
    </row>
    <row r="417" spans="1:2" ht="12.5" x14ac:dyDescent="0.25">
      <c r="A417" s="18"/>
      <c r="B417" s="19"/>
    </row>
    <row r="418" spans="1:2" ht="12.5" x14ac:dyDescent="0.25">
      <c r="A418" s="18"/>
      <c r="B418" s="19"/>
    </row>
    <row r="419" spans="1:2" ht="12.5" x14ac:dyDescent="0.25">
      <c r="A419" s="18"/>
      <c r="B419" s="19"/>
    </row>
    <row r="420" spans="1:2" ht="12.5" x14ac:dyDescent="0.25">
      <c r="A420" s="18"/>
      <c r="B420" s="19"/>
    </row>
    <row r="421" spans="1:2" ht="12.5" x14ac:dyDescent="0.25">
      <c r="A421" s="18"/>
      <c r="B421" s="19"/>
    </row>
    <row r="422" spans="1:2" ht="12.5" x14ac:dyDescent="0.25">
      <c r="A422" s="18"/>
      <c r="B422" s="19"/>
    </row>
    <row r="423" spans="1:2" ht="12.5" x14ac:dyDescent="0.25">
      <c r="A423" s="18"/>
      <c r="B423" s="19"/>
    </row>
    <row r="424" spans="1:2" ht="12.5" x14ac:dyDescent="0.25">
      <c r="A424" s="18"/>
      <c r="B424" s="19"/>
    </row>
    <row r="425" spans="1:2" ht="12.5" x14ac:dyDescent="0.25">
      <c r="A425" s="18"/>
      <c r="B425" s="19"/>
    </row>
    <row r="426" spans="1:2" ht="12.5" x14ac:dyDescent="0.25">
      <c r="A426" s="18"/>
      <c r="B426" s="19"/>
    </row>
    <row r="427" spans="1:2" ht="12.5" x14ac:dyDescent="0.25">
      <c r="A427" s="18"/>
      <c r="B427" s="19"/>
    </row>
    <row r="428" spans="1:2" ht="12.5" x14ac:dyDescent="0.25">
      <c r="A428" s="18"/>
      <c r="B428" s="19"/>
    </row>
    <row r="429" spans="1:2" ht="12.5" x14ac:dyDescent="0.25">
      <c r="A429" s="18"/>
      <c r="B429" s="19"/>
    </row>
    <row r="430" spans="1:2" ht="12.5" x14ac:dyDescent="0.25">
      <c r="A430" s="18"/>
      <c r="B430" s="19"/>
    </row>
    <row r="431" spans="1:2" ht="12.5" x14ac:dyDescent="0.25">
      <c r="A431" s="18"/>
      <c r="B431" s="19"/>
    </row>
    <row r="432" spans="1:2" ht="12.5" x14ac:dyDescent="0.25">
      <c r="A432" s="18"/>
      <c r="B432" s="19"/>
    </row>
    <row r="433" spans="1:2" ht="12.5" x14ac:dyDescent="0.25">
      <c r="A433" s="18"/>
      <c r="B433" s="19"/>
    </row>
    <row r="434" spans="1:2" ht="12.5" x14ac:dyDescent="0.25">
      <c r="A434" s="18"/>
      <c r="B434" s="19"/>
    </row>
    <row r="435" spans="1:2" ht="12.5" x14ac:dyDescent="0.25">
      <c r="A435" s="18"/>
      <c r="B435" s="19"/>
    </row>
    <row r="436" spans="1:2" ht="12.5" x14ac:dyDescent="0.25">
      <c r="A436" s="18"/>
      <c r="B436" s="19"/>
    </row>
    <row r="437" spans="1:2" ht="12.5" x14ac:dyDescent="0.25">
      <c r="A437" s="18"/>
      <c r="B437" s="19"/>
    </row>
    <row r="438" spans="1:2" ht="12.5" x14ac:dyDescent="0.25">
      <c r="A438" s="18"/>
      <c r="B438" s="19"/>
    </row>
    <row r="439" spans="1:2" ht="12.5" x14ac:dyDescent="0.25">
      <c r="A439" s="18"/>
      <c r="B439" s="19"/>
    </row>
    <row r="440" spans="1:2" ht="12.5" x14ac:dyDescent="0.25">
      <c r="A440" s="18"/>
      <c r="B440" s="19"/>
    </row>
    <row r="441" spans="1:2" ht="12.5" x14ac:dyDescent="0.25">
      <c r="A441" s="18"/>
      <c r="B441" s="19"/>
    </row>
    <row r="442" spans="1:2" ht="12.5" x14ac:dyDescent="0.25">
      <c r="A442" s="18"/>
      <c r="B442" s="19"/>
    </row>
    <row r="443" spans="1:2" ht="12.5" x14ac:dyDescent="0.25">
      <c r="A443" s="18"/>
      <c r="B443" s="19"/>
    </row>
    <row r="444" spans="1:2" ht="12.5" x14ac:dyDescent="0.25">
      <c r="A444" s="18"/>
      <c r="B444" s="19"/>
    </row>
    <row r="445" spans="1:2" ht="12.5" x14ac:dyDescent="0.25">
      <c r="A445" s="18"/>
      <c r="B445" s="19"/>
    </row>
    <row r="446" spans="1:2" ht="12.5" x14ac:dyDescent="0.25">
      <c r="A446" s="18"/>
      <c r="B446" s="19"/>
    </row>
    <row r="447" spans="1:2" ht="12.5" x14ac:dyDescent="0.25">
      <c r="A447" s="18"/>
      <c r="B447" s="19"/>
    </row>
    <row r="448" spans="1:2" ht="12.5" x14ac:dyDescent="0.25">
      <c r="A448" s="18"/>
      <c r="B448" s="19"/>
    </row>
    <row r="449" spans="1:2" ht="12.5" x14ac:dyDescent="0.25">
      <c r="A449" s="18"/>
      <c r="B449" s="19"/>
    </row>
    <row r="450" spans="1:2" ht="12.5" x14ac:dyDescent="0.25">
      <c r="A450" s="18"/>
      <c r="B450" s="19"/>
    </row>
    <row r="451" spans="1:2" ht="12.5" x14ac:dyDescent="0.25">
      <c r="A451" s="18"/>
      <c r="B451" s="19"/>
    </row>
    <row r="452" spans="1:2" ht="12.5" x14ac:dyDescent="0.25">
      <c r="A452" s="18"/>
      <c r="B452" s="19"/>
    </row>
    <row r="453" spans="1:2" ht="12.5" x14ac:dyDescent="0.25">
      <c r="A453" s="18"/>
      <c r="B453" s="19"/>
    </row>
    <row r="454" spans="1:2" ht="12.5" x14ac:dyDescent="0.25">
      <c r="A454" s="18"/>
      <c r="B454" s="19"/>
    </row>
    <row r="455" spans="1:2" ht="12.5" x14ac:dyDescent="0.25">
      <c r="A455" s="18"/>
      <c r="B455" s="19"/>
    </row>
    <row r="456" spans="1:2" ht="12.5" x14ac:dyDescent="0.25">
      <c r="A456" s="18"/>
      <c r="B456" s="19"/>
    </row>
    <row r="457" spans="1:2" ht="12.5" x14ac:dyDescent="0.25">
      <c r="A457" s="18"/>
      <c r="B457" s="19"/>
    </row>
    <row r="458" spans="1:2" ht="12.5" x14ac:dyDescent="0.25">
      <c r="A458" s="18"/>
      <c r="B458" s="19"/>
    </row>
    <row r="459" spans="1:2" ht="12.5" x14ac:dyDescent="0.25">
      <c r="A459" s="18"/>
      <c r="B459" s="19"/>
    </row>
    <row r="460" spans="1:2" ht="12.5" x14ac:dyDescent="0.25">
      <c r="A460" s="18"/>
      <c r="B460" s="19"/>
    </row>
    <row r="461" spans="1:2" ht="12.5" x14ac:dyDescent="0.25">
      <c r="A461" s="18"/>
      <c r="B461" s="19"/>
    </row>
    <row r="462" spans="1:2" ht="12.5" x14ac:dyDescent="0.25">
      <c r="A462" s="18"/>
      <c r="B462" s="19"/>
    </row>
    <row r="463" spans="1:2" ht="12.5" x14ac:dyDescent="0.25">
      <c r="A463" s="18"/>
      <c r="B463" s="19"/>
    </row>
    <row r="464" spans="1:2" ht="12.5" x14ac:dyDescent="0.25">
      <c r="A464" s="18"/>
      <c r="B464" s="19"/>
    </row>
    <row r="465" spans="1:2" ht="12.5" x14ac:dyDescent="0.25">
      <c r="A465" s="18"/>
      <c r="B465" s="19"/>
    </row>
    <row r="466" spans="1:2" ht="12.5" x14ac:dyDescent="0.25">
      <c r="A466" s="18"/>
      <c r="B466" s="19"/>
    </row>
    <row r="467" spans="1:2" ht="12.5" x14ac:dyDescent="0.25">
      <c r="A467" s="18"/>
      <c r="B467" s="19"/>
    </row>
    <row r="468" spans="1:2" ht="12.5" x14ac:dyDescent="0.25">
      <c r="A468" s="18"/>
      <c r="B468" s="19"/>
    </row>
    <row r="469" spans="1:2" ht="12.5" x14ac:dyDescent="0.25">
      <c r="A469" s="18"/>
      <c r="B469" s="19"/>
    </row>
    <row r="470" spans="1:2" ht="12.5" x14ac:dyDescent="0.25">
      <c r="A470" s="18"/>
      <c r="B470" s="19"/>
    </row>
    <row r="471" spans="1:2" ht="12.5" x14ac:dyDescent="0.25">
      <c r="A471" s="18"/>
      <c r="B471" s="19"/>
    </row>
    <row r="472" spans="1:2" ht="12.5" x14ac:dyDescent="0.25">
      <c r="A472" s="18"/>
      <c r="B472" s="19"/>
    </row>
    <row r="473" spans="1:2" ht="12.5" x14ac:dyDescent="0.25">
      <c r="A473" s="18"/>
      <c r="B473" s="19"/>
    </row>
    <row r="474" spans="1:2" ht="12.5" x14ac:dyDescent="0.25">
      <c r="A474" s="18"/>
      <c r="B474" s="19"/>
    </row>
    <row r="475" spans="1:2" ht="12.5" x14ac:dyDescent="0.25">
      <c r="A475" s="18"/>
      <c r="B475" s="19"/>
    </row>
    <row r="476" spans="1:2" ht="12.5" x14ac:dyDescent="0.25">
      <c r="A476" s="18"/>
      <c r="B476" s="19"/>
    </row>
    <row r="477" spans="1:2" ht="12.5" x14ac:dyDescent="0.25">
      <c r="A477" s="18"/>
      <c r="B477" s="19"/>
    </row>
    <row r="478" spans="1:2" ht="12.5" x14ac:dyDescent="0.25">
      <c r="A478" s="18"/>
      <c r="B478" s="19"/>
    </row>
    <row r="479" spans="1:2" ht="12.5" x14ac:dyDescent="0.25">
      <c r="A479" s="18"/>
      <c r="B479" s="19"/>
    </row>
    <row r="480" spans="1:2" ht="12.5" x14ac:dyDescent="0.25">
      <c r="A480" s="18"/>
      <c r="B480" s="19"/>
    </row>
    <row r="481" spans="1:2" ht="12.5" x14ac:dyDescent="0.25">
      <c r="A481" s="18"/>
      <c r="B481" s="19"/>
    </row>
    <row r="482" spans="1:2" ht="12.5" x14ac:dyDescent="0.25">
      <c r="A482" s="18"/>
      <c r="B482" s="19"/>
    </row>
    <row r="483" spans="1:2" ht="12.5" x14ac:dyDescent="0.25">
      <c r="A483" s="18"/>
      <c r="B483" s="19"/>
    </row>
    <row r="484" spans="1:2" ht="12.5" x14ac:dyDescent="0.25">
      <c r="A484" s="18"/>
      <c r="B484" s="19"/>
    </row>
    <row r="485" spans="1:2" ht="12.5" x14ac:dyDescent="0.25">
      <c r="A485" s="18"/>
      <c r="B485" s="19"/>
    </row>
    <row r="486" spans="1:2" ht="12.5" x14ac:dyDescent="0.25">
      <c r="A486" s="18"/>
      <c r="B486" s="19"/>
    </row>
    <row r="487" spans="1:2" ht="12.5" x14ac:dyDescent="0.25">
      <c r="A487" s="18"/>
      <c r="B487" s="19"/>
    </row>
    <row r="488" spans="1:2" ht="12.5" x14ac:dyDescent="0.25">
      <c r="A488" s="18"/>
      <c r="B488" s="19"/>
    </row>
    <row r="489" spans="1:2" ht="12.5" x14ac:dyDescent="0.25">
      <c r="A489" s="18"/>
      <c r="B489" s="19"/>
    </row>
    <row r="490" spans="1:2" ht="12.5" x14ac:dyDescent="0.25">
      <c r="A490" s="18"/>
      <c r="B490" s="19"/>
    </row>
    <row r="491" spans="1:2" ht="12.5" x14ac:dyDescent="0.25">
      <c r="A491" s="18"/>
      <c r="B491" s="19"/>
    </row>
    <row r="492" spans="1:2" ht="12.5" x14ac:dyDescent="0.25">
      <c r="A492" s="18"/>
      <c r="B492" s="19"/>
    </row>
    <row r="493" spans="1:2" ht="12.5" x14ac:dyDescent="0.25">
      <c r="A493" s="18"/>
      <c r="B493" s="19"/>
    </row>
    <row r="494" spans="1:2" ht="12.5" x14ac:dyDescent="0.25">
      <c r="A494" s="18"/>
      <c r="B494" s="19"/>
    </row>
    <row r="495" spans="1:2" ht="12.5" x14ac:dyDescent="0.25">
      <c r="A495" s="18"/>
      <c r="B495" s="19"/>
    </row>
    <row r="496" spans="1:2" ht="12.5" x14ac:dyDescent="0.25">
      <c r="A496" s="18"/>
      <c r="B496" s="19"/>
    </row>
    <row r="497" spans="1:2" ht="12.5" x14ac:dyDescent="0.25">
      <c r="A497" s="18"/>
      <c r="B497" s="19"/>
    </row>
    <row r="498" spans="1:2" ht="12.5" x14ac:dyDescent="0.25">
      <c r="A498" s="18"/>
      <c r="B498" s="19"/>
    </row>
    <row r="499" spans="1:2" ht="12.5" x14ac:dyDescent="0.25">
      <c r="A499" s="18"/>
      <c r="B499" s="19"/>
    </row>
    <row r="500" spans="1:2" ht="12.5" x14ac:dyDescent="0.25">
      <c r="A500" s="18"/>
      <c r="B500" s="19"/>
    </row>
    <row r="501" spans="1:2" ht="12.5" x14ac:dyDescent="0.25">
      <c r="A501" s="18"/>
      <c r="B501" s="19"/>
    </row>
    <row r="502" spans="1:2" ht="12.5" x14ac:dyDescent="0.25">
      <c r="A502" s="18"/>
      <c r="B502" s="19"/>
    </row>
    <row r="503" spans="1:2" ht="12.5" x14ac:dyDescent="0.25">
      <c r="A503" s="18"/>
      <c r="B503" s="19"/>
    </row>
    <row r="504" spans="1:2" ht="12.5" x14ac:dyDescent="0.25">
      <c r="A504" s="18"/>
      <c r="B504" s="19"/>
    </row>
    <row r="505" spans="1:2" ht="12.5" x14ac:dyDescent="0.25">
      <c r="A505" s="18"/>
      <c r="B505" s="19"/>
    </row>
    <row r="506" spans="1:2" ht="12.5" x14ac:dyDescent="0.25">
      <c r="A506" s="18"/>
      <c r="B506" s="19"/>
    </row>
    <row r="507" spans="1:2" ht="12.5" x14ac:dyDescent="0.25">
      <c r="A507" s="18"/>
      <c r="B507" s="19"/>
    </row>
    <row r="508" spans="1:2" ht="12.5" x14ac:dyDescent="0.25">
      <c r="A508" s="18"/>
      <c r="B508" s="19"/>
    </row>
    <row r="509" spans="1:2" ht="12.5" x14ac:dyDescent="0.25">
      <c r="A509" s="18"/>
      <c r="B509" s="19"/>
    </row>
    <row r="510" spans="1:2" ht="12.5" x14ac:dyDescent="0.25">
      <c r="A510" s="18"/>
      <c r="B510" s="19"/>
    </row>
    <row r="511" spans="1:2" ht="12.5" x14ac:dyDescent="0.25">
      <c r="A511" s="18"/>
      <c r="B511" s="19"/>
    </row>
    <row r="512" spans="1:2" ht="12.5" x14ac:dyDescent="0.25">
      <c r="A512" s="18"/>
      <c r="B512" s="19"/>
    </row>
    <row r="513" spans="1:2" ht="12.5" x14ac:dyDescent="0.25">
      <c r="A513" s="18"/>
      <c r="B513" s="19"/>
    </row>
    <row r="514" spans="1:2" ht="12.5" x14ac:dyDescent="0.25">
      <c r="A514" s="18"/>
      <c r="B514" s="19"/>
    </row>
    <row r="515" spans="1:2" ht="12.5" x14ac:dyDescent="0.25">
      <c r="A515" s="18"/>
      <c r="B515" s="19"/>
    </row>
    <row r="516" spans="1:2" ht="12.5" x14ac:dyDescent="0.25">
      <c r="A516" s="18"/>
      <c r="B516" s="19"/>
    </row>
    <row r="517" spans="1:2" ht="12.5" x14ac:dyDescent="0.25">
      <c r="A517" s="18"/>
      <c r="B517" s="19"/>
    </row>
    <row r="518" spans="1:2" ht="12.5" x14ac:dyDescent="0.25">
      <c r="A518" s="18"/>
      <c r="B518" s="19"/>
    </row>
    <row r="519" spans="1:2" ht="12.5" x14ac:dyDescent="0.25">
      <c r="A519" s="18"/>
      <c r="B519" s="19"/>
    </row>
    <row r="520" spans="1:2" ht="12.5" x14ac:dyDescent="0.25">
      <c r="A520" s="18"/>
      <c r="B520" s="19"/>
    </row>
    <row r="521" spans="1:2" ht="12.5" x14ac:dyDescent="0.25">
      <c r="A521" s="18"/>
      <c r="B521" s="19"/>
    </row>
    <row r="522" spans="1:2" ht="12.5" x14ac:dyDescent="0.25">
      <c r="A522" s="18"/>
      <c r="B522" s="19"/>
    </row>
    <row r="523" spans="1:2" ht="12.5" x14ac:dyDescent="0.25">
      <c r="A523" s="18"/>
      <c r="B523" s="19"/>
    </row>
    <row r="524" spans="1:2" ht="12.5" x14ac:dyDescent="0.25">
      <c r="A524" s="18"/>
      <c r="B524" s="19"/>
    </row>
    <row r="525" spans="1:2" ht="12.5" x14ac:dyDescent="0.25">
      <c r="A525" s="18"/>
      <c r="B525" s="19"/>
    </row>
    <row r="526" spans="1:2" ht="12.5" x14ac:dyDescent="0.25">
      <c r="A526" s="18"/>
      <c r="B526" s="19"/>
    </row>
    <row r="527" spans="1:2" ht="12.5" x14ac:dyDescent="0.25">
      <c r="A527" s="18"/>
      <c r="B527" s="19"/>
    </row>
    <row r="528" spans="1:2" ht="12.5" x14ac:dyDescent="0.25">
      <c r="A528" s="18"/>
      <c r="B528" s="19"/>
    </row>
    <row r="529" spans="1:2" ht="12.5" x14ac:dyDescent="0.25">
      <c r="A529" s="18"/>
      <c r="B529" s="19"/>
    </row>
    <row r="530" spans="1:2" ht="12.5" x14ac:dyDescent="0.25">
      <c r="A530" s="18"/>
      <c r="B530" s="19"/>
    </row>
    <row r="531" spans="1:2" ht="12.5" x14ac:dyDescent="0.25">
      <c r="A531" s="18"/>
      <c r="B531" s="19"/>
    </row>
    <row r="532" spans="1:2" ht="12.5" x14ac:dyDescent="0.25">
      <c r="A532" s="18"/>
      <c r="B532" s="19"/>
    </row>
    <row r="533" spans="1:2" ht="12.5" x14ac:dyDescent="0.25">
      <c r="A533" s="18"/>
      <c r="B533" s="19"/>
    </row>
    <row r="534" spans="1:2" ht="12.5" x14ac:dyDescent="0.25">
      <c r="A534" s="18"/>
      <c r="B534" s="19"/>
    </row>
    <row r="535" spans="1:2" ht="12.5" x14ac:dyDescent="0.25">
      <c r="A535" s="18"/>
      <c r="B535" s="19"/>
    </row>
    <row r="536" spans="1:2" ht="12.5" x14ac:dyDescent="0.25">
      <c r="A536" s="18"/>
      <c r="B536" s="19"/>
    </row>
    <row r="537" spans="1:2" ht="12.5" x14ac:dyDescent="0.25">
      <c r="A537" s="18"/>
      <c r="B537" s="19"/>
    </row>
    <row r="538" spans="1:2" ht="12.5" x14ac:dyDescent="0.25">
      <c r="A538" s="18"/>
      <c r="B538" s="19"/>
    </row>
    <row r="539" spans="1:2" ht="12.5" x14ac:dyDescent="0.25">
      <c r="A539" s="18"/>
      <c r="B539" s="19"/>
    </row>
    <row r="540" spans="1:2" ht="12.5" x14ac:dyDescent="0.25">
      <c r="A540" s="18"/>
      <c r="B540" s="19"/>
    </row>
    <row r="541" spans="1:2" ht="12.5" x14ac:dyDescent="0.25">
      <c r="A541" s="18"/>
      <c r="B541" s="19"/>
    </row>
    <row r="542" spans="1:2" ht="12.5" x14ac:dyDescent="0.25">
      <c r="A542" s="18"/>
      <c r="B542" s="19"/>
    </row>
    <row r="543" spans="1:2" ht="12.5" x14ac:dyDescent="0.25">
      <c r="A543" s="18"/>
      <c r="B543" s="19"/>
    </row>
    <row r="544" spans="1:2" ht="12.5" x14ac:dyDescent="0.25">
      <c r="A544" s="18"/>
      <c r="B544" s="19"/>
    </row>
    <row r="545" spans="1:2" ht="12.5" x14ac:dyDescent="0.25">
      <c r="A545" s="18"/>
      <c r="B545" s="19"/>
    </row>
    <row r="546" spans="1:2" ht="12.5" x14ac:dyDescent="0.25">
      <c r="A546" s="18"/>
      <c r="B546" s="19"/>
    </row>
    <row r="547" spans="1:2" ht="12.5" x14ac:dyDescent="0.25">
      <c r="A547" s="18"/>
      <c r="B547" s="19"/>
    </row>
    <row r="548" spans="1:2" ht="12.5" x14ac:dyDescent="0.25">
      <c r="A548" s="18"/>
      <c r="B548" s="19"/>
    </row>
    <row r="549" spans="1:2" ht="12.5" x14ac:dyDescent="0.25">
      <c r="A549" s="18"/>
      <c r="B549" s="19"/>
    </row>
    <row r="550" spans="1:2" ht="12.5" x14ac:dyDescent="0.25">
      <c r="A550" s="18"/>
      <c r="B550" s="19"/>
    </row>
    <row r="551" spans="1:2" ht="12.5" x14ac:dyDescent="0.25">
      <c r="A551" s="18"/>
      <c r="B551" s="19"/>
    </row>
    <row r="552" spans="1:2" ht="12.5" x14ac:dyDescent="0.25">
      <c r="A552" s="18"/>
      <c r="B552" s="19"/>
    </row>
    <row r="553" spans="1:2" ht="12.5" x14ac:dyDescent="0.25">
      <c r="A553" s="18"/>
      <c r="B553" s="19"/>
    </row>
    <row r="554" spans="1:2" ht="12.5" x14ac:dyDescent="0.25">
      <c r="A554" s="18"/>
      <c r="B554" s="19"/>
    </row>
    <row r="555" spans="1:2" ht="12.5" x14ac:dyDescent="0.25">
      <c r="A555" s="18"/>
      <c r="B555" s="19"/>
    </row>
    <row r="556" spans="1:2" ht="12.5" x14ac:dyDescent="0.25">
      <c r="A556" s="18"/>
      <c r="B556" s="19"/>
    </row>
    <row r="557" spans="1:2" ht="12.5" x14ac:dyDescent="0.25">
      <c r="A557" s="18"/>
      <c r="B557" s="19"/>
    </row>
    <row r="558" spans="1:2" ht="12.5" x14ac:dyDescent="0.25">
      <c r="A558" s="18"/>
      <c r="B558" s="19"/>
    </row>
    <row r="559" spans="1:2" ht="12.5" x14ac:dyDescent="0.25">
      <c r="A559" s="18"/>
      <c r="B559" s="19"/>
    </row>
    <row r="560" spans="1:2" ht="12.5" x14ac:dyDescent="0.25">
      <c r="A560" s="18"/>
      <c r="B560" s="19"/>
    </row>
    <row r="561" spans="1:2" ht="12.5" x14ac:dyDescent="0.25">
      <c r="A561" s="18"/>
      <c r="B561" s="19"/>
    </row>
    <row r="562" spans="1:2" ht="12.5" x14ac:dyDescent="0.25">
      <c r="A562" s="18"/>
      <c r="B562" s="19"/>
    </row>
    <row r="563" spans="1:2" ht="12.5" x14ac:dyDescent="0.25">
      <c r="A563" s="18"/>
      <c r="B563" s="19"/>
    </row>
    <row r="564" spans="1:2" ht="12.5" x14ac:dyDescent="0.25">
      <c r="A564" s="18"/>
      <c r="B564" s="19"/>
    </row>
    <row r="565" spans="1:2" ht="12.5" x14ac:dyDescent="0.25">
      <c r="A565" s="18"/>
      <c r="B565" s="19"/>
    </row>
    <row r="566" spans="1:2" ht="12.5" x14ac:dyDescent="0.25">
      <c r="A566" s="18"/>
      <c r="B566" s="19"/>
    </row>
    <row r="567" spans="1:2" ht="12.5" x14ac:dyDescent="0.25">
      <c r="A567" s="18"/>
      <c r="B567" s="19"/>
    </row>
    <row r="568" spans="1:2" ht="12.5" x14ac:dyDescent="0.25">
      <c r="A568" s="18"/>
      <c r="B568" s="19"/>
    </row>
    <row r="569" spans="1:2" ht="12.5" x14ac:dyDescent="0.25">
      <c r="A569" s="18"/>
      <c r="B569" s="19"/>
    </row>
    <row r="570" spans="1:2" ht="12.5" x14ac:dyDescent="0.25">
      <c r="A570" s="18"/>
      <c r="B570" s="19"/>
    </row>
    <row r="571" spans="1:2" ht="12.5" x14ac:dyDescent="0.25">
      <c r="A571" s="18"/>
      <c r="B571" s="19"/>
    </row>
    <row r="572" spans="1:2" ht="12.5" x14ac:dyDescent="0.25">
      <c r="A572" s="18"/>
      <c r="B572" s="19"/>
    </row>
    <row r="573" spans="1:2" ht="12.5" x14ac:dyDescent="0.25">
      <c r="A573" s="18"/>
      <c r="B573" s="19"/>
    </row>
    <row r="574" spans="1:2" ht="12.5" x14ac:dyDescent="0.25">
      <c r="A574" s="18"/>
      <c r="B574" s="19"/>
    </row>
    <row r="575" spans="1:2" ht="12.5" x14ac:dyDescent="0.25">
      <c r="A575" s="18"/>
      <c r="B575" s="19"/>
    </row>
    <row r="576" spans="1:2" ht="12.5" x14ac:dyDescent="0.25">
      <c r="A576" s="18"/>
      <c r="B576" s="19"/>
    </row>
    <row r="577" spans="1:2" ht="12.5" x14ac:dyDescent="0.25">
      <c r="A577" s="18"/>
      <c r="B577" s="19"/>
    </row>
    <row r="578" spans="1:2" ht="12.5" x14ac:dyDescent="0.25">
      <c r="A578" s="18"/>
      <c r="B578" s="19"/>
    </row>
    <row r="579" spans="1:2" ht="12.5" x14ac:dyDescent="0.25">
      <c r="A579" s="18"/>
      <c r="B579" s="19"/>
    </row>
    <row r="580" spans="1:2" ht="12.5" x14ac:dyDescent="0.25">
      <c r="A580" s="18"/>
      <c r="B580" s="19"/>
    </row>
    <row r="581" spans="1:2" ht="12.5" x14ac:dyDescent="0.25">
      <c r="A581" s="18"/>
      <c r="B581" s="19"/>
    </row>
    <row r="582" spans="1:2" ht="12.5" x14ac:dyDescent="0.25">
      <c r="A582" s="18"/>
      <c r="B582" s="19"/>
    </row>
    <row r="583" spans="1:2" ht="12.5" x14ac:dyDescent="0.25">
      <c r="A583" s="18"/>
      <c r="B583" s="19"/>
    </row>
    <row r="584" spans="1:2" ht="12.5" x14ac:dyDescent="0.25">
      <c r="A584" s="18"/>
      <c r="B584" s="19"/>
    </row>
    <row r="585" spans="1:2" ht="12.5" x14ac:dyDescent="0.25">
      <c r="A585" s="18"/>
      <c r="B585" s="19"/>
    </row>
    <row r="586" spans="1:2" ht="12.5" x14ac:dyDescent="0.25">
      <c r="A586" s="18"/>
      <c r="B586" s="19"/>
    </row>
    <row r="587" spans="1:2" ht="12.5" x14ac:dyDescent="0.25">
      <c r="A587" s="18"/>
      <c r="B587" s="19"/>
    </row>
    <row r="588" spans="1:2" ht="12.5" x14ac:dyDescent="0.25">
      <c r="A588" s="18"/>
      <c r="B588" s="19"/>
    </row>
    <row r="589" spans="1:2" ht="12.5" x14ac:dyDescent="0.25">
      <c r="A589" s="18"/>
      <c r="B589" s="19"/>
    </row>
    <row r="590" spans="1:2" ht="12.5" x14ac:dyDescent="0.25">
      <c r="A590" s="18"/>
      <c r="B590" s="19"/>
    </row>
    <row r="591" spans="1:2" ht="12.5" x14ac:dyDescent="0.25">
      <c r="A591" s="18"/>
      <c r="B591" s="19"/>
    </row>
    <row r="592" spans="1:2" ht="12.5" x14ac:dyDescent="0.25">
      <c r="A592" s="18"/>
      <c r="B592" s="19"/>
    </row>
    <row r="593" spans="1:2" ht="12.5" x14ac:dyDescent="0.25">
      <c r="A593" s="18"/>
      <c r="B593" s="19"/>
    </row>
    <row r="594" spans="1:2" ht="12.5" x14ac:dyDescent="0.25">
      <c r="A594" s="18"/>
      <c r="B594" s="19"/>
    </row>
    <row r="595" spans="1:2" ht="12.5" x14ac:dyDescent="0.25">
      <c r="A595" s="18"/>
      <c r="B595" s="19"/>
    </row>
    <row r="596" spans="1:2" ht="12.5" x14ac:dyDescent="0.25">
      <c r="A596" s="18"/>
      <c r="B596" s="19"/>
    </row>
    <row r="597" spans="1:2" ht="12.5" x14ac:dyDescent="0.25">
      <c r="A597" s="18"/>
      <c r="B597" s="19"/>
    </row>
    <row r="598" spans="1:2" ht="12.5" x14ac:dyDescent="0.25">
      <c r="A598" s="18"/>
      <c r="B598" s="19"/>
    </row>
    <row r="599" spans="1:2" ht="12.5" x14ac:dyDescent="0.25">
      <c r="A599" s="18"/>
      <c r="B599" s="19"/>
    </row>
    <row r="600" spans="1:2" ht="12.5" x14ac:dyDescent="0.25">
      <c r="A600" s="18"/>
      <c r="B600" s="19"/>
    </row>
    <row r="601" spans="1:2" ht="12.5" x14ac:dyDescent="0.25">
      <c r="A601" s="18"/>
      <c r="B601" s="19"/>
    </row>
    <row r="602" spans="1:2" ht="12.5" x14ac:dyDescent="0.25">
      <c r="A602" s="18"/>
      <c r="B602" s="19"/>
    </row>
    <row r="603" spans="1:2" ht="12.5" x14ac:dyDescent="0.25">
      <c r="A603" s="18"/>
      <c r="B603" s="19"/>
    </row>
    <row r="604" spans="1:2" ht="12.5" x14ac:dyDescent="0.25">
      <c r="A604" s="18"/>
      <c r="B604" s="19"/>
    </row>
    <row r="605" spans="1:2" ht="12.5" x14ac:dyDescent="0.25">
      <c r="A605" s="18"/>
      <c r="B605" s="19"/>
    </row>
    <row r="606" spans="1:2" ht="12.5" x14ac:dyDescent="0.25">
      <c r="A606" s="18"/>
      <c r="B606" s="19"/>
    </row>
    <row r="607" spans="1:2" ht="12.5" x14ac:dyDescent="0.25">
      <c r="A607" s="18"/>
      <c r="B607" s="19"/>
    </row>
    <row r="608" spans="1:2" ht="12.5" x14ac:dyDescent="0.25">
      <c r="A608" s="18"/>
      <c r="B608" s="19"/>
    </row>
    <row r="609" spans="1:2" ht="12.5" x14ac:dyDescent="0.25">
      <c r="A609" s="18"/>
      <c r="B609" s="19"/>
    </row>
    <row r="610" spans="1:2" ht="12.5" x14ac:dyDescent="0.25">
      <c r="A610" s="18"/>
      <c r="B610" s="19"/>
    </row>
    <row r="611" spans="1:2" ht="12.5" x14ac:dyDescent="0.25">
      <c r="A611" s="18"/>
      <c r="B611" s="19"/>
    </row>
    <row r="612" spans="1:2" ht="12.5" x14ac:dyDescent="0.25">
      <c r="A612" s="18"/>
      <c r="B612" s="19"/>
    </row>
    <row r="613" spans="1:2" ht="12.5" x14ac:dyDescent="0.25">
      <c r="A613" s="18"/>
      <c r="B613" s="19"/>
    </row>
    <row r="614" spans="1:2" ht="12.5" x14ac:dyDescent="0.25">
      <c r="A614" s="18"/>
      <c r="B614" s="19"/>
    </row>
    <row r="615" spans="1:2" ht="12.5" x14ac:dyDescent="0.25">
      <c r="A615" s="18"/>
      <c r="B615" s="19"/>
    </row>
    <row r="616" spans="1:2" ht="12.5" x14ac:dyDescent="0.25">
      <c r="A616" s="18"/>
      <c r="B616" s="19"/>
    </row>
    <row r="617" spans="1:2" ht="12.5" x14ac:dyDescent="0.25">
      <c r="A617" s="18"/>
      <c r="B617" s="19"/>
    </row>
    <row r="618" spans="1:2" ht="12.5" x14ac:dyDescent="0.25">
      <c r="A618" s="18"/>
      <c r="B618" s="19"/>
    </row>
    <row r="619" spans="1:2" ht="12.5" x14ac:dyDescent="0.25">
      <c r="A619" s="18"/>
      <c r="B619" s="19"/>
    </row>
    <row r="620" spans="1:2" ht="12.5" x14ac:dyDescent="0.25">
      <c r="A620" s="18"/>
      <c r="B620" s="19"/>
    </row>
    <row r="621" spans="1:2" ht="12.5" x14ac:dyDescent="0.25">
      <c r="A621" s="18"/>
      <c r="B621" s="19"/>
    </row>
    <row r="622" spans="1:2" ht="12.5" x14ac:dyDescent="0.25">
      <c r="A622" s="18"/>
      <c r="B622" s="19"/>
    </row>
    <row r="623" spans="1:2" ht="12.5" x14ac:dyDescent="0.25">
      <c r="A623" s="18"/>
      <c r="B623" s="19"/>
    </row>
    <row r="624" spans="1:2" ht="12.5" x14ac:dyDescent="0.25">
      <c r="A624" s="18"/>
      <c r="B624" s="19"/>
    </row>
    <row r="625" spans="1:2" ht="12.5" x14ac:dyDescent="0.25">
      <c r="A625" s="18"/>
      <c r="B625" s="19"/>
    </row>
    <row r="626" spans="1:2" ht="12.5" x14ac:dyDescent="0.25">
      <c r="A626" s="18"/>
      <c r="B626" s="19"/>
    </row>
    <row r="627" spans="1:2" ht="12.5" x14ac:dyDescent="0.25">
      <c r="A627" s="18"/>
      <c r="B627" s="19"/>
    </row>
    <row r="628" spans="1:2" ht="12.5" x14ac:dyDescent="0.25">
      <c r="A628" s="18"/>
      <c r="B628" s="19"/>
    </row>
    <row r="629" spans="1:2" ht="12.5" x14ac:dyDescent="0.25">
      <c r="A629" s="18"/>
      <c r="B629" s="19"/>
    </row>
    <row r="630" spans="1:2" ht="12.5" x14ac:dyDescent="0.25">
      <c r="A630" s="18"/>
      <c r="B630" s="19"/>
    </row>
    <row r="631" spans="1:2" ht="12.5" x14ac:dyDescent="0.25">
      <c r="A631" s="18"/>
      <c r="B631" s="19"/>
    </row>
    <row r="632" spans="1:2" ht="12.5" x14ac:dyDescent="0.25">
      <c r="A632" s="18"/>
      <c r="B632" s="19"/>
    </row>
    <row r="633" spans="1:2" ht="12.5" x14ac:dyDescent="0.25">
      <c r="A633" s="18"/>
      <c r="B633" s="19"/>
    </row>
    <row r="634" spans="1:2" ht="12.5" x14ac:dyDescent="0.25">
      <c r="A634" s="18"/>
      <c r="B634" s="19"/>
    </row>
    <row r="635" spans="1:2" ht="12.5" x14ac:dyDescent="0.25">
      <c r="A635" s="18"/>
      <c r="B635" s="19"/>
    </row>
    <row r="636" spans="1:2" ht="12.5" x14ac:dyDescent="0.25">
      <c r="A636" s="18"/>
      <c r="B636" s="19"/>
    </row>
    <row r="637" spans="1:2" ht="12.5" x14ac:dyDescent="0.25">
      <c r="A637" s="18"/>
      <c r="B637" s="19"/>
    </row>
    <row r="638" spans="1:2" ht="12.5" x14ac:dyDescent="0.25">
      <c r="A638" s="18"/>
      <c r="B638" s="19"/>
    </row>
    <row r="639" spans="1:2" ht="12.5" x14ac:dyDescent="0.25">
      <c r="A639" s="18"/>
      <c r="B639" s="19"/>
    </row>
    <row r="640" spans="1:2" ht="12.5" x14ac:dyDescent="0.25">
      <c r="A640" s="18"/>
      <c r="B640" s="19"/>
    </row>
    <row r="641" spans="1:2" ht="12.5" x14ac:dyDescent="0.25">
      <c r="A641" s="18"/>
      <c r="B641" s="19"/>
    </row>
    <row r="642" spans="1:2" ht="12.5" x14ac:dyDescent="0.25">
      <c r="A642" s="18"/>
      <c r="B642" s="19"/>
    </row>
    <row r="643" spans="1:2" ht="12.5" x14ac:dyDescent="0.25">
      <c r="A643" s="18"/>
      <c r="B643" s="19"/>
    </row>
    <row r="644" spans="1:2" ht="12.5" x14ac:dyDescent="0.25">
      <c r="A644" s="18"/>
      <c r="B644" s="19"/>
    </row>
    <row r="645" spans="1:2" ht="12.5" x14ac:dyDescent="0.25">
      <c r="A645" s="18"/>
      <c r="B645" s="19"/>
    </row>
    <row r="646" spans="1:2" ht="12.5" x14ac:dyDescent="0.25">
      <c r="A646" s="18"/>
      <c r="B646" s="19"/>
    </row>
    <row r="647" spans="1:2" ht="12.5" x14ac:dyDescent="0.25">
      <c r="A647" s="18"/>
      <c r="B647" s="19"/>
    </row>
    <row r="648" spans="1:2" ht="12.5" x14ac:dyDescent="0.25">
      <c r="A648" s="18"/>
      <c r="B648" s="19"/>
    </row>
    <row r="649" spans="1:2" ht="12.5" x14ac:dyDescent="0.25">
      <c r="A649" s="18"/>
      <c r="B649" s="19"/>
    </row>
    <row r="650" spans="1:2" ht="12.5" x14ac:dyDescent="0.25">
      <c r="A650" s="18"/>
      <c r="B650" s="19"/>
    </row>
    <row r="651" spans="1:2" ht="12.5" x14ac:dyDescent="0.25">
      <c r="A651" s="18"/>
      <c r="B651" s="19"/>
    </row>
    <row r="652" spans="1:2" ht="12.5" x14ac:dyDescent="0.25">
      <c r="A652" s="18"/>
      <c r="B652" s="19"/>
    </row>
    <row r="653" spans="1:2" ht="12.5" x14ac:dyDescent="0.25">
      <c r="A653" s="18"/>
      <c r="B653" s="19"/>
    </row>
    <row r="654" spans="1:2" ht="12.5" x14ac:dyDescent="0.25">
      <c r="A654" s="18"/>
      <c r="B654" s="19"/>
    </row>
    <row r="655" spans="1:2" ht="12.5" x14ac:dyDescent="0.25">
      <c r="A655" s="18"/>
      <c r="B655" s="19"/>
    </row>
    <row r="656" spans="1:2" ht="12.5" x14ac:dyDescent="0.25">
      <c r="A656" s="18"/>
      <c r="B656" s="19"/>
    </row>
    <row r="657" spans="1:2" ht="12.5" x14ac:dyDescent="0.25">
      <c r="A657" s="18"/>
      <c r="B657" s="19"/>
    </row>
    <row r="658" spans="1:2" ht="12.5" x14ac:dyDescent="0.25">
      <c r="A658" s="18"/>
      <c r="B658" s="19"/>
    </row>
    <row r="659" spans="1:2" ht="12.5" x14ac:dyDescent="0.25">
      <c r="A659" s="18"/>
      <c r="B659" s="19"/>
    </row>
    <row r="660" spans="1:2" ht="12.5" x14ac:dyDescent="0.25">
      <c r="A660" s="18"/>
      <c r="B660" s="19"/>
    </row>
    <row r="661" spans="1:2" ht="12.5" x14ac:dyDescent="0.25">
      <c r="A661" s="18"/>
      <c r="B661" s="19"/>
    </row>
    <row r="662" spans="1:2" ht="12.5" x14ac:dyDescent="0.25">
      <c r="A662" s="18"/>
      <c r="B662" s="19"/>
    </row>
    <row r="663" spans="1:2" ht="12.5" x14ac:dyDescent="0.25">
      <c r="A663" s="18"/>
      <c r="B663" s="19"/>
    </row>
    <row r="664" spans="1:2" ht="12.5" x14ac:dyDescent="0.25">
      <c r="A664" s="18"/>
      <c r="B664" s="19"/>
    </row>
    <row r="665" spans="1:2" ht="12.5" x14ac:dyDescent="0.25">
      <c r="A665" s="18"/>
      <c r="B665" s="19"/>
    </row>
    <row r="666" spans="1:2" ht="12.5" x14ac:dyDescent="0.25">
      <c r="A666" s="18"/>
      <c r="B666" s="19"/>
    </row>
    <row r="667" spans="1:2" ht="12.5" x14ac:dyDescent="0.25">
      <c r="A667" s="18"/>
      <c r="B667" s="19"/>
    </row>
    <row r="668" spans="1:2" ht="12.5" x14ac:dyDescent="0.25">
      <c r="A668" s="18"/>
      <c r="B668" s="19"/>
    </row>
    <row r="669" spans="1:2" ht="12.5" x14ac:dyDescent="0.25">
      <c r="A669" s="18"/>
      <c r="B669" s="19"/>
    </row>
    <row r="670" spans="1:2" ht="12.5" x14ac:dyDescent="0.25">
      <c r="A670" s="18"/>
      <c r="B670" s="19"/>
    </row>
    <row r="671" spans="1:2" ht="12.5" x14ac:dyDescent="0.25">
      <c r="A671" s="18"/>
      <c r="B671" s="19"/>
    </row>
    <row r="672" spans="1:2" ht="12.5" x14ac:dyDescent="0.25">
      <c r="A672" s="18"/>
      <c r="B672" s="19"/>
    </row>
    <row r="673" spans="1:2" ht="12.5" x14ac:dyDescent="0.25">
      <c r="A673" s="18"/>
      <c r="B673" s="19"/>
    </row>
    <row r="674" spans="1:2" ht="12.5" x14ac:dyDescent="0.25">
      <c r="A674" s="18"/>
      <c r="B674" s="19"/>
    </row>
    <row r="675" spans="1:2" ht="12.5" x14ac:dyDescent="0.25">
      <c r="A675" s="18"/>
      <c r="B675" s="19"/>
    </row>
    <row r="676" spans="1:2" ht="12.5" x14ac:dyDescent="0.25">
      <c r="A676" s="18"/>
      <c r="B676" s="19"/>
    </row>
    <row r="677" spans="1:2" ht="12.5" x14ac:dyDescent="0.25">
      <c r="A677" s="18"/>
      <c r="B677" s="19"/>
    </row>
    <row r="678" spans="1:2" ht="12.5" x14ac:dyDescent="0.25">
      <c r="A678" s="18"/>
      <c r="B678" s="19"/>
    </row>
    <row r="679" spans="1:2" ht="12.5" x14ac:dyDescent="0.25">
      <c r="A679" s="18"/>
      <c r="B679" s="19"/>
    </row>
    <row r="680" spans="1:2" ht="12.5" x14ac:dyDescent="0.25">
      <c r="A680" s="18"/>
      <c r="B680" s="19"/>
    </row>
    <row r="681" spans="1:2" ht="12.5" x14ac:dyDescent="0.25">
      <c r="A681" s="18"/>
      <c r="B681" s="19"/>
    </row>
    <row r="682" spans="1:2" ht="12.5" x14ac:dyDescent="0.25">
      <c r="A682" s="18"/>
      <c r="B682" s="19"/>
    </row>
    <row r="683" spans="1:2" ht="12.5" x14ac:dyDescent="0.25">
      <c r="A683" s="18"/>
      <c r="B683" s="19"/>
    </row>
    <row r="684" spans="1:2" ht="12.5" x14ac:dyDescent="0.25">
      <c r="A684" s="18"/>
      <c r="B684" s="19"/>
    </row>
    <row r="685" spans="1:2" ht="12.5" x14ac:dyDescent="0.25">
      <c r="A685" s="18"/>
      <c r="B685" s="19"/>
    </row>
    <row r="686" spans="1:2" ht="12.5" x14ac:dyDescent="0.25">
      <c r="A686" s="18"/>
      <c r="B686" s="19"/>
    </row>
    <row r="687" spans="1:2" ht="12.5" x14ac:dyDescent="0.25">
      <c r="A687" s="18"/>
      <c r="B687" s="19"/>
    </row>
    <row r="688" spans="1:2" ht="12.5" x14ac:dyDescent="0.25">
      <c r="A688" s="18"/>
      <c r="B688" s="19"/>
    </row>
    <row r="689" spans="1:2" ht="12.5" x14ac:dyDescent="0.25">
      <c r="A689" s="18"/>
      <c r="B689" s="19"/>
    </row>
    <row r="690" spans="1:2" ht="12.5" x14ac:dyDescent="0.25">
      <c r="A690" s="18"/>
      <c r="B690" s="19"/>
    </row>
    <row r="691" spans="1:2" ht="12.5" x14ac:dyDescent="0.25">
      <c r="A691" s="18"/>
      <c r="B691" s="19"/>
    </row>
    <row r="692" spans="1:2" ht="12.5" x14ac:dyDescent="0.25">
      <c r="A692" s="18"/>
      <c r="B692" s="19"/>
    </row>
    <row r="693" spans="1:2" ht="12.5" x14ac:dyDescent="0.25">
      <c r="A693" s="18"/>
      <c r="B693" s="19"/>
    </row>
    <row r="694" spans="1:2" ht="12.5" x14ac:dyDescent="0.25">
      <c r="A694" s="18"/>
      <c r="B694" s="19"/>
    </row>
    <row r="695" spans="1:2" ht="12.5" x14ac:dyDescent="0.25">
      <c r="A695" s="18"/>
      <c r="B695" s="19"/>
    </row>
    <row r="696" spans="1:2" ht="12.5" x14ac:dyDescent="0.25">
      <c r="A696" s="18"/>
      <c r="B696" s="19"/>
    </row>
    <row r="697" spans="1:2" ht="12.5" x14ac:dyDescent="0.25">
      <c r="A697" s="18"/>
      <c r="B697" s="19"/>
    </row>
    <row r="698" spans="1:2" ht="12.5" x14ac:dyDescent="0.25">
      <c r="A698" s="18"/>
      <c r="B698" s="19"/>
    </row>
    <row r="699" spans="1:2" ht="12.5" x14ac:dyDescent="0.25">
      <c r="A699" s="18"/>
      <c r="B699" s="19"/>
    </row>
    <row r="700" spans="1:2" ht="12.5" x14ac:dyDescent="0.25">
      <c r="A700" s="18"/>
      <c r="B700" s="19"/>
    </row>
    <row r="701" spans="1:2" ht="12.5" x14ac:dyDescent="0.25">
      <c r="A701" s="18"/>
      <c r="B701" s="19"/>
    </row>
    <row r="702" spans="1:2" ht="12.5" x14ac:dyDescent="0.25">
      <c r="A702" s="18"/>
      <c r="B702" s="19"/>
    </row>
    <row r="703" spans="1:2" ht="12.5" x14ac:dyDescent="0.25">
      <c r="A703" s="18"/>
      <c r="B703" s="19"/>
    </row>
    <row r="704" spans="1:2" ht="12.5" x14ac:dyDescent="0.25">
      <c r="A704" s="18"/>
      <c r="B704" s="19"/>
    </row>
    <row r="705" spans="1:2" ht="12.5" x14ac:dyDescent="0.25">
      <c r="A705" s="18"/>
      <c r="B705" s="19"/>
    </row>
    <row r="706" spans="1:2" ht="12.5" x14ac:dyDescent="0.25">
      <c r="A706" s="18"/>
      <c r="B706" s="19"/>
    </row>
    <row r="707" spans="1:2" ht="12.5" x14ac:dyDescent="0.25">
      <c r="A707" s="18"/>
      <c r="B707" s="19"/>
    </row>
    <row r="708" spans="1:2" ht="12.5" x14ac:dyDescent="0.25">
      <c r="A708" s="18"/>
      <c r="B708" s="19"/>
    </row>
    <row r="709" spans="1:2" ht="12.5" x14ac:dyDescent="0.25">
      <c r="A709" s="18"/>
      <c r="B709" s="19"/>
    </row>
    <row r="710" spans="1:2" ht="12.5" x14ac:dyDescent="0.25">
      <c r="A710" s="18"/>
      <c r="B710" s="19"/>
    </row>
    <row r="711" spans="1:2" ht="12.5" x14ac:dyDescent="0.25">
      <c r="A711" s="18"/>
      <c r="B711" s="19"/>
    </row>
    <row r="712" spans="1:2" ht="12.5" x14ac:dyDescent="0.25">
      <c r="A712" s="18"/>
      <c r="B712" s="19"/>
    </row>
    <row r="713" spans="1:2" ht="12.5" x14ac:dyDescent="0.25">
      <c r="A713" s="18"/>
      <c r="B713" s="19"/>
    </row>
    <row r="714" spans="1:2" ht="12.5" x14ac:dyDescent="0.25">
      <c r="A714" s="18"/>
      <c r="B714" s="19"/>
    </row>
    <row r="715" spans="1:2" ht="12.5" x14ac:dyDescent="0.25">
      <c r="A715" s="18"/>
      <c r="B715" s="19"/>
    </row>
    <row r="716" spans="1:2" ht="12.5" x14ac:dyDescent="0.25">
      <c r="A716" s="18"/>
      <c r="B716" s="19"/>
    </row>
    <row r="717" spans="1:2" ht="12.5" x14ac:dyDescent="0.25">
      <c r="A717" s="18"/>
      <c r="B717" s="19"/>
    </row>
    <row r="718" spans="1:2" ht="12.5" x14ac:dyDescent="0.25">
      <c r="A718" s="18"/>
      <c r="B718" s="19"/>
    </row>
    <row r="719" spans="1:2" ht="12.5" x14ac:dyDescent="0.25">
      <c r="A719" s="18"/>
      <c r="B719" s="19"/>
    </row>
    <row r="720" spans="1:2" ht="12.5" x14ac:dyDescent="0.25">
      <c r="A720" s="18"/>
      <c r="B720" s="19"/>
    </row>
    <row r="721" spans="1:2" ht="12.5" x14ac:dyDescent="0.25">
      <c r="A721" s="18"/>
      <c r="B721" s="19"/>
    </row>
    <row r="722" spans="1:2" ht="12.5" x14ac:dyDescent="0.25">
      <c r="A722" s="18"/>
      <c r="B722" s="19"/>
    </row>
    <row r="723" spans="1:2" ht="12.5" x14ac:dyDescent="0.25">
      <c r="A723" s="18"/>
      <c r="B723" s="19"/>
    </row>
    <row r="724" spans="1:2" ht="12.5" x14ac:dyDescent="0.25">
      <c r="A724" s="18"/>
      <c r="B724" s="19"/>
    </row>
    <row r="725" spans="1:2" ht="12.5" x14ac:dyDescent="0.25">
      <c r="A725" s="18"/>
      <c r="B725" s="19"/>
    </row>
    <row r="726" spans="1:2" ht="12.5" x14ac:dyDescent="0.25">
      <c r="A726" s="18"/>
      <c r="B726" s="19"/>
    </row>
    <row r="727" spans="1:2" ht="12.5" x14ac:dyDescent="0.25">
      <c r="A727" s="18"/>
      <c r="B727" s="19"/>
    </row>
    <row r="728" spans="1:2" ht="12.5" x14ac:dyDescent="0.25">
      <c r="A728" s="18"/>
      <c r="B728" s="19"/>
    </row>
    <row r="729" spans="1:2" ht="12.5" x14ac:dyDescent="0.25">
      <c r="A729" s="18"/>
      <c r="B729" s="19"/>
    </row>
    <row r="730" spans="1:2" ht="12.5" x14ac:dyDescent="0.25">
      <c r="A730" s="18"/>
      <c r="B730" s="19"/>
    </row>
    <row r="731" spans="1:2" ht="12.5" x14ac:dyDescent="0.25">
      <c r="A731" s="18"/>
      <c r="B731" s="19"/>
    </row>
    <row r="732" spans="1:2" ht="12.5" x14ac:dyDescent="0.25">
      <c r="A732" s="18"/>
      <c r="B732" s="19"/>
    </row>
    <row r="733" spans="1:2" ht="12.5" x14ac:dyDescent="0.25">
      <c r="A733" s="18"/>
      <c r="B733" s="19"/>
    </row>
    <row r="734" spans="1:2" ht="12.5" x14ac:dyDescent="0.25">
      <c r="A734" s="18"/>
      <c r="B734" s="19"/>
    </row>
    <row r="735" spans="1:2" ht="12.5" x14ac:dyDescent="0.25">
      <c r="A735" s="18"/>
      <c r="B735" s="19"/>
    </row>
    <row r="736" spans="1:2" ht="12.5" x14ac:dyDescent="0.25">
      <c r="A736" s="18"/>
      <c r="B736" s="19"/>
    </row>
    <row r="737" spans="1:2" ht="12.5" x14ac:dyDescent="0.25">
      <c r="A737" s="18"/>
      <c r="B737" s="19"/>
    </row>
    <row r="738" spans="1:2" ht="12.5" x14ac:dyDescent="0.25">
      <c r="A738" s="18"/>
      <c r="B738" s="19"/>
    </row>
    <row r="739" spans="1:2" ht="12.5" x14ac:dyDescent="0.25">
      <c r="A739" s="18"/>
      <c r="B739" s="19"/>
    </row>
    <row r="740" spans="1:2" ht="12.5" x14ac:dyDescent="0.25">
      <c r="A740" s="18"/>
      <c r="B740" s="19"/>
    </row>
    <row r="741" spans="1:2" ht="12.5" x14ac:dyDescent="0.25">
      <c r="A741" s="18"/>
      <c r="B741" s="19"/>
    </row>
    <row r="742" spans="1:2" ht="12.5" x14ac:dyDescent="0.25">
      <c r="A742" s="18"/>
      <c r="B742" s="19"/>
    </row>
    <row r="743" spans="1:2" ht="12.5" x14ac:dyDescent="0.25">
      <c r="A743" s="18"/>
      <c r="B743" s="19"/>
    </row>
    <row r="744" spans="1:2" ht="12.5" x14ac:dyDescent="0.25">
      <c r="A744" s="18"/>
      <c r="B744" s="19"/>
    </row>
    <row r="745" spans="1:2" ht="12.5" x14ac:dyDescent="0.25">
      <c r="A745" s="18"/>
      <c r="B745" s="19"/>
    </row>
    <row r="746" spans="1:2" ht="12.5" x14ac:dyDescent="0.25">
      <c r="A746" s="18"/>
      <c r="B746" s="19"/>
    </row>
    <row r="747" spans="1:2" ht="12.5" x14ac:dyDescent="0.25">
      <c r="A747" s="18"/>
      <c r="B747" s="19"/>
    </row>
    <row r="748" spans="1:2" ht="12.5" x14ac:dyDescent="0.25">
      <c r="A748" s="18"/>
      <c r="B748" s="19"/>
    </row>
    <row r="749" spans="1:2" ht="12.5" x14ac:dyDescent="0.25">
      <c r="A749" s="18"/>
      <c r="B749" s="19"/>
    </row>
    <row r="750" spans="1:2" ht="12.5" x14ac:dyDescent="0.25">
      <c r="A750" s="18"/>
      <c r="B750" s="19"/>
    </row>
    <row r="751" spans="1:2" ht="12.5" x14ac:dyDescent="0.25">
      <c r="A751" s="18"/>
      <c r="B751" s="19"/>
    </row>
    <row r="752" spans="1:2" ht="12.5" x14ac:dyDescent="0.25">
      <c r="A752" s="18"/>
      <c r="B752" s="19"/>
    </row>
    <row r="753" spans="1:2" ht="12.5" x14ac:dyDescent="0.25">
      <c r="A753" s="18"/>
      <c r="B753" s="19"/>
    </row>
    <row r="754" spans="1:2" ht="12.5" x14ac:dyDescent="0.25">
      <c r="A754" s="18"/>
      <c r="B754" s="19"/>
    </row>
    <row r="755" spans="1:2" ht="12.5" x14ac:dyDescent="0.25">
      <c r="A755" s="18"/>
      <c r="B755" s="19"/>
    </row>
    <row r="756" spans="1:2" ht="12.5" x14ac:dyDescent="0.25">
      <c r="A756" s="18"/>
      <c r="B756" s="19"/>
    </row>
    <row r="757" spans="1:2" ht="12.5" x14ac:dyDescent="0.25">
      <c r="A757" s="18"/>
      <c r="B757" s="19"/>
    </row>
    <row r="758" spans="1:2" ht="12.5" x14ac:dyDescent="0.25">
      <c r="A758" s="18"/>
      <c r="B758" s="19"/>
    </row>
    <row r="759" spans="1:2" ht="12.5" x14ac:dyDescent="0.25">
      <c r="A759" s="18"/>
      <c r="B759" s="19"/>
    </row>
    <row r="760" spans="1:2" ht="12.5" x14ac:dyDescent="0.25">
      <c r="A760" s="18"/>
      <c r="B760" s="19"/>
    </row>
    <row r="761" spans="1:2" ht="12.5" x14ac:dyDescent="0.25">
      <c r="A761" s="18"/>
      <c r="B761" s="19"/>
    </row>
    <row r="762" spans="1:2" ht="12.5" x14ac:dyDescent="0.25">
      <c r="A762" s="18"/>
      <c r="B762" s="19"/>
    </row>
    <row r="763" spans="1:2" ht="12.5" x14ac:dyDescent="0.25">
      <c r="A763" s="18"/>
      <c r="B763" s="19"/>
    </row>
    <row r="764" spans="1:2" ht="12.5" x14ac:dyDescent="0.25">
      <c r="A764" s="18"/>
      <c r="B764" s="19"/>
    </row>
    <row r="765" spans="1:2" ht="12.5" x14ac:dyDescent="0.25">
      <c r="A765" s="18"/>
      <c r="B765" s="19"/>
    </row>
    <row r="766" spans="1:2" ht="12.5" x14ac:dyDescent="0.25">
      <c r="A766" s="18"/>
      <c r="B766" s="19"/>
    </row>
    <row r="767" spans="1:2" ht="12.5" x14ac:dyDescent="0.25">
      <c r="A767" s="18"/>
      <c r="B767" s="19"/>
    </row>
    <row r="768" spans="1:2" ht="12.5" x14ac:dyDescent="0.25">
      <c r="A768" s="18"/>
      <c r="B768" s="19"/>
    </row>
    <row r="769" spans="1:2" ht="12.5" x14ac:dyDescent="0.25">
      <c r="A769" s="18"/>
      <c r="B769" s="19"/>
    </row>
    <row r="770" spans="1:2" ht="12.5" x14ac:dyDescent="0.25">
      <c r="A770" s="18"/>
      <c r="B770" s="19"/>
    </row>
    <row r="771" spans="1:2" ht="12.5" x14ac:dyDescent="0.25">
      <c r="A771" s="18"/>
      <c r="B771" s="19"/>
    </row>
    <row r="772" spans="1:2" ht="12.5" x14ac:dyDescent="0.25">
      <c r="A772" s="18"/>
      <c r="B772" s="19"/>
    </row>
    <row r="773" spans="1:2" ht="12.5" x14ac:dyDescent="0.25">
      <c r="A773" s="18"/>
      <c r="B773" s="19"/>
    </row>
    <row r="774" spans="1:2" ht="12.5" x14ac:dyDescent="0.25">
      <c r="A774" s="18"/>
      <c r="B774" s="19"/>
    </row>
    <row r="775" spans="1:2" ht="12.5" x14ac:dyDescent="0.25">
      <c r="A775" s="18"/>
      <c r="B775" s="19"/>
    </row>
    <row r="776" spans="1:2" ht="12.5" x14ac:dyDescent="0.25">
      <c r="A776" s="18"/>
      <c r="B776" s="19"/>
    </row>
    <row r="777" spans="1:2" ht="12.5" x14ac:dyDescent="0.25">
      <c r="A777" s="18"/>
      <c r="B777" s="19"/>
    </row>
    <row r="778" spans="1:2" ht="12.5" x14ac:dyDescent="0.25">
      <c r="A778" s="18"/>
      <c r="B778" s="19"/>
    </row>
    <row r="779" spans="1:2" ht="12.5" x14ac:dyDescent="0.25">
      <c r="A779" s="18"/>
      <c r="B779" s="19"/>
    </row>
    <row r="780" spans="1:2" ht="12.5" x14ac:dyDescent="0.25">
      <c r="A780" s="18"/>
      <c r="B780" s="19"/>
    </row>
    <row r="781" spans="1:2" ht="12.5" x14ac:dyDescent="0.25">
      <c r="A781" s="18"/>
      <c r="B781" s="19"/>
    </row>
    <row r="782" spans="1:2" ht="12.5" x14ac:dyDescent="0.25">
      <c r="A782" s="18"/>
      <c r="B782" s="19"/>
    </row>
    <row r="783" spans="1:2" ht="12.5" x14ac:dyDescent="0.25">
      <c r="A783" s="18"/>
      <c r="B783" s="19"/>
    </row>
    <row r="784" spans="1:2" ht="12.5" x14ac:dyDescent="0.25">
      <c r="A784" s="18"/>
      <c r="B784" s="19"/>
    </row>
    <row r="785" spans="1:2" ht="12.5" x14ac:dyDescent="0.25">
      <c r="A785" s="18"/>
      <c r="B785" s="19"/>
    </row>
    <row r="786" spans="1:2" ht="12.5" x14ac:dyDescent="0.25">
      <c r="A786" s="18"/>
      <c r="B786" s="19"/>
    </row>
    <row r="787" spans="1:2" ht="12.5" x14ac:dyDescent="0.25">
      <c r="A787" s="18"/>
      <c r="B787" s="19"/>
    </row>
    <row r="788" spans="1:2" ht="12.5" x14ac:dyDescent="0.25">
      <c r="A788" s="18"/>
      <c r="B788" s="19"/>
    </row>
    <row r="789" spans="1:2" ht="12.5" x14ac:dyDescent="0.25">
      <c r="A789" s="18"/>
      <c r="B789" s="19"/>
    </row>
    <row r="790" spans="1:2" ht="12.5" x14ac:dyDescent="0.25">
      <c r="A790" s="18"/>
      <c r="B790" s="19"/>
    </row>
    <row r="791" spans="1:2" ht="12.5" x14ac:dyDescent="0.25">
      <c r="A791" s="18"/>
      <c r="B791" s="19"/>
    </row>
    <row r="792" spans="1:2" ht="12.5" x14ac:dyDescent="0.25">
      <c r="A792" s="18"/>
      <c r="B792" s="19"/>
    </row>
    <row r="793" spans="1:2" ht="12.5" x14ac:dyDescent="0.25">
      <c r="A793" s="18"/>
      <c r="B793" s="19"/>
    </row>
    <row r="794" spans="1:2" ht="12.5" x14ac:dyDescent="0.25">
      <c r="A794" s="18"/>
      <c r="B794" s="19"/>
    </row>
    <row r="795" spans="1:2" ht="12.5" x14ac:dyDescent="0.25">
      <c r="A795" s="18"/>
      <c r="B795" s="19"/>
    </row>
    <row r="796" spans="1:2" ht="12.5" x14ac:dyDescent="0.25">
      <c r="A796" s="18"/>
      <c r="B796" s="19"/>
    </row>
    <row r="797" spans="1:2" ht="12.5" x14ac:dyDescent="0.25">
      <c r="A797" s="18"/>
      <c r="B797" s="19"/>
    </row>
    <row r="798" spans="1:2" ht="12.5" x14ac:dyDescent="0.25">
      <c r="A798" s="18"/>
      <c r="B798" s="19"/>
    </row>
    <row r="799" spans="1:2" ht="12.5" x14ac:dyDescent="0.25">
      <c r="A799" s="18"/>
      <c r="B799" s="19"/>
    </row>
    <row r="800" spans="1:2" ht="12.5" x14ac:dyDescent="0.25">
      <c r="A800" s="18"/>
      <c r="B800" s="19"/>
    </row>
    <row r="801" spans="1:2" ht="12.5" x14ac:dyDescent="0.25">
      <c r="A801" s="18"/>
      <c r="B801" s="19"/>
    </row>
    <row r="802" spans="1:2" ht="12.5" x14ac:dyDescent="0.25">
      <c r="A802" s="18"/>
      <c r="B802" s="19"/>
    </row>
    <row r="803" spans="1:2" ht="12.5" x14ac:dyDescent="0.25">
      <c r="A803" s="18"/>
      <c r="B803" s="19"/>
    </row>
    <row r="804" spans="1:2" ht="12.5" x14ac:dyDescent="0.25">
      <c r="A804" s="18"/>
      <c r="B804" s="19"/>
    </row>
    <row r="805" spans="1:2" ht="12.5" x14ac:dyDescent="0.25">
      <c r="A805" s="18"/>
      <c r="B805" s="19"/>
    </row>
    <row r="806" spans="1:2" ht="12.5" x14ac:dyDescent="0.25">
      <c r="A806" s="18"/>
      <c r="B806" s="19"/>
    </row>
    <row r="807" spans="1:2" ht="12.5" x14ac:dyDescent="0.25">
      <c r="A807" s="18"/>
      <c r="B807" s="19"/>
    </row>
    <row r="808" spans="1:2" ht="12.5" x14ac:dyDescent="0.25">
      <c r="A808" s="18"/>
      <c r="B808" s="19"/>
    </row>
    <row r="809" spans="1:2" ht="12.5" x14ac:dyDescent="0.25">
      <c r="A809" s="18"/>
      <c r="B809" s="19"/>
    </row>
    <row r="810" spans="1:2" ht="12.5" x14ac:dyDescent="0.25">
      <c r="A810" s="18"/>
      <c r="B810" s="19"/>
    </row>
    <row r="811" spans="1:2" ht="12.5" x14ac:dyDescent="0.25">
      <c r="A811" s="18"/>
      <c r="B811" s="19"/>
    </row>
    <row r="812" spans="1:2" ht="12.5" x14ac:dyDescent="0.25">
      <c r="A812" s="18"/>
      <c r="B812" s="19"/>
    </row>
    <row r="813" spans="1:2" ht="12.5" x14ac:dyDescent="0.25">
      <c r="A813" s="18"/>
      <c r="B813" s="19"/>
    </row>
    <row r="814" spans="1:2" ht="12.5" x14ac:dyDescent="0.25">
      <c r="A814" s="18"/>
      <c r="B814" s="19"/>
    </row>
    <row r="815" spans="1:2" ht="12.5" x14ac:dyDescent="0.25">
      <c r="A815" s="18"/>
      <c r="B815" s="19"/>
    </row>
    <row r="816" spans="1:2" ht="12.5" x14ac:dyDescent="0.25">
      <c r="A816" s="18"/>
      <c r="B816" s="19"/>
    </row>
    <row r="817" spans="1:2" ht="12.5" x14ac:dyDescent="0.25">
      <c r="A817" s="18"/>
      <c r="B817" s="19"/>
    </row>
    <row r="818" spans="1:2" ht="12.5" x14ac:dyDescent="0.25">
      <c r="A818" s="18"/>
      <c r="B818" s="19"/>
    </row>
    <row r="819" spans="1:2" ht="12.5" x14ac:dyDescent="0.25">
      <c r="A819" s="18"/>
      <c r="B819" s="19"/>
    </row>
    <row r="820" spans="1:2" ht="12.5" x14ac:dyDescent="0.25">
      <c r="A820" s="18"/>
      <c r="B820" s="19"/>
    </row>
    <row r="821" spans="1:2" ht="12.5" x14ac:dyDescent="0.25">
      <c r="A821" s="18"/>
      <c r="B821" s="19"/>
    </row>
    <row r="822" spans="1:2" ht="12.5" x14ac:dyDescent="0.25">
      <c r="A822" s="18"/>
      <c r="B822" s="19"/>
    </row>
    <row r="823" spans="1:2" ht="12.5" x14ac:dyDescent="0.25">
      <c r="A823" s="18"/>
      <c r="B823" s="19"/>
    </row>
    <row r="824" spans="1:2" ht="12.5" x14ac:dyDescent="0.25">
      <c r="A824" s="18"/>
      <c r="B824" s="19"/>
    </row>
    <row r="825" spans="1:2" ht="12.5" x14ac:dyDescent="0.25">
      <c r="A825" s="18"/>
      <c r="B825" s="19"/>
    </row>
    <row r="826" spans="1:2" ht="12.5" x14ac:dyDescent="0.25">
      <c r="A826" s="18"/>
      <c r="B826" s="19"/>
    </row>
    <row r="827" spans="1:2" ht="12.5" x14ac:dyDescent="0.25">
      <c r="A827" s="18"/>
      <c r="B827" s="19"/>
    </row>
    <row r="828" spans="1:2" ht="12.5" x14ac:dyDescent="0.25">
      <c r="A828" s="18"/>
      <c r="B828" s="19"/>
    </row>
    <row r="829" spans="1:2" ht="12.5" x14ac:dyDescent="0.25">
      <c r="A829" s="18"/>
      <c r="B829" s="19"/>
    </row>
    <row r="830" spans="1:2" ht="12.5" x14ac:dyDescent="0.25">
      <c r="A830" s="18"/>
      <c r="B830" s="19"/>
    </row>
    <row r="831" spans="1:2" ht="12.5" x14ac:dyDescent="0.25">
      <c r="A831" s="18"/>
      <c r="B831" s="19"/>
    </row>
    <row r="832" spans="1:2" ht="12.5" x14ac:dyDescent="0.25">
      <c r="A832" s="18"/>
      <c r="B832" s="19"/>
    </row>
    <row r="833" spans="1:2" ht="12.5" x14ac:dyDescent="0.25">
      <c r="A833" s="18"/>
      <c r="B833" s="19"/>
    </row>
    <row r="834" spans="1:2" ht="12.5" x14ac:dyDescent="0.25">
      <c r="A834" s="18"/>
      <c r="B834" s="19"/>
    </row>
    <row r="835" spans="1:2" ht="12.5" x14ac:dyDescent="0.25">
      <c r="A835" s="18"/>
      <c r="B835" s="19"/>
    </row>
    <row r="836" spans="1:2" ht="12.5" x14ac:dyDescent="0.25">
      <c r="A836" s="18"/>
      <c r="B836" s="19"/>
    </row>
    <row r="837" spans="1:2" ht="12.5" x14ac:dyDescent="0.25">
      <c r="A837" s="18"/>
      <c r="B837" s="19"/>
    </row>
    <row r="838" spans="1:2" ht="12.5" x14ac:dyDescent="0.25">
      <c r="A838" s="18"/>
      <c r="B838" s="19"/>
    </row>
    <row r="839" spans="1:2" ht="12.5" x14ac:dyDescent="0.25">
      <c r="A839" s="18"/>
      <c r="B839" s="19"/>
    </row>
    <row r="840" spans="1:2" ht="12.5" x14ac:dyDescent="0.25">
      <c r="A840" s="18"/>
      <c r="B840" s="19"/>
    </row>
    <row r="841" spans="1:2" ht="12.5" x14ac:dyDescent="0.25">
      <c r="A841" s="18"/>
      <c r="B841" s="19"/>
    </row>
    <row r="842" spans="1:2" ht="12.5" x14ac:dyDescent="0.25">
      <c r="A842" s="18"/>
      <c r="B842" s="19"/>
    </row>
    <row r="843" spans="1:2" ht="12.5" x14ac:dyDescent="0.25">
      <c r="A843" s="18"/>
      <c r="B843" s="19"/>
    </row>
    <row r="844" spans="1:2" ht="12.5" x14ac:dyDescent="0.25">
      <c r="A844" s="18"/>
      <c r="B844" s="19"/>
    </row>
    <row r="845" spans="1:2" ht="12.5" x14ac:dyDescent="0.25">
      <c r="A845" s="18"/>
      <c r="B845" s="19"/>
    </row>
    <row r="846" spans="1:2" ht="12.5" x14ac:dyDescent="0.25">
      <c r="A846" s="18"/>
      <c r="B846" s="19"/>
    </row>
    <row r="847" spans="1:2" ht="12.5" x14ac:dyDescent="0.25">
      <c r="A847" s="18"/>
      <c r="B847" s="19"/>
    </row>
    <row r="848" spans="1:2" ht="12.5" x14ac:dyDescent="0.25">
      <c r="A848" s="18"/>
      <c r="B848" s="19"/>
    </row>
    <row r="849" spans="1:2" ht="12.5" x14ac:dyDescent="0.25">
      <c r="A849" s="18"/>
      <c r="B849" s="19"/>
    </row>
    <row r="850" spans="1:2" ht="12.5" x14ac:dyDescent="0.25">
      <c r="A850" s="18"/>
      <c r="B850" s="19"/>
    </row>
    <row r="851" spans="1:2" ht="12.5" x14ac:dyDescent="0.25">
      <c r="A851" s="18"/>
      <c r="B851" s="19"/>
    </row>
    <row r="852" spans="1:2" ht="12.5" x14ac:dyDescent="0.25">
      <c r="A852" s="18"/>
      <c r="B852" s="19"/>
    </row>
    <row r="853" spans="1:2" ht="12.5" x14ac:dyDescent="0.25">
      <c r="A853" s="18"/>
      <c r="B853" s="19"/>
    </row>
    <row r="854" spans="1:2" ht="12.5" x14ac:dyDescent="0.25">
      <c r="A854" s="18"/>
      <c r="B854" s="19"/>
    </row>
    <row r="855" spans="1:2" ht="12.5" x14ac:dyDescent="0.25">
      <c r="A855" s="18"/>
      <c r="B855" s="19"/>
    </row>
    <row r="856" spans="1:2" ht="12.5" x14ac:dyDescent="0.25">
      <c r="A856" s="18"/>
      <c r="B856" s="19"/>
    </row>
    <row r="857" spans="1:2" ht="12.5" x14ac:dyDescent="0.25">
      <c r="A857" s="18"/>
      <c r="B857" s="19"/>
    </row>
    <row r="858" spans="1:2" ht="12.5" x14ac:dyDescent="0.25">
      <c r="A858" s="18"/>
      <c r="B858" s="19"/>
    </row>
    <row r="859" spans="1:2" ht="12.5" x14ac:dyDescent="0.25">
      <c r="A859" s="18"/>
      <c r="B859" s="19"/>
    </row>
    <row r="860" spans="1:2" ht="12.5" x14ac:dyDescent="0.25">
      <c r="A860" s="18"/>
      <c r="B860" s="19"/>
    </row>
    <row r="861" spans="1:2" ht="12.5" x14ac:dyDescent="0.25">
      <c r="A861" s="18"/>
      <c r="B861" s="19"/>
    </row>
    <row r="862" spans="1:2" ht="12.5" x14ac:dyDescent="0.25">
      <c r="A862" s="18"/>
      <c r="B862" s="19"/>
    </row>
    <row r="863" spans="1:2" ht="12.5" x14ac:dyDescent="0.25">
      <c r="A863" s="18"/>
      <c r="B863" s="19"/>
    </row>
    <row r="864" spans="1:2" ht="12.5" x14ac:dyDescent="0.25">
      <c r="A864" s="18"/>
      <c r="B864" s="19"/>
    </row>
    <row r="865" spans="1:2" ht="12.5" x14ac:dyDescent="0.25">
      <c r="A865" s="18"/>
      <c r="B865" s="19"/>
    </row>
    <row r="866" spans="1:2" ht="12.5" x14ac:dyDescent="0.25">
      <c r="A866" s="18"/>
      <c r="B866" s="19"/>
    </row>
    <row r="867" spans="1:2" ht="12.5" x14ac:dyDescent="0.25">
      <c r="A867" s="18"/>
      <c r="B867" s="19"/>
    </row>
    <row r="868" spans="1:2" ht="12.5" x14ac:dyDescent="0.25">
      <c r="A868" s="18"/>
      <c r="B868" s="19"/>
    </row>
    <row r="869" spans="1:2" ht="12.5" x14ac:dyDescent="0.25">
      <c r="A869" s="18"/>
      <c r="B869" s="19"/>
    </row>
    <row r="870" spans="1:2" ht="12.5" x14ac:dyDescent="0.25">
      <c r="A870" s="18"/>
      <c r="B870" s="19"/>
    </row>
    <row r="871" spans="1:2" ht="12.5" x14ac:dyDescent="0.25">
      <c r="A871" s="18"/>
      <c r="B871" s="19"/>
    </row>
    <row r="872" spans="1:2" ht="12.5" x14ac:dyDescent="0.25">
      <c r="A872" s="18"/>
      <c r="B872" s="19"/>
    </row>
    <row r="873" spans="1:2" ht="12.5" x14ac:dyDescent="0.25">
      <c r="A873" s="18"/>
      <c r="B873" s="19"/>
    </row>
    <row r="874" spans="1:2" ht="12.5" x14ac:dyDescent="0.25">
      <c r="A874" s="18"/>
      <c r="B874" s="19"/>
    </row>
    <row r="875" spans="1:2" ht="12.5" x14ac:dyDescent="0.25">
      <c r="A875" s="18"/>
      <c r="B875" s="19"/>
    </row>
    <row r="876" spans="1:2" ht="12.5" x14ac:dyDescent="0.25">
      <c r="A876" s="18"/>
      <c r="B876" s="19"/>
    </row>
    <row r="877" spans="1:2" ht="12.5" x14ac:dyDescent="0.25">
      <c r="A877" s="18"/>
      <c r="B877" s="19"/>
    </row>
    <row r="878" spans="1:2" ht="12.5" x14ac:dyDescent="0.25">
      <c r="A878" s="18"/>
      <c r="B878" s="19"/>
    </row>
    <row r="879" spans="1:2" ht="12.5" x14ac:dyDescent="0.25">
      <c r="A879" s="18"/>
      <c r="B879" s="19"/>
    </row>
    <row r="880" spans="1:2" ht="12.5" x14ac:dyDescent="0.25">
      <c r="A880" s="18"/>
      <c r="B880" s="19"/>
    </row>
    <row r="881" spans="1:2" ht="12.5" x14ac:dyDescent="0.25">
      <c r="A881" s="18"/>
      <c r="B881" s="19"/>
    </row>
    <row r="882" spans="1:2" ht="12.5" x14ac:dyDescent="0.25">
      <c r="A882" s="18"/>
      <c r="B882" s="19"/>
    </row>
    <row r="883" spans="1:2" ht="12.5" x14ac:dyDescent="0.25">
      <c r="A883" s="18"/>
      <c r="B883" s="19"/>
    </row>
    <row r="884" spans="1:2" ht="12.5" x14ac:dyDescent="0.25">
      <c r="A884" s="18"/>
      <c r="B884" s="19"/>
    </row>
    <row r="885" spans="1:2" ht="12.5" x14ac:dyDescent="0.25">
      <c r="A885" s="18"/>
      <c r="B885" s="19"/>
    </row>
    <row r="886" spans="1:2" ht="12.5" x14ac:dyDescent="0.25">
      <c r="A886" s="18"/>
      <c r="B886" s="19"/>
    </row>
    <row r="887" spans="1:2" ht="12.5" x14ac:dyDescent="0.25">
      <c r="A887" s="18"/>
      <c r="B887" s="19"/>
    </row>
    <row r="888" spans="1:2" ht="12.5" x14ac:dyDescent="0.25">
      <c r="A888" s="18"/>
      <c r="B888" s="19"/>
    </row>
    <row r="889" spans="1:2" ht="12.5" x14ac:dyDescent="0.25">
      <c r="A889" s="18"/>
      <c r="B889" s="19"/>
    </row>
    <row r="890" spans="1:2" ht="12.5" x14ac:dyDescent="0.25">
      <c r="A890" s="18"/>
      <c r="B890" s="19"/>
    </row>
    <row r="891" spans="1:2" ht="12.5" x14ac:dyDescent="0.25">
      <c r="A891" s="18"/>
      <c r="B891" s="19"/>
    </row>
    <row r="892" spans="1:2" ht="12.5" x14ac:dyDescent="0.25">
      <c r="A892" s="18"/>
      <c r="B892" s="19"/>
    </row>
    <row r="893" spans="1:2" ht="12.5" x14ac:dyDescent="0.25">
      <c r="A893" s="18"/>
      <c r="B893" s="19"/>
    </row>
    <row r="894" spans="1:2" ht="12.5" x14ac:dyDescent="0.25">
      <c r="A894" s="18"/>
      <c r="B894" s="19"/>
    </row>
    <row r="895" spans="1:2" ht="12.5" x14ac:dyDescent="0.25">
      <c r="A895" s="18"/>
      <c r="B895" s="19"/>
    </row>
    <row r="896" spans="1:2" ht="12.5" x14ac:dyDescent="0.25">
      <c r="A896" s="18"/>
      <c r="B896" s="19"/>
    </row>
    <row r="897" spans="1:2" ht="12.5" x14ac:dyDescent="0.25">
      <c r="A897" s="18"/>
      <c r="B897" s="19"/>
    </row>
    <row r="898" spans="1:2" ht="12.5" x14ac:dyDescent="0.25">
      <c r="A898" s="18"/>
      <c r="B898" s="19"/>
    </row>
    <row r="899" spans="1:2" ht="12.5" x14ac:dyDescent="0.25">
      <c r="A899" s="18"/>
      <c r="B899" s="19"/>
    </row>
    <row r="900" spans="1:2" ht="12.5" x14ac:dyDescent="0.25">
      <c r="A900" s="18"/>
      <c r="B900" s="19"/>
    </row>
    <row r="901" spans="1:2" ht="12.5" x14ac:dyDescent="0.25">
      <c r="A901" s="18"/>
      <c r="B901" s="19"/>
    </row>
    <row r="902" spans="1:2" ht="12.5" x14ac:dyDescent="0.25">
      <c r="A902" s="18"/>
      <c r="B902" s="19"/>
    </row>
    <row r="903" spans="1:2" ht="12.5" x14ac:dyDescent="0.25">
      <c r="A903" s="18"/>
      <c r="B903" s="19"/>
    </row>
    <row r="904" spans="1:2" ht="12.5" x14ac:dyDescent="0.25">
      <c r="A904" s="18"/>
      <c r="B904" s="19"/>
    </row>
    <row r="905" spans="1:2" ht="12.5" x14ac:dyDescent="0.25">
      <c r="A905" s="18"/>
      <c r="B905" s="19"/>
    </row>
    <row r="906" spans="1:2" ht="12.5" x14ac:dyDescent="0.25">
      <c r="A906" s="18"/>
      <c r="B906" s="19"/>
    </row>
    <row r="907" spans="1:2" ht="12.5" x14ac:dyDescent="0.25">
      <c r="A907" s="18"/>
      <c r="B907" s="19"/>
    </row>
    <row r="908" spans="1:2" ht="12.5" x14ac:dyDescent="0.25">
      <c r="A908" s="18"/>
      <c r="B908" s="19"/>
    </row>
    <row r="909" spans="1:2" ht="12.5" x14ac:dyDescent="0.25">
      <c r="A909" s="18"/>
      <c r="B909" s="19"/>
    </row>
    <row r="910" spans="1:2" ht="12.5" x14ac:dyDescent="0.25">
      <c r="A910" s="18"/>
      <c r="B910" s="19"/>
    </row>
    <row r="911" spans="1:2" ht="12.5" x14ac:dyDescent="0.25">
      <c r="A911" s="18"/>
      <c r="B911" s="19"/>
    </row>
    <row r="912" spans="1:2" ht="12.5" x14ac:dyDescent="0.25">
      <c r="A912" s="18"/>
      <c r="B912" s="19"/>
    </row>
    <row r="913" spans="1:2" ht="12.5" x14ac:dyDescent="0.25">
      <c r="A913" s="18"/>
      <c r="B913" s="19"/>
    </row>
    <row r="914" spans="1:2" ht="12.5" x14ac:dyDescent="0.25">
      <c r="A914" s="18"/>
      <c r="B914" s="19"/>
    </row>
    <row r="915" spans="1:2" ht="12.5" x14ac:dyDescent="0.25">
      <c r="A915" s="18"/>
      <c r="B915" s="19"/>
    </row>
    <row r="916" spans="1:2" ht="12.5" x14ac:dyDescent="0.25">
      <c r="A916" s="18"/>
      <c r="B916" s="19"/>
    </row>
    <row r="917" spans="1:2" ht="12.5" x14ac:dyDescent="0.25">
      <c r="A917" s="18"/>
      <c r="B917" s="19"/>
    </row>
    <row r="918" spans="1:2" ht="12.5" x14ac:dyDescent="0.25">
      <c r="A918" s="18"/>
      <c r="B918" s="19"/>
    </row>
    <row r="919" spans="1:2" ht="12.5" x14ac:dyDescent="0.25">
      <c r="A919" s="18"/>
      <c r="B919" s="19"/>
    </row>
    <row r="920" spans="1:2" ht="12.5" x14ac:dyDescent="0.25">
      <c r="A920" s="18"/>
      <c r="B920" s="19"/>
    </row>
    <row r="921" spans="1:2" ht="12.5" x14ac:dyDescent="0.25">
      <c r="A921" s="18"/>
      <c r="B921" s="19"/>
    </row>
    <row r="922" spans="1:2" ht="12.5" x14ac:dyDescent="0.25">
      <c r="A922" s="18"/>
      <c r="B922" s="19"/>
    </row>
    <row r="923" spans="1:2" ht="12.5" x14ac:dyDescent="0.25">
      <c r="A923" s="18"/>
      <c r="B923" s="19"/>
    </row>
    <row r="924" spans="1:2" ht="12.5" x14ac:dyDescent="0.25">
      <c r="A924" s="18"/>
      <c r="B924" s="19"/>
    </row>
    <row r="925" spans="1:2" ht="12.5" x14ac:dyDescent="0.25">
      <c r="A925" s="18"/>
      <c r="B925" s="19"/>
    </row>
    <row r="926" spans="1:2" ht="12.5" x14ac:dyDescent="0.25">
      <c r="A926" s="18"/>
      <c r="B926" s="19"/>
    </row>
    <row r="927" spans="1:2" ht="12.5" x14ac:dyDescent="0.25">
      <c r="A927" s="18"/>
      <c r="B927" s="19"/>
    </row>
    <row r="928" spans="1:2" ht="12.5" x14ac:dyDescent="0.25">
      <c r="A928" s="18"/>
      <c r="B928" s="19"/>
    </row>
    <row r="929" spans="1:2" ht="12.5" x14ac:dyDescent="0.25">
      <c r="A929" s="18"/>
      <c r="B929" s="19"/>
    </row>
    <row r="930" spans="1:2" ht="12.5" x14ac:dyDescent="0.25">
      <c r="A930" s="18"/>
      <c r="B930" s="19"/>
    </row>
    <row r="931" spans="1:2" ht="12.5" x14ac:dyDescent="0.25">
      <c r="A931" s="18"/>
      <c r="B931" s="19"/>
    </row>
    <row r="932" spans="1:2" ht="12.5" x14ac:dyDescent="0.25">
      <c r="A932" s="18"/>
      <c r="B932" s="19"/>
    </row>
    <row r="933" spans="1:2" ht="12.5" x14ac:dyDescent="0.25">
      <c r="A933" s="18"/>
      <c r="B933" s="19"/>
    </row>
    <row r="934" spans="1:2" ht="12.5" x14ac:dyDescent="0.25">
      <c r="A934" s="18"/>
      <c r="B934" s="19"/>
    </row>
    <row r="935" spans="1:2" ht="12.5" x14ac:dyDescent="0.25">
      <c r="A935" s="18"/>
      <c r="B935" s="19"/>
    </row>
    <row r="936" spans="1:2" ht="12.5" x14ac:dyDescent="0.25">
      <c r="A936" s="18"/>
      <c r="B936" s="19"/>
    </row>
    <row r="937" spans="1:2" ht="12.5" x14ac:dyDescent="0.25">
      <c r="A937" s="18"/>
      <c r="B937" s="19"/>
    </row>
    <row r="938" spans="1:2" ht="12.5" x14ac:dyDescent="0.25">
      <c r="A938" s="18"/>
      <c r="B938" s="19"/>
    </row>
    <row r="939" spans="1:2" ht="12.5" x14ac:dyDescent="0.25">
      <c r="A939" s="18"/>
      <c r="B939" s="19"/>
    </row>
    <row r="940" spans="1:2" ht="12.5" x14ac:dyDescent="0.25">
      <c r="A940" s="18"/>
      <c r="B940" s="19"/>
    </row>
    <row r="941" spans="1:2" ht="12.5" x14ac:dyDescent="0.25">
      <c r="A941" s="18"/>
      <c r="B941" s="19"/>
    </row>
    <row r="942" spans="1:2" ht="12.5" x14ac:dyDescent="0.25">
      <c r="A942" s="18"/>
      <c r="B942" s="19"/>
    </row>
    <row r="943" spans="1:2" ht="12.5" x14ac:dyDescent="0.25">
      <c r="A943" s="18"/>
      <c r="B943" s="19"/>
    </row>
    <row r="944" spans="1:2" ht="12.5" x14ac:dyDescent="0.25">
      <c r="A944" s="18"/>
      <c r="B944" s="19"/>
    </row>
    <row r="945" spans="1:2" ht="12.5" x14ac:dyDescent="0.25">
      <c r="A945" s="18"/>
      <c r="B945" s="19"/>
    </row>
    <row r="946" spans="1:2" ht="12.5" x14ac:dyDescent="0.25">
      <c r="A946" s="18"/>
      <c r="B946" s="19"/>
    </row>
    <row r="947" spans="1:2" ht="12.5" x14ac:dyDescent="0.25">
      <c r="A947" s="18"/>
      <c r="B947" s="19"/>
    </row>
    <row r="948" spans="1:2" ht="12.5" x14ac:dyDescent="0.25">
      <c r="A948" s="18"/>
      <c r="B948" s="19"/>
    </row>
    <row r="949" spans="1:2" ht="12.5" x14ac:dyDescent="0.25">
      <c r="A949" s="18"/>
      <c r="B949" s="19"/>
    </row>
    <row r="950" spans="1:2" ht="12.5" x14ac:dyDescent="0.25">
      <c r="A950" s="18"/>
      <c r="B950" s="19"/>
    </row>
    <row r="951" spans="1:2" ht="12.5" x14ac:dyDescent="0.25">
      <c r="A951" s="18"/>
      <c r="B951" s="19"/>
    </row>
    <row r="952" spans="1:2" ht="12.5" x14ac:dyDescent="0.25">
      <c r="A952" s="18"/>
      <c r="B952" s="19"/>
    </row>
    <row r="953" spans="1:2" ht="12.5" x14ac:dyDescent="0.25">
      <c r="A953" s="18"/>
      <c r="B953" s="19"/>
    </row>
    <row r="954" spans="1:2" ht="12.5" x14ac:dyDescent="0.25">
      <c r="A954" s="18"/>
      <c r="B954" s="19"/>
    </row>
    <row r="955" spans="1:2" ht="12.5" x14ac:dyDescent="0.25">
      <c r="A955" s="18"/>
      <c r="B955" s="19"/>
    </row>
    <row r="956" spans="1:2" ht="12.5" x14ac:dyDescent="0.25">
      <c r="A956" s="18"/>
      <c r="B956" s="19"/>
    </row>
    <row r="957" spans="1:2" ht="12.5" x14ac:dyDescent="0.25">
      <c r="A957" s="18"/>
      <c r="B957" s="19"/>
    </row>
    <row r="958" spans="1:2" ht="12.5" x14ac:dyDescent="0.25">
      <c r="A958" s="18"/>
      <c r="B958" s="19"/>
    </row>
    <row r="959" spans="1:2" ht="12.5" x14ac:dyDescent="0.25">
      <c r="A959" s="18"/>
      <c r="B959" s="19"/>
    </row>
    <row r="960" spans="1:2" ht="12.5" x14ac:dyDescent="0.25">
      <c r="A960" s="18"/>
      <c r="B960" s="19"/>
    </row>
    <row r="961" spans="1:2" ht="12.5" x14ac:dyDescent="0.25">
      <c r="A961" s="18"/>
      <c r="B961" s="19"/>
    </row>
    <row r="962" spans="1:2" ht="12.5" x14ac:dyDescent="0.25">
      <c r="A962" s="18"/>
      <c r="B962" s="19"/>
    </row>
    <row r="963" spans="1:2" ht="12.5" x14ac:dyDescent="0.25">
      <c r="A963" s="18"/>
      <c r="B963" s="19"/>
    </row>
    <row r="964" spans="1:2" ht="12.5" x14ac:dyDescent="0.25">
      <c r="A964" s="18"/>
      <c r="B964" s="19"/>
    </row>
    <row r="965" spans="1:2" ht="12.5" x14ac:dyDescent="0.25">
      <c r="A965" s="18"/>
      <c r="B965" s="19"/>
    </row>
    <row r="966" spans="1:2" ht="12.5" x14ac:dyDescent="0.25">
      <c r="A966" s="18"/>
      <c r="B966" s="19"/>
    </row>
    <row r="967" spans="1:2" ht="12.5" x14ac:dyDescent="0.25">
      <c r="A967" s="18"/>
      <c r="B967" s="19"/>
    </row>
    <row r="968" spans="1:2" ht="12.5" x14ac:dyDescent="0.25">
      <c r="A968" s="18"/>
      <c r="B968" s="19"/>
    </row>
    <row r="969" spans="1:2" ht="12.5" x14ac:dyDescent="0.25">
      <c r="A969" s="18"/>
      <c r="B969" s="19"/>
    </row>
    <row r="970" spans="1:2" ht="12.5" x14ac:dyDescent="0.25">
      <c r="A970" s="18"/>
      <c r="B970" s="19"/>
    </row>
    <row r="971" spans="1:2" ht="12.5" x14ac:dyDescent="0.25">
      <c r="A971" s="18"/>
      <c r="B971" s="19"/>
    </row>
    <row r="972" spans="1:2" ht="12.5" x14ac:dyDescent="0.25">
      <c r="A972" s="18"/>
      <c r="B972" s="19"/>
    </row>
    <row r="973" spans="1:2" ht="12.5" x14ac:dyDescent="0.25">
      <c r="A973" s="18"/>
      <c r="B973" s="19"/>
    </row>
    <row r="974" spans="1:2" ht="12.5" x14ac:dyDescent="0.25">
      <c r="A974" s="18"/>
      <c r="B974" s="19"/>
    </row>
    <row r="975" spans="1:2" ht="12.5" x14ac:dyDescent="0.25">
      <c r="A975" s="18"/>
      <c r="B975" s="19"/>
    </row>
    <row r="976" spans="1:2" ht="12.5" x14ac:dyDescent="0.25">
      <c r="A976" s="18"/>
      <c r="B976" s="19"/>
    </row>
    <row r="977" spans="1:2" ht="12.5" x14ac:dyDescent="0.25">
      <c r="A977" s="18"/>
      <c r="B977" s="19"/>
    </row>
    <row r="978" spans="1:2" ht="12.5" x14ac:dyDescent="0.25">
      <c r="A978" s="18"/>
      <c r="B978" s="19"/>
    </row>
    <row r="979" spans="1:2" ht="12.5" x14ac:dyDescent="0.25">
      <c r="A979" s="18"/>
      <c r="B979" s="19"/>
    </row>
    <row r="980" spans="1:2" ht="12.5" x14ac:dyDescent="0.25">
      <c r="A980" s="18"/>
      <c r="B980" s="19"/>
    </row>
    <row r="981" spans="1:2" ht="12.5" x14ac:dyDescent="0.25">
      <c r="A981" s="18"/>
      <c r="B981" s="19"/>
    </row>
    <row r="982" spans="1:2" ht="12.5" x14ac:dyDescent="0.25">
      <c r="A982" s="18"/>
      <c r="B982" s="19"/>
    </row>
    <row r="983" spans="1:2" ht="12.5" x14ac:dyDescent="0.25">
      <c r="A983" s="18"/>
      <c r="B983" s="19"/>
    </row>
    <row r="984" spans="1:2" ht="12.5" x14ac:dyDescent="0.25">
      <c r="A984" s="18"/>
      <c r="B984" s="19"/>
    </row>
    <row r="985" spans="1:2" ht="12.5" x14ac:dyDescent="0.25">
      <c r="A985" s="18"/>
      <c r="B985" s="19"/>
    </row>
    <row r="986" spans="1:2" ht="12.5" x14ac:dyDescent="0.25">
      <c r="A986" s="18"/>
      <c r="B986" s="19"/>
    </row>
    <row r="987" spans="1:2" ht="12.5" x14ac:dyDescent="0.25">
      <c r="A987" s="18"/>
      <c r="B987" s="19"/>
    </row>
    <row r="988" spans="1:2" ht="12.5" x14ac:dyDescent="0.25">
      <c r="A988" s="18"/>
      <c r="B988" s="19"/>
    </row>
    <row r="989" spans="1:2" ht="12.5" x14ac:dyDescent="0.25">
      <c r="A989" s="18"/>
      <c r="B989" s="19"/>
    </row>
    <row r="990" spans="1:2" ht="12.5" x14ac:dyDescent="0.25">
      <c r="A990" s="18"/>
      <c r="B990" s="19"/>
    </row>
    <row r="991" spans="1:2" ht="12.5" x14ac:dyDescent="0.25">
      <c r="A991" s="18"/>
      <c r="B991" s="19"/>
    </row>
    <row r="992" spans="1:2" ht="12.5" x14ac:dyDescent="0.25">
      <c r="A992" s="18"/>
      <c r="B992" s="19"/>
    </row>
    <row r="993" spans="1:2" ht="12.5" x14ac:dyDescent="0.25">
      <c r="A993" s="18"/>
      <c r="B993" s="19"/>
    </row>
    <row r="994" spans="1:2" ht="12.5" x14ac:dyDescent="0.25">
      <c r="A994" s="18"/>
      <c r="B994" s="19"/>
    </row>
    <row r="995" spans="1:2" ht="12.5" x14ac:dyDescent="0.25">
      <c r="A995" s="18"/>
      <c r="B995" s="19"/>
    </row>
    <row r="996" spans="1:2" ht="12.5" x14ac:dyDescent="0.25">
      <c r="A996" s="18"/>
      <c r="B996" s="19"/>
    </row>
    <row r="997" spans="1:2" ht="12.5" x14ac:dyDescent="0.25">
      <c r="A997" s="18"/>
      <c r="B997" s="19"/>
    </row>
    <row r="998" spans="1:2" ht="12.5" x14ac:dyDescent="0.25">
      <c r="A998" s="18"/>
      <c r="B998" s="19"/>
    </row>
    <row r="999" spans="1:2" ht="12.5" x14ac:dyDescent="0.25">
      <c r="A999" s="18"/>
      <c r="B999" s="19"/>
    </row>
    <row r="1000" spans="1:2" ht="12.5" x14ac:dyDescent="0.25">
      <c r="A1000" s="18"/>
      <c r="B1000" s="19"/>
    </row>
    <row r="1001" spans="1:2" ht="12.5" x14ac:dyDescent="0.25">
      <c r="A1001" s="18"/>
      <c r="B1001" s="19"/>
    </row>
    <row r="1002" spans="1:2" ht="12.5" x14ac:dyDescent="0.25">
      <c r="A1002" s="18"/>
      <c r="B1002" s="19"/>
    </row>
    <row r="1003" spans="1:2" ht="12.5" x14ac:dyDescent="0.25">
      <c r="A1003" s="18"/>
      <c r="B1003" s="19"/>
    </row>
    <row r="1004" spans="1:2" ht="12.5" x14ac:dyDescent="0.25">
      <c r="A1004" s="18"/>
      <c r="B1004" s="19"/>
    </row>
    <row r="1005" spans="1:2" ht="12.5" x14ac:dyDescent="0.25">
      <c r="A1005" s="18"/>
      <c r="B1005" s="19"/>
    </row>
    <row r="1006" spans="1:2" ht="12.5" x14ac:dyDescent="0.25">
      <c r="A1006" s="18"/>
      <c r="B1006" s="19"/>
    </row>
    <row r="1007" spans="1:2" ht="12.5" x14ac:dyDescent="0.25">
      <c r="A1007" s="18"/>
      <c r="B1007" s="19"/>
    </row>
    <row r="1008" spans="1:2" ht="12.5" x14ac:dyDescent="0.25">
      <c r="A1008" s="18"/>
      <c r="B1008" s="19"/>
    </row>
    <row r="1009" spans="1:2" ht="12.5" x14ac:dyDescent="0.25">
      <c r="A1009" s="18"/>
      <c r="B1009" s="19"/>
    </row>
    <row r="1010" spans="1:2" ht="12.5" x14ac:dyDescent="0.25">
      <c r="A1010" s="18"/>
      <c r="B1010" s="19"/>
    </row>
    <row r="1011" spans="1:2" ht="12.5" x14ac:dyDescent="0.25">
      <c r="A1011" s="18"/>
      <c r="B1011" s="19"/>
    </row>
    <row r="1012" spans="1:2" ht="12.5" x14ac:dyDescent="0.25">
      <c r="A1012" s="18"/>
      <c r="B1012" s="19"/>
    </row>
    <row r="1013" spans="1:2" ht="12.5" x14ac:dyDescent="0.25">
      <c r="A1013" s="18"/>
      <c r="B1013" s="19"/>
    </row>
  </sheetData>
  <mergeCells count="13">
    <mergeCell ref="C19:D19"/>
    <mergeCell ref="C1:D1"/>
    <mergeCell ref="C2:D2"/>
    <mergeCell ref="C3:D3"/>
    <mergeCell ref="C4:D4"/>
    <mergeCell ref="C7:D7"/>
    <mergeCell ref="C8:D8"/>
    <mergeCell ref="A5:A6"/>
    <mergeCell ref="A9:A13"/>
    <mergeCell ref="B9:B13"/>
    <mergeCell ref="A14:A18"/>
    <mergeCell ref="B14:B18"/>
    <mergeCell ref="B5:B6"/>
  </mergeCells>
  <hyperlinks>
    <hyperlink ref="B9" r:id="rId1" xr:uid="{00000000-0004-0000-0000-000000000000}"/>
    <hyperlink ref="B14"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
  <sheetViews>
    <sheetView workbookViewId="0"/>
  </sheetViews>
  <sheetFormatPr defaultColWidth="12.81640625" defaultRowHeight="15.75" customHeight="1" x14ac:dyDescent="0.25"/>
  <cols>
    <col min="1" max="1" width="17.1796875" customWidth="1"/>
    <col min="2" max="2" width="37.1796875" customWidth="1"/>
    <col min="3" max="3" width="116.453125" style="197" customWidth="1"/>
    <col min="4" max="4" width="2.81640625" customWidth="1"/>
  </cols>
  <sheetData>
    <row r="1" spans="1:3" ht="13" x14ac:dyDescent="0.25">
      <c r="A1" s="1"/>
      <c r="B1" s="20" t="s">
        <v>0</v>
      </c>
      <c r="C1" s="194"/>
    </row>
    <row r="2" spans="1:3" ht="262.5" x14ac:dyDescent="0.25">
      <c r="A2" s="3" t="s">
        <v>36</v>
      </c>
      <c r="B2" s="373" t="s">
        <v>37</v>
      </c>
      <c r="C2" s="195" t="s">
        <v>38</v>
      </c>
    </row>
    <row r="3" spans="1:3" ht="350" x14ac:dyDescent="0.25">
      <c r="A3" s="3" t="s">
        <v>39</v>
      </c>
      <c r="B3" s="374"/>
      <c r="C3" s="195" t="s">
        <v>40</v>
      </c>
    </row>
    <row r="4" spans="1:3" ht="409.5" x14ac:dyDescent="0.25">
      <c r="A4" s="3" t="s">
        <v>41</v>
      </c>
      <c r="B4" s="374"/>
      <c r="C4" s="195" t="s">
        <v>42</v>
      </c>
    </row>
    <row r="5" spans="1:3" ht="409.5" x14ac:dyDescent="0.25">
      <c r="A5" s="3" t="s">
        <v>43</v>
      </c>
      <c r="B5" s="374"/>
      <c r="C5" s="195" t="s">
        <v>44</v>
      </c>
    </row>
    <row r="6" spans="1:3" ht="409.5" x14ac:dyDescent="0.25">
      <c r="A6" s="22" t="s">
        <v>45</v>
      </c>
      <c r="B6" s="375"/>
      <c r="C6" s="196" t="s">
        <v>46</v>
      </c>
    </row>
    <row r="7" spans="1:3" ht="13" x14ac:dyDescent="0.25">
      <c r="A7" s="18"/>
      <c r="B7" s="23"/>
    </row>
  </sheetData>
  <mergeCells count="1">
    <mergeCell ref="B2:B6"/>
  </mergeCells>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5"/>
  <sheetViews>
    <sheetView workbookViewId="0"/>
  </sheetViews>
  <sheetFormatPr defaultColWidth="12.81640625" defaultRowHeight="15.75" customHeight="1" x14ac:dyDescent="0.25"/>
  <cols>
    <col min="1" max="1" width="6.81640625" customWidth="1"/>
    <col min="2" max="2" width="28.1796875" customWidth="1"/>
    <col min="3" max="3" width="53.453125" customWidth="1"/>
    <col min="4" max="4" width="21.54296875" style="74" customWidth="1"/>
    <col min="5" max="5" width="33.1796875" style="74" customWidth="1"/>
    <col min="6" max="6" width="32.81640625" style="74" customWidth="1"/>
    <col min="7" max="7" width="20" style="74" customWidth="1"/>
    <col min="8" max="8" width="4.1796875" customWidth="1"/>
  </cols>
  <sheetData>
    <row r="1" spans="1:8" ht="15.75" customHeight="1" x14ac:dyDescent="0.25">
      <c r="A1" s="25"/>
      <c r="B1" s="26" t="s">
        <v>47</v>
      </c>
      <c r="C1" s="26" t="s">
        <v>48</v>
      </c>
      <c r="D1" s="176" t="s">
        <v>49</v>
      </c>
      <c r="E1" s="184" t="s">
        <v>50</v>
      </c>
      <c r="F1" s="176" t="s">
        <v>51</v>
      </c>
      <c r="G1" s="187" t="s">
        <v>52</v>
      </c>
      <c r="H1" s="27"/>
    </row>
    <row r="2" spans="1:8" ht="208" x14ac:dyDescent="0.3">
      <c r="A2" s="28" t="s">
        <v>53</v>
      </c>
      <c r="B2" s="75" t="s">
        <v>54</v>
      </c>
      <c r="C2" s="29" t="s">
        <v>55</v>
      </c>
      <c r="D2" s="188" t="s">
        <v>56</v>
      </c>
      <c r="E2" s="185" t="s">
        <v>57</v>
      </c>
      <c r="F2" s="177" t="s">
        <v>58</v>
      </c>
      <c r="G2" s="189" t="s">
        <v>59</v>
      </c>
      <c r="H2" s="32"/>
    </row>
    <row r="3" spans="1:8" ht="124" customHeight="1" x14ac:dyDescent="0.25">
      <c r="A3" s="33"/>
      <c r="B3" s="169" t="s">
        <v>60</v>
      </c>
      <c r="C3" s="169" t="s">
        <v>61</v>
      </c>
      <c r="D3" s="178" t="s">
        <v>62</v>
      </c>
      <c r="E3" s="186" t="s">
        <v>63</v>
      </c>
      <c r="F3" s="376" t="s">
        <v>64</v>
      </c>
      <c r="G3" s="190" t="s">
        <v>65</v>
      </c>
    </row>
    <row r="4" spans="1:8" ht="200" x14ac:dyDescent="0.25">
      <c r="A4" s="33"/>
      <c r="B4" s="169" t="s">
        <v>66</v>
      </c>
      <c r="C4" s="169" t="s">
        <v>67</v>
      </c>
      <c r="D4" s="178" t="s">
        <v>62</v>
      </c>
      <c r="E4" s="186" t="s">
        <v>63</v>
      </c>
      <c r="F4" s="377"/>
      <c r="G4" s="190" t="s">
        <v>65</v>
      </c>
    </row>
    <row r="5" spans="1:8" ht="225" x14ac:dyDescent="0.25">
      <c r="A5" s="33"/>
      <c r="B5" s="169" t="s">
        <v>68</v>
      </c>
      <c r="C5" s="169" t="s">
        <v>69</v>
      </c>
      <c r="D5" s="178" t="s">
        <v>62</v>
      </c>
      <c r="E5" s="186" t="s">
        <v>70</v>
      </c>
      <c r="F5" s="178" t="s">
        <v>71</v>
      </c>
      <c r="G5" s="190" t="s">
        <v>65</v>
      </c>
    </row>
    <row r="6" spans="1:8" ht="175" x14ac:dyDescent="0.25">
      <c r="A6" s="33"/>
      <c r="B6" s="34" t="s">
        <v>72</v>
      </c>
      <c r="C6" s="169" t="s">
        <v>73</v>
      </c>
      <c r="D6" s="178" t="s">
        <v>62</v>
      </c>
      <c r="E6" s="186" t="s">
        <v>63</v>
      </c>
      <c r="F6" s="178" t="s">
        <v>64</v>
      </c>
      <c r="G6" s="190" t="s">
        <v>65</v>
      </c>
    </row>
    <row r="7" spans="1:8" ht="111" customHeight="1" x14ac:dyDescent="0.25">
      <c r="A7" s="33"/>
      <c r="B7" s="169" t="s">
        <v>74</v>
      </c>
      <c r="C7" s="169" t="s">
        <v>75</v>
      </c>
      <c r="D7" s="178" t="s">
        <v>62</v>
      </c>
      <c r="E7" s="186" t="s">
        <v>76</v>
      </c>
      <c r="F7" s="178" t="s">
        <v>77</v>
      </c>
      <c r="G7" s="190" t="s">
        <v>65</v>
      </c>
    </row>
    <row r="8" spans="1:8" ht="237.5" x14ac:dyDescent="0.25">
      <c r="A8" s="33"/>
      <c r="B8" s="169" t="s">
        <v>78</v>
      </c>
      <c r="C8" s="169" t="s">
        <v>79</v>
      </c>
      <c r="D8" s="178" t="s">
        <v>62</v>
      </c>
      <c r="E8" s="186" t="s">
        <v>70</v>
      </c>
      <c r="F8" s="178" t="s">
        <v>77</v>
      </c>
      <c r="G8" s="190" t="s">
        <v>65</v>
      </c>
    </row>
    <row r="9" spans="1:8" ht="164.5" customHeight="1" x14ac:dyDescent="0.25">
      <c r="A9" s="33"/>
      <c r="B9" s="169" t="s">
        <v>80</v>
      </c>
      <c r="C9" s="169" t="s">
        <v>81</v>
      </c>
      <c r="D9" s="178" t="s">
        <v>62</v>
      </c>
      <c r="E9" s="186" t="s">
        <v>63</v>
      </c>
      <c r="F9" s="178" t="s">
        <v>64</v>
      </c>
      <c r="G9" s="190" t="s">
        <v>65</v>
      </c>
    </row>
    <row r="10" spans="1:8" ht="300" x14ac:dyDescent="0.25">
      <c r="A10" s="33"/>
      <c r="B10" s="169" t="s">
        <v>82</v>
      </c>
      <c r="C10" s="169" t="s">
        <v>83</v>
      </c>
      <c r="D10" s="178" t="s">
        <v>62</v>
      </c>
      <c r="E10" s="186" t="s">
        <v>76</v>
      </c>
      <c r="F10" s="178" t="s">
        <v>77</v>
      </c>
      <c r="G10" s="190"/>
    </row>
    <row r="11" spans="1:8" ht="137.5" x14ac:dyDescent="0.25">
      <c r="A11" s="33"/>
      <c r="B11" s="169" t="s">
        <v>84</v>
      </c>
      <c r="C11" s="169" t="s">
        <v>85</v>
      </c>
      <c r="D11" s="178" t="s">
        <v>62</v>
      </c>
      <c r="E11" s="186" t="s">
        <v>76</v>
      </c>
      <c r="F11" s="178" t="s">
        <v>77</v>
      </c>
      <c r="G11" s="190"/>
    </row>
    <row r="12" spans="1:8" ht="100" x14ac:dyDescent="0.25">
      <c r="A12" s="33"/>
      <c r="B12" s="169" t="s">
        <v>86</v>
      </c>
      <c r="C12" s="169" t="s">
        <v>87</v>
      </c>
      <c r="D12" s="178" t="s">
        <v>62</v>
      </c>
      <c r="E12" s="186" t="s">
        <v>76</v>
      </c>
      <c r="F12" s="178" t="s">
        <v>77</v>
      </c>
      <c r="G12" s="190" t="s">
        <v>65</v>
      </c>
    </row>
    <row r="13" spans="1:8" ht="125" x14ac:dyDescent="0.25">
      <c r="A13" s="33"/>
      <c r="B13" s="169" t="s">
        <v>88</v>
      </c>
      <c r="C13" s="169" t="s">
        <v>89</v>
      </c>
      <c r="D13" s="178" t="s">
        <v>62</v>
      </c>
      <c r="E13" s="186" t="s">
        <v>76</v>
      </c>
      <c r="F13" s="178" t="s">
        <v>77</v>
      </c>
      <c r="G13" s="190" t="s">
        <v>65</v>
      </c>
    </row>
    <row r="14" spans="1:8" ht="143.5" customHeight="1" x14ac:dyDescent="0.25">
      <c r="A14" s="33"/>
      <c r="B14" s="34" t="s">
        <v>90</v>
      </c>
      <c r="C14" s="169" t="s">
        <v>91</v>
      </c>
      <c r="D14" s="178" t="s">
        <v>62</v>
      </c>
      <c r="E14" s="186" t="s">
        <v>76</v>
      </c>
      <c r="F14" s="178" t="s">
        <v>77</v>
      </c>
      <c r="G14" s="190" t="s">
        <v>92</v>
      </c>
    </row>
    <row r="15" spans="1:8" ht="121" customHeight="1" x14ac:dyDescent="0.25">
      <c r="A15" s="33"/>
      <c r="B15" s="34" t="s">
        <v>93</v>
      </c>
      <c r="C15" s="169" t="s">
        <v>94</v>
      </c>
      <c r="D15" s="178" t="s">
        <v>62</v>
      </c>
      <c r="E15" s="186" t="s">
        <v>76</v>
      </c>
      <c r="F15" s="178" t="s">
        <v>77</v>
      </c>
      <c r="G15" s="190" t="s">
        <v>92</v>
      </c>
    </row>
    <row r="16" spans="1:8" ht="131.15" customHeight="1" x14ac:dyDescent="0.25">
      <c r="A16" s="33"/>
      <c r="B16" s="169" t="s">
        <v>95</v>
      </c>
      <c r="C16" s="169" t="s">
        <v>96</v>
      </c>
      <c r="D16" s="178" t="s">
        <v>97</v>
      </c>
      <c r="E16" s="186" t="s">
        <v>63</v>
      </c>
      <c r="F16" s="178" t="s">
        <v>64</v>
      </c>
      <c r="G16" s="190" t="s">
        <v>65</v>
      </c>
    </row>
    <row r="17" spans="1:7" ht="147" customHeight="1" x14ac:dyDescent="0.25">
      <c r="A17" s="33"/>
      <c r="B17" s="34" t="s">
        <v>98</v>
      </c>
      <c r="C17" s="169" t="s">
        <v>99</v>
      </c>
      <c r="D17" s="178" t="s">
        <v>100</v>
      </c>
      <c r="E17" s="186" t="s">
        <v>63</v>
      </c>
      <c r="F17" s="178" t="s">
        <v>64</v>
      </c>
      <c r="G17" s="190" t="s">
        <v>65</v>
      </c>
    </row>
    <row r="18" spans="1:7" ht="136" customHeight="1" x14ac:dyDescent="0.25">
      <c r="A18" s="33"/>
      <c r="B18" s="34" t="s">
        <v>101</v>
      </c>
      <c r="C18" s="169" t="s">
        <v>102</v>
      </c>
      <c r="D18" s="179" t="s">
        <v>101</v>
      </c>
      <c r="E18" s="186" t="s">
        <v>63</v>
      </c>
      <c r="F18" s="178" t="s">
        <v>64</v>
      </c>
      <c r="G18" s="190" t="s">
        <v>65</v>
      </c>
    </row>
    <row r="19" spans="1:7" ht="150" x14ac:dyDescent="0.25">
      <c r="A19" s="33"/>
      <c r="B19" s="169" t="s">
        <v>103</v>
      </c>
      <c r="C19" s="169" t="s">
        <v>104</v>
      </c>
      <c r="D19" s="178" t="s">
        <v>105</v>
      </c>
      <c r="E19" s="186" t="s">
        <v>76</v>
      </c>
      <c r="F19" s="178" t="s">
        <v>106</v>
      </c>
      <c r="G19" s="190" t="s">
        <v>92</v>
      </c>
    </row>
    <row r="20" spans="1:7" ht="92.5" customHeight="1" x14ac:dyDescent="0.25">
      <c r="A20" s="33"/>
      <c r="B20" s="169" t="s">
        <v>107</v>
      </c>
      <c r="C20" s="169" t="s">
        <v>108</v>
      </c>
      <c r="D20" s="178" t="s">
        <v>105</v>
      </c>
      <c r="E20" s="186" t="s">
        <v>76</v>
      </c>
      <c r="F20" s="178" t="s">
        <v>106</v>
      </c>
      <c r="G20" s="190" t="s">
        <v>92</v>
      </c>
    </row>
    <row r="21" spans="1:7" ht="162.5" x14ac:dyDescent="0.25">
      <c r="A21" s="33"/>
      <c r="B21" s="169" t="s">
        <v>109</v>
      </c>
      <c r="C21" s="169" t="s">
        <v>110</v>
      </c>
      <c r="D21" s="178" t="s">
        <v>111</v>
      </c>
      <c r="E21" s="186" t="s">
        <v>63</v>
      </c>
      <c r="F21" s="178" t="s">
        <v>112</v>
      </c>
      <c r="G21" s="190" t="s">
        <v>65</v>
      </c>
    </row>
    <row r="22" spans="1:7" ht="112.5" x14ac:dyDescent="0.25">
      <c r="A22" s="171"/>
      <c r="B22" s="172" t="s">
        <v>113</v>
      </c>
      <c r="C22" s="172" t="s">
        <v>114</v>
      </c>
      <c r="D22" s="182"/>
      <c r="E22" s="186" t="s">
        <v>63</v>
      </c>
      <c r="F22" s="178" t="s">
        <v>115</v>
      </c>
      <c r="G22" s="191" t="s">
        <v>65</v>
      </c>
    </row>
    <row r="23" spans="1:7" ht="137.5" x14ac:dyDescent="0.25">
      <c r="A23" s="36"/>
      <c r="B23" s="170" t="s">
        <v>116</v>
      </c>
      <c r="C23" s="170" t="s">
        <v>117</v>
      </c>
      <c r="D23" s="192" t="s">
        <v>118</v>
      </c>
      <c r="E23" s="186" t="s">
        <v>63</v>
      </c>
      <c r="F23" s="178" t="s">
        <v>64</v>
      </c>
      <c r="G23" s="181" t="s">
        <v>65</v>
      </c>
    </row>
    <row r="24" spans="1:7" ht="262.5" x14ac:dyDescent="0.25">
      <c r="A24" s="171"/>
      <c r="B24" s="172" t="s">
        <v>119</v>
      </c>
      <c r="C24" s="173" t="s">
        <v>120</v>
      </c>
      <c r="D24" s="182" t="s">
        <v>121</v>
      </c>
      <c r="E24" s="182" t="s">
        <v>63</v>
      </c>
      <c r="F24" s="182" t="s">
        <v>122</v>
      </c>
      <c r="G24" s="180" t="s">
        <v>65</v>
      </c>
    </row>
    <row r="25" spans="1:7" s="151" customFormat="1" ht="150" x14ac:dyDescent="0.25">
      <c r="A25" s="174"/>
      <c r="B25" s="175" t="s">
        <v>123</v>
      </c>
      <c r="C25" s="175" t="s">
        <v>124</v>
      </c>
      <c r="D25" s="183"/>
      <c r="E25" s="183"/>
      <c r="F25" s="178" t="s">
        <v>125</v>
      </c>
      <c r="G25" s="193"/>
    </row>
  </sheetData>
  <mergeCells count="1">
    <mergeCell ref="F3:F4"/>
  </mergeCells>
  <hyperlinks>
    <hyperlink ref="B2" r:id="rId1" xr:uid="{00000000-0004-0000-0200-000000000000}"/>
    <hyperlink ref="G2"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workbookViewId="0"/>
  </sheetViews>
  <sheetFormatPr defaultColWidth="12.81640625" defaultRowHeight="15.75" customHeight="1" x14ac:dyDescent="0.25"/>
  <cols>
    <col min="1" max="1" width="8.1796875" customWidth="1"/>
    <col min="2" max="3" width="41.1796875" customWidth="1"/>
    <col min="4" max="4" width="36.81640625" customWidth="1"/>
    <col min="5" max="5" width="4.1796875" customWidth="1"/>
  </cols>
  <sheetData>
    <row r="1" spans="1:5" ht="15.75" customHeight="1" x14ac:dyDescent="0.25">
      <c r="A1" s="37"/>
      <c r="B1" s="38" t="s">
        <v>126</v>
      </c>
      <c r="C1" s="38" t="s">
        <v>127</v>
      </c>
      <c r="D1" s="39" t="s">
        <v>128</v>
      </c>
      <c r="E1" s="40"/>
    </row>
    <row r="2" spans="1:5" ht="15.75" customHeight="1" x14ac:dyDescent="0.25">
      <c r="A2" s="41" t="s">
        <v>53</v>
      </c>
      <c r="B2" s="31" t="s">
        <v>129</v>
      </c>
      <c r="C2" s="31" t="s">
        <v>130</v>
      </c>
      <c r="D2" s="29" t="s">
        <v>131</v>
      </c>
      <c r="E2" s="42"/>
    </row>
    <row r="3" spans="1:5" ht="39" x14ac:dyDescent="0.25">
      <c r="A3" s="41" t="s">
        <v>132</v>
      </c>
      <c r="B3" s="43" t="s">
        <v>133</v>
      </c>
      <c r="C3" s="31" t="s">
        <v>134</v>
      </c>
      <c r="D3" s="31" t="s">
        <v>135</v>
      </c>
      <c r="E3" s="42"/>
    </row>
    <row r="4" spans="1:5" ht="15.75" customHeight="1" x14ac:dyDescent="0.25">
      <c r="A4" s="44"/>
      <c r="B4" s="35"/>
      <c r="C4" s="35"/>
      <c r="D4" s="35"/>
    </row>
    <row r="5" spans="1:5" ht="15.75" customHeight="1" x14ac:dyDescent="0.25">
      <c r="A5" s="44"/>
      <c r="B5" s="35"/>
      <c r="C5" s="35"/>
      <c r="D5" s="35"/>
    </row>
    <row r="6" spans="1:5" ht="15.75" customHeight="1" x14ac:dyDescent="0.25">
      <c r="A6" s="44"/>
      <c r="B6" s="35"/>
      <c r="C6" s="35"/>
      <c r="D6" s="35"/>
    </row>
    <row r="7" spans="1:5" ht="15.75" customHeight="1" x14ac:dyDescent="0.25">
      <c r="A7" s="44"/>
      <c r="B7" s="35"/>
      <c r="C7" s="35"/>
      <c r="D7" s="35"/>
    </row>
    <row r="8" spans="1:5" ht="15.75" customHeight="1" x14ac:dyDescent="0.25">
      <c r="A8" s="44"/>
      <c r="B8" s="35"/>
      <c r="C8" s="35"/>
      <c r="D8" s="35"/>
    </row>
    <row r="9" spans="1:5" ht="15.75" customHeight="1" x14ac:dyDescent="0.25">
      <c r="A9" s="44"/>
      <c r="B9" s="35"/>
      <c r="C9" s="35"/>
      <c r="D9" s="35"/>
    </row>
    <row r="10" spans="1:5" ht="15.75" customHeight="1" x14ac:dyDescent="0.25">
      <c r="A10" s="44"/>
      <c r="B10" s="35"/>
      <c r="C10" s="35"/>
      <c r="D10" s="35"/>
    </row>
    <row r="11" spans="1:5" ht="15.75" customHeight="1" x14ac:dyDescent="0.25">
      <c r="A11" s="44"/>
      <c r="B11" s="35"/>
      <c r="C11" s="35"/>
      <c r="D11" s="35"/>
    </row>
    <row r="12" spans="1:5" ht="15.75" customHeight="1" x14ac:dyDescent="0.25">
      <c r="A12" s="44"/>
      <c r="B12" s="35"/>
      <c r="C12" s="35"/>
      <c r="D12" s="35"/>
    </row>
    <row r="13" spans="1:5" ht="15.75" customHeight="1" x14ac:dyDescent="0.25">
      <c r="A13" s="44"/>
      <c r="B13" s="35"/>
      <c r="C13" s="35"/>
      <c r="D13" s="35"/>
    </row>
    <row r="14" spans="1:5" ht="15.75" customHeight="1" x14ac:dyDescent="0.25">
      <c r="A14" s="45"/>
      <c r="B14" s="46"/>
      <c r="C14" s="46"/>
      <c r="D14" s="46"/>
    </row>
    <row r="15" spans="1:5" ht="15.75" customHeight="1" x14ac:dyDescent="0.25">
      <c r="A15" s="4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
  <sheetViews>
    <sheetView workbookViewId="0"/>
  </sheetViews>
  <sheetFormatPr defaultColWidth="12.81640625" defaultRowHeight="15.75" customHeight="1" x14ac:dyDescent="0.25"/>
  <cols>
    <col min="1" max="1" width="24.1796875" customWidth="1"/>
    <col min="2" max="2" width="31.453125" customWidth="1"/>
    <col min="3" max="3" width="102.453125" customWidth="1"/>
    <col min="4" max="4" width="86.81640625" customWidth="1"/>
  </cols>
  <sheetData>
    <row r="1" spans="1:4" ht="13" x14ac:dyDescent="0.25">
      <c r="A1" s="48"/>
      <c r="B1" s="20" t="s">
        <v>0</v>
      </c>
      <c r="C1" s="21" t="s">
        <v>136</v>
      </c>
    </row>
    <row r="2" spans="1:4" ht="402.75" customHeight="1" x14ac:dyDescent="0.25">
      <c r="A2" s="49" t="s">
        <v>137</v>
      </c>
      <c r="B2" s="76" t="s">
        <v>138</v>
      </c>
      <c r="C2" s="201" t="s">
        <v>139</v>
      </c>
      <c r="D2" s="146"/>
    </row>
    <row r="3" spans="1:4" ht="409.5" x14ac:dyDescent="0.25">
      <c r="A3" s="49" t="s">
        <v>140</v>
      </c>
      <c r="B3" s="30" t="s">
        <v>141</v>
      </c>
      <c r="C3" s="201" t="s">
        <v>142</v>
      </c>
      <c r="D3" s="146"/>
    </row>
    <row r="4" spans="1:4" ht="15.75" customHeight="1" x14ac:dyDescent="0.35">
      <c r="C4" s="145"/>
    </row>
    <row r="5" spans="1:4" ht="15.75" customHeight="1" x14ac:dyDescent="0.35">
      <c r="C5" s="145"/>
    </row>
    <row r="6" spans="1:4" ht="15.75" customHeight="1" x14ac:dyDescent="0.35">
      <c r="C6" s="145"/>
    </row>
    <row r="7" spans="1:4" ht="15.75" customHeight="1" x14ac:dyDescent="0.35">
      <c r="C7" s="145"/>
    </row>
    <row r="8" spans="1:4" ht="15.75" customHeight="1" x14ac:dyDescent="0.35">
      <c r="C8" s="145"/>
    </row>
    <row r="9" spans="1:4" ht="15.75" customHeight="1" x14ac:dyDescent="0.35">
      <c r="C9" s="145"/>
    </row>
    <row r="10" spans="1:4" ht="15.75" customHeight="1" x14ac:dyDescent="0.35">
      <c r="C10" s="145" t="s">
        <v>143</v>
      </c>
    </row>
  </sheetData>
  <hyperlinks>
    <hyperlink ref="B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7"/>
  <sheetViews>
    <sheetView workbookViewId="0"/>
  </sheetViews>
  <sheetFormatPr defaultColWidth="12.81640625" defaultRowHeight="15.75" customHeight="1" x14ac:dyDescent="0.25"/>
  <cols>
    <col min="1" max="1" width="8.1796875" customWidth="1"/>
    <col min="2" max="3" width="25" customWidth="1"/>
    <col min="4" max="4" width="10.453125" customWidth="1"/>
    <col min="5" max="5" width="13.1796875" customWidth="1"/>
    <col min="6" max="6" width="15.54296875" customWidth="1"/>
    <col min="7" max="7" width="10.453125" customWidth="1"/>
    <col min="8" max="8" width="17.1796875" customWidth="1"/>
    <col min="9" max="12" width="25" hidden="1" customWidth="1"/>
    <col min="13" max="13" width="14.81640625" customWidth="1"/>
    <col min="14" max="14" width="94.54296875" customWidth="1"/>
    <col min="15" max="15" width="5.453125" customWidth="1"/>
  </cols>
  <sheetData>
    <row r="1" spans="1:15" ht="39" x14ac:dyDescent="0.25">
      <c r="A1" s="50"/>
      <c r="B1" s="39" t="s">
        <v>144</v>
      </c>
      <c r="C1" s="39" t="s">
        <v>145</v>
      </c>
      <c r="D1" s="39" t="s">
        <v>146</v>
      </c>
      <c r="E1" s="39" t="s">
        <v>147</v>
      </c>
      <c r="F1" s="51" t="s">
        <v>148</v>
      </c>
      <c r="G1" s="52" t="s">
        <v>149</v>
      </c>
      <c r="H1" s="39" t="s">
        <v>150</v>
      </c>
      <c r="I1" s="39" t="s">
        <v>151</v>
      </c>
      <c r="J1" s="39" t="s">
        <v>152</v>
      </c>
      <c r="K1" s="39" t="s">
        <v>153</v>
      </c>
      <c r="L1" s="39" t="s">
        <v>154</v>
      </c>
      <c r="M1" s="39" t="s">
        <v>155</v>
      </c>
      <c r="N1" s="53" t="s">
        <v>156</v>
      </c>
      <c r="O1" s="54"/>
    </row>
    <row r="2" spans="1:15" ht="63" customHeight="1" x14ac:dyDescent="0.25">
      <c r="A2" s="55" t="s">
        <v>53</v>
      </c>
      <c r="B2" s="31" t="s">
        <v>157</v>
      </c>
      <c r="C2" s="75" t="s">
        <v>158</v>
      </c>
      <c r="D2" s="75"/>
      <c r="E2" s="31" t="s">
        <v>159</v>
      </c>
      <c r="F2" s="56" t="s">
        <v>160</v>
      </c>
      <c r="G2" s="57" t="s">
        <v>161</v>
      </c>
      <c r="H2" s="381" t="s">
        <v>162</v>
      </c>
      <c r="I2" s="382"/>
      <c r="J2" s="382"/>
      <c r="K2" s="382"/>
      <c r="L2" s="383"/>
      <c r="M2" s="77" t="s">
        <v>163</v>
      </c>
      <c r="N2" s="78" t="s">
        <v>164</v>
      </c>
      <c r="O2" s="42"/>
    </row>
    <row r="3" spans="1:15" ht="23.15" customHeight="1" x14ac:dyDescent="0.25">
      <c r="A3" s="384" t="s">
        <v>132</v>
      </c>
      <c r="B3" s="385" t="s">
        <v>165</v>
      </c>
      <c r="C3" s="387" t="s">
        <v>166</v>
      </c>
      <c r="D3" s="105"/>
      <c r="E3" s="387" t="s">
        <v>167</v>
      </c>
      <c r="F3" s="58" t="s">
        <v>168</v>
      </c>
      <c r="G3" s="58" t="s">
        <v>169</v>
      </c>
      <c r="H3" s="58" t="s">
        <v>170</v>
      </c>
      <c r="I3" s="58" t="s">
        <v>171</v>
      </c>
      <c r="J3" s="58" t="s">
        <v>172</v>
      </c>
      <c r="K3" s="58" t="s">
        <v>173</v>
      </c>
      <c r="L3" s="58"/>
      <c r="M3" s="378" t="s">
        <v>174</v>
      </c>
      <c r="N3" s="379" t="s">
        <v>175</v>
      </c>
      <c r="O3" s="42"/>
    </row>
    <row r="4" spans="1:15" ht="29.15" customHeight="1" x14ac:dyDescent="0.25">
      <c r="A4" s="363"/>
      <c r="B4" s="386"/>
      <c r="C4" s="386"/>
      <c r="D4" s="124"/>
      <c r="E4" s="386"/>
      <c r="F4" s="58" t="s">
        <v>168</v>
      </c>
      <c r="G4" s="58" t="s">
        <v>169</v>
      </c>
      <c r="H4" s="58" t="s">
        <v>176</v>
      </c>
      <c r="I4" s="58"/>
      <c r="J4" s="58"/>
      <c r="K4" s="58" t="s">
        <v>177</v>
      </c>
      <c r="L4" s="58" t="s">
        <v>178</v>
      </c>
      <c r="M4" s="363"/>
      <c r="N4" s="380"/>
      <c r="O4" s="24"/>
    </row>
    <row r="5" spans="1:15" ht="409.5" x14ac:dyDescent="0.25">
      <c r="A5" s="59"/>
      <c r="B5" s="35"/>
      <c r="C5" s="35"/>
      <c r="D5" s="35"/>
      <c r="E5" s="35"/>
      <c r="F5" s="35"/>
      <c r="G5" s="35"/>
      <c r="H5" s="35"/>
      <c r="I5" s="35"/>
      <c r="J5" s="35"/>
      <c r="K5" s="35"/>
      <c r="L5" s="35"/>
      <c r="M5" s="35"/>
      <c r="N5" s="202" t="s">
        <v>179</v>
      </c>
    </row>
    <row r="6" spans="1:15" ht="12.5" x14ac:dyDescent="0.25">
      <c r="A6" s="59"/>
      <c r="B6" s="35"/>
      <c r="C6" s="35"/>
      <c r="D6" s="35"/>
      <c r="E6" s="35"/>
      <c r="F6" s="35"/>
      <c r="G6" s="35"/>
      <c r="H6" s="35"/>
      <c r="I6" s="35"/>
      <c r="J6" s="35"/>
      <c r="K6" s="35"/>
      <c r="L6" s="35"/>
      <c r="M6" s="35"/>
    </row>
    <row r="7" spans="1:15" ht="12.5" x14ac:dyDescent="0.25">
      <c r="A7" s="59"/>
      <c r="B7" s="35"/>
      <c r="C7" s="35"/>
      <c r="D7" s="35"/>
      <c r="E7" s="35"/>
      <c r="F7" s="35"/>
      <c r="G7" s="35"/>
      <c r="H7" s="35"/>
      <c r="I7" s="35"/>
      <c r="J7" s="35"/>
      <c r="K7" s="35"/>
      <c r="L7" s="35"/>
      <c r="M7" s="35"/>
    </row>
    <row r="8" spans="1:15" ht="12.5" x14ac:dyDescent="0.25">
      <c r="A8" s="59"/>
      <c r="B8" s="35"/>
      <c r="C8" s="35"/>
      <c r="D8" s="35"/>
      <c r="E8" s="35"/>
      <c r="F8" s="35"/>
      <c r="G8" s="35"/>
      <c r="H8" s="35"/>
      <c r="I8" s="35"/>
      <c r="J8" s="35"/>
      <c r="K8" s="35"/>
      <c r="L8" s="35"/>
      <c r="M8" s="35"/>
    </row>
    <row r="9" spans="1:15" ht="12.5" x14ac:dyDescent="0.25">
      <c r="A9" s="59"/>
      <c r="B9" s="35"/>
      <c r="C9" s="35"/>
      <c r="D9" s="35"/>
      <c r="E9" s="35"/>
      <c r="F9" s="35"/>
      <c r="G9" s="35"/>
      <c r="H9" s="35"/>
      <c r="I9" s="35"/>
      <c r="J9" s="35"/>
      <c r="K9" s="35"/>
      <c r="L9" s="35"/>
      <c r="M9" s="35"/>
    </row>
    <row r="10" spans="1:15" ht="12.5" x14ac:dyDescent="0.25">
      <c r="A10" s="59"/>
      <c r="B10" s="35"/>
      <c r="C10" s="35"/>
      <c r="D10" s="35"/>
      <c r="E10" s="35"/>
      <c r="F10" s="35"/>
      <c r="G10" s="35"/>
      <c r="H10" s="35"/>
      <c r="I10" s="35"/>
      <c r="J10" s="35"/>
      <c r="K10" s="35"/>
      <c r="L10" s="35"/>
      <c r="M10" s="35"/>
    </row>
    <row r="11" spans="1:15" ht="12.5" x14ac:dyDescent="0.25">
      <c r="A11" s="59"/>
      <c r="B11" s="35"/>
      <c r="C11" s="35"/>
      <c r="D11" s="35"/>
      <c r="E11" s="35"/>
      <c r="F11" s="35"/>
      <c r="G11" s="35"/>
      <c r="H11" s="35"/>
      <c r="I11" s="35"/>
      <c r="J11" s="35"/>
      <c r="K11" s="35"/>
      <c r="L11" s="35"/>
      <c r="M11" s="35"/>
    </row>
    <row r="12" spans="1:15" ht="12.5" x14ac:dyDescent="0.25">
      <c r="A12" s="59"/>
      <c r="B12" s="35"/>
      <c r="C12" s="35"/>
      <c r="D12" s="35"/>
      <c r="E12" s="35"/>
      <c r="F12" s="35"/>
      <c r="G12" s="35"/>
      <c r="H12" s="35"/>
      <c r="I12" s="35"/>
      <c r="J12" s="35"/>
      <c r="K12" s="35"/>
      <c r="L12" s="35"/>
      <c r="M12" s="35"/>
    </row>
    <row r="13" spans="1:15" ht="12.5" x14ac:dyDescent="0.25">
      <c r="A13" s="59"/>
      <c r="B13" s="35"/>
      <c r="C13" s="35"/>
      <c r="D13" s="35"/>
      <c r="E13" s="35"/>
      <c r="F13" s="35"/>
      <c r="G13" s="35"/>
      <c r="H13" s="35"/>
      <c r="I13" s="35"/>
      <c r="J13" s="35"/>
      <c r="K13" s="35"/>
      <c r="L13" s="35"/>
      <c r="M13" s="35"/>
    </row>
    <row r="14" spans="1:15" ht="12.5" x14ac:dyDescent="0.25">
      <c r="A14" s="59"/>
      <c r="B14" s="35"/>
      <c r="C14" s="35"/>
      <c r="D14" s="35"/>
      <c r="E14" s="35"/>
      <c r="F14" s="35"/>
      <c r="G14" s="35"/>
      <c r="H14" s="35"/>
      <c r="I14" s="35"/>
      <c r="J14" s="35"/>
      <c r="K14" s="35"/>
      <c r="L14" s="35"/>
      <c r="M14" s="35"/>
    </row>
    <row r="15" spans="1:15" ht="12.5" x14ac:dyDescent="0.25">
      <c r="A15" s="59"/>
      <c r="B15" s="35"/>
      <c r="C15" s="35"/>
      <c r="D15" s="35"/>
      <c r="E15" s="35"/>
      <c r="F15" s="35"/>
      <c r="G15" s="35"/>
      <c r="H15" s="35"/>
      <c r="I15" s="35"/>
      <c r="J15" s="35"/>
      <c r="K15" s="35"/>
      <c r="L15" s="35"/>
      <c r="M15" s="35"/>
    </row>
    <row r="16" spans="1:15" ht="12.5" x14ac:dyDescent="0.25">
      <c r="A16" s="59"/>
      <c r="B16" s="35"/>
      <c r="C16" s="35"/>
      <c r="D16" s="35"/>
      <c r="E16" s="35"/>
      <c r="F16" s="35"/>
      <c r="G16" s="35"/>
      <c r="H16" s="35"/>
      <c r="I16" s="35"/>
      <c r="J16" s="35"/>
      <c r="K16" s="35"/>
      <c r="L16" s="35"/>
      <c r="M16" s="35"/>
    </row>
    <row r="17" spans="1:13" ht="12.5" x14ac:dyDescent="0.25">
      <c r="A17" s="59"/>
      <c r="B17" s="35"/>
      <c r="C17" s="35"/>
      <c r="D17" s="35"/>
      <c r="E17" s="35"/>
      <c r="F17" s="35"/>
      <c r="G17" s="35"/>
      <c r="H17" s="35"/>
      <c r="I17" s="35"/>
      <c r="J17" s="35"/>
      <c r="K17" s="35"/>
      <c r="L17" s="35"/>
      <c r="M17" s="35"/>
    </row>
    <row r="18" spans="1:13" ht="12.5" x14ac:dyDescent="0.25">
      <c r="A18" s="59"/>
      <c r="B18" s="35"/>
      <c r="C18" s="35"/>
      <c r="D18" s="35"/>
      <c r="E18" s="35"/>
      <c r="F18" s="35"/>
      <c r="G18" s="35"/>
      <c r="H18" s="35"/>
      <c r="I18" s="35"/>
      <c r="J18" s="35"/>
      <c r="K18" s="35"/>
      <c r="L18" s="35"/>
      <c r="M18" s="35"/>
    </row>
    <row r="19" spans="1:13" ht="12.5" x14ac:dyDescent="0.25">
      <c r="A19" s="59"/>
      <c r="B19" s="35"/>
      <c r="C19" s="35"/>
      <c r="D19" s="35"/>
      <c r="E19" s="35"/>
      <c r="F19" s="35"/>
      <c r="G19" s="35"/>
      <c r="H19" s="35"/>
      <c r="I19" s="35"/>
      <c r="J19" s="35"/>
      <c r="K19" s="35"/>
      <c r="L19" s="35"/>
      <c r="M19" s="35"/>
    </row>
    <row r="20" spans="1:13" ht="12.5" x14ac:dyDescent="0.25">
      <c r="A20" s="59"/>
      <c r="B20" s="35"/>
      <c r="C20" s="35"/>
      <c r="D20" s="35"/>
      <c r="E20" s="35"/>
      <c r="F20" s="35"/>
      <c r="G20" s="35"/>
      <c r="H20" s="35"/>
      <c r="I20" s="35"/>
      <c r="J20" s="35"/>
      <c r="K20" s="35"/>
      <c r="L20" s="35"/>
      <c r="M20" s="35"/>
    </row>
    <row r="21" spans="1:13" ht="12.5" x14ac:dyDescent="0.25">
      <c r="A21" s="59"/>
      <c r="B21" s="35"/>
      <c r="C21" s="35"/>
      <c r="D21" s="35"/>
      <c r="E21" s="35"/>
      <c r="F21" s="35"/>
      <c r="G21" s="35"/>
      <c r="H21" s="35"/>
      <c r="I21" s="35"/>
      <c r="J21" s="35"/>
      <c r="K21" s="35"/>
      <c r="L21" s="35"/>
      <c r="M21" s="35"/>
    </row>
    <row r="22" spans="1:13" ht="12.5" x14ac:dyDescent="0.25">
      <c r="A22" s="60"/>
    </row>
    <row r="23" spans="1:13" ht="12.5" x14ac:dyDescent="0.25">
      <c r="A23" s="60"/>
    </row>
    <row r="24" spans="1:13" ht="12.5" x14ac:dyDescent="0.25">
      <c r="A24" s="60"/>
    </row>
    <row r="25" spans="1:13" ht="12.5" x14ac:dyDescent="0.25">
      <c r="A25" s="60"/>
    </row>
    <row r="26" spans="1:13" ht="12.5" x14ac:dyDescent="0.25">
      <c r="A26" s="60"/>
    </row>
    <row r="27" spans="1:13" ht="12.5" x14ac:dyDescent="0.25">
      <c r="A27" s="60"/>
    </row>
    <row r="28" spans="1:13" ht="12.5" x14ac:dyDescent="0.25">
      <c r="A28" s="60"/>
    </row>
    <row r="29" spans="1:13" ht="12.5" x14ac:dyDescent="0.25">
      <c r="A29" s="60"/>
    </row>
    <row r="30" spans="1:13" ht="12.5" x14ac:dyDescent="0.25">
      <c r="A30" s="60"/>
    </row>
    <row r="31" spans="1:13" ht="12.5" x14ac:dyDescent="0.25">
      <c r="A31" s="60"/>
    </row>
    <row r="32" spans="1:13" ht="12.5" x14ac:dyDescent="0.25">
      <c r="A32" s="60"/>
    </row>
    <row r="33" spans="1:1" ht="12.5" x14ac:dyDescent="0.25">
      <c r="A33" s="60"/>
    </row>
    <row r="34" spans="1:1" ht="12.5" x14ac:dyDescent="0.25">
      <c r="A34" s="60"/>
    </row>
    <row r="35" spans="1:1" ht="12.5" x14ac:dyDescent="0.25">
      <c r="A35" s="60"/>
    </row>
    <row r="36" spans="1:1" ht="12.5" x14ac:dyDescent="0.25">
      <c r="A36" s="60"/>
    </row>
    <row r="37" spans="1:1" ht="12.5" x14ac:dyDescent="0.25">
      <c r="A37" s="60"/>
    </row>
    <row r="38" spans="1:1" ht="12.5" x14ac:dyDescent="0.25">
      <c r="A38" s="60"/>
    </row>
    <row r="39" spans="1:1" ht="12.5" x14ac:dyDescent="0.25">
      <c r="A39" s="60"/>
    </row>
    <row r="40" spans="1:1" ht="12.5" x14ac:dyDescent="0.25">
      <c r="A40" s="60"/>
    </row>
    <row r="41" spans="1:1" ht="12.5" x14ac:dyDescent="0.25">
      <c r="A41" s="60"/>
    </row>
    <row r="42" spans="1:1" ht="12.5" x14ac:dyDescent="0.25">
      <c r="A42" s="60"/>
    </row>
    <row r="43" spans="1:1" ht="12.5" x14ac:dyDescent="0.25">
      <c r="A43" s="60"/>
    </row>
    <row r="44" spans="1:1" ht="12.5" x14ac:dyDescent="0.25">
      <c r="A44" s="60"/>
    </row>
    <row r="45" spans="1:1" ht="12.5" x14ac:dyDescent="0.25">
      <c r="A45" s="60"/>
    </row>
    <row r="46" spans="1:1" ht="12.5" x14ac:dyDescent="0.25">
      <c r="A46" s="60"/>
    </row>
    <row r="47" spans="1:1" ht="12.5" x14ac:dyDescent="0.25">
      <c r="A47" s="60"/>
    </row>
    <row r="48" spans="1:1" ht="12.5" x14ac:dyDescent="0.25">
      <c r="A48" s="60"/>
    </row>
    <row r="49" spans="1:1" ht="12.5" x14ac:dyDescent="0.25">
      <c r="A49" s="60"/>
    </row>
    <row r="50" spans="1:1" ht="12.5" x14ac:dyDescent="0.25">
      <c r="A50" s="60"/>
    </row>
    <row r="51" spans="1:1" ht="12.5" x14ac:dyDescent="0.25">
      <c r="A51" s="60"/>
    </row>
    <row r="52" spans="1:1" ht="12.5" x14ac:dyDescent="0.25">
      <c r="A52" s="60"/>
    </row>
    <row r="53" spans="1:1" ht="12.5" x14ac:dyDescent="0.25">
      <c r="A53" s="60"/>
    </row>
    <row r="54" spans="1:1" ht="12.5" x14ac:dyDescent="0.25">
      <c r="A54" s="60"/>
    </row>
    <row r="55" spans="1:1" ht="12.5" x14ac:dyDescent="0.25">
      <c r="A55" s="60"/>
    </row>
    <row r="56" spans="1:1" ht="12.5" x14ac:dyDescent="0.25">
      <c r="A56" s="60"/>
    </row>
    <row r="57" spans="1:1" ht="12.5" x14ac:dyDescent="0.25">
      <c r="A57" s="60"/>
    </row>
    <row r="58" spans="1:1" ht="12.5" x14ac:dyDescent="0.25">
      <c r="A58" s="60"/>
    </row>
    <row r="59" spans="1:1" ht="12.5" x14ac:dyDescent="0.25">
      <c r="A59" s="60"/>
    </row>
    <row r="60" spans="1:1" ht="12.5" x14ac:dyDescent="0.25">
      <c r="A60" s="60"/>
    </row>
    <row r="61" spans="1:1" ht="12.5" x14ac:dyDescent="0.25">
      <c r="A61" s="60"/>
    </row>
    <row r="62" spans="1:1" ht="12.5" x14ac:dyDescent="0.25">
      <c r="A62" s="60"/>
    </row>
    <row r="63" spans="1:1" ht="12.5" x14ac:dyDescent="0.25">
      <c r="A63" s="60"/>
    </row>
    <row r="64" spans="1:1" ht="12.5" x14ac:dyDescent="0.25">
      <c r="A64" s="60"/>
    </row>
    <row r="65" spans="1:1" ht="12.5" x14ac:dyDescent="0.25">
      <c r="A65" s="60"/>
    </row>
    <row r="66" spans="1:1" ht="12.5" x14ac:dyDescent="0.25">
      <c r="A66" s="60"/>
    </row>
    <row r="67" spans="1:1" ht="12.5" x14ac:dyDescent="0.25">
      <c r="A67" s="60"/>
    </row>
    <row r="68" spans="1:1" ht="12.5" x14ac:dyDescent="0.25">
      <c r="A68" s="60"/>
    </row>
    <row r="69" spans="1:1" ht="12.5" x14ac:dyDescent="0.25">
      <c r="A69" s="60"/>
    </row>
    <row r="70" spans="1:1" ht="12.5" x14ac:dyDescent="0.25">
      <c r="A70" s="60"/>
    </row>
    <row r="71" spans="1:1" ht="12.5" x14ac:dyDescent="0.25">
      <c r="A71" s="60"/>
    </row>
    <row r="72" spans="1:1" ht="12.5" x14ac:dyDescent="0.25">
      <c r="A72" s="60"/>
    </row>
    <row r="73" spans="1:1" ht="12.5" x14ac:dyDescent="0.25">
      <c r="A73" s="60"/>
    </row>
    <row r="74" spans="1:1" ht="12.5" x14ac:dyDescent="0.25">
      <c r="A74" s="60"/>
    </row>
    <row r="75" spans="1:1" ht="12.5" x14ac:dyDescent="0.25">
      <c r="A75" s="60"/>
    </row>
    <row r="76" spans="1:1" ht="12.5" x14ac:dyDescent="0.25">
      <c r="A76" s="60"/>
    </row>
    <row r="77" spans="1:1" ht="12.5" x14ac:dyDescent="0.25">
      <c r="A77" s="60"/>
    </row>
    <row r="78" spans="1:1" ht="12.5" x14ac:dyDescent="0.25">
      <c r="A78" s="60"/>
    </row>
    <row r="79" spans="1:1" ht="12.5" x14ac:dyDescent="0.25">
      <c r="A79" s="60"/>
    </row>
    <row r="80" spans="1:1" ht="12.5" x14ac:dyDescent="0.25">
      <c r="A80" s="60"/>
    </row>
    <row r="81" spans="1:1" ht="12.5" x14ac:dyDescent="0.25">
      <c r="A81" s="60"/>
    </row>
    <row r="82" spans="1:1" ht="12.5" x14ac:dyDescent="0.25">
      <c r="A82" s="60"/>
    </row>
    <row r="83" spans="1:1" ht="12.5" x14ac:dyDescent="0.25">
      <c r="A83" s="60"/>
    </row>
    <row r="84" spans="1:1" ht="12.5" x14ac:dyDescent="0.25">
      <c r="A84" s="60"/>
    </row>
    <row r="85" spans="1:1" ht="12.5" x14ac:dyDescent="0.25">
      <c r="A85" s="60"/>
    </row>
    <row r="86" spans="1:1" ht="12.5" x14ac:dyDescent="0.25">
      <c r="A86" s="60"/>
    </row>
    <row r="87" spans="1:1" ht="12.5" x14ac:dyDescent="0.25">
      <c r="A87" s="60"/>
    </row>
    <row r="88" spans="1:1" ht="12.5" x14ac:dyDescent="0.25">
      <c r="A88" s="60"/>
    </row>
    <row r="89" spans="1:1" ht="12.5" x14ac:dyDescent="0.25">
      <c r="A89" s="60"/>
    </row>
    <row r="90" spans="1:1" ht="12.5" x14ac:dyDescent="0.25">
      <c r="A90" s="60"/>
    </row>
    <row r="91" spans="1:1" ht="12.5" x14ac:dyDescent="0.25">
      <c r="A91" s="60"/>
    </row>
    <row r="92" spans="1:1" ht="12.5" x14ac:dyDescent="0.25">
      <c r="A92" s="60"/>
    </row>
    <row r="93" spans="1:1" ht="12.5" x14ac:dyDescent="0.25">
      <c r="A93" s="60"/>
    </row>
    <row r="94" spans="1:1" ht="12.5" x14ac:dyDescent="0.25">
      <c r="A94" s="60"/>
    </row>
    <row r="95" spans="1:1" ht="12.5" x14ac:dyDescent="0.25">
      <c r="A95" s="60"/>
    </row>
    <row r="96" spans="1:1" ht="12.5" x14ac:dyDescent="0.25">
      <c r="A96" s="60"/>
    </row>
    <row r="97" spans="1:1" ht="12.5" x14ac:dyDescent="0.25">
      <c r="A97" s="60"/>
    </row>
    <row r="98" spans="1:1" ht="12.5" x14ac:dyDescent="0.25">
      <c r="A98" s="60"/>
    </row>
    <row r="99" spans="1:1" ht="12.5" x14ac:dyDescent="0.25">
      <c r="A99" s="60"/>
    </row>
    <row r="100" spans="1:1" ht="12.5" x14ac:dyDescent="0.25">
      <c r="A100" s="60"/>
    </row>
    <row r="101" spans="1:1" ht="12.5" x14ac:dyDescent="0.25">
      <c r="A101" s="60"/>
    </row>
    <row r="102" spans="1:1" ht="12.5" x14ac:dyDescent="0.25">
      <c r="A102" s="60"/>
    </row>
    <row r="103" spans="1:1" ht="12.5" x14ac:dyDescent="0.25">
      <c r="A103" s="60"/>
    </row>
    <row r="104" spans="1:1" ht="12.5" x14ac:dyDescent="0.25">
      <c r="A104" s="60"/>
    </row>
    <row r="105" spans="1:1" ht="12.5" x14ac:dyDescent="0.25">
      <c r="A105" s="60"/>
    </row>
    <row r="106" spans="1:1" ht="12.5" x14ac:dyDescent="0.25">
      <c r="A106" s="60"/>
    </row>
    <row r="107" spans="1:1" ht="12.5" x14ac:dyDescent="0.25">
      <c r="A107" s="60"/>
    </row>
    <row r="108" spans="1:1" ht="12.5" x14ac:dyDescent="0.25">
      <c r="A108" s="60"/>
    </row>
    <row r="109" spans="1:1" ht="12.5" x14ac:dyDescent="0.25">
      <c r="A109" s="60"/>
    </row>
    <row r="110" spans="1:1" ht="12.5" x14ac:dyDescent="0.25">
      <c r="A110" s="60"/>
    </row>
    <row r="111" spans="1:1" ht="12.5" x14ac:dyDescent="0.25">
      <c r="A111" s="60"/>
    </row>
    <row r="112" spans="1:1" ht="12.5" x14ac:dyDescent="0.25">
      <c r="A112" s="60"/>
    </row>
    <row r="113" spans="1:1" ht="12.5" x14ac:dyDescent="0.25">
      <c r="A113" s="60"/>
    </row>
    <row r="114" spans="1:1" ht="12.5" x14ac:dyDescent="0.25">
      <c r="A114" s="60"/>
    </row>
    <row r="115" spans="1:1" ht="12.5" x14ac:dyDescent="0.25">
      <c r="A115" s="60"/>
    </row>
    <row r="116" spans="1:1" ht="12.5" x14ac:dyDescent="0.25">
      <c r="A116" s="60"/>
    </row>
    <row r="117" spans="1:1" ht="12.5" x14ac:dyDescent="0.25">
      <c r="A117" s="60"/>
    </row>
    <row r="118" spans="1:1" ht="12.5" x14ac:dyDescent="0.25">
      <c r="A118" s="60"/>
    </row>
    <row r="119" spans="1:1" ht="12.5" x14ac:dyDescent="0.25">
      <c r="A119" s="60"/>
    </row>
    <row r="120" spans="1:1" ht="12.5" x14ac:dyDescent="0.25">
      <c r="A120" s="60"/>
    </row>
    <row r="121" spans="1:1" ht="12.5" x14ac:dyDescent="0.25">
      <c r="A121" s="60"/>
    </row>
    <row r="122" spans="1:1" ht="12.5" x14ac:dyDescent="0.25">
      <c r="A122" s="60"/>
    </row>
    <row r="123" spans="1:1" ht="12.5" x14ac:dyDescent="0.25">
      <c r="A123" s="60"/>
    </row>
    <row r="124" spans="1:1" ht="12.5" x14ac:dyDescent="0.25">
      <c r="A124" s="60"/>
    </row>
    <row r="125" spans="1:1" ht="12.5" x14ac:dyDescent="0.25">
      <c r="A125" s="60"/>
    </row>
    <row r="126" spans="1:1" ht="12.5" x14ac:dyDescent="0.25">
      <c r="A126" s="60"/>
    </row>
    <row r="127" spans="1:1" ht="12.5" x14ac:dyDescent="0.25">
      <c r="A127" s="60"/>
    </row>
    <row r="128" spans="1:1" ht="12.5" x14ac:dyDescent="0.25">
      <c r="A128" s="60"/>
    </row>
    <row r="129" spans="1:1" ht="12.5" x14ac:dyDescent="0.25">
      <c r="A129" s="60"/>
    </row>
    <row r="130" spans="1:1" ht="12.5" x14ac:dyDescent="0.25">
      <c r="A130" s="60"/>
    </row>
    <row r="131" spans="1:1" ht="12.5" x14ac:dyDescent="0.25">
      <c r="A131" s="60"/>
    </row>
    <row r="132" spans="1:1" ht="12.5" x14ac:dyDescent="0.25">
      <c r="A132" s="60"/>
    </row>
    <row r="133" spans="1:1" ht="12.5" x14ac:dyDescent="0.25">
      <c r="A133" s="60"/>
    </row>
    <row r="134" spans="1:1" ht="12.5" x14ac:dyDescent="0.25">
      <c r="A134" s="60"/>
    </row>
    <row r="135" spans="1:1" ht="12.5" x14ac:dyDescent="0.25">
      <c r="A135" s="60"/>
    </row>
    <row r="136" spans="1:1" ht="12.5" x14ac:dyDescent="0.25">
      <c r="A136" s="60"/>
    </row>
    <row r="137" spans="1:1" ht="12.5" x14ac:dyDescent="0.25">
      <c r="A137" s="60"/>
    </row>
    <row r="138" spans="1:1" ht="12.5" x14ac:dyDescent="0.25">
      <c r="A138" s="60"/>
    </row>
    <row r="139" spans="1:1" ht="12.5" x14ac:dyDescent="0.25">
      <c r="A139" s="60"/>
    </row>
    <row r="140" spans="1:1" ht="12.5" x14ac:dyDescent="0.25">
      <c r="A140" s="60"/>
    </row>
    <row r="141" spans="1:1" ht="12.5" x14ac:dyDescent="0.25">
      <c r="A141" s="60"/>
    </row>
    <row r="142" spans="1:1" ht="12.5" x14ac:dyDescent="0.25">
      <c r="A142" s="60"/>
    </row>
    <row r="143" spans="1:1" ht="12.5" x14ac:dyDescent="0.25">
      <c r="A143" s="60"/>
    </row>
    <row r="144" spans="1:1" ht="12.5" x14ac:dyDescent="0.25">
      <c r="A144" s="60"/>
    </row>
    <row r="145" spans="1:1" ht="12.5" x14ac:dyDescent="0.25">
      <c r="A145" s="60"/>
    </row>
    <row r="146" spans="1:1" ht="12.5" x14ac:dyDescent="0.25">
      <c r="A146" s="60"/>
    </row>
    <row r="147" spans="1:1" ht="12.5" x14ac:dyDescent="0.25">
      <c r="A147" s="60"/>
    </row>
    <row r="148" spans="1:1" ht="12.5" x14ac:dyDescent="0.25">
      <c r="A148" s="60"/>
    </row>
    <row r="149" spans="1:1" ht="12.5" x14ac:dyDescent="0.25">
      <c r="A149" s="60"/>
    </row>
    <row r="150" spans="1:1" ht="12.5" x14ac:dyDescent="0.25">
      <c r="A150" s="60"/>
    </row>
    <row r="151" spans="1:1" ht="12.5" x14ac:dyDescent="0.25">
      <c r="A151" s="60"/>
    </row>
    <row r="152" spans="1:1" ht="12.5" x14ac:dyDescent="0.25">
      <c r="A152" s="60"/>
    </row>
    <row r="153" spans="1:1" ht="12.5" x14ac:dyDescent="0.25">
      <c r="A153" s="60"/>
    </row>
    <row r="154" spans="1:1" ht="12.5" x14ac:dyDescent="0.25">
      <c r="A154" s="60"/>
    </row>
    <row r="155" spans="1:1" ht="12.5" x14ac:dyDescent="0.25">
      <c r="A155" s="60"/>
    </row>
    <row r="156" spans="1:1" ht="12.5" x14ac:dyDescent="0.25">
      <c r="A156" s="60"/>
    </row>
    <row r="157" spans="1:1" ht="12.5" x14ac:dyDescent="0.25">
      <c r="A157" s="60"/>
    </row>
    <row r="158" spans="1:1" ht="12.5" x14ac:dyDescent="0.25">
      <c r="A158" s="60"/>
    </row>
    <row r="159" spans="1:1" ht="12.5" x14ac:dyDescent="0.25">
      <c r="A159" s="60"/>
    </row>
    <row r="160" spans="1:1" ht="12.5" x14ac:dyDescent="0.25">
      <c r="A160" s="60"/>
    </row>
    <row r="161" spans="1:1" ht="12.5" x14ac:dyDescent="0.25">
      <c r="A161" s="60"/>
    </row>
    <row r="162" spans="1:1" ht="12.5" x14ac:dyDescent="0.25">
      <c r="A162" s="60"/>
    </row>
    <row r="163" spans="1:1" ht="12.5" x14ac:dyDescent="0.25">
      <c r="A163" s="60"/>
    </row>
    <row r="164" spans="1:1" ht="12.5" x14ac:dyDescent="0.25">
      <c r="A164" s="60"/>
    </row>
    <row r="165" spans="1:1" ht="12.5" x14ac:dyDescent="0.25">
      <c r="A165" s="60"/>
    </row>
    <row r="166" spans="1:1" ht="12.5" x14ac:dyDescent="0.25">
      <c r="A166" s="60"/>
    </row>
    <row r="167" spans="1:1" ht="12.5" x14ac:dyDescent="0.25">
      <c r="A167" s="60"/>
    </row>
    <row r="168" spans="1:1" ht="12.5" x14ac:dyDescent="0.25">
      <c r="A168" s="60"/>
    </row>
    <row r="169" spans="1:1" ht="12.5" x14ac:dyDescent="0.25">
      <c r="A169" s="60"/>
    </row>
    <row r="170" spans="1:1" ht="12.5" x14ac:dyDescent="0.25">
      <c r="A170" s="60"/>
    </row>
    <row r="171" spans="1:1" ht="12.5" x14ac:dyDescent="0.25">
      <c r="A171" s="60"/>
    </row>
    <row r="172" spans="1:1" ht="12.5" x14ac:dyDescent="0.25">
      <c r="A172" s="60"/>
    </row>
    <row r="173" spans="1:1" ht="12.5" x14ac:dyDescent="0.25">
      <c r="A173" s="60"/>
    </row>
    <row r="174" spans="1:1" ht="12.5" x14ac:dyDescent="0.25">
      <c r="A174" s="60"/>
    </row>
    <row r="175" spans="1:1" ht="12.5" x14ac:dyDescent="0.25">
      <c r="A175" s="60"/>
    </row>
    <row r="176" spans="1:1" ht="12.5" x14ac:dyDescent="0.25">
      <c r="A176" s="60"/>
    </row>
    <row r="177" spans="1:1" ht="12.5" x14ac:dyDescent="0.25">
      <c r="A177" s="60"/>
    </row>
    <row r="178" spans="1:1" ht="12.5" x14ac:dyDescent="0.25">
      <c r="A178" s="60"/>
    </row>
    <row r="179" spans="1:1" ht="12.5" x14ac:dyDescent="0.25">
      <c r="A179" s="60"/>
    </row>
    <row r="180" spans="1:1" ht="12.5" x14ac:dyDescent="0.25">
      <c r="A180" s="60"/>
    </row>
    <row r="181" spans="1:1" ht="12.5" x14ac:dyDescent="0.25">
      <c r="A181" s="60"/>
    </row>
    <row r="182" spans="1:1" ht="12.5" x14ac:dyDescent="0.25">
      <c r="A182" s="60"/>
    </row>
    <row r="183" spans="1:1" ht="12.5" x14ac:dyDescent="0.25">
      <c r="A183" s="60"/>
    </row>
    <row r="184" spans="1:1" ht="12.5" x14ac:dyDescent="0.25">
      <c r="A184" s="60"/>
    </row>
    <row r="185" spans="1:1" ht="12.5" x14ac:dyDescent="0.25">
      <c r="A185" s="60"/>
    </row>
    <row r="186" spans="1:1" ht="12.5" x14ac:dyDescent="0.25">
      <c r="A186" s="60"/>
    </row>
    <row r="187" spans="1:1" ht="12.5" x14ac:dyDescent="0.25">
      <c r="A187" s="60"/>
    </row>
    <row r="188" spans="1:1" ht="12.5" x14ac:dyDescent="0.25">
      <c r="A188" s="60"/>
    </row>
    <row r="189" spans="1:1" ht="12.5" x14ac:dyDescent="0.25">
      <c r="A189" s="60"/>
    </row>
    <row r="190" spans="1:1" ht="12.5" x14ac:dyDescent="0.25">
      <c r="A190" s="60"/>
    </row>
    <row r="191" spans="1:1" ht="12.5" x14ac:dyDescent="0.25">
      <c r="A191" s="60"/>
    </row>
    <row r="192" spans="1:1" ht="12.5" x14ac:dyDescent="0.25">
      <c r="A192" s="60"/>
    </row>
    <row r="193" spans="1:1" ht="12.5" x14ac:dyDescent="0.25">
      <c r="A193" s="60"/>
    </row>
    <row r="194" spans="1:1" ht="12.5" x14ac:dyDescent="0.25">
      <c r="A194" s="60"/>
    </row>
    <row r="195" spans="1:1" ht="12.5" x14ac:dyDescent="0.25">
      <c r="A195" s="60"/>
    </row>
    <row r="196" spans="1:1" ht="12.5" x14ac:dyDescent="0.25">
      <c r="A196" s="60"/>
    </row>
    <row r="197" spans="1:1" ht="12.5" x14ac:dyDescent="0.25">
      <c r="A197" s="60"/>
    </row>
    <row r="198" spans="1:1" ht="12.5" x14ac:dyDescent="0.25">
      <c r="A198" s="60"/>
    </row>
    <row r="199" spans="1:1" ht="12.5" x14ac:dyDescent="0.25">
      <c r="A199" s="60"/>
    </row>
    <row r="200" spans="1:1" ht="12.5" x14ac:dyDescent="0.25">
      <c r="A200" s="60"/>
    </row>
    <row r="201" spans="1:1" ht="12.5" x14ac:dyDescent="0.25">
      <c r="A201" s="60"/>
    </row>
    <row r="202" spans="1:1" ht="12.5" x14ac:dyDescent="0.25">
      <c r="A202" s="60"/>
    </row>
    <row r="203" spans="1:1" ht="12.5" x14ac:dyDescent="0.25">
      <c r="A203" s="60"/>
    </row>
    <row r="204" spans="1:1" ht="12.5" x14ac:dyDescent="0.25">
      <c r="A204" s="60"/>
    </row>
    <row r="205" spans="1:1" ht="12.5" x14ac:dyDescent="0.25">
      <c r="A205" s="60"/>
    </row>
    <row r="206" spans="1:1" ht="12.5" x14ac:dyDescent="0.25">
      <c r="A206" s="60"/>
    </row>
    <row r="207" spans="1:1" ht="12.5" x14ac:dyDescent="0.25">
      <c r="A207" s="60"/>
    </row>
    <row r="208" spans="1:1" ht="12.5" x14ac:dyDescent="0.25">
      <c r="A208" s="60"/>
    </row>
    <row r="209" spans="1:1" ht="12.5" x14ac:dyDescent="0.25">
      <c r="A209" s="60"/>
    </row>
    <row r="210" spans="1:1" ht="12.5" x14ac:dyDescent="0.25">
      <c r="A210" s="60"/>
    </row>
    <row r="211" spans="1:1" ht="12.5" x14ac:dyDescent="0.25">
      <c r="A211" s="60"/>
    </row>
    <row r="212" spans="1:1" ht="12.5" x14ac:dyDescent="0.25">
      <c r="A212" s="60"/>
    </row>
    <row r="213" spans="1:1" ht="12.5" x14ac:dyDescent="0.25">
      <c r="A213" s="60"/>
    </row>
    <row r="214" spans="1:1" ht="12.5" x14ac:dyDescent="0.25">
      <c r="A214" s="60"/>
    </row>
    <row r="215" spans="1:1" ht="12.5" x14ac:dyDescent="0.25">
      <c r="A215" s="60"/>
    </row>
    <row r="216" spans="1:1" ht="12.5" x14ac:dyDescent="0.25">
      <c r="A216" s="60"/>
    </row>
    <row r="217" spans="1:1" ht="12.5" x14ac:dyDescent="0.25">
      <c r="A217" s="60"/>
    </row>
    <row r="218" spans="1:1" ht="12.5" x14ac:dyDescent="0.25">
      <c r="A218" s="60"/>
    </row>
    <row r="219" spans="1:1" ht="12.5" x14ac:dyDescent="0.25">
      <c r="A219" s="60"/>
    </row>
    <row r="220" spans="1:1" ht="12.5" x14ac:dyDescent="0.25">
      <c r="A220" s="60"/>
    </row>
    <row r="221" spans="1:1" ht="12.5" x14ac:dyDescent="0.25">
      <c r="A221" s="60"/>
    </row>
    <row r="222" spans="1:1" ht="12.5" x14ac:dyDescent="0.25">
      <c r="A222" s="60"/>
    </row>
    <row r="223" spans="1:1" ht="12.5" x14ac:dyDescent="0.25">
      <c r="A223" s="60"/>
    </row>
    <row r="224" spans="1:1" ht="12.5" x14ac:dyDescent="0.25">
      <c r="A224" s="60"/>
    </row>
    <row r="225" spans="1:1" ht="12.5" x14ac:dyDescent="0.25">
      <c r="A225" s="60"/>
    </row>
    <row r="226" spans="1:1" ht="12.5" x14ac:dyDescent="0.25">
      <c r="A226" s="60"/>
    </row>
    <row r="227" spans="1:1" ht="12.5" x14ac:dyDescent="0.25">
      <c r="A227" s="60"/>
    </row>
    <row r="228" spans="1:1" ht="12.5" x14ac:dyDescent="0.25">
      <c r="A228" s="60"/>
    </row>
    <row r="229" spans="1:1" ht="12.5" x14ac:dyDescent="0.25">
      <c r="A229" s="60"/>
    </row>
    <row r="230" spans="1:1" ht="12.5" x14ac:dyDescent="0.25">
      <c r="A230" s="60"/>
    </row>
    <row r="231" spans="1:1" ht="12.5" x14ac:dyDescent="0.25">
      <c r="A231" s="60"/>
    </row>
    <row r="232" spans="1:1" ht="12.5" x14ac:dyDescent="0.25">
      <c r="A232" s="60"/>
    </row>
    <row r="233" spans="1:1" ht="12.5" x14ac:dyDescent="0.25">
      <c r="A233" s="60"/>
    </row>
    <row r="234" spans="1:1" ht="12.5" x14ac:dyDescent="0.25">
      <c r="A234" s="60"/>
    </row>
    <row r="235" spans="1:1" ht="12.5" x14ac:dyDescent="0.25">
      <c r="A235" s="60"/>
    </row>
    <row r="236" spans="1:1" ht="12.5" x14ac:dyDescent="0.25">
      <c r="A236" s="60"/>
    </row>
    <row r="237" spans="1:1" ht="12.5" x14ac:dyDescent="0.25">
      <c r="A237" s="60"/>
    </row>
    <row r="238" spans="1:1" ht="12.5" x14ac:dyDescent="0.25">
      <c r="A238" s="60"/>
    </row>
    <row r="239" spans="1:1" ht="12.5" x14ac:dyDescent="0.25">
      <c r="A239" s="60"/>
    </row>
    <row r="240" spans="1:1" ht="12.5" x14ac:dyDescent="0.25">
      <c r="A240" s="60"/>
    </row>
    <row r="241" spans="1:1" ht="12.5" x14ac:dyDescent="0.25">
      <c r="A241" s="60"/>
    </row>
    <row r="242" spans="1:1" ht="12.5" x14ac:dyDescent="0.25">
      <c r="A242" s="60"/>
    </row>
    <row r="243" spans="1:1" ht="12.5" x14ac:dyDescent="0.25">
      <c r="A243" s="60"/>
    </row>
    <row r="244" spans="1:1" ht="12.5" x14ac:dyDescent="0.25">
      <c r="A244" s="60"/>
    </row>
    <row r="245" spans="1:1" ht="12.5" x14ac:dyDescent="0.25">
      <c r="A245" s="60"/>
    </row>
    <row r="246" spans="1:1" ht="12.5" x14ac:dyDescent="0.25">
      <c r="A246" s="60"/>
    </row>
    <row r="247" spans="1:1" ht="12.5" x14ac:dyDescent="0.25">
      <c r="A247" s="60"/>
    </row>
    <row r="248" spans="1:1" ht="12.5" x14ac:dyDescent="0.25">
      <c r="A248" s="60"/>
    </row>
    <row r="249" spans="1:1" ht="12.5" x14ac:dyDescent="0.25">
      <c r="A249" s="60"/>
    </row>
    <row r="250" spans="1:1" ht="12.5" x14ac:dyDescent="0.25">
      <c r="A250" s="60"/>
    </row>
    <row r="251" spans="1:1" ht="12.5" x14ac:dyDescent="0.25">
      <c r="A251" s="60"/>
    </row>
    <row r="252" spans="1:1" ht="12.5" x14ac:dyDescent="0.25">
      <c r="A252" s="60"/>
    </row>
    <row r="253" spans="1:1" ht="12.5" x14ac:dyDescent="0.25">
      <c r="A253" s="60"/>
    </row>
    <row r="254" spans="1:1" ht="12.5" x14ac:dyDescent="0.25">
      <c r="A254" s="60"/>
    </row>
    <row r="255" spans="1:1" ht="12.5" x14ac:dyDescent="0.25">
      <c r="A255" s="60"/>
    </row>
    <row r="256" spans="1:1" ht="12.5" x14ac:dyDescent="0.25">
      <c r="A256" s="60"/>
    </row>
    <row r="257" spans="1:1" ht="12.5" x14ac:dyDescent="0.25">
      <c r="A257" s="60"/>
    </row>
    <row r="258" spans="1:1" ht="12.5" x14ac:dyDescent="0.25">
      <c r="A258" s="60"/>
    </row>
    <row r="259" spans="1:1" ht="12.5" x14ac:dyDescent="0.25">
      <c r="A259" s="60"/>
    </row>
    <row r="260" spans="1:1" ht="12.5" x14ac:dyDescent="0.25">
      <c r="A260" s="60"/>
    </row>
    <row r="261" spans="1:1" ht="12.5" x14ac:dyDescent="0.25">
      <c r="A261" s="60"/>
    </row>
    <row r="262" spans="1:1" ht="12.5" x14ac:dyDescent="0.25">
      <c r="A262" s="60"/>
    </row>
    <row r="263" spans="1:1" ht="12.5" x14ac:dyDescent="0.25">
      <c r="A263" s="60"/>
    </row>
    <row r="264" spans="1:1" ht="12.5" x14ac:dyDescent="0.25">
      <c r="A264" s="60"/>
    </row>
    <row r="265" spans="1:1" ht="12.5" x14ac:dyDescent="0.25">
      <c r="A265" s="60"/>
    </row>
    <row r="266" spans="1:1" ht="12.5" x14ac:dyDescent="0.25">
      <c r="A266" s="60"/>
    </row>
    <row r="267" spans="1:1" ht="12.5" x14ac:dyDescent="0.25">
      <c r="A267" s="60"/>
    </row>
    <row r="268" spans="1:1" ht="12.5" x14ac:dyDescent="0.25">
      <c r="A268" s="60"/>
    </row>
    <row r="269" spans="1:1" ht="12.5" x14ac:dyDescent="0.25">
      <c r="A269" s="60"/>
    </row>
    <row r="270" spans="1:1" ht="12.5" x14ac:dyDescent="0.25">
      <c r="A270" s="60"/>
    </row>
    <row r="271" spans="1:1" ht="12.5" x14ac:dyDescent="0.25">
      <c r="A271" s="60"/>
    </row>
    <row r="272" spans="1:1" ht="12.5" x14ac:dyDescent="0.25">
      <c r="A272" s="60"/>
    </row>
    <row r="273" spans="1:1" ht="12.5" x14ac:dyDescent="0.25">
      <c r="A273" s="60"/>
    </row>
    <row r="274" spans="1:1" ht="12.5" x14ac:dyDescent="0.25">
      <c r="A274" s="60"/>
    </row>
    <row r="275" spans="1:1" ht="12.5" x14ac:dyDescent="0.25">
      <c r="A275" s="60"/>
    </row>
    <row r="276" spans="1:1" ht="12.5" x14ac:dyDescent="0.25">
      <c r="A276" s="60"/>
    </row>
    <row r="277" spans="1:1" ht="12.5" x14ac:dyDescent="0.25">
      <c r="A277" s="60"/>
    </row>
    <row r="278" spans="1:1" ht="12.5" x14ac:dyDescent="0.25">
      <c r="A278" s="60"/>
    </row>
    <row r="279" spans="1:1" ht="12.5" x14ac:dyDescent="0.25">
      <c r="A279" s="60"/>
    </row>
    <row r="280" spans="1:1" ht="12.5" x14ac:dyDescent="0.25">
      <c r="A280" s="60"/>
    </row>
    <row r="281" spans="1:1" ht="12.5" x14ac:dyDescent="0.25">
      <c r="A281" s="60"/>
    </row>
    <row r="282" spans="1:1" ht="12.5" x14ac:dyDescent="0.25">
      <c r="A282" s="60"/>
    </row>
    <row r="283" spans="1:1" ht="12.5" x14ac:dyDescent="0.25">
      <c r="A283" s="60"/>
    </row>
    <row r="284" spans="1:1" ht="12.5" x14ac:dyDescent="0.25">
      <c r="A284" s="60"/>
    </row>
    <row r="285" spans="1:1" ht="12.5" x14ac:dyDescent="0.25">
      <c r="A285" s="60"/>
    </row>
    <row r="286" spans="1:1" ht="12.5" x14ac:dyDescent="0.25">
      <c r="A286" s="60"/>
    </row>
    <row r="287" spans="1:1" ht="12.5" x14ac:dyDescent="0.25">
      <c r="A287" s="60"/>
    </row>
    <row r="288" spans="1:1" ht="12.5" x14ac:dyDescent="0.25">
      <c r="A288" s="60"/>
    </row>
    <row r="289" spans="1:1" ht="12.5" x14ac:dyDescent="0.25">
      <c r="A289" s="60"/>
    </row>
    <row r="290" spans="1:1" ht="12.5" x14ac:dyDescent="0.25">
      <c r="A290" s="60"/>
    </row>
    <row r="291" spans="1:1" ht="12.5" x14ac:dyDescent="0.25">
      <c r="A291" s="60"/>
    </row>
    <row r="292" spans="1:1" ht="12.5" x14ac:dyDescent="0.25">
      <c r="A292" s="60"/>
    </row>
    <row r="293" spans="1:1" ht="12.5" x14ac:dyDescent="0.25">
      <c r="A293" s="60"/>
    </row>
    <row r="294" spans="1:1" ht="12.5" x14ac:dyDescent="0.25">
      <c r="A294" s="60"/>
    </row>
    <row r="295" spans="1:1" ht="12.5" x14ac:dyDescent="0.25">
      <c r="A295" s="60"/>
    </row>
    <row r="296" spans="1:1" ht="12.5" x14ac:dyDescent="0.25">
      <c r="A296" s="60"/>
    </row>
    <row r="297" spans="1:1" ht="12.5" x14ac:dyDescent="0.25">
      <c r="A297" s="60"/>
    </row>
    <row r="298" spans="1:1" ht="12.5" x14ac:dyDescent="0.25">
      <c r="A298" s="60"/>
    </row>
    <row r="299" spans="1:1" ht="12.5" x14ac:dyDescent="0.25">
      <c r="A299" s="60"/>
    </row>
    <row r="300" spans="1:1" ht="12.5" x14ac:dyDescent="0.25">
      <c r="A300" s="60"/>
    </row>
    <row r="301" spans="1:1" ht="12.5" x14ac:dyDescent="0.25">
      <c r="A301" s="60"/>
    </row>
    <row r="302" spans="1:1" ht="12.5" x14ac:dyDescent="0.25">
      <c r="A302" s="60"/>
    </row>
    <row r="303" spans="1:1" ht="12.5" x14ac:dyDescent="0.25">
      <c r="A303" s="60"/>
    </row>
    <row r="304" spans="1:1" ht="12.5" x14ac:dyDescent="0.25">
      <c r="A304" s="60"/>
    </row>
    <row r="305" spans="1:1" ht="12.5" x14ac:dyDescent="0.25">
      <c r="A305" s="60"/>
    </row>
    <row r="306" spans="1:1" ht="12.5" x14ac:dyDescent="0.25">
      <c r="A306" s="60"/>
    </row>
    <row r="307" spans="1:1" ht="12.5" x14ac:dyDescent="0.25">
      <c r="A307" s="60"/>
    </row>
    <row r="308" spans="1:1" ht="12.5" x14ac:dyDescent="0.25">
      <c r="A308" s="60"/>
    </row>
    <row r="309" spans="1:1" ht="12.5" x14ac:dyDescent="0.25">
      <c r="A309" s="60"/>
    </row>
    <row r="310" spans="1:1" ht="12.5" x14ac:dyDescent="0.25">
      <c r="A310" s="60"/>
    </row>
    <row r="311" spans="1:1" ht="12.5" x14ac:dyDescent="0.25">
      <c r="A311" s="60"/>
    </row>
    <row r="312" spans="1:1" ht="12.5" x14ac:dyDescent="0.25">
      <c r="A312" s="60"/>
    </row>
    <row r="313" spans="1:1" ht="12.5" x14ac:dyDescent="0.25">
      <c r="A313" s="60"/>
    </row>
    <row r="314" spans="1:1" ht="12.5" x14ac:dyDescent="0.25">
      <c r="A314" s="60"/>
    </row>
    <row r="315" spans="1:1" ht="12.5" x14ac:dyDescent="0.25">
      <c r="A315" s="60"/>
    </row>
    <row r="316" spans="1:1" ht="12.5" x14ac:dyDescent="0.25">
      <c r="A316" s="60"/>
    </row>
    <row r="317" spans="1:1" ht="12.5" x14ac:dyDescent="0.25">
      <c r="A317" s="60"/>
    </row>
    <row r="318" spans="1:1" ht="12.5" x14ac:dyDescent="0.25">
      <c r="A318" s="60"/>
    </row>
    <row r="319" spans="1:1" ht="12.5" x14ac:dyDescent="0.25">
      <c r="A319" s="60"/>
    </row>
    <row r="320" spans="1:1" ht="12.5" x14ac:dyDescent="0.25">
      <c r="A320" s="60"/>
    </row>
    <row r="321" spans="1:1" ht="12.5" x14ac:dyDescent="0.25">
      <c r="A321" s="60"/>
    </row>
    <row r="322" spans="1:1" ht="12.5" x14ac:dyDescent="0.25">
      <c r="A322" s="60"/>
    </row>
    <row r="323" spans="1:1" ht="12.5" x14ac:dyDescent="0.25">
      <c r="A323" s="60"/>
    </row>
    <row r="324" spans="1:1" ht="12.5" x14ac:dyDescent="0.25">
      <c r="A324" s="60"/>
    </row>
    <row r="325" spans="1:1" ht="12.5" x14ac:dyDescent="0.25">
      <c r="A325" s="60"/>
    </row>
    <row r="326" spans="1:1" ht="12.5" x14ac:dyDescent="0.25">
      <c r="A326" s="60"/>
    </row>
    <row r="327" spans="1:1" ht="12.5" x14ac:dyDescent="0.25">
      <c r="A327" s="60"/>
    </row>
    <row r="328" spans="1:1" ht="12.5" x14ac:dyDescent="0.25">
      <c r="A328" s="60"/>
    </row>
    <row r="329" spans="1:1" ht="12.5" x14ac:dyDescent="0.25">
      <c r="A329" s="60"/>
    </row>
    <row r="330" spans="1:1" ht="12.5" x14ac:dyDescent="0.25">
      <c r="A330" s="60"/>
    </row>
    <row r="331" spans="1:1" ht="12.5" x14ac:dyDescent="0.25">
      <c r="A331" s="60"/>
    </row>
    <row r="332" spans="1:1" ht="12.5" x14ac:dyDescent="0.25">
      <c r="A332" s="60"/>
    </row>
    <row r="333" spans="1:1" ht="12.5" x14ac:dyDescent="0.25">
      <c r="A333" s="60"/>
    </row>
    <row r="334" spans="1:1" ht="12.5" x14ac:dyDescent="0.25">
      <c r="A334" s="60"/>
    </row>
    <row r="335" spans="1:1" ht="12.5" x14ac:dyDescent="0.25">
      <c r="A335" s="60"/>
    </row>
    <row r="336" spans="1:1" ht="12.5" x14ac:dyDescent="0.25">
      <c r="A336" s="60"/>
    </row>
    <row r="337" spans="1:1" ht="12.5" x14ac:dyDescent="0.25">
      <c r="A337" s="60"/>
    </row>
    <row r="338" spans="1:1" ht="12.5" x14ac:dyDescent="0.25">
      <c r="A338" s="60"/>
    </row>
    <row r="339" spans="1:1" ht="12.5" x14ac:dyDescent="0.25">
      <c r="A339" s="60"/>
    </row>
    <row r="340" spans="1:1" ht="12.5" x14ac:dyDescent="0.25">
      <c r="A340" s="60"/>
    </row>
    <row r="341" spans="1:1" ht="12.5" x14ac:dyDescent="0.25">
      <c r="A341" s="60"/>
    </row>
    <row r="342" spans="1:1" ht="12.5" x14ac:dyDescent="0.25">
      <c r="A342" s="60"/>
    </row>
    <row r="343" spans="1:1" ht="12.5" x14ac:dyDescent="0.25">
      <c r="A343" s="60"/>
    </row>
    <row r="344" spans="1:1" ht="12.5" x14ac:dyDescent="0.25">
      <c r="A344" s="60"/>
    </row>
    <row r="345" spans="1:1" ht="12.5" x14ac:dyDescent="0.25">
      <c r="A345" s="60"/>
    </row>
    <row r="346" spans="1:1" ht="12.5" x14ac:dyDescent="0.25">
      <c r="A346" s="60"/>
    </row>
    <row r="347" spans="1:1" ht="12.5" x14ac:dyDescent="0.25">
      <c r="A347" s="60"/>
    </row>
    <row r="348" spans="1:1" ht="12.5" x14ac:dyDescent="0.25">
      <c r="A348" s="60"/>
    </row>
    <row r="349" spans="1:1" ht="12.5" x14ac:dyDescent="0.25">
      <c r="A349" s="60"/>
    </row>
    <row r="350" spans="1:1" ht="12.5" x14ac:dyDescent="0.25">
      <c r="A350" s="60"/>
    </row>
    <row r="351" spans="1:1" ht="12.5" x14ac:dyDescent="0.25">
      <c r="A351" s="60"/>
    </row>
    <row r="352" spans="1:1" ht="12.5" x14ac:dyDescent="0.25">
      <c r="A352" s="60"/>
    </row>
    <row r="353" spans="1:1" ht="12.5" x14ac:dyDescent="0.25">
      <c r="A353" s="60"/>
    </row>
    <row r="354" spans="1:1" ht="12.5" x14ac:dyDescent="0.25">
      <c r="A354" s="60"/>
    </row>
    <row r="355" spans="1:1" ht="12.5" x14ac:dyDescent="0.25">
      <c r="A355" s="60"/>
    </row>
    <row r="356" spans="1:1" ht="12.5" x14ac:dyDescent="0.25">
      <c r="A356" s="60"/>
    </row>
    <row r="357" spans="1:1" ht="12.5" x14ac:dyDescent="0.25">
      <c r="A357" s="60"/>
    </row>
    <row r="358" spans="1:1" ht="12.5" x14ac:dyDescent="0.25">
      <c r="A358" s="60"/>
    </row>
    <row r="359" spans="1:1" ht="12.5" x14ac:dyDescent="0.25">
      <c r="A359" s="60"/>
    </row>
    <row r="360" spans="1:1" ht="12.5" x14ac:dyDescent="0.25">
      <c r="A360" s="60"/>
    </row>
    <row r="361" spans="1:1" ht="12.5" x14ac:dyDescent="0.25">
      <c r="A361" s="60"/>
    </row>
    <row r="362" spans="1:1" ht="12.5" x14ac:dyDescent="0.25">
      <c r="A362" s="60"/>
    </row>
    <row r="363" spans="1:1" ht="12.5" x14ac:dyDescent="0.25">
      <c r="A363" s="60"/>
    </row>
    <row r="364" spans="1:1" ht="12.5" x14ac:dyDescent="0.25">
      <c r="A364" s="60"/>
    </row>
    <row r="365" spans="1:1" ht="12.5" x14ac:dyDescent="0.25">
      <c r="A365" s="60"/>
    </row>
    <row r="366" spans="1:1" ht="12.5" x14ac:dyDescent="0.25">
      <c r="A366" s="60"/>
    </row>
    <row r="367" spans="1:1" ht="12.5" x14ac:dyDescent="0.25">
      <c r="A367" s="60"/>
    </row>
    <row r="368" spans="1:1" ht="12.5" x14ac:dyDescent="0.25">
      <c r="A368" s="60"/>
    </row>
    <row r="369" spans="1:1" ht="12.5" x14ac:dyDescent="0.25">
      <c r="A369" s="60"/>
    </row>
    <row r="370" spans="1:1" ht="12.5" x14ac:dyDescent="0.25">
      <c r="A370" s="60"/>
    </row>
    <row r="371" spans="1:1" ht="12.5" x14ac:dyDescent="0.25">
      <c r="A371" s="60"/>
    </row>
    <row r="372" spans="1:1" ht="12.5" x14ac:dyDescent="0.25">
      <c r="A372" s="60"/>
    </row>
    <row r="373" spans="1:1" ht="12.5" x14ac:dyDescent="0.25">
      <c r="A373" s="60"/>
    </row>
    <row r="374" spans="1:1" ht="12.5" x14ac:dyDescent="0.25">
      <c r="A374" s="60"/>
    </row>
    <row r="375" spans="1:1" ht="12.5" x14ac:dyDescent="0.25">
      <c r="A375" s="60"/>
    </row>
    <row r="376" spans="1:1" ht="12.5" x14ac:dyDescent="0.25">
      <c r="A376" s="60"/>
    </row>
    <row r="377" spans="1:1" ht="12.5" x14ac:dyDescent="0.25">
      <c r="A377" s="60"/>
    </row>
    <row r="378" spans="1:1" ht="12.5" x14ac:dyDescent="0.25">
      <c r="A378" s="60"/>
    </row>
    <row r="379" spans="1:1" ht="12.5" x14ac:dyDescent="0.25">
      <c r="A379" s="60"/>
    </row>
    <row r="380" spans="1:1" ht="12.5" x14ac:dyDescent="0.25">
      <c r="A380" s="60"/>
    </row>
    <row r="381" spans="1:1" ht="12.5" x14ac:dyDescent="0.25">
      <c r="A381" s="60"/>
    </row>
    <row r="382" spans="1:1" ht="12.5" x14ac:dyDescent="0.25">
      <c r="A382" s="60"/>
    </row>
    <row r="383" spans="1:1" ht="12.5" x14ac:dyDescent="0.25">
      <c r="A383" s="60"/>
    </row>
    <row r="384" spans="1:1" ht="12.5" x14ac:dyDescent="0.25">
      <c r="A384" s="60"/>
    </row>
    <row r="385" spans="1:1" ht="12.5" x14ac:dyDescent="0.25">
      <c r="A385" s="60"/>
    </row>
    <row r="386" spans="1:1" ht="12.5" x14ac:dyDescent="0.25">
      <c r="A386" s="60"/>
    </row>
    <row r="387" spans="1:1" ht="12.5" x14ac:dyDescent="0.25">
      <c r="A387" s="60"/>
    </row>
    <row r="388" spans="1:1" ht="12.5" x14ac:dyDescent="0.25">
      <c r="A388" s="60"/>
    </row>
    <row r="389" spans="1:1" ht="12.5" x14ac:dyDescent="0.25">
      <c r="A389" s="60"/>
    </row>
    <row r="390" spans="1:1" ht="12.5" x14ac:dyDescent="0.25">
      <c r="A390" s="60"/>
    </row>
    <row r="391" spans="1:1" ht="12.5" x14ac:dyDescent="0.25">
      <c r="A391" s="60"/>
    </row>
    <row r="392" spans="1:1" ht="12.5" x14ac:dyDescent="0.25">
      <c r="A392" s="60"/>
    </row>
    <row r="393" spans="1:1" ht="12.5" x14ac:dyDescent="0.25">
      <c r="A393" s="60"/>
    </row>
    <row r="394" spans="1:1" ht="12.5" x14ac:dyDescent="0.25">
      <c r="A394" s="60"/>
    </row>
    <row r="395" spans="1:1" ht="12.5" x14ac:dyDescent="0.25">
      <c r="A395" s="60"/>
    </row>
    <row r="396" spans="1:1" ht="12.5" x14ac:dyDescent="0.25">
      <c r="A396" s="60"/>
    </row>
    <row r="397" spans="1:1" ht="12.5" x14ac:dyDescent="0.25">
      <c r="A397" s="60"/>
    </row>
    <row r="398" spans="1:1" ht="12.5" x14ac:dyDescent="0.25">
      <c r="A398" s="60"/>
    </row>
    <row r="399" spans="1:1" ht="12.5" x14ac:dyDescent="0.25">
      <c r="A399" s="60"/>
    </row>
    <row r="400" spans="1:1" ht="12.5" x14ac:dyDescent="0.25">
      <c r="A400" s="60"/>
    </row>
    <row r="401" spans="1:1" ht="12.5" x14ac:dyDescent="0.25">
      <c r="A401" s="60"/>
    </row>
    <row r="402" spans="1:1" ht="12.5" x14ac:dyDescent="0.25">
      <c r="A402" s="60"/>
    </row>
    <row r="403" spans="1:1" ht="12.5" x14ac:dyDescent="0.25">
      <c r="A403" s="60"/>
    </row>
    <row r="404" spans="1:1" ht="12.5" x14ac:dyDescent="0.25">
      <c r="A404" s="60"/>
    </row>
    <row r="405" spans="1:1" ht="12.5" x14ac:dyDescent="0.25">
      <c r="A405" s="60"/>
    </row>
    <row r="406" spans="1:1" ht="12.5" x14ac:dyDescent="0.25">
      <c r="A406" s="60"/>
    </row>
    <row r="407" spans="1:1" ht="12.5" x14ac:dyDescent="0.25">
      <c r="A407" s="60"/>
    </row>
    <row r="408" spans="1:1" ht="12.5" x14ac:dyDescent="0.25">
      <c r="A408" s="60"/>
    </row>
    <row r="409" spans="1:1" ht="12.5" x14ac:dyDescent="0.25">
      <c r="A409" s="60"/>
    </row>
    <row r="410" spans="1:1" ht="12.5" x14ac:dyDescent="0.25">
      <c r="A410" s="60"/>
    </row>
    <row r="411" spans="1:1" ht="12.5" x14ac:dyDescent="0.25">
      <c r="A411" s="60"/>
    </row>
    <row r="412" spans="1:1" ht="12.5" x14ac:dyDescent="0.25">
      <c r="A412" s="60"/>
    </row>
    <row r="413" spans="1:1" ht="12.5" x14ac:dyDescent="0.25">
      <c r="A413" s="60"/>
    </row>
    <row r="414" spans="1:1" ht="12.5" x14ac:dyDescent="0.25">
      <c r="A414" s="60"/>
    </row>
    <row r="415" spans="1:1" ht="12.5" x14ac:dyDescent="0.25">
      <c r="A415" s="60"/>
    </row>
    <row r="416" spans="1:1" ht="12.5" x14ac:dyDescent="0.25">
      <c r="A416" s="60"/>
    </row>
    <row r="417" spans="1:1" ht="12.5" x14ac:dyDescent="0.25">
      <c r="A417" s="60"/>
    </row>
    <row r="418" spans="1:1" ht="12.5" x14ac:dyDescent="0.25">
      <c r="A418" s="60"/>
    </row>
    <row r="419" spans="1:1" ht="12.5" x14ac:dyDescent="0.25">
      <c r="A419" s="60"/>
    </row>
    <row r="420" spans="1:1" ht="12.5" x14ac:dyDescent="0.25">
      <c r="A420" s="60"/>
    </row>
    <row r="421" spans="1:1" ht="12.5" x14ac:dyDescent="0.25">
      <c r="A421" s="60"/>
    </row>
    <row r="422" spans="1:1" ht="12.5" x14ac:dyDescent="0.25">
      <c r="A422" s="60"/>
    </row>
    <row r="423" spans="1:1" ht="12.5" x14ac:dyDescent="0.25">
      <c r="A423" s="60"/>
    </row>
    <row r="424" spans="1:1" ht="12.5" x14ac:dyDescent="0.25">
      <c r="A424" s="60"/>
    </row>
    <row r="425" spans="1:1" ht="12.5" x14ac:dyDescent="0.25">
      <c r="A425" s="60"/>
    </row>
    <row r="426" spans="1:1" ht="12.5" x14ac:dyDescent="0.25">
      <c r="A426" s="60"/>
    </row>
    <row r="427" spans="1:1" ht="12.5" x14ac:dyDescent="0.25">
      <c r="A427" s="60"/>
    </row>
    <row r="428" spans="1:1" ht="12.5" x14ac:dyDescent="0.25">
      <c r="A428" s="60"/>
    </row>
    <row r="429" spans="1:1" ht="12.5" x14ac:dyDescent="0.25">
      <c r="A429" s="60"/>
    </row>
    <row r="430" spans="1:1" ht="12.5" x14ac:dyDescent="0.25">
      <c r="A430" s="60"/>
    </row>
    <row r="431" spans="1:1" ht="12.5" x14ac:dyDescent="0.25">
      <c r="A431" s="60"/>
    </row>
    <row r="432" spans="1:1" ht="12.5" x14ac:dyDescent="0.25">
      <c r="A432" s="60"/>
    </row>
    <row r="433" spans="1:1" ht="12.5" x14ac:dyDescent="0.25">
      <c r="A433" s="60"/>
    </row>
    <row r="434" spans="1:1" ht="12.5" x14ac:dyDescent="0.25">
      <c r="A434" s="60"/>
    </row>
    <row r="435" spans="1:1" ht="12.5" x14ac:dyDescent="0.25">
      <c r="A435" s="60"/>
    </row>
    <row r="436" spans="1:1" ht="12.5" x14ac:dyDescent="0.25">
      <c r="A436" s="60"/>
    </row>
    <row r="437" spans="1:1" ht="12.5" x14ac:dyDescent="0.25">
      <c r="A437" s="60"/>
    </row>
    <row r="438" spans="1:1" ht="12.5" x14ac:dyDescent="0.25">
      <c r="A438" s="60"/>
    </row>
    <row r="439" spans="1:1" ht="12.5" x14ac:dyDescent="0.25">
      <c r="A439" s="60"/>
    </row>
    <row r="440" spans="1:1" ht="12.5" x14ac:dyDescent="0.25">
      <c r="A440" s="60"/>
    </row>
    <row r="441" spans="1:1" ht="12.5" x14ac:dyDescent="0.25">
      <c r="A441" s="60"/>
    </row>
    <row r="442" spans="1:1" ht="12.5" x14ac:dyDescent="0.25">
      <c r="A442" s="60"/>
    </row>
    <row r="443" spans="1:1" ht="12.5" x14ac:dyDescent="0.25">
      <c r="A443" s="60"/>
    </row>
    <row r="444" spans="1:1" ht="12.5" x14ac:dyDescent="0.25">
      <c r="A444" s="60"/>
    </row>
    <row r="445" spans="1:1" ht="12.5" x14ac:dyDescent="0.25">
      <c r="A445" s="60"/>
    </row>
    <row r="446" spans="1:1" ht="12.5" x14ac:dyDescent="0.25">
      <c r="A446" s="60"/>
    </row>
    <row r="447" spans="1:1" ht="12.5" x14ac:dyDescent="0.25">
      <c r="A447" s="60"/>
    </row>
    <row r="448" spans="1:1" ht="12.5" x14ac:dyDescent="0.25">
      <c r="A448" s="60"/>
    </row>
    <row r="449" spans="1:1" ht="12.5" x14ac:dyDescent="0.25">
      <c r="A449" s="60"/>
    </row>
    <row r="450" spans="1:1" ht="12.5" x14ac:dyDescent="0.25">
      <c r="A450" s="60"/>
    </row>
    <row r="451" spans="1:1" ht="12.5" x14ac:dyDescent="0.25">
      <c r="A451" s="60"/>
    </row>
    <row r="452" spans="1:1" ht="12.5" x14ac:dyDescent="0.25">
      <c r="A452" s="60"/>
    </row>
    <row r="453" spans="1:1" ht="12.5" x14ac:dyDescent="0.25">
      <c r="A453" s="60"/>
    </row>
    <row r="454" spans="1:1" ht="12.5" x14ac:dyDescent="0.25">
      <c r="A454" s="60"/>
    </row>
    <row r="455" spans="1:1" ht="12.5" x14ac:dyDescent="0.25">
      <c r="A455" s="60"/>
    </row>
    <row r="456" spans="1:1" ht="12.5" x14ac:dyDescent="0.25">
      <c r="A456" s="60"/>
    </row>
    <row r="457" spans="1:1" ht="12.5" x14ac:dyDescent="0.25">
      <c r="A457" s="60"/>
    </row>
    <row r="458" spans="1:1" ht="12.5" x14ac:dyDescent="0.25">
      <c r="A458" s="60"/>
    </row>
    <row r="459" spans="1:1" ht="12.5" x14ac:dyDescent="0.25">
      <c r="A459" s="60"/>
    </row>
    <row r="460" spans="1:1" ht="12.5" x14ac:dyDescent="0.25">
      <c r="A460" s="60"/>
    </row>
    <row r="461" spans="1:1" ht="12.5" x14ac:dyDescent="0.25">
      <c r="A461" s="60"/>
    </row>
    <row r="462" spans="1:1" ht="12.5" x14ac:dyDescent="0.25">
      <c r="A462" s="60"/>
    </row>
    <row r="463" spans="1:1" ht="12.5" x14ac:dyDescent="0.25">
      <c r="A463" s="60"/>
    </row>
    <row r="464" spans="1:1" ht="12.5" x14ac:dyDescent="0.25">
      <c r="A464" s="60"/>
    </row>
    <row r="465" spans="1:1" ht="12.5" x14ac:dyDescent="0.25">
      <c r="A465" s="60"/>
    </row>
    <row r="466" spans="1:1" ht="12.5" x14ac:dyDescent="0.25">
      <c r="A466" s="60"/>
    </row>
    <row r="467" spans="1:1" ht="12.5" x14ac:dyDescent="0.25">
      <c r="A467" s="60"/>
    </row>
    <row r="468" spans="1:1" ht="12.5" x14ac:dyDescent="0.25">
      <c r="A468" s="60"/>
    </row>
    <row r="469" spans="1:1" ht="12.5" x14ac:dyDescent="0.25">
      <c r="A469" s="60"/>
    </row>
    <row r="470" spans="1:1" ht="12.5" x14ac:dyDescent="0.25">
      <c r="A470" s="60"/>
    </row>
    <row r="471" spans="1:1" ht="12.5" x14ac:dyDescent="0.25">
      <c r="A471" s="60"/>
    </row>
    <row r="472" spans="1:1" ht="12.5" x14ac:dyDescent="0.25">
      <c r="A472" s="60"/>
    </row>
    <row r="473" spans="1:1" ht="12.5" x14ac:dyDescent="0.25">
      <c r="A473" s="60"/>
    </row>
    <row r="474" spans="1:1" ht="12.5" x14ac:dyDescent="0.25">
      <c r="A474" s="60"/>
    </row>
    <row r="475" spans="1:1" ht="12.5" x14ac:dyDescent="0.25">
      <c r="A475" s="60"/>
    </row>
    <row r="476" spans="1:1" ht="12.5" x14ac:dyDescent="0.25">
      <c r="A476" s="60"/>
    </row>
    <row r="477" spans="1:1" ht="12.5" x14ac:dyDescent="0.25">
      <c r="A477" s="60"/>
    </row>
    <row r="478" spans="1:1" ht="12.5" x14ac:dyDescent="0.25">
      <c r="A478" s="60"/>
    </row>
    <row r="479" spans="1:1" ht="12.5" x14ac:dyDescent="0.25">
      <c r="A479" s="60"/>
    </row>
    <row r="480" spans="1:1" ht="12.5" x14ac:dyDescent="0.25">
      <c r="A480" s="60"/>
    </row>
    <row r="481" spans="1:1" ht="12.5" x14ac:dyDescent="0.25">
      <c r="A481" s="60"/>
    </row>
    <row r="482" spans="1:1" ht="12.5" x14ac:dyDescent="0.25">
      <c r="A482" s="60"/>
    </row>
    <row r="483" spans="1:1" ht="12.5" x14ac:dyDescent="0.25">
      <c r="A483" s="60"/>
    </row>
    <row r="484" spans="1:1" ht="12.5" x14ac:dyDescent="0.25">
      <c r="A484" s="60"/>
    </row>
    <row r="485" spans="1:1" ht="12.5" x14ac:dyDescent="0.25">
      <c r="A485" s="60"/>
    </row>
    <row r="486" spans="1:1" ht="12.5" x14ac:dyDescent="0.25">
      <c r="A486" s="60"/>
    </row>
    <row r="487" spans="1:1" ht="12.5" x14ac:dyDescent="0.25">
      <c r="A487" s="60"/>
    </row>
    <row r="488" spans="1:1" ht="12.5" x14ac:dyDescent="0.25">
      <c r="A488" s="60"/>
    </row>
    <row r="489" spans="1:1" ht="12.5" x14ac:dyDescent="0.25">
      <c r="A489" s="60"/>
    </row>
    <row r="490" spans="1:1" ht="12.5" x14ac:dyDescent="0.25">
      <c r="A490" s="60"/>
    </row>
    <row r="491" spans="1:1" ht="12.5" x14ac:dyDescent="0.25">
      <c r="A491" s="60"/>
    </row>
    <row r="492" spans="1:1" ht="12.5" x14ac:dyDescent="0.25">
      <c r="A492" s="60"/>
    </row>
    <row r="493" spans="1:1" ht="12.5" x14ac:dyDescent="0.25">
      <c r="A493" s="60"/>
    </row>
    <row r="494" spans="1:1" ht="12.5" x14ac:dyDescent="0.25">
      <c r="A494" s="60"/>
    </row>
    <row r="495" spans="1:1" ht="12.5" x14ac:dyDescent="0.25">
      <c r="A495" s="60"/>
    </row>
    <row r="496" spans="1:1" ht="12.5" x14ac:dyDescent="0.25">
      <c r="A496" s="60"/>
    </row>
    <row r="497" spans="1:1" ht="12.5" x14ac:dyDescent="0.25">
      <c r="A497" s="60"/>
    </row>
    <row r="498" spans="1:1" ht="12.5" x14ac:dyDescent="0.25">
      <c r="A498" s="60"/>
    </row>
    <row r="499" spans="1:1" ht="12.5" x14ac:dyDescent="0.25">
      <c r="A499" s="60"/>
    </row>
    <row r="500" spans="1:1" ht="12.5" x14ac:dyDescent="0.25">
      <c r="A500" s="60"/>
    </row>
    <row r="501" spans="1:1" ht="12.5" x14ac:dyDescent="0.25">
      <c r="A501" s="60"/>
    </row>
    <row r="502" spans="1:1" ht="12.5" x14ac:dyDescent="0.25">
      <c r="A502" s="60"/>
    </row>
    <row r="503" spans="1:1" ht="12.5" x14ac:dyDescent="0.25">
      <c r="A503" s="60"/>
    </row>
    <row r="504" spans="1:1" ht="12.5" x14ac:dyDescent="0.25">
      <c r="A504" s="60"/>
    </row>
    <row r="505" spans="1:1" ht="12.5" x14ac:dyDescent="0.25">
      <c r="A505" s="60"/>
    </row>
    <row r="506" spans="1:1" ht="12.5" x14ac:dyDescent="0.25">
      <c r="A506" s="60"/>
    </row>
    <row r="507" spans="1:1" ht="12.5" x14ac:dyDescent="0.25">
      <c r="A507" s="60"/>
    </row>
    <row r="508" spans="1:1" ht="12.5" x14ac:dyDescent="0.25">
      <c r="A508" s="60"/>
    </row>
    <row r="509" spans="1:1" ht="12.5" x14ac:dyDescent="0.25">
      <c r="A509" s="60"/>
    </row>
    <row r="510" spans="1:1" ht="12.5" x14ac:dyDescent="0.25">
      <c r="A510" s="60"/>
    </row>
    <row r="511" spans="1:1" ht="12.5" x14ac:dyDescent="0.25">
      <c r="A511" s="60"/>
    </row>
    <row r="512" spans="1:1" ht="12.5" x14ac:dyDescent="0.25">
      <c r="A512" s="60"/>
    </row>
    <row r="513" spans="1:1" ht="12.5" x14ac:dyDescent="0.25">
      <c r="A513" s="60"/>
    </row>
    <row r="514" spans="1:1" ht="12.5" x14ac:dyDescent="0.25">
      <c r="A514" s="60"/>
    </row>
    <row r="515" spans="1:1" ht="12.5" x14ac:dyDescent="0.25">
      <c r="A515" s="60"/>
    </row>
    <row r="516" spans="1:1" ht="12.5" x14ac:dyDescent="0.25">
      <c r="A516" s="60"/>
    </row>
    <row r="517" spans="1:1" ht="12.5" x14ac:dyDescent="0.25">
      <c r="A517" s="60"/>
    </row>
    <row r="518" spans="1:1" ht="12.5" x14ac:dyDescent="0.25">
      <c r="A518" s="60"/>
    </row>
    <row r="519" spans="1:1" ht="12.5" x14ac:dyDescent="0.25">
      <c r="A519" s="60"/>
    </row>
    <row r="520" spans="1:1" ht="12.5" x14ac:dyDescent="0.25">
      <c r="A520" s="60"/>
    </row>
    <row r="521" spans="1:1" ht="12.5" x14ac:dyDescent="0.25">
      <c r="A521" s="60"/>
    </row>
    <row r="522" spans="1:1" ht="12.5" x14ac:dyDescent="0.25">
      <c r="A522" s="60"/>
    </row>
    <row r="523" spans="1:1" ht="12.5" x14ac:dyDescent="0.25">
      <c r="A523" s="60"/>
    </row>
    <row r="524" spans="1:1" ht="12.5" x14ac:dyDescent="0.25">
      <c r="A524" s="60"/>
    </row>
    <row r="525" spans="1:1" ht="12.5" x14ac:dyDescent="0.25">
      <c r="A525" s="60"/>
    </row>
    <row r="526" spans="1:1" ht="12.5" x14ac:dyDescent="0.25">
      <c r="A526" s="60"/>
    </row>
    <row r="527" spans="1:1" ht="12.5" x14ac:dyDescent="0.25">
      <c r="A527" s="60"/>
    </row>
    <row r="528" spans="1:1" ht="12.5" x14ac:dyDescent="0.25">
      <c r="A528" s="60"/>
    </row>
    <row r="529" spans="1:1" ht="12.5" x14ac:dyDescent="0.25">
      <c r="A529" s="60"/>
    </row>
    <row r="530" spans="1:1" ht="12.5" x14ac:dyDescent="0.25">
      <c r="A530" s="60"/>
    </row>
    <row r="531" spans="1:1" ht="12.5" x14ac:dyDescent="0.25">
      <c r="A531" s="60"/>
    </row>
    <row r="532" spans="1:1" ht="12.5" x14ac:dyDescent="0.25">
      <c r="A532" s="60"/>
    </row>
    <row r="533" spans="1:1" ht="12.5" x14ac:dyDescent="0.25">
      <c r="A533" s="60"/>
    </row>
    <row r="534" spans="1:1" ht="12.5" x14ac:dyDescent="0.25">
      <c r="A534" s="60"/>
    </row>
    <row r="535" spans="1:1" ht="12.5" x14ac:dyDescent="0.25">
      <c r="A535" s="60"/>
    </row>
    <row r="536" spans="1:1" ht="12.5" x14ac:dyDescent="0.25">
      <c r="A536" s="60"/>
    </row>
    <row r="537" spans="1:1" ht="12.5" x14ac:dyDescent="0.25">
      <c r="A537" s="60"/>
    </row>
    <row r="538" spans="1:1" ht="12.5" x14ac:dyDescent="0.25">
      <c r="A538" s="60"/>
    </row>
    <row r="539" spans="1:1" ht="12.5" x14ac:dyDescent="0.25">
      <c r="A539" s="60"/>
    </row>
    <row r="540" spans="1:1" ht="12.5" x14ac:dyDescent="0.25">
      <c r="A540" s="60"/>
    </row>
    <row r="541" spans="1:1" ht="12.5" x14ac:dyDescent="0.25">
      <c r="A541" s="60"/>
    </row>
    <row r="542" spans="1:1" ht="12.5" x14ac:dyDescent="0.25">
      <c r="A542" s="60"/>
    </row>
    <row r="543" spans="1:1" ht="12.5" x14ac:dyDescent="0.25">
      <c r="A543" s="60"/>
    </row>
    <row r="544" spans="1:1" ht="12.5" x14ac:dyDescent="0.25">
      <c r="A544" s="60"/>
    </row>
    <row r="545" spans="1:1" ht="12.5" x14ac:dyDescent="0.25">
      <c r="A545" s="60"/>
    </row>
    <row r="546" spans="1:1" ht="12.5" x14ac:dyDescent="0.25">
      <c r="A546" s="60"/>
    </row>
    <row r="547" spans="1:1" ht="12.5" x14ac:dyDescent="0.25">
      <c r="A547" s="60"/>
    </row>
    <row r="548" spans="1:1" ht="12.5" x14ac:dyDescent="0.25">
      <c r="A548" s="60"/>
    </row>
    <row r="549" spans="1:1" ht="12.5" x14ac:dyDescent="0.25">
      <c r="A549" s="60"/>
    </row>
    <row r="550" spans="1:1" ht="12.5" x14ac:dyDescent="0.25">
      <c r="A550" s="60"/>
    </row>
    <row r="551" spans="1:1" ht="12.5" x14ac:dyDescent="0.25">
      <c r="A551" s="60"/>
    </row>
    <row r="552" spans="1:1" ht="12.5" x14ac:dyDescent="0.25">
      <c r="A552" s="60"/>
    </row>
    <row r="553" spans="1:1" ht="12.5" x14ac:dyDescent="0.25">
      <c r="A553" s="60"/>
    </row>
    <row r="554" spans="1:1" ht="12.5" x14ac:dyDescent="0.25">
      <c r="A554" s="60"/>
    </row>
    <row r="555" spans="1:1" ht="12.5" x14ac:dyDescent="0.25">
      <c r="A555" s="60"/>
    </row>
    <row r="556" spans="1:1" ht="12.5" x14ac:dyDescent="0.25">
      <c r="A556" s="60"/>
    </row>
    <row r="557" spans="1:1" ht="12.5" x14ac:dyDescent="0.25">
      <c r="A557" s="60"/>
    </row>
    <row r="558" spans="1:1" ht="12.5" x14ac:dyDescent="0.25">
      <c r="A558" s="60"/>
    </row>
    <row r="559" spans="1:1" ht="12.5" x14ac:dyDescent="0.25">
      <c r="A559" s="60"/>
    </row>
    <row r="560" spans="1:1" ht="12.5" x14ac:dyDescent="0.25">
      <c r="A560" s="60"/>
    </row>
    <row r="561" spans="1:1" ht="12.5" x14ac:dyDescent="0.25">
      <c r="A561" s="60"/>
    </row>
    <row r="562" spans="1:1" ht="12.5" x14ac:dyDescent="0.25">
      <c r="A562" s="60"/>
    </row>
    <row r="563" spans="1:1" ht="12.5" x14ac:dyDescent="0.25">
      <c r="A563" s="60"/>
    </row>
    <row r="564" spans="1:1" ht="12.5" x14ac:dyDescent="0.25">
      <c r="A564" s="60"/>
    </row>
    <row r="565" spans="1:1" ht="12.5" x14ac:dyDescent="0.25">
      <c r="A565" s="60"/>
    </row>
    <row r="566" spans="1:1" ht="12.5" x14ac:dyDescent="0.25">
      <c r="A566" s="60"/>
    </row>
    <row r="567" spans="1:1" ht="12.5" x14ac:dyDescent="0.25">
      <c r="A567" s="60"/>
    </row>
    <row r="568" spans="1:1" ht="12.5" x14ac:dyDescent="0.25">
      <c r="A568" s="60"/>
    </row>
    <row r="569" spans="1:1" ht="12.5" x14ac:dyDescent="0.25">
      <c r="A569" s="60"/>
    </row>
    <row r="570" spans="1:1" ht="12.5" x14ac:dyDescent="0.25">
      <c r="A570" s="60"/>
    </row>
    <row r="571" spans="1:1" ht="12.5" x14ac:dyDescent="0.25">
      <c r="A571" s="60"/>
    </row>
    <row r="572" spans="1:1" ht="12.5" x14ac:dyDescent="0.25">
      <c r="A572" s="60"/>
    </row>
    <row r="573" spans="1:1" ht="12.5" x14ac:dyDescent="0.25">
      <c r="A573" s="60"/>
    </row>
    <row r="574" spans="1:1" ht="12.5" x14ac:dyDescent="0.25">
      <c r="A574" s="60"/>
    </row>
    <row r="575" spans="1:1" ht="12.5" x14ac:dyDescent="0.25">
      <c r="A575" s="60"/>
    </row>
    <row r="576" spans="1:1" ht="12.5" x14ac:dyDescent="0.25">
      <c r="A576" s="60"/>
    </row>
    <row r="577" spans="1:1" ht="12.5" x14ac:dyDescent="0.25">
      <c r="A577" s="60"/>
    </row>
    <row r="578" spans="1:1" ht="12.5" x14ac:dyDescent="0.25">
      <c r="A578" s="60"/>
    </row>
    <row r="579" spans="1:1" ht="12.5" x14ac:dyDescent="0.25">
      <c r="A579" s="60"/>
    </row>
    <row r="580" spans="1:1" ht="12.5" x14ac:dyDescent="0.25">
      <c r="A580" s="60"/>
    </row>
    <row r="581" spans="1:1" ht="12.5" x14ac:dyDescent="0.25">
      <c r="A581" s="60"/>
    </row>
    <row r="582" spans="1:1" ht="12.5" x14ac:dyDescent="0.25">
      <c r="A582" s="60"/>
    </row>
    <row r="583" spans="1:1" ht="12.5" x14ac:dyDescent="0.25">
      <c r="A583" s="60"/>
    </row>
    <row r="584" spans="1:1" ht="12.5" x14ac:dyDescent="0.25">
      <c r="A584" s="60"/>
    </row>
    <row r="585" spans="1:1" ht="12.5" x14ac:dyDescent="0.25">
      <c r="A585" s="60"/>
    </row>
    <row r="586" spans="1:1" ht="12.5" x14ac:dyDescent="0.25">
      <c r="A586" s="60"/>
    </row>
    <row r="587" spans="1:1" ht="12.5" x14ac:dyDescent="0.25">
      <c r="A587" s="60"/>
    </row>
    <row r="588" spans="1:1" ht="12.5" x14ac:dyDescent="0.25">
      <c r="A588" s="60"/>
    </row>
    <row r="589" spans="1:1" ht="12.5" x14ac:dyDescent="0.25">
      <c r="A589" s="60"/>
    </row>
    <row r="590" spans="1:1" ht="12.5" x14ac:dyDescent="0.25">
      <c r="A590" s="60"/>
    </row>
    <row r="591" spans="1:1" ht="12.5" x14ac:dyDescent="0.25">
      <c r="A591" s="60"/>
    </row>
    <row r="592" spans="1:1" ht="12.5" x14ac:dyDescent="0.25">
      <c r="A592" s="60"/>
    </row>
    <row r="593" spans="1:1" ht="12.5" x14ac:dyDescent="0.25">
      <c r="A593" s="60"/>
    </row>
    <row r="594" spans="1:1" ht="12.5" x14ac:dyDescent="0.25">
      <c r="A594" s="60"/>
    </row>
    <row r="595" spans="1:1" ht="12.5" x14ac:dyDescent="0.25">
      <c r="A595" s="60"/>
    </row>
    <row r="596" spans="1:1" ht="12.5" x14ac:dyDescent="0.25">
      <c r="A596" s="60"/>
    </row>
    <row r="597" spans="1:1" ht="12.5" x14ac:dyDescent="0.25">
      <c r="A597" s="60"/>
    </row>
    <row r="598" spans="1:1" ht="12.5" x14ac:dyDescent="0.25">
      <c r="A598" s="60"/>
    </row>
    <row r="599" spans="1:1" ht="12.5" x14ac:dyDescent="0.25">
      <c r="A599" s="60"/>
    </row>
    <row r="600" spans="1:1" ht="12.5" x14ac:dyDescent="0.25">
      <c r="A600" s="60"/>
    </row>
    <row r="601" spans="1:1" ht="12.5" x14ac:dyDescent="0.25">
      <c r="A601" s="60"/>
    </row>
    <row r="602" spans="1:1" ht="12.5" x14ac:dyDescent="0.25">
      <c r="A602" s="60"/>
    </row>
    <row r="603" spans="1:1" ht="12.5" x14ac:dyDescent="0.25">
      <c r="A603" s="60"/>
    </row>
    <row r="604" spans="1:1" ht="12.5" x14ac:dyDescent="0.25">
      <c r="A604" s="60"/>
    </row>
    <row r="605" spans="1:1" ht="12.5" x14ac:dyDescent="0.25">
      <c r="A605" s="60"/>
    </row>
    <row r="606" spans="1:1" ht="12.5" x14ac:dyDescent="0.25">
      <c r="A606" s="60"/>
    </row>
    <row r="607" spans="1:1" ht="12.5" x14ac:dyDescent="0.25">
      <c r="A607" s="60"/>
    </row>
    <row r="608" spans="1:1" ht="12.5" x14ac:dyDescent="0.25">
      <c r="A608" s="60"/>
    </row>
    <row r="609" spans="1:1" ht="12.5" x14ac:dyDescent="0.25">
      <c r="A609" s="60"/>
    </row>
    <row r="610" spans="1:1" ht="12.5" x14ac:dyDescent="0.25">
      <c r="A610" s="60"/>
    </row>
    <row r="611" spans="1:1" ht="12.5" x14ac:dyDescent="0.25">
      <c r="A611" s="60"/>
    </row>
    <row r="612" spans="1:1" ht="12.5" x14ac:dyDescent="0.25">
      <c r="A612" s="60"/>
    </row>
    <row r="613" spans="1:1" ht="12.5" x14ac:dyDescent="0.25">
      <c r="A613" s="60"/>
    </row>
    <row r="614" spans="1:1" ht="12.5" x14ac:dyDescent="0.25">
      <c r="A614" s="60"/>
    </row>
    <row r="615" spans="1:1" ht="12.5" x14ac:dyDescent="0.25">
      <c r="A615" s="60"/>
    </row>
    <row r="616" spans="1:1" ht="12.5" x14ac:dyDescent="0.25">
      <c r="A616" s="60"/>
    </row>
    <row r="617" spans="1:1" ht="12.5" x14ac:dyDescent="0.25">
      <c r="A617" s="60"/>
    </row>
    <row r="618" spans="1:1" ht="12.5" x14ac:dyDescent="0.25">
      <c r="A618" s="60"/>
    </row>
    <row r="619" spans="1:1" ht="12.5" x14ac:dyDescent="0.25">
      <c r="A619" s="60"/>
    </row>
    <row r="620" spans="1:1" ht="12.5" x14ac:dyDescent="0.25">
      <c r="A620" s="60"/>
    </row>
    <row r="621" spans="1:1" ht="12.5" x14ac:dyDescent="0.25">
      <c r="A621" s="60"/>
    </row>
    <row r="622" spans="1:1" ht="12.5" x14ac:dyDescent="0.25">
      <c r="A622" s="60"/>
    </row>
    <row r="623" spans="1:1" ht="12.5" x14ac:dyDescent="0.25">
      <c r="A623" s="60"/>
    </row>
    <row r="624" spans="1:1" ht="12.5" x14ac:dyDescent="0.25">
      <c r="A624" s="60"/>
    </row>
    <row r="625" spans="1:1" ht="12.5" x14ac:dyDescent="0.25">
      <c r="A625" s="60"/>
    </row>
    <row r="626" spans="1:1" ht="12.5" x14ac:dyDescent="0.25">
      <c r="A626" s="60"/>
    </row>
    <row r="627" spans="1:1" ht="12.5" x14ac:dyDescent="0.25">
      <c r="A627" s="60"/>
    </row>
    <row r="628" spans="1:1" ht="12.5" x14ac:dyDescent="0.25">
      <c r="A628" s="60"/>
    </row>
    <row r="629" spans="1:1" ht="12.5" x14ac:dyDescent="0.25">
      <c r="A629" s="60"/>
    </row>
    <row r="630" spans="1:1" ht="12.5" x14ac:dyDescent="0.25">
      <c r="A630" s="60"/>
    </row>
    <row r="631" spans="1:1" ht="12.5" x14ac:dyDescent="0.25">
      <c r="A631" s="60"/>
    </row>
    <row r="632" spans="1:1" ht="12.5" x14ac:dyDescent="0.25">
      <c r="A632" s="60"/>
    </row>
    <row r="633" spans="1:1" ht="12.5" x14ac:dyDescent="0.25">
      <c r="A633" s="60"/>
    </row>
    <row r="634" spans="1:1" ht="12.5" x14ac:dyDescent="0.25">
      <c r="A634" s="60"/>
    </row>
    <row r="635" spans="1:1" ht="12.5" x14ac:dyDescent="0.25">
      <c r="A635" s="60"/>
    </row>
    <row r="636" spans="1:1" ht="12.5" x14ac:dyDescent="0.25">
      <c r="A636" s="60"/>
    </row>
    <row r="637" spans="1:1" ht="12.5" x14ac:dyDescent="0.25">
      <c r="A637" s="60"/>
    </row>
    <row r="638" spans="1:1" ht="12.5" x14ac:dyDescent="0.25">
      <c r="A638" s="60"/>
    </row>
    <row r="639" spans="1:1" ht="12.5" x14ac:dyDescent="0.25">
      <c r="A639" s="60"/>
    </row>
    <row r="640" spans="1:1" ht="12.5" x14ac:dyDescent="0.25">
      <c r="A640" s="60"/>
    </row>
    <row r="641" spans="1:1" ht="12.5" x14ac:dyDescent="0.25">
      <c r="A641" s="60"/>
    </row>
    <row r="642" spans="1:1" ht="12.5" x14ac:dyDescent="0.25">
      <c r="A642" s="60"/>
    </row>
    <row r="643" spans="1:1" ht="12.5" x14ac:dyDescent="0.25">
      <c r="A643" s="60"/>
    </row>
    <row r="644" spans="1:1" ht="12.5" x14ac:dyDescent="0.25">
      <c r="A644" s="60"/>
    </row>
    <row r="645" spans="1:1" ht="12.5" x14ac:dyDescent="0.25">
      <c r="A645" s="60"/>
    </row>
    <row r="646" spans="1:1" ht="12.5" x14ac:dyDescent="0.25">
      <c r="A646" s="60"/>
    </row>
    <row r="647" spans="1:1" ht="12.5" x14ac:dyDescent="0.25">
      <c r="A647" s="60"/>
    </row>
    <row r="648" spans="1:1" ht="12.5" x14ac:dyDescent="0.25">
      <c r="A648" s="60"/>
    </row>
    <row r="649" spans="1:1" ht="12.5" x14ac:dyDescent="0.25">
      <c r="A649" s="60"/>
    </row>
    <row r="650" spans="1:1" ht="12.5" x14ac:dyDescent="0.25">
      <c r="A650" s="60"/>
    </row>
    <row r="651" spans="1:1" ht="12.5" x14ac:dyDescent="0.25">
      <c r="A651" s="60"/>
    </row>
    <row r="652" spans="1:1" ht="12.5" x14ac:dyDescent="0.25">
      <c r="A652" s="60"/>
    </row>
    <row r="653" spans="1:1" ht="12.5" x14ac:dyDescent="0.25">
      <c r="A653" s="60"/>
    </row>
    <row r="654" spans="1:1" ht="12.5" x14ac:dyDescent="0.25">
      <c r="A654" s="60"/>
    </row>
    <row r="655" spans="1:1" ht="12.5" x14ac:dyDescent="0.25">
      <c r="A655" s="60"/>
    </row>
    <row r="656" spans="1:1" ht="12.5" x14ac:dyDescent="0.25">
      <c r="A656" s="60"/>
    </row>
    <row r="657" spans="1:1" ht="12.5" x14ac:dyDescent="0.25">
      <c r="A657" s="60"/>
    </row>
    <row r="658" spans="1:1" ht="12.5" x14ac:dyDescent="0.25">
      <c r="A658" s="60"/>
    </row>
    <row r="659" spans="1:1" ht="12.5" x14ac:dyDescent="0.25">
      <c r="A659" s="60"/>
    </row>
    <row r="660" spans="1:1" ht="12.5" x14ac:dyDescent="0.25">
      <c r="A660" s="60"/>
    </row>
    <row r="661" spans="1:1" ht="12.5" x14ac:dyDescent="0.25">
      <c r="A661" s="60"/>
    </row>
    <row r="662" spans="1:1" ht="12.5" x14ac:dyDescent="0.25">
      <c r="A662" s="60"/>
    </row>
    <row r="663" spans="1:1" ht="12.5" x14ac:dyDescent="0.25">
      <c r="A663" s="60"/>
    </row>
    <row r="664" spans="1:1" ht="12.5" x14ac:dyDescent="0.25">
      <c r="A664" s="60"/>
    </row>
    <row r="665" spans="1:1" ht="12.5" x14ac:dyDescent="0.25">
      <c r="A665" s="60"/>
    </row>
    <row r="666" spans="1:1" ht="12.5" x14ac:dyDescent="0.25">
      <c r="A666" s="60"/>
    </row>
    <row r="667" spans="1:1" ht="12.5" x14ac:dyDescent="0.25">
      <c r="A667" s="60"/>
    </row>
    <row r="668" spans="1:1" ht="12.5" x14ac:dyDescent="0.25">
      <c r="A668" s="60"/>
    </row>
    <row r="669" spans="1:1" ht="12.5" x14ac:dyDescent="0.25">
      <c r="A669" s="60"/>
    </row>
    <row r="670" spans="1:1" ht="12.5" x14ac:dyDescent="0.25">
      <c r="A670" s="60"/>
    </row>
    <row r="671" spans="1:1" ht="12.5" x14ac:dyDescent="0.25">
      <c r="A671" s="60"/>
    </row>
    <row r="672" spans="1:1" ht="12.5" x14ac:dyDescent="0.25">
      <c r="A672" s="60"/>
    </row>
    <row r="673" spans="1:1" ht="12.5" x14ac:dyDescent="0.25">
      <c r="A673" s="60"/>
    </row>
    <row r="674" spans="1:1" ht="12.5" x14ac:dyDescent="0.25">
      <c r="A674" s="60"/>
    </row>
    <row r="675" spans="1:1" ht="12.5" x14ac:dyDescent="0.25">
      <c r="A675" s="60"/>
    </row>
    <row r="676" spans="1:1" ht="12.5" x14ac:dyDescent="0.25">
      <c r="A676" s="60"/>
    </row>
    <row r="677" spans="1:1" ht="12.5" x14ac:dyDescent="0.25">
      <c r="A677" s="60"/>
    </row>
    <row r="678" spans="1:1" ht="12.5" x14ac:dyDescent="0.25">
      <c r="A678" s="60"/>
    </row>
    <row r="679" spans="1:1" ht="12.5" x14ac:dyDescent="0.25">
      <c r="A679" s="60"/>
    </row>
    <row r="680" spans="1:1" ht="12.5" x14ac:dyDescent="0.25">
      <c r="A680" s="60"/>
    </row>
    <row r="681" spans="1:1" ht="12.5" x14ac:dyDescent="0.25">
      <c r="A681" s="60"/>
    </row>
    <row r="682" spans="1:1" ht="12.5" x14ac:dyDescent="0.25">
      <c r="A682" s="60"/>
    </row>
    <row r="683" spans="1:1" ht="12.5" x14ac:dyDescent="0.25">
      <c r="A683" s="60"/>
    </row>
    <row r="684" spans="1:1" ht="12.5" x14ac:dyDescent="0.25">
      <c r="A684" s="60"/>
    </row>
    <row r="685" spans="1:1" ht="12.5" x14ac:dyDescent="0.25">
      <c r="A685" s="60"/>
    </row>
    <row r="686" spans="1:1" ht="12.5" x14ac:dyDescent="0.25">
      <c r="A686" s="60"/>
    </row>
    <row r="687" spans="1:1" ht="12.5" x14ac:dyDescent="0.25">
      <c r="A687" s="60"/>
    </row>
    <row r="688" spans="1:1" ht="12.5" x14ac:dyDescent="0.25">
      <c r="A688" s="60"/>
    </row>
    <row r="689" spans="1:1" ht="12.5" x14ac:dyDescent="0.25">
      <c r="A689" s="60"/>
    </row>
    <row r="690" spans="1:1" ht="12.5" x14ac:dyDescent="0.25">
      <c r="A690" s="60"/>
    </row>
    <row r="691" spans="1:1" ht="12.5" x14ac:dyDescent="0.25">
      <c r="A691" s="60"/>
    </row>
    <row r="692" spans="1:1" ht="12.5" x14ac:dyDescent="0.25">
      <c r="A692" s="60"/>
    </row>
    <row r="693" spans="1:1" ht="12.5" x14ac:dyDescent="0.25">
      <c r="A693" s="60"/>
    </row>
    <row r="694" spans="1:1" ht="12.5" x14ac:dyDescent="0.25">
      <c r="A694" s="60"/>
    </row>
    <row r="695" spans="1:1" ht="12.5" x14ac:dyDescent="0.25">
      <c r="A695" s="60"/>
    </row>
    <row r="696" spans="1:1" ht="12.5" x14ac:dyDescent="0.25">
      <c r="A696" s="60"/>
    </row>
    <row r="697" spans="1:1" ht="12.5" x14ac:dyDescent="0.25">
      <c r="A697" s="60"/>
    </row>
    <row r="698" spans="1:1" ht="12.5" x14ac:dyDescent="0.25">
      <c r="A698" s="60"/>
    </row>
    <row r="699" spans="1:1" ht="12.5" x14ac:dyDescent="0.25">
      <c r="A699" s="60"/>
    </row>
    <row r="700" spans="1:1" ht="12.5" x14ac:dyDescent="0.25">
      <c r="A700" s="60"/>
    </row>
    <row r="701" spans="1:1" ht="12.5" x14ac:dyDescent="0.25">
      <c r="A701" s="60"/>
    </row>
    <row r="702" spans="1:1" ht="12.5" x14ac:dyDescent="0.25">
      <c r="A702" s="60"/>
    </row>
    <row r="703" spans="1:1" ht="12.5" x14ac:dyDescent="0.25">
      <c r="A703" s="60"/>
    </row>
    <row r="704" spans="1:1" ht="12.5" x14ac:dyDescent="0.25">
      <c r="A704" s="60"/>
    </row>
    <row r="705" spans="1:1" ht="12.5" x14ac:dyDescent="0.25">
      <c r="A705" s="60"/>
    </row>
    <row r="706" spans="1:1" ht="12.5" x14ac:dyDescent="0.25">
      <c r="A706" s="60"/>
    </row>
    <row r="707" spans="1:1" ht="12.5" x14ac:dyDescent="0.25">
      <c r="A707" s="60"/>
    </row>
    <row r="708" spans="1:1" ht="12.5" x14ac:dyDescent="0.25">
      <c r="A708" s="60"/>
    </row>
    <row r="709" spans="1:1" ht="12.5" x14ac:dyDescent="0.25">
      <c r="A709" s="60"/>
    </row>
    <row r="710" spans="1:1" ht="12.5" x14ac:dyDescent="0.25">
      <c r="A710" s="60"/>
    </row>
    <row r="711" spans="1:1" ht="12.5" x14ac:dyDescent="0.25">
      <c r="A711" s="60"/>
    </row>
    <row r="712" spans="1:1" ht="12.5" x14ac:dyDescent="0.25">
      <c r="A712" s="60"/>
    </row>
    <row r="713" spans="1:1" ht="12.5" x14ac:dyDescent="0.25">
      <c r="A713" s="60"/>
    </row>
    <row r="714" spans="1:1" ht="12.5" x14ac:dyDescent="0.25">
      <c r="A714" s="60"/>
    </row>
    <row r="715" spans="1:1" ht="12.5" x14ac:dyDescent="0.25">
      <c r="A715" s="60"/>
    </row>
    <row r="716" spans="1:1" ht="12.5" x14ac:dyDescent="0.25">
      <c r="A716" s="60"/>
    </row>
    <row r="717" spans="1:1" ht="12.5" x14ac:dyDescent="0.25">
      <c r="A717" s="60"/>
    </row>
    <row r="718" spans="1:1" ht="12.5" x14ac:dyDescent="0.25">
      <c r="A718" s="60"/>
    </row>
    <row r="719" spans="1:1" ht="12.5" x14ac:dyDescent="0.25">
      <c r="A719" s="60"/>
    </row>
    <row r="720" spans="1:1" ht="12.5" x14ac:dyDescent="0.25">
      <c r="A720" s="60"/>
    </row>
    <row r="721" spans="1:1" ht="12.5" x14ac:dyDescent="0.25">
      <c r="A721" s="60"/>
    </row>
    <row r="722" spans="1:1" ht="12.5" x14ac:dyDescent="0.25">
      <c r="A722" s="60"/>
    </row>
    <row r="723" spans="1:1" ht="12.5" x14ac:dyDescent="0.25">
      <c r="A723" s="60"/>
    </row>
    <row r="724" spans="1:1" ht="12.5" x14ac:dyDescent="0.25">
      <c r="A724" s="60"/>
    </row>
    <row r="725" spans="1:1" ht="12.5" x14ac:dyDescent="0.25">
      <c r="A725" s="60"/>
    </row>
    <row r="726" spans="1:1" ht="12.5" x14ac:dyDescent="0.25">
      <c r="A726" s="60"/>
    </row>
    <row r="727" spans="1:1" ht="12.5" x14ac:dyDescent="0.25">
      <c r="A727" s="60"/>
    </row>
    <row r="728" spans="1:1" ht="12.5" x14ac:dyDescent="0.25">
      <c r="A728" s="60"/>
    </row>
    <row r="729" spans="1:1" ht="12.5" x14ac:dyDescent="0.25">
      <c r="A729" s="60"/>
    </row>
    <row r="730" spans="1:1" ht="12.5" x14ac:dyDescent="0.25">
      <c r="A730" s="60"/>
    </row>
    <row r="731" spans="1:1" ht="12.5" x14ac:dyDescent="0.25">
      <c r="A731" s="60"/>
    </row>
    <row r="732" spans="1:1" ht="12.5" x14ac:dyDescent="0.25">
      <c r="A732" s="60"/>
    </row>
    <row r="733" spans="1:1" ht="12.5" x14ac:dyDescent="0.25">
      <c r="A733" s="60"/>
    </row>
    <row r="734" spans="1:1" ht="12.5" x14ac:dyDescent="0.25">
      <c r="A734" s="60"/>
    </row>
    <row r="735" spans="1:1" ht="12.5" x14ac:dyDescent="0.25">
      <c r="A735" s="60"/>
    </row>
    <row r="736" spans="1:1" ht="12.5" x14ac:dyDescent="0.25">
      <c r="A736" s="60"/>
    </row>
    <row r="737" spans="1:1" ht="12.5" x14ac:dyDescent="0.25">
      <c r="A737" s="60"/>
    </row>
    <row r="738" spans="1:1" ht="12.5" x14ac:dyDescent="0.25">
      <c r="A738" s="60"/>
    </row>
    <row r="739" spans="1:1" ht="12.5" x14ac:dyDescent="0.25">
      <c r="A739" s="60"/>
    </row>
    <row r="740" spans="1:1" ht="12.5" x14ac:dyDescent="0.25">
      <c r="A740" s="60"/>
    </row>
    <row r="741" spans="1:1" ht="12.5" x14ac:dyDescent="0.25">
      <c r="A741" s="60"/>
    </row>
    <row r="742" spans="1:1" ht="12.5" x14ac:dyDescent="0.25">
      <c r="A742" s="60"/>
    </row>
    <row r="743" spans="1:1" ht="12.5" x14ac:dyDescent="0.25">
      <c r="A743" s="60"/>
    </row>
    <row r="744" spans="1:1" ht="12.5" x14ac:dyDescent="0.25">
      <c r="A744" s="60"/>
    </row>
    <row r="745" spans="1:1" ht="12.5" x14ac:dyDescent="0.25">
      <c r="A745" s="60"/>
    </row>
    <row r="746" spans="1:1" ht="12.5" x14ac:dyDescent="0.25">
      <c r="A746" s="60"/>
    </row>
    <row r="747" spans="1:1" ht="12.5" x14ac:dyDescent="0.25">
      <c r="A747" s="60"/>
    </row>
    <row r="748" spans="1:1" ht="12.5" x14ac:dyDescent="0.25">
      <c r="A748" s="60"/>
    </row>
    <row r="749" spans="1:1" ht="12.5" x14ac:dyDescent="0.25">
      <c r="A749" s="60"/>
    </row>
    <row r="750" spans="1:1" ht="12.5" x14ac:dyDescent="0.25">
      <c r="A750" s="60"/>
    </row>
    <row r="751" spans="1:1" ht="12.5" x14ac:dyDescent="0.25">
      <c r="A751" s="60"/>
    </row>
    <row r="752" spans="1:1" ht="12.5" x14ac:dyDescent="0.25">
      <c r="A752" s="60"/>
    </row>
    <row r="753" spans="1:1" ht="12.5" x14ac:dyDescent="0.25">
      <c r="A753" s="60"/>
    </row>
    <row r="754" spans="1:1" ht="12.5" x14ac:dyDescent="0.25">
      <c r="A754" s="60"/>
    </row>
    <row r="755" spans="1:1" ht="12.5" x14ac:dyDescent="0.25">
      <c r="A755" s="60"/>
    </row>
    <row r="756" spans="1:1" ht="12.5" x14ac:dyDescent="0.25">
      <c r="A756" s="60"/>
    </row>
    <row r="757" spans="1:1" ht="12.5" x14ac:dyDescent="0.25">
      <c r="A757" s="60"/>
    </row>
    <row r="758" spans="1:1" ht="12.5" x14ac:dyDescent="0.25">
      <c r="A758" s="60"/>
    </row>
    <row r="759" spans="1:1" ht="12.5" x14ac:dyDescent="0.25">
      <c r="A759" s="60"/>
    </row>
    <row r="760" spans="1:1" ht="12.5" x14ac:dyDescent="0.25">
      <c r="A760" s="60"/>
    </row>
    <row r="761" spans="1:1" ht="12.5" x14ac:dyDescent="0.25">
      <c r="A761" s="60"/>
    </row>
    <row r="762" spans="1:1" ht="12.5" x14ac:dyDescent="0.25">
      <c r="A762" s="60"/>
    </row>
    <row r="763" spans="1:1" ht="12.5" x14ac:dyDescent="0.25">
      <c r="A763" s="60"/>
    </row>
    <row r="764" spans="1:1" ht="12.5" x14ac:dyDescent="0.25">
      <c r="A764" s="60"/>
    </row>
    <row r="765" spans="1:1" ht="12.5" x14ac:dyDescent="0.25">
      <c r="A765" s="60"/>
    </row>
    <row r="766" spans="1:1" ht="12.5" x14ac:dyDescent="0.25">
      <c r="A766" s="60"/>
    </row>
    <row r="767" spans="1:1" ht="12.5" x14ac:dyDescent="0.25">
      <c r="A767" s="60"/>
    </row>
    <row r="768" spans="1:1" ht="12.5" x14ac:dyDescent="0.25">
      <c r="A768" s="60"/>
    </row>
    <row r="769" spans="1:1" ht="12.5" x14ac:dyDescent="0.25">
      <c r="A769" s="60"/>
    </row>
    <row r="770" spans="1:1" ht="12.5" x14ac:dyDescent="0.25">
      <c r="A770" s="60"/>
    </row>
    <row r="771" spans="1:1" ht="12.5" x14ac:dyDescent="0.25">
      <c r="A771" s="60"/>
    </row>
    <row r="772" spans="1:1" ht="12.5" x14ac:dyDescent="0.25">
      <c r="A772" s="60"/>
    </row>
    <row r="773" spans="1:1" ht="12.5" x14ac:dyDescent="0.25">
      <c r="A773" s="60"/>
    </row>
    <row r="774" spans="1:1" ht="12.5" x14ac:dyDescent="0.25">
      <c r="A774" s="60"/>
    </row>
    <row r="775" spans="1:1" ht="12.5" x14ac:dyDescent="0.25">
      <c r="A775" s="60"/>
    </row>
    <row r="776" spans="1:1" ht="12.5" x14ac:dyDescent="0.25">
      <c r="A776" s="60"/>
    </row>
    <row r="777" spans="1:1" ht="12.5" x14ac:dyDescent="0.25">
      <c r="A777" s="60"/>
    </row>
    <row r="778" spans="1:1" ht="12.5" x14ac:dyDescent="0.25">
      <c r="A778" s="60"/>
    </row>
    <row r="779" spans="1:1" ht="12.5" x14ac:dyDescent="0.25">
      <c r="A779" s="60"/>
    </row>
    <row r="780" spans="1:1" ht="12.5" x14ac:dyDescent="0.25">
      <c r="A780" s="60"/>
    </row>
    <row r="781" spans="1:1" ht="12.5" x14ac:dyDescent="0.25">
      <c r="A781" s="60"/>
    </row>
    <row r="782" spans="1:1" ht="12.5" x14ac:dyDescent="0.25">
      <c r="A782" s="60"/>
    </row>
    <row r="783" spans="1:1" ht="12.5" x14ac:dyDescent="0.25">
      <c r="A783" s="60"/>
    </row>
    <row r="784" spans="1:1" ht="12.5" x14ac:dyDescent="0.25">
      <c r="A784" s="60"/>
    </row>
    <row r="785" spans="1:1" ht="12.5" x14ac:dyDescent="0.25">
      <c r="A785" s="60"/>
    </row>
    <row r="786" spans="1:1" ht="12.5" x14ac:dyDescent="0.25">
      <c r="A786" s="60"/>
    </row>
    <row r="787" spans="1:1" ht="12.5" x14ac:dyDescent="0.25">
      <c r="A787" s="60"/>
    </row>
    <row r="788" spans="1:1" ht="12.5" x14ac:dyDescent="0.25">
      <c r="A788" s="60"/>
    </row>
    <row r="789" spans="1:1" ht="12.5" x14ac:dyDescent="0.25">
      <c r="A789" s="60"/>
    </row>
    <row r="790" spans="1:1" ht="12.5" x14ac:dyDescent="0.25">
      <c r="A790" s="60"/>
    </row>
    <row r="791" spans="1:1" ht="12.5" x14ac:dyDescent="0.25">
      <c r="A791" s="60"/>
    </row>
    <row r="792" spans="1:1" ht="12.5" x14ac:dyDescent="0.25">
      <c r="A792" s="60"/>
    </row>
    <row r="793" spans="1:1" ht="12.5" x14ac:dyDescent="0.25">
      <c r="A793" s="60"/>
    </row>
    <row r="794" spans="1:1" ht="12.5" x14ac:dyDescent="0.25">
      <c r="A794" s="60"/>
    </row>
    <row r="795" spans="1:1" ht="12.5" x14ac:dyDescent="0.25">
      <c r="A795" s="60"/>
    </row>
    <row r="796" spans="1:1" ht="12.5" x14ac:dyDescent="0.25">
      <c r="A796" s="60"/>
    </row>
    <row r="797" spans="1:1" ht="12.5" x14ac:dyDescent="0.25">
      <c r="A797" s="60"/>
    </row>
    <row r="798" spans="1:1" ht="12.5" x14ac:dyDescent="0.25">
      <c r="A798" s="60"/>
    </row>
    <row r="799" spans="1:1" ht="12.5" x14ac:dyDescent="0.25">
      <c r="A799" s="60"/>
    </row>
    <row r="800" spans="1:1" ht="12.5" x14ac:dyDescent="0.25">
      <c r="A800" s="60"/>
    </row>
    <row r="801" spans="1:1" ht="12.5" x14ac:dyDescent="0.25">
      <c r="A801" s="60"/>
    </row>
    <row r="802" spans="1:1" ht="12.5" x14ac:dyDescent="0.25">
      <c r="A802" s="60"/>
    </row>
    <row r="803" spans="1:1" ht="12.5" x14ac:dyDescent="0.25">
      <c r="A803" s="60"/>
    </row>
    <row r="804" spans="1:1" ht="12.5" x14ac:dyDescent="0.25">
      <c r="A804" s="60"/>
    </row>
    <row r="805" spans="1:1" ht="12.5" x14ac:dyDescent="0.25">
      <c r="A805" s="60"/>
    </row>
    <row r="806" spans="1:1" ht="12.5" x14ac:dyDescent="0.25">
      <c r="A806" s="60"/>
    </row>
    <row r="807" spans="1:1" ht="12.5" x14ac:dyDescent="0.25">
      <c r="A807" s="60"/>
    </row>
    <row r="808" spans="1:1" ht="12.5" x14ac:dyDescent="0.25">
      <c r="A808" s="60"/>
    </row>
    <row r="809" spans="1:1" ht="12.5" x14ac:dyDescent="0.25">
      <c r="A809" s="60"/>
    </row>
    <row r="810" spans="1:1" ht="12.5" x14ac:dyDescent="0.25">
      <c r="A810" s="60"/>
    </row>
    <row r="811" spans="1:1" ht="12.5" x14ac:dyDescent="0.25">
      <c r="A811" s="60"/>
    </row>
    <row r="812" spans="1:1" ht="12.5" x14ac:dyDescent="0.25">
      <c r="A812" s="60"/>
    </row>
    <row r="813" spans="1:1" ht="12.5" x14ac:dyDescent="0.25">
      <c r="A813" s="60"/>
    </row>
    <row r="814" spans="1:1" ht="12.5" x14ac:dyDescent="0.25">
      <c r="A814" s="60"/>
    </row>
    <row r="815" spans="1:1" ht="12.5" x14ac:dyDescent="0.25">
      <c r="A815" s="60"/>
    </row>
    <row r="816" spans="1:1" ht="12.5" x14ac:dyDescent="0.25">
      <c r="A816" s="60"/>
    </row>
    <row r="817" spans="1:1" ht="12.5" x14ac:dyDescent="0.25">
      <c r="A817" s="60"/>
    </row>
    <row r="818" spans="1:1" ht="12.5" x14ac:dyDescent="0.25">
      <c r="A818" s="60"/>
    </row>
    <row r="819" spans="1:1" ht="12.5" x14ac:dyDescent="0.25">
      <c r="A819" s="60"/>
    </row>
    <row r="820" spans="1:1" ht="12.5" x14ac:dyDescent="0.25">
      <c r="A820" s="60"/>
    </row>
    <row r="821" spans="1:1" ht="12.5" x14ac:dyDescent="0.25">
      <c r="A821" s="60"/>
    </row>
    <row r="822" spans="1:1" ht="12.5" x14ac:dyDescent="0.25">
      <c r="A822" s="60"/>
    </row>
    <row r="823" spans="1:1" ht="12.5" x14ac:dyDescent="0.25">
      <c r="A823" s="60"/>
    </row>
    <row r="824" spans="1:1" ht="12.5" x14ac:dyDescent="0.25">
      <c r="A824" s="60"/>
    </row>
    <row r="825" spans="1:1" ht="12.5" x14ac:dyDescent="0.25">
      <c r="A825" s="60"/>
    </row>
    <row r="826" spans="1:1" ht="12.5" x14ac:dyDescent="0.25">
      <c r="A826" s="60"/>
    </row>
    <row r="827" spans="1:1" ht="12.5" x14ac:dyDescent="0.25">
      <c r="A827" s="60"/>
    </row>
    <row r="828" spans="1:1" ht="12.5" x14ac:dyDescent="0.25">
      <c r="A828" s="60"/>
    </row>
    <row r="829" spans="1:1" ht="12.5" x14ac:dyDescent="0.25">
      <c r="A829" s="60"/>
    </row>
    <row r="830" spans="1:1" ht="12.5" x14ac:dyDescent="0.25">
      <c r="A830" s="60"/>
    </row>
    <row r="831" spans="1:1" ht="12.5" x14ac:dyDescent="0.25">
      <c r="A831" s="60"/>
    </row>
    <row r="832" spans="1:1" ht="12.5" x14ac:dyDescent="0.25">
      <c r="A832" s="60"/>
    </row>
    <row r="833" spans="1:1" ht="12.5" x14ac:dyDescent="0.25">
      <c r="A833" s="60"/>
    </row>
    <row r="834" spans="1:1" ht="12.5" x14ac:dyDescent="0.25">
      <c r="A834" s="60"/>
    </row>
    <row r="835" spans="1:1" ht="12.5" x14ac:dyDescent="0.25">
      <c r="A835" s="60"/>
    </row>
    <row r="836" spans="1:1" ht="12.5" x14ac:dyDescent="0.25">
      <c r="A836" s="60"/>
    </row>
    <row r="837" spans="1:1" ht="12.5" x14ac:dyDescent="0.25">
      <c r="A837" s="60"/>
    </row>
    <row r="838" spans="1:1" ht="12.5" x14ac:dyDescent="0.25">
      <c r="A838" s="60"/>
    </row>
    <row r="839" spans="1:1" ht="12.5" x14ac:dyDescent="0.25">
      <c r="A839" s="60"/>
    </row>
    <row r="840" spans="1:1" ht="12.5" x14ac:dyDescent="0.25">
      <c r="A840" s="60"/>
    </row>
    <row r="841" spans="1:1" ht="12.5" x14ac:dyDescent="0.25">
      <c r="A841" s="60"/>
    </row>
    <row r="842" spans="1:1" ht="12.5" x14ac:dyDescent="0.25">
      <c r="A842" s="60"/>
    </row>
    <row r="843" spans="1:1" ht="12.5" x14ac:dyDescent="0.25">
      <c r="A843" s="60"/>
    </row>
    <row r="844" spans="1:1" ht="12.5" x14ac:dyDescent="0.25">
      <c r="A844" s="60"/>
    </row>
    <row r="845" spans="1:1" ht="12.5" x14ac:dyDescent="0.25">
      <c r="A845" s="60"/>
    </row>
    <row r="846" spans="1:1" ht="12.5" x14ac:dyDescent="0.25">
      <c r="A846" s="60"/>
    </row>
    <row r="847" spans="1:1" ht="12.5" x14ac:dyDescent="0.25">
      <c r="A847" s="60"/>
    </row>
    <row r="848" spans="1:1" ht="12.5" x14ac:dyDescent="0.25">
      <c r="A848" s="60"/>
    </row>
    <row r="849" spans="1:1" ht="12.5" x14ac:dyDescent="0.25">
      <c r="A849" s="60"/>
    </row>
    <row r="850" spans="1:1" ht="12.5" x14ac:dyDescent="0.25">
      <c r="A850" s="60"/>
    </row>
    <row r="851" spans="1:1" ht="12.5" x14ac:dyDescent="0.25">
      <c r="A851" s="60"/>
    </row>
    <row r="852" spans="1:1" ht="12.5" x14ac:dyDescent="0.25">
      <c r="A852" s="60"/>
    </row>
    <row r="853" spans="1:1" ht="12.5" x14ac:dyDescent="0.25">
      <c r="A853" s="60"/>
    </row>
    <row r="854" spans="1:1" ht="12.5" x14ac:dyDescent="0.25">
      <c r="A854" s="60"/>
    </row>
    <row r="855" spans="1:1" ht="12.5" x14ac:dyDescent="0.25">
      <c r="A855" s="60"/>
    </row>
    <row r="856" spans="1:1" ht="12.5" x14ac:dyDescent="0.25">
      <c r="A856" s="60"/>
    </row>
    <row r="857" spans="1:1" ht="12.5" x14ac:dyDescent="0.25">
      <c r="A857" s="60"/>
    </row>
    <row r="858" spans="1:1" ht="12.5" x14ac:dyDescent="0.25">
      <c r="A858" s="60"/>
    </row>
    <row r="859" spans="1:1" ht="12.5" x14ac:dyDescent="0.25">
      <c r="A859" s="60"/>
    </row>
    <row r="860" spans="1:1" ht="12.5" x14ac:dyDescent="0.25">
      <c r="A860" s="60"/>
    </row>
    <row r="861" spans="1:1" ht="12.5" x14ac:dyDescent="0.25">
      <c r="A861" s="60"/>
    </row>
    <row r="862" spans="1:1" ht="12.5" x14ac:dyDescent="0.25">
      <c r="A862" s="60"/>
    </row>
    <row r="863" spans="1:1" ht="12.5" x14ac:dyDescent="0.25">
      <c r="A863" s="60"/>
    </row>
    <row r="864" spans="1:1" ht="12.5" x14ac:dyDescent="0.25">
      <c r="A864" s="60"/>
    </row>
    <row r="865" spans="1:1" ht="12.5" x14ac:dyDescent="0.25">
      <c r="A865" s="60"/>
    </row>
    <row r="866" spans="1:1" ht="12.5" x14ac:dyDescent="0.25">
      <c r="A866" s="60"/>
    </row>
    <row r="867" spans="1:1" ht="12.5" x14ac:dyDescent="0.25">
      <c r="A867" s="60"/>
    </row>
    <row r="868" spans="1:1" ht="12.5" x14ac:dyDescent="0.25">
      <c r="A868" s="60"/>
    </row>
    <row r="869" spans="1:1" ht="12.5" x14ac:dyDescent="0.25">
      <c r="A869" s="60"/>
    </row>
    <row r="870" spans="1:1" ht="12.5" x14ac:dyDescent="0.25">
      <c r="A870" s="60"/>
    </row>
    <row r="871" spans="1:1" ht="12.5" x14ac:dyDescent="0.25">
      <c r="A871" s="60"/>
    </row>
    <row r="872" spans="1:1" ht="12.5" x14ac:dyDescent="0.25">
      <c r="A872" s="60"/>
    </row>
    <row r="873" spans="1:1" ht="12.5" x14ac:dyDescent="0.25">
      <c r="A873" s="60"/>
    </row>
    <row r="874" spans="1:1" ht="12.5" x14ac:dyDescent="0.25">
      <c r="A874" s="60"/>
    </row>
    <row r="875" spans="1:1" ht="12.5" x14ac:dyDescent="0.25">
      <c r="A875" s="60"/>
    </row>
    <row r="876" spans="1:1" ht="12.5" x14ac:dyDescent="0.25">
      <c r="A876" s="60"/>
    </row>
    <row r="877" spans="1:1" ht="12.5" x14ac:dyDescent="0.25">
      <c r="A877" s="60"/>
    </row>
    <row r="878" spans="1:1" ht="12.5" x14ac:dyDescent="0.25">
      <c r="A878" s="60"/>
    </row>
    <row r="879" spans="1:1" ht="12.5" x14ac:dyDescent="0.25">
      <c r="A879" s="60"/>
    </row>
    <row r="880" spans="1:1" ht="12.5" x14ac:dyDescent="0.25">
      <c r="A880" s="60"/>
    </row>
    <row r="881" spans="1:1" ht="12.5" x14ac:dyDescent="0.25">
      <c r="A881" s="60"/>
    </row>
    <row r="882" spans="1:1" ht="12.5" x14ac:dyDescent="0.25">
      <c r="A882" s="60"/>
    </row>
    <row r="883" spans="1:1" ht="12.5" x14ac:dyDescent="0.25">
      <c r="A883" s="60"/>
    </row>
    <row r="884" spans="1:1" ht="12.5" x14ac:dyDescent="0.25">
      <c r="A884" s="60"/>
    </row>
    <row r="885" spans="1:1" ht="12.5" x14ac:dyDescent="0.25">
      <c r="A885" s="60"/>
    </row>
    <row r="886" spans="1:1" ht="12.5" x14ac:dyDescent="0.25">
      <c r="A886" s="60"/>
    </row>
    <row r="887" spans="1:1" ht="12.5" x14ac:dyDescent="0.25">
      <c r="A887" s="60"/>
    </row>
    <row r="888" spans="1:1" ht="12.5" x14ac:dyDescent="0.25">
      <c r="A888" s="60"/>
    </row>
    <row r="889" spans="1:1" ht="12.5" x14ac:dyDescent="0.25">
      <c r="A889" s="60"/>
    </row>
    <row r="890" spans="1:1" ht="12.5" x14ac:dyDescent="0.25">
      <c r="A890" s="60"/>
    </row>
    <row r="891" spans="1:1" ht="12.5" x14ac:dyDescent="0.25">
      <c r="A891" s="60"/>
    </row>
    <row r="892" spans="1:1" ht="12.5" x14ac:dyDescent="0.25">
      <c r="A892" s="60"/>
    </row>
    <row r="893" spans="1:1" ht="12.5" x14ac:dyDescent="0.25">
      <c r="A893" s="60"/>
    </row>
    <row r="894" spans="1:1" ht="12.5" x14ac:dyDescent="0.25">
      <c r="A894" s="60"/>
    </row>
    <row r="895" spans="1:1" ht="12.5" x14ac:dyDescent="0.25">
      <c r="A895" s="60"/>
    </row>
    <row r="896" spans="1:1" ht="12.5" x14ac:dyDescent="0.25">
      <c r="A896" s="60"/>
    </row>
    <row r="897" spans="1:1" ht="12.5" x14ac:dyDescent="0.25">
      <c r="A897" s="60"/>
    </row>
    <row r="898" spans="1:1" ht="12.5" x14ac:dyDescent="0.25">
      <c r="A898" s="60"/>
    </row>
    <row r="899" spans="1:1" ht="12.5" x14ac:dyDescent="0.25">
      <c r="A899" s="60"/>
    </row>
    <row r="900" spans="1:1" ht="12.5" x14ac:dyDescent="0.25">
      <c r="A900" s="60"/>
    </row>
    <row r="901" spans="1:1" ht="12.5" x14ac:dyDescent="0.25">
      <c r="A901" s="60"/>
    </row>
    <row r="902" spans="1:1" ht="12.5" x14ac:dyDescent="0.25">
      <c r="A902" s="60"/>
    </row>
    <row r="903" spans="1:1" ht="12.5" x14ac:dyDescent="0.25">
      <c r="A903" s="60"/>
    </row>
    <row r="904" spans="1:1" ht="12.5" x14ac:dyDescent="0.25">
      <c r="A904" s="60"/>
    </row>
    <row r="905" spans="1:1" ht="12.5" x14ac:dyDescent="0.25">
      <c r="A905" s="60"/>
    </row>
    <row r="906" spans="1:1" ht="12.5" x14ac:dyDescent="0.25">
      <c r="A906" s="60"/>
    </row>
    <row r="907" spans="1:1" ht="12.5" x14ac:dyDescent="0.25">
      <c r="A907" s="60"/>
    </row>
    <row r="908" spans="1:1" ht="12.5" x14ac:dyDescent="0.25">
      <c r="A908" s="60"/>
    </row>
    <row r="909" spans="1:1" ht="12.5" x14ac:dyDescent="0.25">
      <c r="A909" s="60"/>
    </row>
    <row r="910" spans="1:1" ht="12.5" x14ac:dyDescent="0.25">
      <c r="A910" s="60"/>
    </row>
    <row r="911" spans="1:1" ht="12.5" x14ac:dyDescent="0.25">
      <c r="A911" s="60"/>
    </row>
    <row r="912" spans="1:1" ht="12.5" x14ac:dyDescent="0.25">
      <c r="A912" s="60"/>
    </row>
    <row r="913" spans="1:1" ht="12.5" x14ac:dyDescent="0.25">
      <c r="A913" s="60"/>
    </row>
    <row r="914" spans="1:1" ht="12.5" x14ac:dyDescent="0.25">
      <c r="A914" s="60"/>
    </row>
    <row r="915" spans="1:1" ht="12.5" x14ac:dyDescent="0.25">
      <c r="A915" s="60"/>
    </row>
    <row r="916" spans="1:1" ht="12.5" x14ac:dyDescent="0.25">
      <c r="A916" s="60"/>
    </row>
    <row r="917" spans="1:1" ht="12.5" x14ac:dyDescent="0.25">
      <c r="A917" s="60"/>
    </row>
    <row r="918" spans="1:1" ht="12.5" x14ac:dyDescent="0.25">
      <c r="A918" s="60"/>
    </row>
    <row r="919" spans="1:1" ht="12.5" x14ac:dyDescent="0.25">
      <c r="A919" s="60"/>
    </row>
    <row r="920" spans="1:1" ht="12.5" x14ac:dyDescent="0.25">
      <c r="A920" s="60"/>
    </row>
    <row r="921" spans="1:1" ht="12.5" x14ac:dyDescent="0.25">
      <c r="A921" s="60"/>
    </row>
    <row r="922" spans="1:1" ht="12.5" x14ac:dyDescent="0.25">
      <c r="A922" s="60"/>
    </row>
    <row r="923" spans="1:1" ht="12.5" x14ac:dyDescent="0.25">
      <c r="A923" s="60"/>
    </row>
    <row r="924" spans="1:1" ht="12.5" x14ac:dyDescent="0.25">
      <c r="A924" s="60"/>
    </row>
    <row r="925" spans="1:1" ht="12.5" x14ac:dyDescent="0.25">
      <c r="A925" s="60"/>
    </row>
    <row r="926" spans="1:1" ht="12.5" x14ac:dyDescent="0.25">
      <c r="A926" s="60"/>
    </row>
    <row r="927" spans="1:1" ht="12.5" x14ac:dyDescent="0.25">
      <c r="A927" s="60"/>
    </row>
    <row r="928" spans="1:1" ht="12.5" x14ac:dyDescent="0.25">
      <c r="A928" s="60"/>
    </row>
    <row r="929" spans="1:1" ht="12.5" x14ac:dyDescent="0.25">
      <c r="A929" s="60"/>
    </row>
    <row r="930" spans="1:1" ht="12.5" x14ac:dyDescent="0.25">
      <c r="A930" s="60"/>
    </row>
    <row r="931" spans="1:1" ht="12.5" x14ac:dyDescent="0.25">
      <c r="A931" s="60"/>
    </row>
    <row r="932" spans="1:1" ht="12.5" x14ac:dyDescent="0.25">
      <c r="A932" s="60"/>
    </row>
    <row r="933" spans="1:1" ht="12.5" x14ac:dyDescent="0.25">
      <c r="A933" s="60"/>
    </row>
    <row r="934" spans="1:1" ht="12.5" x14ac:dyDescent="0.25">
      <c r="A934" s="60"/>
    </row>
    <row r="935" spans="1:1" ht="12.5" x14ac:dyDescent="0.25">
      <c r="A935" s="60"/>
    </row>
    <row r="936" spans="1:1" ht="12.5" x14ac:dyDescent="0.25">
      <c r="A936" s="60"/>
    </row>
    <row r="937" spans="1:1" ht="12.5" x14ac:dyDescent="0.25">
      <c r="A937" s="60"/>
    </row>
    <row r="938" spans="1:1" ht="12.5" x14ac:dyDescent="0.25">
      <c r="A938" s="60"/>
    </row>
    <row r="939" spans="1:1" ht="12.5" x14ac:dyDescent="0.25">
      <c r="A939" s="60"/>
    </row>
    <row r="940" spans="1:1" ht="12.5" x14ac:dyDescent="0.25">
      <c r="A940" s="60"/>
    </row>
    <row r="941" spans="1:1" ht="12.5" x14ac:dyDescent="0.25">
      <c r="A941" s="60"/>
    </row>
    <row r="942" spans="1:1" ht="12.5" x14ac:dyDescent="0.25">
      <c r="A942" s="60"/>
    </row>
    <row r="943" spans="1:1" ht="12.5" x14ac:dyDescent="0.25">
      <c r="A943" s="60"/>
    </row>
    <row r="944" spans="1:1" ht="12.5" x14ac:dyDescent="0.25">
      <c r="A944" s="60"/>
    </row>
    <row r="945" spans="1:1" ht="12.5" x14ac:dyDescent="0.25">
      <c r="A945" s="60"/>
    </row>
    <row r="946" spans="1:1" ht="12.5" x14ac:dyDescent="0.25">
      <c r="A946" s="60"/>
    </row>
    <row r="947" spans="1:1" ht="12.5" x14ac:dyDescent="0.25">
      <c r="A947" s="60"/>
    </row>
    <row r="948" spans="1:1" ht="12.5" x14ac:dyDescent="0.25">
      <c r="A948" s="60"/>
    </row>
    <row r="949" spans="1:1" ht="12.5" x14ac:dyDescent="0.25">
      <c r="A949" s="60"/>
    </row>
    <row r="950" spans="1:1" ht="12.5" x14ac:dyDescent="0.25">
      <c r="A950" s="60"/>
    </row>
    <row r="951" spans="1:1" ht="12.5" x14ac:dyDescent="0.25">
      <c r="A951" s="60"/>
    </row>
    <row r="952" spans="1:1" ht="12.5" x14ac:dyDescent="0.25">
      <c r="A952" s="60"/>
    </row>
    <row r="953" spans="1:1" ht="12.5" x14ac:dyDescent="0.25">
      <c r="A953" s="60"/>
    </row>
    <row r="954" spans="1:1" ht="12.5" x14ac:dyDescent="0.25">
      <c r="A954" s="60"/>
    </row>
    <row r="955" spans="1:1" ht="12.5" x14ac:dyDescent="0.25">
      <c r="A955" s="60"/>
    </row>
    <row r="956" spans="1:1" ht="12.5" x14ac:dyDescent="0.25">
      <c r="A956" s="60"/>
    </row>
    <row r="957" spans="1:1" ht="12.5" x14ac:dyDescent="0.25">
      <c r="A957" s="60"/>
    </row>
    <row r="958" spans="1:1" ht="12.5" x14ac:dyDescent="0.25">
      <c r="A958" s="60"/>
    </row>
    <row r="959" spans="1:1" ht="12.5" x14ac:dyDescent="0.25">
      <c r="A959" s="60"/>
    </row>
    <row r="960" spans="1:1" ht="12.5" x14ac:dyDescent="0.25">
      <c r="A960" s="60"/>
    </row>
    <row r="961" spans="1:1" ht="12.5" x14ac:dyDescent="0.25">
      <c r="A961" s="60"/>
    </row>
    <row r="962" spans="1:1" ht="12.5" x14ac:dyDescent="0.25">
      <c r="A962" s="60"/>
    </row>
    <row r="963" spans="1:1" ht="12.5" x14ac:dyDescent="0.25">
      <c r="A963" s="60"/>
    </row>
    <row r="964" spans="1:1" ht="12.5" x14ac:dyDescent="0.25">
      <c r="A964" s="60"/>
    </row>
    <row r="965" spans="1:1" ht="12.5" x14ac:dyDescent="0.25">
      <c r="A965" s="60"/>
    </row>
    <row r="966" spans="1:1" ht="12.5" x14ac:dyDescent="0.25">
      <c r="A966" s="60"/>
    </row>
    <row r="967" spans="1:1" ht="12.5" x14ac:dyDescent="0.25">
      <c r="A967" s="60"/>
    </row>
    <row r="968" spans="1:1" ht="12.5" x14ac:dyDescent="0.25">
      <c r="A968" s="60"/>
    </row>
    <row r="969" spans="1:1" ht="12.5" x14ac:dyDescent="0.25">
      <c r="A969" s="60"/>
    </row>
    <row r="970" spans="1:1" ht="12.5" x14ac:dyDescent="0.25">
      <c r="A970" s="60"/>
    </row>
    <row r="971" spans="1:1" ht="12.5" x14ac:dyDescent="0.25">
      <c r="A971" s="60"/>
    </row>
    <row r="972" spans="1:1" ht="12.5" x14ac:dyDescent="0.25">
      <c r="A972" s="60"/>
    </row>
    <row r="973" spans="1:1" ht="12.5" x14ac:dyDescent="0.25">
      <c r="A973" s="60"/>
    </row>
    <row r="974" spans="1:1" ht="12.5" x14ac:dyDescent="0.25">
      <c r="A974" s="60"/>
    </row>
    <row r="975" spans="1:1" ht="12.5" x14ac:dyDescent="0.25">
      <c r="A975" s="60"/>
    </row>
    <row r="976" spans="1:1" ht="12.5" x14ac:dyDescent="0.25">
      <c r="A976" s="60"/>
    </row>
    <row r="977" spans="1:1" ht="12.5" x14ac:dyDescent="0.25">
      <c r="A977" s="60"/>
    </row>
    <row r="978" spans="1:1" ht="12.5" x14ac:dyDescent="0.25">
      <c r="A978" s="60"/>
    </row>
    <row r="979" spans="1:1" ht="12.5" x14ac:dyDescent="0.25">
      <c r="A979" s="60"/>
    </row>
    <row r="980" spans="1:1" ht="12.5" x14ac:dyDescent="0.25">
      <c r="A980" s="60"/>
    </row>
    <row r="981" spans="1:1" ht="12.5" x14ac:dyDescent="0.25">
      <c r="A981" s="60"/>
    </row>
    <row r="982" spans="1:1" ht="12.5" x14ac:dyDescent="0.25">
      <c r="A982" s="60"/>
    </row>
    <row r="983" spans="1:1" ht="12.5" x14ac:dyDescent="0.25">
      <c r="A983" s="60"/>
    </row>
    <row r="984" spans="1:1" ht="12.5" x14ac:dyDescent="0.25">
      <c r="A984" s="60"/>
    </row>
    <row r="985" spans="1:1" ht="12.5" x14ac:dyDescent="0.25">
      <c r="A985" s="60"/>
    </row>
    <row r="986" spans="1:1" ht="12.5" x14ac:dyDescent="0.25">
      <c r="A986" s="60"/>
    </row>
    <row r="987" spans="1:1" ht="12.5" x14ac:dyDescent="0.25">
      <c r="A987" s="60"/>
    </row>
    <row r="988" spans="1:1" ht="12.5" x14ac:dyDescent="0.25">
      <c r="A988" s="60"/>
    </row>
    <row r="989" spans="1:1" ht="12.5" x14ac:dyDescent="0.25">
      <c r="A989" s="60"/>
    </row>
    <row r="990" spans="1:1" ht="12.5" x14ac:dyDescent="0.25">
      <c r="A990" s="60"/>
    </row>
    <row r="991" spans="1:1" ht="12.5" x14ac:dyDescent="0.25">
      <c r="A991" s="60"/>
    </row>
    <row r="992" spans="1:1" ht="12.5" x14ac:dyDescent="0.25">
      <c r="A992" s="60"/>
    </row>
    <row r="993" spans="1:1" ht="12.5" x14ac:dyDescent="0.25">
      <c r="A993" s="60"/>
    </row>
    <row r="994" spans="1:1" ht="12.5" x14ac:dyDescent="0.25">
      <c r="A994" s="60"/>
    </row>
    <row r="995" spans="1:1" ht="12.5" x14ac:dyDescent="0.25">
      <c r="A995" s="60"/>
    </row>
    <row r="996" spans="1:1" ht="12.5" x14ac:dyDescent="0.25">
      <c r="A996" s="60"/>
    </row>
    <row r="997" spans="1:1" ht="12.5" x14ac:dyDescent="0.25">
      <c r="A997" s="60"/>
    </row>
  </sheetData>
  <autoFilter ref="A1:N4" xr:uid="{00000000-0009-0000-0000-000005000000}"/>
  <mergeCells count="7">
    <mergeCell ref="M3:M4"/>
    <mergeCell ref="N3:N4"/>
    <mergeCell ref="H2:L2"/>
    <mergeCell ref="A3:A4"/>
    <mergeCell ref="B3:B4"/>
    <mergeCell ref="C3:C4"/>
    <mergeCell ref="E3:E4"/>
  </mergeCells>
  <hyperlinks>
    <hyperlink ref="C2" r:id="rId1" location="gid=310830663" xr:uid="{00000000-0004-0000-0500-000000000000}"/>
    <hyperlink ref="H2" r:id="rId2" location="heading=h.6kqv97tp6f4v" xr:uid="{00000000-0004-0000-0500-000001000000}"/>
    <hyperlink ref="M2" r:id="rId3" location="gid=2139057269" xr:uid="{00000000-0004-0000-0500-000002000000}"/>
    <hyperlink ref="N2" r:id="rId4" xr:uid="{00000000-0004-0000-0500-000003000000}"/>
  </hyperlinks>
  <pageMargins left="0.7" right="0.7" top="0.75" bottom="0.75" header="0.3" footer="0.3"/>
  <legacy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135"/>
  <sheetViews>
    <sheetView tabSelected="1" topLeftCell="I1" zoomScale="110" zoomScaleNormal="110" workbookViewId="0">
      <pane xSplit="7" ySplit="1" topLeftCell="R32" activePane="bottomRight" state="frozen"/>
      <selection activeCell="I1" sqref="I1"/>
      <selection pane="topRight" activeCell="P1" sqref="P1"/>
      <selection pane="bottomLeft" activeCell="I2" sqref="I2"/>
      <selection pane="bottomRight" activeCell="W36" sqref="W36:W37"/>
    </sheetView>
  </sheetViews>
  <sheetFormatPr defaultColWidth="12.81640625" defaultRowHeight="15.75" customHeight="1" outlineLevelCol="1" x14ac:dyDescent="0.25"/>
  <cols>
    <col min="1" max="6" width="17.81640625" customWidth="1"/>
    <col min="7" max="7" width="8.1796875" customWidth="1"/>
    <col min="8" max="8" width="22.26953125" style="150" customWidth="1"/>
    <col min="9" max="9" width="23.453125" style="150" customWidth="1"/>
    <col min="10" max="10" width="28.453125" customWidth="1" collapsed="1"/>
    <col min="11" max="11" width="49.453125" hidden="1" customWidth="1" outlineLevel="1"/>
    <col min="12" max="12" width="42.1796875" style="150" hidden="1" customWidth="1" outlineLevel="1"/>
    <col min="13" max="13" width="25.1796875" hidden="1" customWidth="1" outlineLevel="1"/>
    <col min="14" max="14" width="12.81640625" hidden="1" customWidth="1" outlineLevel="1"/>
    <col min="15" max="15" width="23.1796875" hidden="1" customWidth="1" outlineLevel="1"/>
    <col min="16" max="16" width="31.26953125" customWidth="1"/>
    <col min="17" max="17" width="26.1796875" customWidth="1"/>
    <col min="18" max="18" width="20.90625" customWidth="1"/>
    <col min="19" max="19" width="18.1796875" customWidth="1"/>
    <col min="20" max="20" width="20.81640625" customWidth="1"/>
    <col min="21" max="21" width="23.81640625" customWidth="1"/>
    <col min="22" max="22" width="27" customWidth="1"/>
    <col min="23" max="23" width="25.1796875" customWidth="1"/>
  </cols>
  <sheetData>
    <row r="1" spans="1:24" s="74" customFormat="1" ht="43.5" customHeight="1" thickBot="1" x14ac:dyDescent="0.3">
      <c r="A1" s="72" t="s">
        <v>180</v>
      </c>
      <c r="B1" s="79" t="s">
        <v>181</v>
      </c>
      <c r="C1" s="79" t="s">
        <v>182</v>
      </c>
      <c r="D1" s="79" t="s">
        <v>183</v>
      </c>
      <c r="E1" s="80" t="s">
        <v>148</v>
      </c>
      <c r="F1" s="80" t="s">
        <v>184</v>
      </c>
      <c r="G1" s="80" t="s">
        <v>185</v>
      </c>
      <c r="H1" s="328" t="s">
        <v>186</v>
      </c>
      <c r="I1" s="80" t="s">
        <v>187</v>
      </c>
      <c r="J1" s="80" t="s">
        <v>188</v>
      </c>
      <c r="K1" s="80" t="s">
        <v>189</v>
      </c>
      <c r="L1" s="80" t="s">
        <v>190</v>
      </c>
      <c r="M1" s="80" t="s">
        <v>191</v>
      </c>
      <c r="N1" s="80" t="s">
        <v>192</v>
      </c>
      <c r="O1" s="80" t="s">
        <v>193</v>
      </c>
      <c r="P1" s="80" t="s">
        <v>194</v>
      </c>
      <c r="Q1" s="80" t="s">
        <v>195</v>
      </c>
      <c r="R1" s="80" t="s">
        <v>196</v>
      </c>
      <c r="S1" s="80" t="s">
        <v>197</v>
      </c>
      <c r="T1" s="80" t="s">
        <v>198</v>
      </c>
      <c r="U1" s="80" t="s">
        <v>199</v>
      </c>
      <c r="V1" s="80" t="s">
        <v>200</v>
      </c>
      <c r="W1" s="81" t="s">
        <v>201</v>
      </c>
      <c r="X1" s="73"/>
    </row>
    <row r="2" spans="1:24" s="74" customFormat="1" ht="130.5" x14ac:dyDescent="0.25">
      <c r="A2" s="439" t="s">
        <v>202</v>
      </c>
      <c r="B2" s="427" t="s">
        <v>203</v>
      </c>
      <c r="C2" s="444">
        <v>1</v>
      </c>
      <c r="D2" s="430" t="s">
        <v>204</v>
      </c>
      <c r="E2" s="430" t="s">
        <v>205</v>
      </c>
      <c r="F2" s="438"/>
      <c r="G2" s="443">
        <v>1.1000000000000001</v>
      </c>
      <c r="H2" s="442" t="s">
        <v>206</v>
      </c>
      <c r="I2" s="442" t="s">
        <v>207</v>
      </c>
      <c r="J2" s="103" t="s">
        <v>208</v>
      </c>
      <c r="K2" s="106" t="s">
        <v>209</v>
      </c>
      <c r="L2" s="102" t="s">
        <v>210</v>
      </c>
      <c r="M2" s="102" t="s">
        <v>211</v>
      </c>
      <c r="N2" s="102" t="s">
        <v>212</v>
      </c>
      <c r="O2" s="477" t="s">
        <v>213</v>
      </c>
      <c r="P2" s="200" t="s">
        <v>214</v>
      </c>
      <c r="Q2" s="83" t="s">
        <v>92</v>
      </c>
      <c r="R2" s="83" t="s">
        <v>92</v>
      </c>
      <c r="S2" s="82" t="s">
        <v>92</v>
      </c>
      <c r="T2" s="82" t="s">
        <v>92</v>
      </c>
      <c r="U2" s="200" t="s">
        <v>214</v>
      </c>
      <c r="V2" s="200" t="s">
        <v>215</v>
      </c>
      <c r="W2" s="83" t="s">
        <v>216</v>
      </c>
      <c r="X2" s="73"/>
    </row>
    <row r="3" spans="1:24" s="74" customFormat="1" ht="145" x14ac:dyDescent="0.25">
      <c r="A3" s="440"/>
      <c r="B3" s="428"/>
      <c r="C3" s="445"/>
      <c r="D3" s="431"/>
      <c r="E3" s="431"/>
      <c r="F3" s="438"/>
      <c r="G3" s="443"/>
      <c r="H3" s="442"/>
      <c r="I3" s="442"/>
      <c r="J3" s="103" t="s">
        <v>217</v>
      </c>
      <c r="K3" s="106" t="s">
        <v>218</v>
      </c>
      <c r="L3" s="102" t="s">
        <v>210</v>
      </c>
      <c r="M3" s="102" t="s">
        <v>211</v>
      </c>
      <c r="N3" s="102" t="s">
        <v>219</v>
      </c>
      <c r="O3" s="478"/>
      <c r="P3" s="200" t="s">
        <v>220</v>
      </c>
      <c r="Q3" s="83"/>
      <c r="R3" s="83"/>
      <c r="S3" s="82"/>
      <c r="T3" s="82"/>
      <c r="U3" s="200" t="s">
        <v>220</v>
      </c>
      <c r="V3" s="200" t="s">
        <v>215</v>
      </c>
      <c r="W3" s="200" t="s">
        <v>216</v>
      </c>
      <c r="X3" s="73"/>
    </row>
    <row r="4" spans="1:24" s="74" customFormat="1" ht="145" x14ac:dyDescent="0.25">
      <c r="A4" s="440"/>
      <c r="B4" s="428"/>
      <c r="C4" s="445"/>
      <c r="D4" s="431"/>
      <c r="E4" s="431"/>
      <c r="F4" s="438"/>
      <c r="G4" s="443"/>
      <c r="H4" s="442"/>
      <c r="I4" s="442"/>
      <c r="J4" s="103" t="s">
        <v>221</v>
      </c>
      <c r="K4" s="106" t="s">
        <v>222</v>
      </c>
      <c r="L4" s="102" t="s">
        <v>210</v>
      </c>
      <c r="M4" s="102" t="s">
        <v>223</v>
      </c>
      <c r="N4" s="102" t="s">
        <v>224</v>
      </c>
      <c r="O4" s="478"/>
      <c r="P4" s="200" t="s">
        <v>225</v>
      </c>
      <c r="Q4" s="83"/>
      <c r="R4" s="83"/>
      <c r="S4" s="82"/>
      <c r="T4" s="82"/>
      <c r="U4" s="200" t="s">
        <v>225</v>
      </c>
      <c r="V4" s="200" t="s">
        <v>215</v>
      </c>
      <c r="W4" s="200" t="s">
        <v>216</v>
      </c>
      <c r="X4" s="73"/>
    </row>
    <row r="5" spans="1:24" s="74" customFormat="1" ht="72.5" x14ac:dyDescent="0.25">
      <c r="A5" s="440"/>
      <c r="B5" s="428"/>
      <c r="C5" s="445"/>
      <c r="D5" s="431"/>
      <c r="E5" s="431"/>
      <c r="F5" s="438"/>
      <c r="G5" s="443"/>
      <c r="H5" s="442"/>
      <c r="I5" s="442"/>
      <c r="J5" s="103" t="s">
        <v>226</v>
      </c>
      <c r="K5" s="106" t="s">
        <v>227</v>
      </c>
      <c r="L5" s="102" t="s">
        <v>210</v>
      </c>
      <c r="M5" s="102" t="s">
        <v>228</v>
      </c>
      <c r="N5" s="102" t="s">
        <v>224</v>
      </c>
      <c r="O5" s="478"/>
      <c r="P5" s="200" t="s">
        <v>229</v>
      </c>
      <c r="Q5" s="83"/>
      <c r="R5" s="83"/>
      <c r="S5" s="82"/>
      <c r="T5" s="82"/>
      <c r="U5" s="200" t="s">
        <v>229</v>
      </c>
      <c r="V5" s="200" t="s">
        <v>215</v>
      </c>
      <c r="W5" s="200" t="s">
        <v>216</v>
      </c>
      <c r="X5" s="73"/>
    </row>
    <row r="6" spans="1:24" s="74" customFormat="1" ht="203" x14ac:dyDescent="0.25">
      <c r="A6" s="440"/>
      <c r="B6" s="429"/>
      <c r="C6" s="446"/>
      <c r="D6" s="432"/>
      <c r="E6" s="432"/>
      <c r="F6" s="438"/>
      <c r="G6" s="443"/>
      <c r="H6" s="442"/>
      <c r="I6" s="442"/>
      <c r="J6" s="107" t="s">
        <v>230</v>
      </c>
      <c r="K6" s="108" t="s">
        <v>231</v>
      </c>
      <c r="L6" s="109" t="s">
        <v>210</v>
      </c>
      <c r="M6" s="109" t="s">
        <v>232</v>
      </c>
      <c r="N6" s="108" t="s">
        <v>224</v>
      </c>
      <c r="O6" s="479"/>
      <c r="P6" s="199" t="s">
        <v>233</v>
      </c>
      <c r="Q6" s="84"/>
      <c r="R6" s="84"/>
      <c r="S6" s="86"/>
      <c r="T6" s="86"/>
      <c r="U6" s="199" t="s">
        <v>233</v>
      </c>
      <c r="V6" s="199" t="s">
        <v>234</v>
      </c>
      <c r="W6" s="200" t="s">
        <v>216</v>
      </c>
      <c r="X6" s="73"/>
    </row>
    <row r="7" spans="1:24" s="74" customFormat="1" ht="130.5" x14ac:dyDescent="0.25">
      <c r="A7" s="440"/>
      <c r="B7" s="427" t="s">
        <v>203</v>
      </c>
      <c r="C7" s="444">
        <v>1</v>
      </c>
      <c r="D7" s="433" t="s">
        <v>235</v>
      </c>
      <c r="E7" s="430" t="s">
        <v>205</v>
      </c>
      <c r="F7" s="330"/>
      <c r="G7" s="443">
        <v>1.2</v>
      </c>
      <c r="H7" s="442" t="s">
        <v>236</v>
      </c>
      <c r="I7" s="442" t="s">
        <v>237</v>
      </c>
      <c r="J7" s="324" t="s">
        <v>238</v>
      </c>
      <c r="K7" s="106" t="s">
        <v>209</v>
      </c>
      <c r="L7" s="102" t="s">
        <v>239</v>
      </c>
      <c r="M7" s="102" t="s">
        <v>211</v>
      </c>
      <c r="N7" s="106" t="s">
        <v>212</v>
      </c>
      <c r="O7" s="480" t="s">
        <v>240</v>
      </c>
      <c r="P7" s="203" t="s">
        <v>241</v>
      </c>
      <c r="Q7" s="85"/>
      <c r="R7" s="85"/>
      <c r="S7" s="87"/>
      <c r="T7" s="87"/>
      <c r="U7" s="203" t="s">
        <v>241</v>
      </c>
      <c r="V7" s="200" t="s">
        <v>215</v>
      </c>
      <c r="W7" s="200" t="s">
        <v>216</v>
      </c>
      <c r="X7" s="73"/>
    </row>
    <row r="8" spans="1:24" s="74" customFormat="1" ht="275.5" x14ac:dyDescent="0.25">
      <c r="A8" s="440"/>
      <c r="B8" s="428"/>
      <c r="C8" s="445"/>
      <c r="D8" s="434"/>
      <c r="E8" s="431"/>
      <c r="F8" s="330"/>
      <c r="G8" s="443"/>
      <c r="H8" s="442"/>
      <c r="I8" s="442"/>
      <c r="J8" s="324" t="s">
        <v>242</v>
      </c>
      <c r="K8" s="106" t="s">
        <v>218</v>
      </c>
      <c r="L8" s="102" t="s">
        <v>243</v>
      </c>
      <c r="M8" s="102" t="s">
        <v>244</v>
      </c>
      <c r="N8" s="106" t="s">
        <v>219</v>
      </c>
      <c r="O8" s="480"/>
      <c r="P8" s="203" t="s">
        <v>245</v>
      </c>
      <c r="Q8" s="85"/>
      <c r="R8" s="85"/>
      <c r="S8" s="87"/>
      <c r="T8" s="87"/>
      <c r="U8" s="203" t="s">
        <v>245</v>
      </c>
      <c r="V8" s="200" t="s">
        <v>215</v>
      </c>
      <c r="W8" s="200" t="s">
        <v>216</v>
      </c>
      <c r="X8" s="73"/>
    </row>
    <row r="9" spans="1:24" s="74" customFormat="1" ht="246.5" x14ac:dyDescent="0.25">
      <c r="A9" s="440"/>
      <c r="B9" s="428"/>
      <c r="C9" s="445"/>
      <c r="D9" s="434"/>
      <c r="E9" s="431"/>
      <c r="F9" s="330"/>
      <c r="G9" s="443"/>
      <c r="H9" s="442"/>
      <c r="I9" s="442"/>
      <c r="J9" s="324" t="s">
        <v>246</v>
      </c>
      <c r="K9" s="106" t="s">
        <v>222</v>
      </c>
      <c r="L9" s="102" t="s">
        <v>243</v>
      </c>
      <c r="M9" s="102" t="s">
        <v>223</v>
      </c>
      <c r="N9" s="106" t="s">
        <v>224</v>
      </c>
      <c r="O9" s="480"/>
      <c r="P9" s="203" t="s">
        <v>247</v>
      </c>
      <c r="Q9" s="85"/>
      <c r="R9" s="85"/>
      <c r="S9" s="87"/>
      <c r="T9" s="87"/>
      <c r="U9" s="203" t="s">
        <v>247</v>
      </c>
      <c r="V9" s="200" t="s">
        <v>215</v>
      </c>
      <c r="W9" s="200" t="s">
        <v>216</v>
      </c>
      <c r="X9" s="73"/>
    </row>
    <row r="10" spans="1:24" s="74" customFormat="1" ht="101.5" x14ac:dyDescent="0.25">
      <c r="A10" s="440"/>
      <c r="B10" s="428"/>
      <c r="C10" s="445"/>
      <c r="D10" s="434"/>
      <c r="E10" s="431"/>
      <c r="F10" s="330"/>
      <c r="G10" s="443"/>
      <c r="H10" s="442"/>
      <c r="I10" s="442"/>
      <c r="J10" s="324" t="s">
        <v>248</v>
      </c>
      <c r="K10" s="106" t="s">
        <v>227</v>
      </c>
      <c r="L10" s="102" t="s">
        <v>239</v>
      </c>
      <c r="M10" s="102" t="s">
        <v>228</v>
      </c>
      <c r="N10" s="106" t="s">
        <v>224</v>
      </c>
      <c r="O10" s="480"/>
      <c r="P10" s="203" t="s">
        <v>249</v>
      </c>
      <c r="Q10" s="85"/>
      <c r="R10" s="85"/>
      <c r="S10" s="87"/>
      <c r="T10" s="87"/>
      <c r="U10" s="203" t="s">
        <v>249</v>
      </c>
      <c r="V10" s="200" t="s">
        <v>215</v>
      </c>
      <c r="W10" s="200" t="s">
        <v>216</v>
      </c>
      <c r="X10" s="73"/>
    </row>
    <row r="11" spans="1:24" s="74" customFormat="1" ht="203" x14ac:dyDescent="0.25">
      <c r="A11" s="440"/>
      <c r="B11" s="428"/>
      <c r="C11" s="445"/>
      <c r="D11" s="434"/>
      <c r="E11" s="432"/>
      <c r="F11" s="330"/>
      <c r="G11" s="443"/>
      <c r="H11" s="442"/>
      <c r="I11" s="442"/>
      <c r="J11" s="325" t="s">
        <v>250</v>
      </c>
      <c r="K11" s="108" t="s">
        <v>231</v>
      </c>
      <c r="L11" s="109" t="s">
        <v>239</v>
      </c>
      <c r="M11" s="109" t="s">
        <v>232</v>
      </c>
      <c r="N11" s="108" t="s">
        <v>224</v>
      </c>
      <c r="O11" s="480"/>
      <c r="P11" s="203" t="s">
        <v>251</v>
      </c>
      <c r="Q11" s="88"/>
      <c r="R11" s="88"/>
      <c r="S11" s="89"/>
      <c r="T11" s="89"/>
      <c r="U11" s="203" t="s">
        <v>251</v>
      </c>
      <c r="V11" s="199" t="s">
        <v>234</v>
      </c>
      <c r="W11" s="200" t="s">
        <v>216</v>
      </c>
      <c r="X11" s="73"/>
    </row>
    <row r="12" spans="1:24" s="74" customFormat="1" ht="246.5" x14ac:dyDescent="0.25">
      <c r="A12" s="440"/>
      <c r="B12" s="435" t="s">
        <v>203</v>
      </c>
      <c r="C12" s="437">
        <v>1</v>
      </c>
      <c r="D12" s="436" t="s">
        <v>252</v>
      </c>
      <c r="E12" s="430" t="s">
        <v>205</v>
      </c>
      <c r="F12" s="330"/>
      <c r="G12" s="443">
        <v>1.3</v>
      </c>
      <c r="H12" s="442" t="s">
        <v>253</v>
      </c>
      <c r="I12" s="442" t="s">
        <v>254</v>
      </c>
      <c r="J12" s="326" t="s">
        <v>255</v>
      </c>
      <c r="K12" s="102" t="s">
        <v>209</v>
      </c>
      <c r="L12" s="102" t="s">
        <v>256</v>
      </c>
      <c r="M12" s="102" t="s">
        <v>211</v>
      </c>
      <c r="N12" s="108" t="s">
        <v>257</v>
      </c>
      <c r="O12" s="477" t="s">
        <v>258</v>
      </c>
      <c r="P12" s="200" t="s">
        <v>259</v>
      </c>
      <c r="Q12" s="83"/>
      <c r="R12" s="83"/>
      <c r="S12" s="82"/>
      <c r="T12" s="82"/>
      <c r="U12" s="200" t="s">
        <v>259</v>
      </c>
      <c r="V12" s="200" t="s">
        <v>215</v>
      </c>
      <c r="W12" s="200" t="s">
        <v>216</v>
      </c>
      <c r="X12" s="73"/>
    </row>
    <row r="13" spans="1:24" s="74" customFormat="1" ht="275.5" x14ac:dyDescent="0.25">
      <c r="A13" s="440"/>
      <c r="B13" s="435"/>
      <c r="C13" s="437"/>
      <c r="D13" s="436"/>
      <c r="E13" s="431"/>
      <c r="F13" s="330"/>
      <c r="G13" s="443"/>
      <c r="H13" s="442"/>
      <c r="I13" s="442"/>
      <c r="J13" s="326" t="s">
        <v>260</v>
      </c>
      <c r="K13" s="102" t="s">
        <v>218</v>
      </c>
      <c r="L13" s="102" t="s">
        <v>256</v>
      </c>
      <c r="M13" s="102" t="s">
        <v>261</v>
      </c>
      <c r="N13" s="106" t="s">
        <v>219</v>
      </c>
      <c r="O13" s="478"/>
      <c r="P13" s="102" t="s">
        <v>262</v>
      </c>
      <c r="Q13" s="83"/>
      <c r="R13" s="83"/>
      <c r="S13" s="82"/>
      <c r="T13" s="82"/>
      <c r="U13" s="102" t="s">
        <v>262</v>
      </c>
      <c r="V13" s="200" t="s">
        <v>215</v>
      </c>
      <c r="W13" s="200" t="s">
        <v>216</v>
      </c>
      <c r="X13" s="73"/>
    </row>
    <row r="14" spans="1:24" s="74" customFormat="1" ht="275.5" x14ac:dyDescent="0.25">
      <c r="A14" s="440"/>
      <c r="B14" s="435"/>
      <c r="C14" s="437"/>
      <c r="D14" s="436"/>
      <c r="E14" s="431"/>
      <c r="F14" s="330"/>
      <c r="G14" s="443"/>
      <c r="H14" s="442"/>
      <c r="I14" s="442"/>
      <c r="J14" s="326" t="s">
        <v>263</v>
      </c>
      <c r="K14" s="102" t="s">
        <v>222</v>
      </c>
      <c r="L14" s="102" t="s">
        <v>256</v>
      </c>
      <c r="M14" s="102" t="s">
        <v>264</v>
      </c>
      <c r="N14" s="106" t="s">
        <v>224</v>
      </c>
      <c r="O14" s="478"/>
      <c r="P14" s="200" t="s">
        <v>265</v>
      </c>
      <c r="Q14" s="83"/>
      <c r="R14" s="83"/>
      <c r="S14" s="82"/>
      <c r="T14" s="82"/>
      <c r="U14" s="200" t="s">
        <v>265</v>
      </c>
      <c r="V14" s="200" t="s">
        <v>215</v>
      </c>
      <c r="W14" s="200" t="s">
        <v>216</v>
      </c>
      <c r="X14" s="73"/>
    </row>
    <row r="15" spans="1:24" s="74" customFormat="1" ht="217.5" x14ac:dyDescent="0.25">
      <c r="A15" s="440"/>
      <c r="B15" s="435"/>
      <c r="C15" s="437"/>
      <c r="D15" s="436"/>
      <c r="E15" s="431"/>
      <c r="F15" s="330"/>
      <c r="G15" s="443"/>
      <c r="H15" s="442"/>
      <c r="I15" s="442"/>
      <c r="J15" s="326" t="s">
        <v>266</v>
      </c>
      <c r="K15" s="102" t="s">
        <v>267</v>
      </c>
      <c r="L15" s="102" t="s">
        <v>256</v>
      </c>
      <c r="M15" s="102" t="s">
        <v>228</v>
      </c>
      <c r="N15" s="106" t="s">
        <v>224</v>
      </c>
      <c r="O15" s="478"/>
      <c r="P15" s="200" t="s">
        <v>268</v>
      </c>
      <c r="Q15" s="83"/>
      <c r="R15" s="83"/>
      <c r="S15" s="82"/>
      <c r="T15" s="82"/>
      <c r="U15" s="200" t="s">
        <v>268</v>
      </c>
      <c r="V15" s="200" t="s">
        <v>215</v>
      </c>
      <c r="W15" s="200" t="s">
        <v>216</v>
      </c>
      <c r="X15" s="73"/>
    </row>
    <row r="16" spans="1:24" s="74" customFormat="1" ht="203" x14ac:dyDescent="0.25">
      <c r="A16" s="440"/>
      <c r="B16" s="435"/>
      <c r="C16" s="437"/>
      <c r="D16" s="436"/>
      <c r="E16" s="432"/>
      <c r="F16" s="330"/>
      <c r="G16" s="443"/>
      <c r="H16" s="442"/>
      <c r="I16" s="442"/>
      <c r="J16" s="326" t="s">
        <v>269</v>
      </c>
      <c r="K16" s="102" t="s">
        <v>231</v>
      </c>
      <c r="L16" s="102" t="s">
        <v>256</v>
      </c>
      <c r="M16" s="102" t="s">
        <v>232</v>
      </c>
      <c r="N16" s="106" t="s">
        <v>224</v>
      </c>
      <c r="O16" s="479"/>
      <c r="P16" s="203" t="s">
        <v>270</v>
      </c>
      <c r="Q16" s="83"/>
      <c r="R16" s="83"/>
      <c r="S16" s="82"/>
      <c r="T16" s="82"/>
      <c r="U16" s="203" t="s">
        <v>270</v>
      </c>
      <c r="V16" s="199" t="s">
        <v>234</v>
      </c>
      <c r="W16" s="200" t="s">
        <v>216</v>
      </c>
      <c r="X16" s="73"/>
    </row>
    <row r="17" spans="1:24" s="74" customFormat="1" ht="116" x14ac:dyDescent="0.25">
      <c r="A17" s="440"/>
      <c r="B17" s="82" t="s">
        <v>271</v>
      </c>
      <c r="C17" s="83">
        <v>1</v>
      </c>
      <c r="D17" s="125" t="s">
        <v>272</v>
      </c>
      <c r="E17" s="125" t="s">
        <v>31</v>
      </c>
      <c r="F17" s="330"/>
      <c r="G17" s="320">
        <v>1.4</v>
      </c>
      <c r="H17" s="203" t="s">
        <v>273</v>
      </c>
      <c r="I17" s="203" t="s">
        <v>274</v>
      </c>
      <c r="J17" s="137" t="s">
        <v>275</v>
      </c>
      <c r="K17" s="102" t="s">
        <v>276</v>
      </c>
      <c r="L17" s="102" t="s">
        <v>277</v>
      </c>
      <c r="M17" s="102" t="s">
        <v>278</v>
      </c>
      <c r="N17" s="106" t="s">
        <v>224</v>
      </c>
      <c r="O17" s="134" t="s">
        <v>279</v>
      </c>
      <c r="P17" s="200" t="s">
        <v>280</v>
      </c>
      <c r="Q17" s="83"/>
      <c r="R17" s="83"/>
      <c r="S17" s="82"/>
      <c r="T17" s="82"/>
      <c r="U17" s="200" t="s">
        <v>280</v>
      </c>
      <c r="V17" s="200" t="s">
        <v>281</v>
      </c>
      <c r="W17" s="200" t="s">
        <v>216</v>
      </c>
      <c r="X17" s="73"/>
    </row>
    <row r="18" spans="1:24" s="74" customFormat="1" ht="188.5" x14ac:dyDescent="0.25">
      <c r="A18" s="440"/>
      <c r="B18" s="100" t="s">
        <v>282</v>
      </c>
      <c r="C18" s="95" t="s">
        <v>283</v>
      </c>
      <c r="D18" s="126" t="s">
        <v>284</v>
      </c>
      <c r="E18" s="323" t="s">
        <v>205</v>
      </c>
      <c r="F18" s="330"/>
      <c r="G18" s="320">
        <v>3.1</v>
      </c>
      <c r="H18" s="329" t="s">
        <v>285</v>
      </c>
      <c r="I18" s="329" t="s">
        <v>286</v>
      </c>
      <c r="J18" s="327" t="s">
        <v>287</v>
      </c>
      <c r="K18" s="109" t="s">
        <v>288</v>
      </c>
      <c r="L18" s="109" t="s">
        <v>289</v>
      </c>
      <c r="M18" s="109" t="s">
        <v>290</v>
      </c>
      <c r="N18" s="102" t="s">
        <v>257</v>
      </c>
      <c r="O18" s="135" t="s">
        <v>291</v>
      </c>
      <c r="P18" s="200" t="s">
        <v>292</v>
      </c>
      <c r="Q18" s="136"/>
      <c r="R18" s="83"/>
      <c r="S18" s="82"/>
      <c r="T18" s="101"/>
      <c r="U18" s="200" t="s">
        <v>293</v>
      </c>
      <c r="V18" s="200" t="s">
        <v>294</v>
      </c>
      <c r="W18" s="200" t="s">
        <v>216</v>
      </c>
      <c r="X18" s="73"/>
    </row>
    <row r="19" spans="1:24" ht="117.75" customHeight="1" x14ac:dyDescent="0.35">
      <c r="A19" s="447" t="s">
        <v>295</v>
      </c>
      <c r="B19" s="441" t="s">
        <v>203</v>
      </c>
      <c r="C19" s="400">
        <v>1</v>
      </c>
      <c r="D19" s="402" t="s">
        <v>296</v>
      </c>
      <c r="E19" s="423" t="s">
        <v>205</v>
      </c>
      <c r="F19" s="424" t="s">
        <v>297</v>
      </c>
      <c r="G19" s="412" t="s">
        <v>298</v>
      </c>
      <c r="H19" s="426" t="s">
        <v>299</v>
      </c>
      <c r="I19" s="450" t="s">
        <v>300</v>
      </c>
      <c r="J19" s="130" t="s">
        <v>301</v>
      </c>
      <c r="K19" s="138" t="s">
        <v>302</v>
      </c>
      <c r="L19" s="131" t="s">
        <v>303</v>
      </c>
      <c r="M19" s="131" t="s">
        <v>304</v>
      </c>
      <c r="N19" s="133" t="s">
        <v>305</v>
      </c>
      <c r="O19" s="481" t="s">
        <v>306</v>
      </c>
      <c r="P19" s="204" t="s">
        <v>1077</v>
      </c>
      <c r="Q19" s="204" t="s">
        <v>1083</v>
      </c>
      <c r="R19" s="204" t="s">
        <v>1079</v>
      </c>
      <c r="S19" s="204" t="s">
        <v>1074</v>
      </c>
      <c r="T19" s="204" t="s">
        <v>1083</v>
      </c>
      <c r="U19" s="204" t="s">
        <v>1082</v>
      </c>
      <c r="V19" s="204" t="s">
        <v>1082</v>
      </c>
      <c r="W19" s="404" t="s">
        <v>307</v>
      </c>
      <c r="X19" s="61"/>
    </row>
    <row r="20" spans="1:24" ht="66" customHeight="1" x14ac:dyDescent="0.35">
      <c r="A20" s="447"/>
      <c r="B20" s="407"/>
      <c r="C20" s="401"/>
      <c r="D20" s="403"/>
      <c r="E20" s="420"/>
      <c r="F20" s="425"/>
      <c r="G20" s="412"/>
      <c r="H20" s="426"/>
      <c r="I20" s="453"/>
      <c r="J20" s="115" t="s">
        <v>308</v>
      </c>
      <c r="K20" s="132" t="s">
        <v>309</v>
      </c>
      <c r="L20" s="114" t="s">
        <v>303</v>
      </c>
      <c r="M20" s="114" t="s">
        <v>304</v>
      </c>
      <c r="N20" s="111" t="s">
        <v>310</v>
      </c>
      <c r="O20" s="482"/>
      <c r="P20" s="204" t="s">
        <v>1077</v>
      </c>
      <c r="Q20" s="204" t="s">
        <v>1078</v>
      </c>
      <c r="R20" s="204" t="s">
        <v>1079</v>
      </c>
      <c r="S20" s="204" t="s">
        <v>1078</v>
      </c>
      <c r="T20" s="204" t="s">
        <v>1080</v>
      </c>
      <c r="U20" s="204" t="s">
        <v>1081</v>
      </c>
      <c r="V20" s="204" t="s">
        <v>1075</v>
      </c>
      <c r="W20" s="405"/>
      <c r="X20" s="61"/>
    </row>
    <row r="21" spans="1:24" ht="81" customHeight="1" x14ac:dyDescent="0.35">
      <c r="A21" s="447"/>
      <c r="B21" s="406" t="s">
        <v>203</v>
      </c>
      <c r="C21" s="408">
        <v>1</v>
      </c>
      <c r="D21" s="410" t="s">
        <v>296</v>
      </c>
      <c r="E21" s="419" t="s">
        <v>205</v>
      </c>
      <c r="F21" s="410" t="s">
        <v>311</v>
      </c>
      <c r="G21" s="412" t="s">
        <v>312</v>
      </c>
      <c r="H21" s="426" t="s">
        <v>313</v>
      </c>
      <c r="I21" s="448" t="s">
        <v>314</v>
      </c>
      <c r="J21" s="111" t="s">
        <v>315</v>
      </c>
      <c r="K21" s="110" t="s">
        <v>309</v>
      </c>
      <c r="L21" s="111" t="s">
        <v>316</v>
      </c>
      <c r="M21" s="111" t="s">
        <v>317</v>
      </c>
      <c r="N21" s="111" t="s">
        <v>305</v>
      </c>
      <c r="O21" s="457" t="s">
        <v>318</v>
      </c>
      <c r="P21" s="204" t="s">
        <v>1084</v>
      </c>
      <c r="Q21" s="204" t="s">
        <v>1085</v>
      </c>
      <c r="R21" s="204" t="s">
        <v>1086</v>
      </c>
      <c r="S21" s="204" t="s">
        <v>1087</v>
      </c>
      <c r="T21" s="204" t="s">
        <v>1088</v>
      </c>
      <c r="U21" s="204" t="s">
        <v>1089</v>
      </c>
      <c r="V21" s="204" t="s">
        <v>1075</v>
      </c>
      <c r="W21" s="404" t="s">
        <v>307</v>
      </c>
      <c r="X21" s="61"/>
    </row>
    <row r="22" spans="1:24" ht="108.75" customHeight="1" x14ac:dyDescent="0.35">
      <c r="A22" s="447"/>
      <c r="B22" s="407"/>
      <c r="C22" s="409"/>
      <c r="D22" s="411"/>
      <c r="E22" s="420"/>
      <c r="F22" s="417"/>
      <c r="G22" s="412"/>
      <c r="H22" s="426"/>
      <c r="I22" s="448"/>
      <c r="J22" s="112" t="s">
        <v>319</v>
      </c>
      <c r="K22" s="139" t="s">
        <v>320</v>
      </c>
      <c r="L22" s="112" t="s">
        <v>321</v>
      </c>
      <c r="M22" s="112" t="s">
        <v>322</v>
      </c>
      <c r="N22" s="112" t="s">
        <v>305</v>
      </c>
      <c r="O22" s="458"/>
      <c r="P22" s="204" t="s">
        <v>1090</v>
      </c>
      <c r="Q22" s="204" t="s">
        <v>1091</v>
      </c>
      <c r="R22" s="204" t="s">
        <v>1092</v>
      </c>
      <c r="S22" s="204" t="s">
        <v>1093</v>
      </c>
      <c r="T22" s="204" t="s">
        <v>1094</v>
      </c>
      <c r="U22" s="204" t="s">
        <v>1095</v>
      </c>
      <c r="V22" s="204" t="s">
        <v>1096</v>
      </c>
      <c r="W22" s="405"/>
      <c r="X22" s="61"/>
    </row>
    <row r="23" spans="1:24" ht="108.75" customHeight="1" x14ac:dyDescent="0.35">
      <c r="A23" s="447"/>
      <c r="B23" s="98" t="s">
        <v>323</v>
      </c>
      <c r="C23" s="92">
        <v>1</v>
      </c>
      <c r="D23" s="127" t="s">
        <v>324</v>
      </c>
      <c r="E23" s="97" t="s">
        <v>205</v>
      </c>
      <c r="F23" s="127" t="s">
        <v>325</v>
      </c>
      <c r="G23" s="321" t="s">
        <v>326</v>
      </c>
      <c r="H23" s="334" t="s">
        <v>327</v>
      </c>
      <c r="I23" s="129" t="s">
        <v>328</v>
      </c>
      <c r="J23" s="114" t="s">
        <v>329</v>
      </c>
      <c r="K23" s="140" t="s">
        <v>330</v>
      </c>
      <c r="L23" s="114" t="s">
        <v>331</v>
      </c>
      <c r="M23" s="114" t="s">
        <v>332</v>
      </c>
      <c r="N23" s="114" t="s">
        <v>224</v>
      </c>
      <c r="O23" s="90" t="s">
        <v>333</v>
      </c>
      <c r="P23" s="90" t="s">
        <v>1076</v>
      </c>
      <c r="Q23" s="90" t="s">
        <v>1099</v>
      </c>
      <c r="R23" s="90" t="s">
        <v>1097</v>
      </c>
      <c r="S23" s="90" t="s">
        <v>1098</v>
      </c>
      <c r="T23" s="90" t="s">
        <v>1100</v>
      </c>
      <c r="U23" s="90" t="s">
        <v>1101</v>
      </c>
      <c r="V23" s="91" t="s">
        <v>334</v>
      </c>
      <c r="W23" s="91" t="s">
        <v>216</v>
      </c>
      <c r="X23" s="61"/>
    </row>
    <row r="24" spans="1:24" ht="108.75" customHeight="1" x14ac:dyDescent="0.35">
      <c r="A24" s="447"/>
      <c r="B24" s="98" t="s">
        <v>203</v>
      </c>
      <c r="C24" s="92">
        <v>1</v>
      </c>
      <c r="D24" s="127" t="s">
        <v>272</v>
      </c>
      <c r="E24" s="97" t="s">
        <v>31</v>
      </c>
      <c r="F24" s="127" t="s">
        <v>335</v>
      </c>
      <c r="G24" s="321" t="s">
        <v>336</v>
      </c>
      <c r="H24" s="334" t="s">
        <v>337</v>
      </c>
      <c r="I24" s="129" t="s">
        <v>338</v>
      </c>
      <c r="J24" s="114" t="s">
        <v>339</v>
      </c>
      <c r="K24" s="140" t="s">
        <v>340</v>
      </c>
      <c r="L24" s="114" t="s">
        <v>277</v>
      </c>
      <c r="M24" s="114" t="s">
        <v>341</v>
      </c>
      <c r="N24" s="114" t="s">
        <v>305</v>
      </c>
      <c r="O24" s="90" t="s">
        <v>342</v>
      </c>
      <c r="P24" s="205" t="s">
        <v>1102</v>
      </c>
      <c r="Q24" s="486">
        <v>0.35</v>
      </c>
      <c r="R24" s="486">
        <v>0.3</v>
      </c>
      <c r="S24" s="486">
        <v>0.25</v>
      </c>
      <c r="T24" s="486">
        <v>0.2</v>
      </c>
      <c r="U24" s="486">
        <v>0.15</v>
      </c>
      <c r="V24" s="91" t="s">
        <v>281</v>
      </c>
      <c r="W24" s="91" t="s">
        <v>343</v>
      </c>
      <c r="X24" s="61"/>
    </row>
    <row r="25" spans="1:24" ht="108.75" customHeight="1" x14ac:dyDescent="0.35">
      <c r="A25" s="447"/>
      <c r="B25" s="98" t="s">
        <v>203</v>
      </c>
      <c r="C25" s="92">
        <v>1</v>
      </c>
      <c r="D25" s="127" t="s">
        <v>272</v>
      </c>
      <c r="E25" s="97" t="s">
        <v>31</v>
      </c>
      <c r="F25" s="127" t="s">
        <v>344</v>
      </c>
      <c r="G25" s="321" t="s">
        <v>345</v>
      </c>
      <c r="H25" s="334" t="s">
        <v>346</v>
      </c>
      <c r="I25" s="129" t="s">
        <v>347</v>
      </c>
      <c r="J25" s="114" t="s">
        <v>348</v>
      </c>
      <c r="K25" s="140" t="s">
        <v>349</v>
      </c>
      <c r="L25" s="114" t="s">
        <v>277</v>
      </c>
      <c r="M25" s="114" t="s">
        <v>350</v>
      </c>
      <c r="N25" s="114" t="s">
        <v>305</v>
      </c>
      <c r="O25" s="90" t="s">
        <v>351</v>
      </c>
      <c r="P25" s="205" t="s">
        <v>1103</v>
      </c>
      <c r="Q25" s="205" t="s">
        <v>1104</v>
      </c>
      <c r="R25" s="205" t="s">
        <v>1105</v>
      </c>
      <c r="S25" s="205" t="s">
        <v>1106</v>
      </c>
      <c r="T25" s="205" t="s">
        <v>1107</v>
      </c>
      <c r="U25" s="205" t="s">
        <v>1107</v>
      </c>
      <c r="V25" s="91" t="s">
        <v>281</v>
      </c>
      <c r="W25" s="91" t="s">
        <v>343</v>
      </c>
      <c r="X25" s="61"/>
    </row>
    <row r="26" spans="1:24" ht="108.75" customHeight="1" x14ac:dyDescent="0.35">
      <c r="A26" s="447"/>
      <c r="B26" s="96" t="s">
        <v>203</v>
      </c>
      <c r="C26" s="94">
        <v>1</v>
      </c>
      <c r="D26" s="127" t="s">
        <v>324</v>
      </c>
      <c r="E26" s="97" t="s">
        <v>352</v>
      </c>
      <c r="F26" s="127" t="s">
        <v>353</v>
      </c>
      <c r="G26" s="321" t="s">
        <v>326</v>
      </c>
      <c r="H26" s="334" t="s">
        <v>354</v>
      </c>
      <c r="I26" s="129" t="s">
        <v>355</v>
      </c>
      <c r="J26" s="114" t="s">
        <v>356</v>
      </c>
      <c r="K26" s="115" t="s">
        <v>357</v>
      </c>
      <c r="L26" s="114" t="s">
        <v>358</v>
      </c>
      <c r="M26" s="114" t="s">
        <v>359</v>
      </c>
      <c r="N26" s="114" t="s">
        <v>224</v>
      </c>
      <c r="O26" s="90" t="s">
        <v>360</v>
      </c>
      <c r="P26" s="205" t="s">
        <v>1109</v>
      </c>
      <c r="Q26" s="205" t="s">
        <v>1108</v>
      </c>
      <c r="R26" s="205" t="s">
        <v>1110</v>
      </c>
      <c r="S26" s="205" t="s">
        <v>1111</v>
      </c>
      <c r="T26" s="205" t="s">
        <v>1112</v>
      </c>
      <c r="U26" s="205" t="s">
        <v>1113</v>
      </c>
      <c r="V26" s="91" t="s">
        <v>294</v>
      </c>
      <c r="W26" s="91" t="s">
        <v>216</v>
      </c>
      <c r="X26" s="61"/>
    </row>
    <row r="27" spans="1:24" ht="81" customHeight="1" x14ac:dyDescent="0.35">
      <c r="A27" s="447"/>
      <c r="B27" s="413" t="s">
        <v>203</v>
      </c>
      <c r="C27" s="415">
        <v>1</v>
      </c>
      <c r="D27" s="410" t="s">
        <v>235</v>
      </c>
      <c r="E27" s="421" t="s">
        <v>352</v>
      </c>
      <c r="F27" s="410" t="s">
        <v>361</v>
      </c>
      <c r="G27" s="418" t="s">
        <v>362</v>
      </c>
      <c r="H27" s="426" t="s">
        <v>363</v>
      </c>
      <c r="I27" s="449" t="s">
        <v>364</v>
      </c>
      <c r="J27" s="114" t="s">
        <v>365</v>
      </c>
      <c r="K27" s="114" t="s">
        <v>366</v>
      </c>
      <c r="L27" s="114" t="s">
        <v>367</v>
      </c>
      <c r="M27" s="114" t="s">
        <v>368</v>
      </c>
      <c r="N27" s="114" t="s">
        <v>305</v>
      </c>
      <c r="O27" s="474" t="s">
        <v>369</v>
      </c>
      <c r="P27" s="114" t="s">
        <v>370</v>
      </c>
      <c r="Q27" s="114" t="s">
        <v>370</v>
      </c>
      <c r="R27" s="114" t="s">
        <v>370</v>
      </c>
      <c r="S27" s="114" t="s">
        <v>370</v>
      </c>
      <c r="T27" s="114" t="s">
        <v>370</v>
      </c>
      <c r="U27" s="114" t="s">
        <v>370</v>
      </c>
      <c r="V27" s="91" t="s">
        <v>294</v>
      </c>
      <c r="W27" s="91" t="s">
        <v>216</v>
      </c>
      <c r="X27" s="61"/>
    </row>
    <row r="28" spans="1:24" ht="59.5" customHeight="1" x14ac:dyDescent="0.35">
      <c r="A28" s="447"/>
      <c r="B28" s="414"/>
      <c r="C28" s="416"/>
      <c r="D28" s="417"/>
      <c r="E28" s="422"/>
      <c r="F28" s="417"/>
      <c r="G28" s="418"/>
      <c r="H28" s="426"/>
      <c r="I28" s="450"/>
      <c r="J28" s="114" t="s">
        <v>371</v>
      </c>
      <c r="K28" s="114" t="s">
        <v>372</v>
      </c>
      <c r="L28" s="114" t="s">
        <v>367</v>
      </c>
      <c r="M28" s="114" t="s">
        <v>368</v>
      </c>
      <c r="N28" s="114" t="s">
        <v>305</v>
      </c>
      <c r="O28" s="475"/>
      <c r="P28" s="114" t="s">
        <v>373</v>
      </c>
      <c r="Q28" s="114" t="s">
        <v>370</v>
      </c>
      <c r="R28" s="114" t="s">
        <v>370</v>
      </c>
      <c r="S28" s="114" t="s">
        <v>370</v>
      </c>
      <c r="T28" s="114" t="s">
        <v>370</v>
      </c>
      <c r="U28" s="114" t="s">
        <v>370</v>
      </c>
      <c r="V28" s="91" t="s">
        <v>294</v>
      </c>
      <c r="W28" s="91" t="s">
        <v>216</v>
      </c>
      <c r="X28" s="61"/>
    </row>
    <row r="29" spans="1:24" s="213" customFormat="1" ht="65.150000000000006" customHeight="1" x14ac:dyDescent="0.25">
      <c r="A29" s="447"/>
      <c r="B29" s="413" t="s">
        <v>203</v>
      </c>
      <c r="C29" s="415">
        <v>1</v>
      </c>
      <c r="D29" s="410" t="s">
        <v>324</v>
      </c>
      <c r="E29" s="421" t="s">
        <v>205</v>
      </c>
      <c r="F29" s="410" t="s">
        <v>374</v>
      </c>
      <c r="G29" s="418" t="s">
        <v>326</v>
      </c>
      <c r="H29" s="426" t="s">
        <v>375</v>
      </c>
      <c r="I29" s="451" t="s">
        <v>376</v>
      </c>
      <c r="J29" s="457" t="s">
        <v>377</v>
      </c>
      <c r="K29" s="460" t="s">
        <v>378</v>
      </c>
      <c r="L29" s="457" t="s">
        <v>379</v>
      </c>
      <c r="M29" s="457" t="s">
        <v>380</v>
      </c>
      <c r="N29" s="457" t="s">
        <v>310</v>
      </c>
      <c r="O29" s="474" t="s">
        <v>381</v>
      </c>
      <c r="P29" s="474" t="s">
        <v>382</v>
      </c>
      <c r="Q29" s="474" t="s">
        <v>382</v>
      </c>
      <c r="R29" s="474" t="s">
        <v>382</v>
      </c>
      <c r="S29" s="474" t="s">
        <v>382</v>
      </c>
      <c r="T29" s="474" t="s">
        <v>382</v>
      </c>
      <c r="U29" s="474" t="s">
        <v>382</v>
      </c>
      <c r="V29" s="472" t="s">
        <v>1114</v>
      </c>
      <c r="W29" s="472" t="s">
        <v>383</v>
      </c>
      <c r="X29" s="212"/>
    </row>
    <row r="30" spans="1:24" ht="14.5" x14ac:dyDescent="0.35">
      <c r="A30" s="447"/>
      <c r="B30" s="414"/>
      <c r="C30" s="416"/>
      <c r="D30" s="417"/>
      <c r="E30" s="422"/>
      <c r="F30" s="417"/>
      <c r="G30" s="418"/>
      <c r="H30" s="426"/>
      <c r="I30" s="452"/>
      <c r="J30" s="458"/>
      <c r="K30" s="459"/>
      <c r="L30" s="458"/>
      <c r="M30" s="458"/>
      <c r="N30" s="458"/>
      <c r="O30" s="475"/>
      <c r="P30" s="475"/>
      <c r="Q30" s="475"/>
      <c r="R30" s="475"/>
      <c r="S30" s="475"/>
      <c r="T30" s="475"/>
      <c r="U30" s="475"/>
      <c r="V30" s="473"/>
      <c r="W30" s="473"/>
      <c r="X30" s="61"/>
    </row>
    <row r="31" spans="1:24" ht="101.5" x14ac:dyDescent="0.35">
      <c r="A31" s="447"/>
      <c r="B31" s="413" t="s">
        <v>282</v>
      </c>
      <c r="C31" s="415"/>
      <c r="D31" s="410" t="s">
        <v>384</v>
      </c>
      <c r="E31" s="421" t="s">
        <v>205</v>
      </c>
      <c r="F31" s="410" t="s">
        <v>385</v>
      </c>
      <c r="G31" s="418" t="s">
        <v>386</v>
      </c>
      <c r="H31" s="476" t="s">
        <v>387</v>
      </c>
      <c r="I31" s="451" t="s">
        <v>388</v>
      </c>
      <c r="J31" s="120" t="s">
        <v>389</v>
      </c>
      <c r="K31" s="141" t="s">
        <v>390</v>
      </c>
      <c r="L31" s="121" t="s">
        <v>321</v>
      </c>
      <c r="M31" s="117" t="s">
        <v>322</v>
      </c>
      <c r="N31" s="117" t="s">
        <v>305</v>
      </c>
      <c r="O31" s="474" t="s">
        <v>391</v>
      </c>
      <c r="P31" s="90" t="s">
        <v>1115</v>
      </c>
      <c r="Q31" s="90" t="s">
        <v>1116</v>
      </c>
      <c r="R31" s="90" t="s">
        <v>1117</v>
      </c>
      <c r="S31" s="90" t="s">
        <v>1118</v>
      </c>
      <c r="T31" s="90" t="s">
        <v>1119</v>
      </c>
      <c r="U31" s="90" t="s">
        <v>1119</v>
      </c>
      <c r="V31" s="91" t="s">
        <v>392</v>
      </c>
      <c r="W31" s="91" t="s">
        <v>393</v>
      </c>
      <c r="X31" s="61"/>
    </row>
    <row r="32" spans="1:24" ht="90.75" customHeight="1" x14ac:dyDescent="0.35">
      <c r="A32" s="447"/>
      <c r="B32" s="414"/>
      <c r="C32" s="416"/>
      <c r="D32" s="417"/>
      <c r="E32" s="422"/>
      <c r="F32" s="417"/>
      <c r="G32" s="418"/>
      <c r="H32" s="476"/>
      <c r="I32" s="452"/>
      <c r="J32" s="113" t="s">
        <v>394</v>
      </c>
      <c r="K32" s="142"/>
      <c r="L32" s="114"/>
      <c r="M32" s="114"/>
      <c r="N32" s="114"/>
      <c r="O32" s="475"/>
      <c r="P32" s="114" t="s">
        <v>1120</v>
      </c>
      <c r="Q32" s="114" t="s">
        <v>1121</v>
      </c>
      <c r="R32" s="114" t="s">
        <v>1122</v>
      </c>
      <c r="S32" s="114" t="s">
        <v>1123</v>
      </c>
      <c r="T32" s="90" t="s">
        <v>395</v>
      </c>
      <c r="U32" s="90" t="s">
        <v>396</v>
      </c>
      <c r="V32" s="91" t="s">
        <v>392</v>
      </c>
      <c r="W32" s="91" t="s">
        <v>393</v>
      </c>
      <c r="X32" s="61"/>
    </row>
    <row r="33" spans="1:24" ht="114" customHeight="1" x14ac:dyDescent="0.35">
      <c r="A33" s="447"/>
      <c r="B33" s="98" t="s">
        <v>282</v>
      </c>
      <c r="C33" s="97"/>
      <c r="D33" s="127" t="s">
        <v>397</v>
      </c>
      <c r="E33" s="97" t="s">
        <v>205</v>
      </c>
      <c r="F33" s="127" t="s">
        <v>398</v>
      </c>
      <c r="G33" s="322" t="s">
        <v>399</v>
      </c>
      <c r="H33" s="334" t="s">
        <v>400</v>
      </c>
      <c r="I33" s="129" t="s">
        <v>401</v>
      </c>
      <c r="J33" s="118" t="s">
        <v>402</v>
      </c>
      <c r="K33" s="114" t="s">
        <v>403</v>
      </c>
      <c r="L33" s="112" t="s">
        <v>316</v>
      </c>
      <c r="M33" s="112" t="s">
        <v>317</v>
      </c>
      <c r="N33" s="112" t="s">
        <v>305</v>
      </c>
      <c r="O33" s="90" t="s">
        <v>404</v>
      </c>
      <c r="P33" s="486">
        <v>0.35</v>
      </c>
      <c r="Q33" s="486">
        <v>0.45</v>
      </c>
      <c r="R33" s="486">
        <v>0.55000000000000004</v>
      </c>
      <c r="S33" s="486">
        <v>0.65</v>
      </c>
      <c r="T33" s="486">
        <v>0.75</v>
      </c>
      <c r="U33" s="486">
        <v>0.8</v>
      </c>
      <c r="V33" s="91" t="s">
        <v>1124</v>
      </c>
      <c r="W33" s="91" t="s">
        <v>1125</v>
      </c>
      <c r="X33" s="61"/>
    </row>
    <row r="34" spans="1:24" ht="85.4" customHeight="1" x14ac:dyDescent="0.35">
      <c r="A34" s="447"/>
      <c r="B34" s="413" t="s">
        <v>282</v>
      </c>
      <c r="C34" s="415"/>
      <c r="D34" s="410" t="s">
        <v>406</v>
      </c>
      <c r="E34" s="421" t="s">
        <v>205</v>
      </c>
      <c r="F34" s="410" t="s">
        <v>407</v>
      </c>
      <c r="G34" s="418" t="s">
        <v>408</v>
      </c>
      <c r="H34" s="426" t="s">
        <v>409</v>
      </c>
      <c r="I34" s="449" t="s">
        <v>410</v>
      </c>
      <c r="J34" s="116" t="s">
        <v>411</v>
      </c>
      <c r="K34" s="143" t="s">
        <v>412</v>
      </c>
      <c r="L34" s="122" t="s">
        <v>413</v>
      </c>
      <c r="M34" s="122" t="s">
        <v>414</v>
      </c>
      <c r="N34" s="113" t="s">
        <v>305</v>
      </c>
      <c r="O34" s="457" t="s">
        <v>415</v>
      </c>
      <c r="P34" s="90" t="s">
        <v>1126</v>
      </c>
      <c r="Q34" s="90" t="s">
        <v>1127</v>
      </c>
      <c r="R34" s="90" t="s">
        <v>1128</v>
      </c>
      <c r="S34" s="90" t="s">
        <v>1129</v>
      </c>
      <c r="T34" s="90" t="s">
        <v>1130</v>
      </c>
      <c r="U34" s="90" t="s">
        <v>1131</v>
      </c>
      <c r="V34" s="90" t="s">
        <v>1132</v>
      </c>
      <c r="W34" s="91" t="s">
        <v>405</v>
      </c>
      <c r="X34" s="61"/>
    </row>
    <row r="35" spans="1:24" ht="103.5" customHeight="1" x14ac:dyDescent="0.35">
      <c r="A35" s="447"/>
      <c r="B35" s="414"/>
      <c r="C35" s="416"/>
      <c r="D35" s="417"/>
      <c r="E35" s="422"/>
      <c r="F35" s="417"/>
      <c r="G35" s="418"/>
      <c r="H35" s="426"/>
      <c r="I35" s="450"/>
      <c r="J35" s="118" t="s">
        <v>416</v>
      </c>
      <c r="K35" s="143" t="s">
        <v>417</v>
      </c>
      <c r="L35" s="122" t="s">
        <v>418</v>
      </c>
      <c r="M35" s="123" t="s">
        <v>419</v>
      </c>
      <c r="N35" s="116" t="s">
        <v>305</v>
      </c>
      <c r="O35" s="458"/>
      <c r="P35" s="90" t="s">
        <v>1133</v>
      </c>
      <c r="Q35" s="90" t="s">
        <v>1133</v>
      </c>
      <c r="R35" s="90" t="s">
        <v>1134</v>
      </c>
      <c r="S35" s="90" t="s">
        <v>1134</v>
      </c>
      <c r="T35" s="90" t="s">
        <v>1135</v>
      </c>
      <c r="U35" s="90" t="s">
        <v>1135</v>
      </c>
      <c r="V35" s="90" t="s">
        <v>1132</v>
      </c>
      <c r="W35" s="91" t="s">
        <v>1136</v>
      </c>
      <c r="X35" s="61"/>
    </row>
    <row r="36" spans="1:24" ht="109" customHeight="1" x14ac:dyDescent="0.35">
      <c r="A36" s="447"/>
      <c r="B36" s="98" t="s">
        <v>282</v>
      </c>
      <c r="C36" s="104"/>
      <c r="D36" s="128" t="s">
        <v>420</v>
      </c>
      <c r="E36" s="97" t="s">
        <v>205</v>
      </c>
      <c r="F36" s="127" t="s">
        <v>407</v>
      </c>
      <c r="G36" s="321" t="s">
        <v>421</v>
      </c>
      <c r="H36" s="335" t="s">
        <v>422</v>
      </c>
      <c r="I36" s="111" t="s">
        <v>423</v>
      </c>
      <c r="J36" s="118" t="s">
        <v>424</v>
      </c>
      <c r="K36" s="144" t="s">
        <v>425</v>
      </c>
      <c r="L36" s="123" t="s">
        <v>426</v>
      </c>
      <c r="M36" s="123" t="s">
        <v>427</v>
      </c>
      <c r="N36" s="116" t="s">
        <v>305</v>
      </c>
      <c r="O36" s="119" t="s">
        <v>428</v>
      </c>
      <c r="P36" s="90" t="s">
        <v>1137</v>
      </c>
      <c r="Q36" s="90" t="s">
        <v>1138</v>
      </c>
      <c r="R36" s="90" t="s">
        <v>1139</v>
      </c>
      <c r="S36" s="90" t="s">
        <v>1140</v>
      </c>
      <c r="T36" s="90" t="s">
        <v>1141</v>
      </c>
      <c r="U36" s="90" t="s">
        <v>1142</v>
      </c>
      <c r="V36" s="90" t="s">
        <v>1143</v>
      </c>
      <c r="W36" s="91" t="s">
        <v>1136</v>
      </c>
      <c r="X36" s="61"/>
    </row>
    <row r="37" spans="1:24" s="302" customFormat="1" ht="123" customHeight="1" x14ac:dyDescent="0.35">
      <c r="A37" s="447"/>
      <c r="B37" s="305" t="s">
        <v>282</v>
      </c>
      <c r="C37" s="306" t="s">
        <v>429</v>
      </c>
      <c r="D37" s="307" t="s">
        <v>430</v>
      </c>
      <c r="E37" s="308" t="s">
        <v>205</v>
      </c>
      <c r="F37" s="331" t="s">
        <v>431</v>
      </c>
      <c r="G37" s="321" t="s">
        <v>432</v>
      </c>
      <c r="H37" s="334" t="s">
        <v>433</v>
      </c>
      <c r="I37" s="300" t="s">
        <v>434</v>
      </c>
      <c r="J37" s="116" t="s">
        <v>435</v>
      </c>
      <c r="K37" s="299" t="s">
        <v>436</v>
      </c>
      <c r="L37" s="123" t="s">
        <v>437</v>
      </c>
      <c r="M37" s="123" t="s">
        <v>438</v>
      </c>
      <c r="N37" s="116" t="s">
        <v>305</v>
      </c>
      <c r="O37" s="309" t="s">
        <v>439</v>
      </c>
      <c r="P37" s="90">
        <v>3</v>
      </c>
      <c r="Q37" s="90">
        <v>3</v>
      </c>
      <c r="R37" s="90">
        <v>4</v>
      </c>
      <c r="S37" s="90">
        <v>5</v>
      </c>
      <c r="T37" s="90">
        <v>6</v>
      </c>
      <c r="U37" s="90">
        <v>7</v>
      </c>
      <c r="V37" s="91" t="s">
        <v>1144</v>
      </c>
      <c r="W37" s="91" t="s">
        <v>1136</v>
      </c>
      <c r="X37" s="61"/>
    </row>
    <row r="38" spans="1:24" s="167" customFormat="1" ht="43.5" x14ac:dyDescent="0.35">
      <c r="A38" s="153"/>
      <c r="B38" s="154"/>
      <c r="C38" s="265"/>
      <c r="D38" s="155"/>
      <c r="E38" s="156"/>
      <c r="F38" s="157"/>
      <c r="G38" s="332"/>
      <c r="H38" s="333" t="s">
        <v>299</v>
      </c>
      <c r="I38" s="168" t="s">
        <v>300</v>
      </c>
      <c r="J38" s="159"/>
      <c r="K38" s="160"/>
      <c r="L38" s="161"/>
      <c r="M38" s="161"/>
      <c r="N38" s="158"/>
      <c r="O38" s="162"/>
      <c r="P38" s="163"/>
      <c r="Q38" s="163"/>
      <c r="R38" s="163"/>
      <c r="S38" s="163"/>
      <c r="T38" s="163"/>
      <c r="U38" s="163"/>
      <c r="V38" s="164"/>
      <c r="W38" s="165"/>
      <c r="X38" s="166"/>
    </row>
    <row r="39" spans="1:24" s="213" customFormat="1" ht="43" customHeight="1" x14ac:dyDescent="0.35">
      <c r="A39" s="454"/>
      <c r="B39" s="215"/>
      <c r="C39" s="216"/>
      <c r="D39" s="217"/>
      <c r="E39" s="208"/>
      <c r="F39" s="466"/>
      <c r="G39" s="314" t="s">
        <v>440</v>
      </c>
      <c r="H39" s="258"/>
      <c r="I39" s="209" t="s">
        <v>441</v>
      </c>
      <c r="J39" s="209" t="s">
        <v>442</v>
      </c>
      <c r="K39" s="209" t="s">
        <v>443</v>
      </c>
      <c r="L39" s="209" t="s">
        <v>444</v>
      </c>
      <c r="M39" s="209" t="s">
        <v>445</v>
      </c>
      <c r="N39" s="209" t="s">
        <v>446</v>
      </c>
      <c r="O39" s="209" t="s">
        <v>447</v>
      </c>
      <c r="P39" s="276" t="s">
        <v>448</v>
      </c>
      <c r="Q39" s="210"/>
      <c r="R39" s="210"/>
      <c r="S39" s="210"/>
      <c r="T39" s="210"/>
      <c r="U39" s="210"/>
      <c r="V39" s="210"/>
      <c r="W39" s="211"/>
      <c r="X39" s="212"/>
    </row>
    <row r="40" spans="1:24" s="213" customFormat="1" ht="58" x14ac:dyDescent="0.35">
      <c r="A40" s="455"/>
      <c r="B40" s="206"/>
      <c r="C40" s="207"/>
      <c r="D40" s="207"/>
      <c r="E40" s="208"/>
      <c r="F40" s="466"/>
      <c r="G40" s="314" t="s">
        <v>449</v>
      </c>
      <c r="H40" s="258"/>
      <c r="I40" s="209" t="s">
        <v>450</v>
      </c>
      <c r="J40" s="209" t="s">
        <v>451</v>
      </c>
      <c r="K40" s="209" t="s">
        <v>452</v>
      </c>
      <c r="L40" s="209" t="s">
        <v>453</v>
      </c>
      <c r="M40" s="209" t="s">
        <v>454</v>
      </c>
      <c r="N40" s="209" t="s">
        <v>455</v>
      </c>
      <c r="O40" s="209" t="s">
        <v>456</v>
      </c>
      <c r="P40" s="275" t="s">
        <v>457</v>
      </c>
      <c r="Q40" s="210"/>
      <c r="R40" s="210"/>
      <c r="S40" s="210"/>
      <c r="T40" s="210"/>
      <c r="U40" s="210"/>
      <c r="V40" s="210"/>
      <c r="W40" s="211"/>
      <c r="X40" s="212"/>
    </row>
    <row r="41" spans="1:24" s="213" customFormat="1" ht="72.5" x14ac:dyDescent="0.25">
      <c r="A41" s="455"/>
      <c r="B41" s="215"/>
      <c r="C41" s="216"/>
      <c r="D41" s="217"/>
      <c r="E41" s="208"/>
      <c r="F41" s="466"/>
      <c r="G41" s="314" t="s">
        <v>458</v>
      </c>
      <c r="H41" s="258"/>
      <c r="I41" s="209" t="s">
        <v>459</v>
      </c>
      <c r="J41" s="209" t="s">
        <v>460</v>
      </c>
      <c r="K41" s="209" t="s">
        <v>461</v>
      </c>
      <c r="L41" s="209" t="s">
        <v>462</v>
      </c>
      <c r="M41" s="209" t="s">
        <v>463</v>
      </c>
      <c r="N41" s="209" t="s">
        <v>464</v>
      </c>
      <c r="O41" s="209" t="s">
        <v>465</v>
      </c>
      <c r="P41" s="209" t="s">
        <v>466</v>
      </c>
      <c r="Q41" s="210"/>
      <c r="R41" s="210"/>
      <c r="S41" s="210"/>
      <c r="T41" s="210"/>
      <c r="U41" s="210"/>
      <c r="V41" s="210"/>
      <c r="W41" s="211"/>
      <c r="X41" s="212"/>
    </row>
    <row r="42" spans="1:24" s="213" customFormat="1" ht="30.65" customHeight="1" x14ac:dyDescent="0.25">
      <c r="A42" s="455"/>
      <c r="B42" s="215"/>
      <c r="C42" s="216"/>
      <c r="D42" s="217"/>
      <c r="E42" s="208"/>
      <c r="F42" s="466"/>
      <c r="G42" s="392" t="s">
        <v>467</v>
      </c>
      <c r="H42" s="258"/>
      <c r="I42" s="390" t="s">
        <v>468</v>
      </c>
      <c r="J42" s="209" t="s">
        <v>469</v>
      </c>
      <c r="K42" s="394" t="s">
        <v>470</v>
      </c>
      <c r="L42" s="394" t="s">
        <v>471</v>
      </c>
      <c r="M42" s="394" t="s">
        <v>472</v>
      </c>
      <c r="N42" s="394" t="s">
        <v>473</v>
      </c>
      <c r="O42" s="394" t="s">
        <v>474</v>
      </c>
      <c r="P42" s="388" t="s">
        <v>475</v>
      </c>
      <c r="Q42" s="210"/>
      <c r="R42" s="210"/>
      <c r="S42" s="210"/>
      <c r="T42" s="210"/>
      <c r="U42" s="210"/>
      <c r="V42" s="210"/>
      <c r="W42" s="211"/>
      <c r="X42" s="212"/>
    </row>
    <row r="43" spans="1:24" s="213" customFormat="1" ht="14.5" x14ac:dyDescent="0.25">
      <c r="A43" s="455"/>
      <c r="B43" s="215"/>
      <c r="C43" s="216"/>
      <c r="D43" s="217"/>
      <c r="E43" s="208"/>
      <c r="F43" s="466"/>
      <c r="G43" s="393"/>
      <c r="H43" s="258"/>
      <c r="I43" s="391"/>
      <c r="J43" s="209" t="s">
        <v>476</v>
      </c>
      <c r="K43" s="395"/>
      <c r="L43" s="395"/>
      <c r="M43" s="395"/>
      <c r="N43" s="395"/>
      <c r="O43" s="395"/>
      <c r="P43" s="389"/>
      <c r="Q43" s="210"/>
      <c r="R43" s="210"/>
      <c r="S43" s="210"/>
      <c r="T43" s="210"/>
      <c r="U43" s="210"/>
      <c r="V43" s="210"/>
      <c r="W43" s="211"/>
      <c r="X43" s="212"/>
    </row>
    <row r="44" spans="1:24" s="213" customFormat="1" ht="58" x14ac:dyDescent="0.25">
      <c r="A44" s="455"/>
      <c r="B44" s="215"/>
      <c r="C44" s="216"/>
      <c r="D44" s="217"/>
      <c r="E44" s="208"/>
      <c r="F44" s="466"/>
      <c r="G44" s="314" t="s">
        <v>477</v>
      </c>
      <c r="H44" s="258"/>
      <c r="I44" s="209" t="s">
        <v>478</v>
      </c>
      <c r="J44" s="209" t="s">
        <v>479</v>
      </c>
      <c r="K44" s="209" t="s">
        <v>480</v>
      </c>
      <c r="L44" s="209" t="s">
        <v>481</v>
      </c>
      <c r="M44" s="209" t="s">
        <v>482</v>
      </c>
      <c r="N44" s="209" t="s">
        <v>483</v>
      </c>
      <c r="O44" s="209" t="s">
        <v>484</v>
      </c>
      <c r="P44" s="209" t="s">
        <v>485</v>
      </c>
      <c r="Q44" s="210"/>
      <c r="R44" s="210"/>
      <c r="S44" s="210"/>
      <c r="T44" s="210"/>
      <c r="U44" s="210"/>
      <c r="V44" s="210"/>
      <c r="W44" s="211"/>
      <c r="X44" s="212"/>
    </row>
    <row r="45" spans="1:24" s="213" customFormat="1" ht="38.5" customHeight="1" x14ac:dyDescent="0.35">
      <c r="A45" s="455"/>
      <c r="B45" s="215"/>
      <c r="C45" s="216"/>
      <c r="D45" s="217"/>
      <c r="E45" s="208"/>
      <c r="F45" s="466"/>
      <c r="G45" s="392" t="s">
        <v>486</v>
      </c>
      <c r="H45" s="258"/>
      <c r="I45" s="390" t="s">
        <v>487</v>
      </c>
      <c r="J45" s="209" t="s">
        <v>488</v>
      </c>
      <c r="K45" s="394" t="s">
        <v>489</v>
      </c>
      <c r="L45" s="394" t="s">
        <v>490</v>
      </c>
      <c r="M45" s="394" t="s">
        <v>491</v>
      </c>
      <c r="N45" s="394" t="s">
        <v>492</v>
      </c>
      <c r="O45" s="394" t="s">
        <v>493</v>
      </c>
      <c r="P45" s="275"/>
      <c r="Q45" s="210"/>
      <c r="R45" s="210"/>
      <c r="S45" s="210"/>
      <c r="T45" s="210"/>
      <c r="U45" s="210"/>
      <c r="V45" s="210"/>
      <c r="W45" s="211"/>
      <c r="X45" s="212"/>
    </row>
    <row r="46" spans="1:24" s="213" customFormat="1" ht="20.149999999999999" customHeight="1" x14ac:dyDescent="0.35">
      <c r="A46" s="455"/>
      <c r="B46" s="215"/>
      <c r="C46" s="216"/>
      <c r="D46" s="217"/>
      <c r="E46" s="208"/>
      <c r="F46" s="466"/>
      <c r="G46" s="393"/>
      <c r="H46" s="258"/>
      <c r="I46" s="391"/>
      <c r="J46" s="209" t="s">
        <v>494</v>
      </c>
      <c r="K46" s="395"/>
      <c r="L46" s="395"/>
      <c r="M46" s="395"/>
      <c r="N46" s="395"/>
      <c r="O46" s="395"/>
      <c r="P46" s="275"/>
      <c r="Q46" s="210"/>
      <c r="R46" s="210"/>
      <c r="S46" s="210"/>
      <c r="T46" s="210"/>
      <c r="U46" s="210"/>
      <c r="V46" s="210"/>
      <c r="W46" s="211"/>
      <c r="X46" s="212"/>
    </row>
    <row r="47" spans="1:24" s="213" customFormat="1" ht="58" x14ac:dyDescent="0.25">
      <c r="A47" s="455"/>
      <c r="B47" s="215"/>
      <c r="C47" s="216"/>
      <c r="D47" s="217"/>
      <c r="E47" s="208"/>
      <c r="F47" s="466"/>
      <c r="G47" s="314" t="s">
        <v>495</v>
      </c>
      <c r="H47" s="258"/>
      <c r="I47" s="209" t="s">
        <v>496</v>
      </c>
      <c r="J47" s="209" t="s">
        <v>497</v>
      </c>
      <c r="K47" s="209" t="s">
        <v>498</v>
      </c>
      <c r="L47" s="209" t="s">
        <v>499</v>
      </c>
      <c r="M47" s="209" t="s">
        <v>500</v>
      </c>
      <c r="N47" s="209" t="s">
        <v>455</v>
      </c>
      <c r="O47" s="209" t="s">
        <v>501</v>
      </c>
      <c r="P47" s="277" t="s">
        <v>502</v>
      </c>
      <c r="Q47" s="210"/>
      <c r="R47" s="210"/>
      <c r="S47" s="210"/>
      <c r="T47" s="210"/>
      <c r="U47" s="210"/>
      <c r="V47" s="210"/>
      <c r="W47" s="211"/>
      <c r="X47" s="212"/>
    </row>
    <row r="48" spans="1:24" s="213" customFormat="1" ht="58" x14ac:dyDescent="0.25">
      <c r="A48" s="455"/>
      <c r="B48" s="215"/>
      <c r="C48" s="216"/>
      <c r="D48" s="217"/>
      <c r="E48" s="208"/>
      <c r="F48" s="466"/>
      <c r="G48" s="314" t="s">
        <v>503</v>
      </c>
      <c r="H48" s="258"/>
      <c r="I48" s="209" t="s">
        <v>504</v>
      </c>
      <c r="J48" s="209" t="s">
        <v>505</v>
      </c>
      <c r="K48" s="209" t="s">
        <v>506</v>
      </c>
      <c r="L48" s="209" t="s">
        <v>507</v>
      </c>
      <c r="M48" s="209" t="s">
        <v>508</v>
      </c>
      <c r="N48" s="209" t="s">
        <v>509</v>
      </c>
      <c r="O48" s="209" t="s">
        <v>510</v>
      </c>
      <c r="P48" s="210" t="s">
        <v>511</v>
      </c>
      <c r="Q48" s="210"/>
      <c r="R48" s="210"/>
      <c r="S48" s="210"/>
      <c r="T48" s="210"/>
      <c r="U48" s="210"/>
      <c r="V48" s="210"/>
      <c r="W48" s="211"/>
      <c r="X48" s="212"/>
    </row>
    <row r="49" spans="1:24" s="213" customFormat="1" ht="63" customHeight="1" x14ac:dyDescent="0.25">
      <c r="A49" s="455"/>
      <c r="B49" s="218"/>
      <c r="C49" s="214"/>
      <c r="D49" s="219"/>
      <c r="E49" s="220"/>
      <c r="F49" s="468"/>
      <c r="G49" s="315" t="s">
        <v>512</v>
      </c>
      <c r="H49" s="258"/>
      <c r="I49" s="221" t="s">
        <v>513</v>
      </c>
      <c r="J49" s="221" t="s">
        <v>514</v>
      </c>
      <c r="K49" s="221" t="s">
        <v>515</v>
      </c>
      <c r="L49" s="221" t="s">
        <v>516</v>
      </c>
      <c r="M49" s="221" t="s">
        <v>517</v>
      </c>
      <c r="N49" s="221" t="s">
        <v>518</v>
      </c>
      <c r="O49" s="221" t="s">
        <v>519</v>
      </c>
      <c r="P49" s="301" t="s">
        <v>520</v>
      </c>
      <c r="Q49" s="222"/>
      <c r="R49" s="222"/>
      <c r="S49" s="222"/>
      <c r="T49" s="222"/>
      <c r="U49" s="222"/>
      <c r="V49" s="222"/>
      <c r="W49" s="223"/>
      <c r="X49" s="212"/>
    </row>
    <row r="50" spans="1:24" s="229" customFormat="1" ht="43.5" x14ac:dyDescent="0.25">
      <c r="A50" s="455"/>
      <c r="B50" s="224"/>
      <c r="C50" s="225"/>
      <c r="D50" s="225"/>
      <c r="E50" s="225"/>
      <c r="F50" s="225"/>
      <c r="G50" s="316"/>
      <c r="H50" s="228" t="s">
        <v>313</v>
      </c>
      <c r="I50" s="319" t="s">
        <v>314</v>
      </c>
      <c r="J50" s="226"/>
      <c r="K50" s="226"/>
      <c r="L50" s="228"/>
      <c r="M50" s="226"/>
      <c r="N50" s="226"/>
      <c r="O50" s="226"/>
      <c r="P50" s="226"/>
      <c r="Q50" s="226"/>
      <c r="R50" s="226"/>
      <c r="S50" s="226"/>
      <c r="T50" s="226"/>
      <c r="U50" s="226"/>
      <c r="V50" s="226"/>
      <c r="W50" s="226"/>
      <c r="X50" s="226"/>
    </row>
    <row r="51" spans="1:24" s="213" customFormat="1" ht="44.15" customHeight="1" x14ac:dyDescent="0.25">
      <c r="A51" s="455"/>
      <c r="B51" s="215"/>
      <c r="C51" s="216"/>
      <c r="D51" s="217"/>
      <c r="E51" s="230"/>
      <c r="F51" s="483" t="s">
        <v>311</v>
      </c>
      <c r="G51" s="317" t="s">
        <v>521</v>
      </c>
      <c r="H51" s="336"/>
      <c r="I51" s="209" t="s">
        <v>522</v>
      </c>
      <c r="J51" s="209" t="s">
        <v>523</v>
      </c>
      <c r="K51" s="209" t="s">
        <v>524</v>
      </c>
      <c r="L51" s="209" t="s">
        <v>525</v>
      </c>
      <c r="M51" s="209" t="s">
        <v>526</v>
      </c>
      <c r="N51" s="209" t="s">
        <v>527</v>
      </c>
      <c r="O51" s="209" t="s">
        <v>528</v>
      </c>
      <c r="P51" s="209"/>
      <c r="Q51" s="210"/>
      <c r="R51" s="210"/>
      <c r="S51" s="210"/>
      <c r="T51" s="210"/>
      <c r="U51" s="210"/>
      <c r="V51" s="210"/>
      <c r="W51" s="211"/>
      <c r="X51" s="212"/>
    </row>
    <row r="52" spans="1:24" s="213" customFormat="1" ht="49" customHeight="1" x14ac:dyDescent="0.25">
      <c r="A52" s="455"/>
      <c r="B52" s="215"/>
      <c r="C52" s="216"/>
      <c r="D52" s="217"/>
      <c r="E52" s="231"/>
      <c r="F52" s="484"/>
      <c r="G52" s="318" t="s">
        <v>529</v>
      </c>
      <c r="H52" s="336"/>
      <c r="I52" s="209" t="s">
        <v>530</v>
      </c>
      <c r="J52" s="209" t="s">
        <v>531</v>
      </c>
      <c r="K52" s="209" t="s">
        <v>532</v>
      </c>
      <c r="L52" s="209" t="s">
        <v>533</v>
      </c>
      <c r="M52" s="209" t="s">
        <v>534</v>
      </c>
      <c r="N52" s="209" t="s">
        <v>535</v>
      </c>
      <c r="O52" s="209" t="s">
        <v>536</v>
      </c>
      <c r="P52" s="209" t="s">
        <v>537</v>
      </c>
      <c r="Q52" s="210"/>
      <c r="R52" s="210"/>
      <c r="S52" s="210"/>
      <c r="T52" s="210"/>
      <c r="U52" s="210"/>
      <c r="V52" s="210"/>
      <c r="W52" s="211"/>
      <c r="X52" s="212"/>
    </row>
    <row r="53" spans="1:24" s="213" customFormat="1" ht="50.15" customHeight="1" x14ac:dyDescent="0.25">
      <c r="A53" s="455"/>
      <c r="B53" s="215"/>
      <c r="C53" s="216"/>
      <c r="D53" s="217"/>
      <c r="E53" s="231"/>
      <c r="F53" s="484"/>
      <c r="G53" s="318" t="s">
        <v>538</v>
      </c>
      <c r="H53" s="336"/>
      <c r="I53" s="209" t="s">
        <v>539</v>
      </c>
      <c r="J53" s="209" t="s">
        <v>540</v>
      </c>
      <c r="K53" s="209" t="s">
        <v>541</v>
      </c>
      <c r="L53" s="209" t="s">
        <v>542</v>
      </c>
      <c r="M53" s="209" t="s">
        <v>543</v>
      </c>
      <c r="N53" s="209" t="s">
        <v>544</v>
      </c>
      <c r="O53" s="209" t="s">
        <v>545</v>
      </c>
      <c r="P53" s="209" t="s">
        <v>546</v>
      </c>
      <c r="Q53" s="210"/>
      <c r="R53" s="210"/>
      <c r="S53" s="210"/>
      <c r="T53" s="210"/>
      <c r="U53" s="210"/>
      <c r="V53" s="210"/>
      <c r="W53" s="211"/>
      <c r="X53" s="212"/>
    </row>
    <row r="54" spans="1:24" s="213" customFormat="1" ht="35.5" customHeight="1" x14ac:dyDescent="0.25">
      <c r="A54" s="455"/>
      <c r="B54" s="215"/>
      <c r="C54" s="216"/>
      <c r="D54" s="217"/>
      <c r="E54" s="231"/>
      <c r="F54" s="484"/>
      <c r="G54" s="396" t="s">
        <v>547</v>
      </c>
      <c r="H54" s="336"/>
      <c r="I54" s="390" t="s">
        <v>548</v>
      </c>
      <c r="J54" s="209" t="s">
        <v>549</v>
      </c>
      <c r="K54" s="394" t="s">
        <v>550</v>
      </c>
      <c r="L54" s="394" t="s">
        <v>551</v>
      </c>
      <c r="M54" s="394" t="s">
        <v>552</v>
      </c>
      <c r="N54" s="394" t="s">
        <v>553</v>
      </c>
      <c r="O54" s="398" t="s">
        <v>554</v>
      </c>
      <c r="P54" s="209" t="s">
        <v>555</v>
      </c>
      <c r="Q54" s="210"/>
      <c r="R54" s="210"/>
      <c r="S54" s="210"/>
      <c r="T54" s="210"/>
      <c r="U54" s="210"/>
      <c r="V54" s="210"/>
      <c r="W54" s="211"/>
      <c r="X54" s="212"/>
    </row>
    <row r="55" spans="1:24" s="213" customFormat="1" ht="29" x14ac:dyDescent="0.25">
      <c r="A55" s="455"/>
      <c r="B55" s="215"/>
      <c r="C55" s="216"/>
      <c r="D55" s="217"/>
      <c r="E55" s="231"/>
      <c r="F55" s="484"/>
      <c r="G55" s="397"/>
      <c r="H55" s="337"/>
      <c r="I55" s="395"/>
      <c r="J55" s="209" t="s">
        <v>556</v>
      </c>
      <c r="K55" s="395"/>
      <c r="L55" s="395"/>
      <c r="M55" s="395"/>
      <c r="N55" s="395"/>
      <c r="O55" s="399"/>
      <c r="P55" s="209"/>
      <c r="Q55" s="210"/>
      <c r="R55" s="210"/>
      <c r="S55" s="210"/>
      <c r="T55" s="210"/>
      <c r="U55" s="210"/>
      <c r="V55" s="210"/>
      <c r="W55" s="211"/>
      <c r="X55" s="212"/>
    </row>
    <row r="56" spans="1:24" s="213" customFormat="1" ht="72.5" x14ac:dyDescent="0.25">
      <c r="A56" s="455"/>
      <c r="B56" s="215"/>
      <c r="C56" s="216"/>
      <c r="D56" s="217"/>
      <c r="E56" s="231"/>
      <c r="F56" s="485"/>
      <c r="G56" s="232" t="s">
        <v>557</v>
      </c>
      <c r="H56" s="337"/>
      <c r="I56" s="209" t="s">
        <v>558</v>
      </c>
      <c r="J56" s="209" t="s">
        <v>559</v>
      </c>
      <c r="K56" s="209" t="s">
        <v>560</v>
      </c>
      <c r="L56" s="209" t="s">
        <v>561</v>
      </c>
      <c r="M56" s="209" t="s">
        <v>562</v>
      </c>
      <c r="N56" s="209" t="s">
        <v>563</v>
      </c>
      <c r="O56" s="209" t="s">
        <v>564</v>
      </c>
      <c r="P56" s="209"/>
      <c r="Q56" s="210"/>
      <c r="R56" s="210"/>
      <c r="S56" s="210"/>
      <c r="T56" s="210"/>
      <c r="U56" s="210"/>
      <c r="V56" s="210"/>
      <c r="W56" s="211"/>
      <c r="X56" s="212"/>
    </row>
    <row r="57" spans="1:24" s="244" customFormat="1" ht="29" x14ac:dyDescent="0.25">
      <c r="A57" s="455"/>
      <c r="B57" s="233"/>
      <c r="C57" s="234"/>
      <c r="D57" s="235"/>
      <c r="E57" s="236"/>
      <c r="F57" s="237"/>
      <c r="G57" s="238"/>
      <c r="H57" s="338" t="s">
        <v>327</v>
      </c>
      <c r="I57" s="239" t="s">
        <v>328</v>
      </c>
      <c r="J57" s="240"/>
      <c r="K57" s="240"/>
      <c r="L57" s="241"/>
      <c r="M57" s="240"/>
      <c r="N57" s="240"/>
      <c r="O57" s="240"/>
      <c r="P57" s="240"/>
      <c r="Q57" s="240"/>
      <c r="R57" s="240"/>
      <c r="S57" s="240"/>
      <c r="T57" s="240"/>
      <c r="U57" s="240"/>
      <c r="V57" s="240"/>
      <c r="W57" s="242"/>
      <c r="X57" s="243"/>
    </row>
    <row r="58" spans="1:24" s="213" customFormat="1" ht="87" x14ac:dyDescent="0.25">
      <c r="A58" s="455"/>
      <c r="B58" s="215"/>
      <c r="C58" s="216"/>
      <c r="D58" s="217"/>
      <c r="E58" s="231"/>
      <c r="F58" s="483" t="s">
        <v>325</v>
      </c>
      <c r="G58" s="232" t="s">
        <v>565</v>
      </c>
      <c r="H58" s="337"/>
      <c r="I58" s="209" t="s">
        <v>566</v>
      </c>
      <c r="J58" s="209" t="s">
        <v>567</v>
      </c>
      <c r="K58" s="209" t="s">
        <v>568</v>
      </c>
      <c r="L58" s="209" t="s">
        <v>569</v>
      </c>
      <c r="M58" s="209" t="s">
        <v>570</v>
      </c>
      <c r="N58" s="209" t="s">
        <v>571</v>
      </c>
      <c r="O58" s="209" t="s">
        <v>572</v>
      </c>
      <c r="P58" s="209" t="s">
        <v>573</v>
      </c>
      <c r="Q58" s="210"/>
      <c r="R58" s="210"/>
      <c r="S58" s="210"/>
      <c r="T58" s="210"/>
      <c r="U58" s="210"/>
      <c r="V58" s="210"/>
      <c r="W58" s="211"/>
      <c r="X58" s="212"/>
    </row>
    <row r="59" spans="1:24" s="213" customFormat="1" ht="37.5" customHeight="1" x14ac:dyDescent="0.25">
      <c r="A59" s="455"/>
      <c r="B59" s="215"/>
      <c r="C59" s="216"/>
      <c r="D59" s="217"/>
      <c r="E59" s="231"/>
      <c r="F59" s="484"/>
      <c r="G59" s="232" t="s">
        <v>574</v>
      </c>
      <c r="H59" s="337"/>
      <c r="I59" s="209" t="s">
        <v>575</v>
      </c>
      <c r="J59" s="209" t="s">
        <v>576</v>
      </c>
      <c r="K59" s="209" t="s">
        <v>577</v>
      </c>
      <c r="L59" s="209" t="s">
        <v>578</v>
      </c>
      <c r="M59" s="209" t="s">
        <v>579</v>
      </c>
      <c r="N59" s="209" t="s">
        <v>580</v>
      </c>
      <c r="O59" s="209" t="s">
        <v>581</v>
      </c>
      <c r="P59" s="209" t="s">
        <v>582</v>
      </c>
      <c r="Q59" s="210"/>
      <c r="R59" s="210"/>
      <c r="S59" s="210"/>
      <c r="T59" s="210"/>
      <c r="U59" s="210"/>
      <c r="V59" s="210"/>
      <c r="W59" s="211"/>
      <c r="X59" s="212"/>
    </row>
    <row r="60" spans="1:24" s="213" customFormat="1" ht="63.65" customHeight="1" x14ac:dyDescent="0.25">
      <c r="A60" s="455"/>
      <c r="B60" s="215"/>
      <c r="C60" s="216"/>
      <c r="D60" s="217"/>
      <c r="E60" s="231"/>
      <c r="F60" s="484"/>
      <c r="G60" s="232" t="s">
        <v>583</v>
      </c>
      <c r="H60" s="337"/>
      <c r="I60" s="209" t="s">
        <v>584</v>
      </c>
      <c r="J60" s="209" t="s">
        <v>585</v>
      </c>
      <c r="K60" s="209" t="s">
        <v>586</v>
      </c>
      <c r="L60" s="209" t="s">
        <v>587</v>
      </c>
      <c r="M60" s="209" t="s">
        <v>588</v>
      </c>
      <c r="N60" s="209" t="s">
        <v>589</v>
      </c>
      <c r="O60" s="209" t="s">
        <v>590</v>
      </c>
      <c r="P60" s="209" t="s">
        <v>591</v>
      </c>
      <c r="Q60" s="210"/>
      <c r="R60" s="210"/>
      <c r="S60" s="210"/>
      <c r="T60" s="210"/>
      <c r="U60" s="210"/>
      <c r="V60" s="210"/>
      <c r="W60" s="211"/>
      <c r="X60" s="212"/>
    </row>
    <row r="61" spans="1:24" s="213" customFormat="1" ht="63" customHeight="1" x14ac:dyDescent="0.25">
      <c r="A61" s="455"/>
      <c r="B61" s="215"/>
      <c r="C61" s="216"/>
      <c r="D61" s="217"/>
      <c r="E61" s="231"/>
      <c r="F61" s="484"/>
      <c r="G61" s="232" t="s">
        <v>592</v>
      </c>
      <c r="H61" s="337"/>
      <c r="I61" s="209" t="s">
        <v>593</v>
      </c>
      <c r="J61" s="209" t="s">
        <v>594</v>
      </c>
      <c r="K61" s="209" t="s">
        <v>595</v>
      </c>
      <c r="L61" s="209" t="s">
        <v>596</v>
      </c>
      <c r="M61" s="209" t="s">
        <v>597</v>
      </c>
      <c r="N61" s="209" t="s">
        <v>598</v>
      </c>
      <c r="O61" s="209" t="s">
        <v>599</v>
      </c>
      <c r="P61" s="209" t="s">
        <v>600</v>
      </c>
      <c r="Q61" s="210"/>
      <c r="R61" s="210"/>
      <c r="S61" s="210"/>
      <c r="T61" s="210"/>
      <c r="U61" s="210"/>
      <c r="V61" s="210"/>
      <c r="W61" s="211"/>
      <c r="X61" s="212"/>
    </row>
    <row r="62" spans="1:24" s="213" customFormat="1" ht="72.5" x14ac:dyDescent="0.25">
      <c r="A62" s="455"/>
      <c r="B62" s="215"/>
      <c r="C62" s="216"/>
      <c r="D62" s="217"/>
      <c r="E62" s="231"/>
      <c r="F62" s="484"/>
      <c r="G62" s="232" t="s">
        <v>601</v>
      </c>
      <c r="H62" s="337"/>
      <c r="I62" s="209" t="s">
        <v>602</v>
      </c>
      <c r="J62" s="209" t="s">
        <v>603</v>
      </c>
      <c r="K62" s="209" t="s">
        <v>604</v>
      </c>
      <c r="L62" s="209" t="s">
        <v>605</v>
      </c>
      <c r="M62" s="209" t="s">
        <v>606</v>
      </c>
      <c r="N62" s="209" t="s">
        <v>607</v>
      </c>
      <c r="O62" s="209" t="s">
        <v>608</v>
      </c>
      <c r="P62" s="209" t="s">
        <v>609</v>
      </c>
      <c r="Q62" s="210"/>
      <c r="R62" s="210"/>
      <c r="S62" s="210"/>
      <c r="T62" s="210"/>
      <c r="U62" s="210"/>
      <c r="V62" s="210"/>
      <c r="W62" s="211"/>
      <c r="X62" s="212"/>
    </row>
    <row r="63" spans="1:24" s="213" customFormat="1" ht="58" x14ac:dyDescent="0.25">
      <c r="A63" s="455"/>
      <c r="B63" s="215"/>
      <c r="C63" s="216"/>
      <c r="D63" s="217"/>
      <c r="E63" s="231"/>
      <c r="F63" s="485"/>
      <c r="G63" s="232" t="s">
        <v>610</v>
      </c>
      <c r="H63" s="337"/>
      <c r="I63" s="209" t="s">
        <v>611</v>
      </c>
      <c r="J63" s="209" t="s">
        <v>612</v>
      </c>
      <c r="K63" s="209" t="s">
        <v>613</v>
      </c>
      <c r="L63" s="209" t="s">
        <v>614</v>
      </c>
      <c r="M63" s="209" t="s">
        <v>615</v>
      </c>
      <c r="N63" s="209" t="s">
        <v>616</v>
      </c>
      <c r="O63" s="209" t="s">
        <v>617</v>
      </c>
      <c r="P63" s="209" t="s">
        <v>618</v>
      </c>
      <c r="Q63" s="210"/>
      <c r="R63" s="210"/>
      <c r="S63" s="210"/>
      <c r="T63" s="210"/>
      <c r="U63" s="210"/>
      <c r="V63" s="210"/>
      <c r="W63" s="211"/>
      <c r="X63" s="212"/>
    </row>
    <row r="64" spans="1:24" s="244" customFormat="1" ht="29" x14ac:dyDescent="0.25">
      <c r="A64" s="455"/>
      <c r="B64" s="233"/>
      <c r="C64" s="234"/>
      <c r="D64" s="235"/>
      <c r="E64" s="236"/>
      <c r="F64" s="225"/>
      <c r="G64" s="238"/>
      <c r="H64" s="338" t="s">
        <v>337</v>
      </c>
      <c r="I64" s="239" t="s">
        <v>338</v>
      </c>
      <c r="J64" s="240"/>
      <c r="K64" s="240"/>
      <c r="L64" s="241"/>
      <c r="M64" s="240"/>
      <c r="N64" s="240"/>
      <c r="O64" s="240"/>
      <c r="P64" s="240"/>
      <c r="Q64" s="240"/>
      <c r="R64" s="240"/>
      <c r="S64" s="240"/>
      <c r="T64" s="240"/>
      <c r="U64" s="240"/>
      <c r="V64" s="240"/>
      <c r="W64" s="242"/>
      <c r="X64" s="243"/>
    </row>
    <row r="65" spans="1:24" s="213" customFormat="1" ht="58" x14ac:dyDescent="0.25">
      <c r="A65" s="455"/>
      <c r="B65" s="215"/>
      <c r="C65" s="216"/>
      <c r="D65" s="217"/>
      <c r="E65" s="208"/>
      <c r="F65" s="466" t="s">
        <v>335</v>
      </c>
      <c r="G65" s="245" t="s">
        <v>619</v>
      </c>
      <c r="H65" s="337"/>
      <c r="I65" s="209" t="s">
        <v>620</v>
      </c>
      <c r="J65" s="209" t="s">
        <v>621</v>
      </c>
      <c r="K65" s="209" t="s">
        <v>622</v>
      </c>
      <c r="L65" s="209" t="s">
        <v>623</v>
      </c>
      <c r="M65" s="209" t="s">
        <v>624</v>
      </c>
      <c r="N65" s="209" t="s">
        <v>625</v>
      </c>
      <c r="O65" s="209" t="s">
        <v>626</v>
      </c>
      <c r="P65" s="210"/>
      <c r="Q65" s="210"/>
      <c r="R65" s="210"/>
      <c r="S65" s="210"/>
      <c r="T65" s="210"/>
      <c r="U65" s="210"/>
      <c r="V65" s="210"/>
      <c r="W65" s="211"/>
      <c r="X65" s="212"/>
    </row>
    <row r="66" spans="1:24" s="213" customFormat="1" ht="40" customHeight="1" x14ac:dyDescent="0.25">
      <c r="A66" s="455"/>
      <c r="B66" s="215"/>
      <c r="C66" s="216"/>
      <c r="D66" s="217"/>
      <c r="E66" s="208"/>
      <c r="F66" s="466"/>
      <c r="G66" s="245" t="s">
        <v>627</v>
      </c>
      <c r="H66" s="337"/>
      <c r="I66" s="209" t="s">
        <v>628</v>
      </c>
      <c r="J66" s="209" t="s">
        <v>629</v>
      </c>
      <c r="K66" s="209" t="s">
        <v>630</v>
      </c>
      <c r="L66" s="209" t="s">
        <v>631</v>
      </c>
      <c r="M66" s="209" t="s">
        <v>632</v>
      </c>
      <c r="N66" s="209" t="s">
        <v>633</v>
      </c>
      <c r="O66" s="209" t="s">
        <v>634</v>
      </c>
      <c r="P66" s="210"/>
      <c r="Q66" s="210"/>
      <c r="R66" s="210"/>
      <c r="S66" s="210"/>
      <c r="T66" s="210"/>
      <c r="U66" s="210"/>
      <c r="V66" s="210"/>
      <c r="W66" s="211"/>
      <c r="X66" s="212"/>
    </row>
    <row r="67" spans="1:24" s="213" customFormat="1" ht="33" customHeight="1" x14ac:dyDescent="0.25">
      <c r="A67" s="455"/>
      <c r="B67" s="215"/>
      <c r="C67" s="216"/>
      <c r="D67" s="217"/>
      <c r="E67" s="208"/>
      <c r="F67" s="466"/>
      <c r="G67" s="245" t="s">
        <v>635</v>
      </c>
      <c r="H67" s="337"/>
      <c r="I67" s="209" t="s">
        <v>636</v>
      </c>
      <c r="J67" s="209" t="s">
        <v>637</v>
      </c>
      <c r="K67" s="209" t="s">
        <v>638</v>
      </c>
      <c r="L67" s="209" t="s">
        <v>639</v>
      </c>
      <c r="M67" s="209" t="s">
        <v>640</v>
      </c>
      <c r="N67" s="209" t="s">
        <v>641</v>
      </c>
      <c r="O67" s="209" t="s">
        <v>642</v>
      </c>
      <c r="P67" s="210"/>
      <c r="Q67" s="210"/>
      <c r="R67" s="210"/>
      <c r="S67" s="210"/>
      <c r="T67" s="210"/>
      <c r="U67" s="210"/>
      <c r="V67" s="210"/>
      <c r="W67" s="211"/>
      <c r="X67" s="212"/>
    </row>
    <row r="68" spans="1:24" s="213" customFormat="1" ht="43.5" x14ac:dyDescent="0.25">
      <c r="A68" s="455"/>
      <c r="B68" s="215"/>
      <c r="C68" s="216"/>
      <c r="D68" s="217"/>
      <c r="E68" s="208"/>
      <c r="F68" s="466"/>
      <c r="G68" s="245" t="s">
        <v>643</v>
      </c>
      <c r="H68" s="337"/>
      <c r="I68" s="209" t="s">
        <v>644</v>
      </c>
      <c r="J68" s="209" t="s">
        <v>645</v>
      </c>
      <c r="K68" s="209" t="s">
        <v>646</v>
      </c>
      <c r="L68" s="209" t="s">
        <v>647</v>
      </c>
      <c r="M68" s="209" t="s">
        <v>648</v>
      </c>
      <c r="N68" s="209" t="s">
        <v>649</v>
      </c>
      <c r="O68" s="209" t="s">
        <v>650</v>
      </c>
      <c r="P68" s="210"/>
      <c r="Q68" s="210"/>
      <c r="R68" s="210"/>
      <c r="S68" s="210"/>
      <c r="T68" s="210"/>
      <c r="U68" s="210"/>
      <c r="V68" s="210"/>
      <c r="W68" s="211"/>
      <c r="X68" s="212"/>
    </row>
    <row r="69" spans="1:24" s="213" customFormat="1" ht="43.5" x14ac:dyDescent="0.25">
      <c r="A69" s="455"/>
      <c r="B69" s="215"/>
      <c r="C69" s="216"/>
      <c r="D69" s="217"/>
      <c r="E69" s="208"/>
      <c r="F69" s="466"/>
      <c r="G69" s="245" t="s">
        <v>651</v>
      </c>
      <c r="H69" s="337"/>
      <c r="I69" s="209" t="s">
        <v>652</v>
      </c>
      <c r="J69" s="209" t="s">
        <v>653</v>
      </c>
      <c r="K69" s="209" t="s">
        <v>654</v>
      </c>
      <c r="L69" s="209" t="s">
        <v>655</v>
      </c>
      <c r="M69" s="209" t="s">
        <v>656</v>
      </c>
      <c r="N69" s="209" t="s">
        <v>305</v>
      </c>
      <c r="O69" s="209" t="s">
        <v>657</v>
      </c>
      <c r="P69" s="210"/>
      <c r="Q69" s="210"/>
      <c r="R69" s="210"/>
      <c r="S69" s="210"/>
      <c r="T69" s="210"/>
      <c r="U69" s="210"/>
      <c r="V69" s="210"/>
      <c r="W69" s="211"/>
      <c r="X69" s="212"/>
    </row>
    <row r="70" spans="1:24" s="213" customFormat="1" ht="36.65" customHeight="1" x14ac:dyDescent="0.25">
      <c r="A70" s="455"/>
      <c r="B70" s="215"/>
      <c r="C70" s="216"/>
      <c r="D70" s="217"/>
      <c r="E70" s="208"/>
      <c r="F70" s="466"/>
      <c r="G70" s="245" t="s">
        <v>658</v>
      </c>
      <c r="H70" s="337"/>
      <c r="I70" s="209" t="s">
        <v>659</v>
      </c>
      <c r="J70" s="209" t="s">
        <v>660</v>
      </c>
      <c r="K70" s="209" t="s">
        <v>661</v>
      </c>
      <c r="L70" s="209" t="s">
        <v>662</v>
      </c>
      <c r="M70" s="209" t="s">
        <v>663</v>
      </c>
      <c r="N70" s="209" t="s">
        <v>664</v>
      </c>
      <c r="O70" s="209" t="s">
        <v>665</v>
      </c>
      <c r="P70" s="210"/>
      <c r="Q70" s="210"/>
      <c r="R70" s="210"/>
      <c r="S70" s="210"/>
      <c r="T70" s="210"/>
      <c r="U70" s="210"/>
      <c r="V70" s="210"/>
      <c r="W70" s="211"/>
      <c r="X70" s="212"/>
    </row>
    <row r="71" spans="1:24" s="213" customFormat="1" ht="43.5" x14ac:dyDescent="0.25">
      <c r="A71" s="455"/>
      <c r="B71" s="215"/>
      <c r="C71" s="216"/>
      <c r="D71" s="217"/>
      <c r="E71" s="208"/>
      <c r="F71" s="466"/>
      <c r="G71" s="245" t="s">
        <v>666</v>
      </c>
      <c r="H71" s="337"/>
      <c r="I71" s="209" t="s">
        <v>667</v>
      </c>
      <c r="J71" s="209" t="s">
        <v>668</v>
      </c>
      <c r="K71" s="209" t="s">
        <v>669</v>
      </c>
      <c r="L71" s="209" t="s">
        <v>670</v>
      </c>
      <c r="M71" s="209" t="s">
        <v>671</v>
      </c>
      <c r="N71" s="209" t="s">
        <v>672</v>
      </c>
      <c r="O71" s="209" t="s">
        <v>673</v>
      </c>
      <c r="P71" s="210"/>
      <c r="Q71" s="210"/>
      <c r="R71" s="210"/>
      <c r="S71" s="210"/>
      <c r="T71" s="210"/>
      <c r="U71" s="210"/>
      <c r="V71" s="210"/>
      <c r="W71" s="211"/>
      <c r="X71" s="212"/>
    </row>
    <row r="72" spans="1:24" s="244" customFormat="1" ht="43.5" x14ac:dyDescent="0.25">
      <c r="A72" s="455"/>
      <c r="B72" s="233"/>
      <c r="C72" s="234"/>
      <c r="D72" s="235"/>
      <c r="E72" s="246"/>
      <c r="F72" s="247"/>
      <c r="G72" s="248"/>
      <c r="H72" s="338" t="s">
        <v>346</v>
      </c>
      <c r="I72" s="239" t="s">
        <v>347</v>
      </c>
      <c r="J72" s="240"/>
      <c r="K72" s="240"/>
      <c r="L72" s="241"/>
      <c r="M72" s="240"/>
      <c r="N72" s="240"/>
      <c r="O72" s="240"/>
      <c r="P72" s="240"/>
      <c r="Q72" s="240"/>
      <c r="R72" s="240"/>
      <c r="S72" s="240"/>
      <c r="T72" s="240"/>
      <c r="U72" s="240"/>
      <c r="V72" s="240"/>
      <c r="W72" s="242"/>
      <c r="X72" s="243"/>
    </row>
    <row r="73" spans="1:24" s="274" customFormat="1" ht="101.5" x14ac:dyDescent="0.25">
      <c r="A73" s="455"/>
      <c r="B73" s="215"/>
      <c r="C73" s="266"/>
      <c r="D73" s="267"/>
      <c r="E73" s="268"/>
      <c r="F73" s="465" t="s">
        <v>344</v>
      </c>
      <c r="G73" s="269" t="s">
        <v>674</v>
      </c>
      <c r="H73" s="339"/>
      <c r="I73" s="270" t="s">
        <v>675</v>
      </c>
      <c r="J73" s="270" t="s">
        <v>676</v>
      </c>
      <c r="K73" s="270" t="s">
        <v>677</v>
      </c>
      <c r="L73" s="270" t="s">
        <v>678</v>
      </c>
      <c r="M73" s="270" t="s">
        <v>679</v>
      </c>
      <c r="N73" s="270" t="s">
        <v>680</v>
      </c>
      <c r="O73" s="270" t="s">
        <v>681</v>
      </c>
      <c r="P73" s="271"/>
      <c r="Q73" s="271"/>
      <c r="R73" s="271"/>
      <c r="S73" s="271"/>
      <c r="T73" s="271"/>
      <c r="U73" s="271"/>
      <c r="V73" s="271"/>
      <c r="W73" s="272"/>
      <c r="X73" s="273"/>
    </row>
    <row r="74" spans="1:24" s="213" customFormat="1" ht="45.65" customHeight="1" x14ac:dyDescent="0.25">
      <c r="A74" s="455"/>
      <c r="B74" s="215"/>
      <c r="C74" s="216"/>
      <c r="D74" s="217"/>
      <c r="E74" s="208"/>
      <c r="F74" s="466"/>
      <c r="G74" s="245" t="s">
        <v>682</v>
      </c>
      <c r="H74" s="337"/>
      <c r="I74" s="209" t="s">
        <v>683</v>
      </c>
      <c r="J74" s="209" t="s">
        <v>684</v>
      </c>
      <c r="K74" s="209" t="s">
        <v>685</v>
      </c>
      <c r="L74" s="209" t="s">
        <v>686</v>
      </c>
      <c r="M74" s="209" t="s">
        <v>687</v>
      </c>
      <c r="N74" s="209" t="s">
        <v>688</v>
      </c>
      <c r="O74" s="209" t="s">
        <v>689</v>
      </c>
      <c r="P74" s="210"/>
      <c r="Q74" s="210"/>
      <c r="R74" s="210"/>
      <c r="S74" s="210"/>
      <c r="T74" s="210"/>
      <c r="U74" s="210"/>
      <c r="V74" s="210"/>
      <c r="W74" s="211"/>
      <c r="X74" s="212"/>
    </row>
    <row r="75" spans="1:24" s="274" customFormat="1" ht="58" x14ac:dyDescent="0.25">
      <c r="A75" s="455"/>
      <c r="B75" s="215"/>
      <c r="C75" s="266"/>
      <c r="D75" s="267"/>
      <c r="E75" s="268"/>
      <c r="F75" s="466"/>
      <c r="G75" s="269" t="s">
        <v>690</v>
      </c>
      <c r="H75" s="339"/>
      <c r="I75" s="270" t="s">
        <v>691</v>
      </c>
      <c r="J75" s="270" t="s">
        <v>692</v>
      </c>
      <c r="K75" s="270" t="s">
        <v>693</v>
      </c>
      <c r="L75" s="270" t="s">
        <v>694</v>
      </c>
      <c r="M75" s="270" t="s">
        <v>695</v>
      </c>
      <c r="N75" s="270" t="s">
        <v>696</v>
      </c>
      <c r="O75" s="270" t="s">
        <v>697</v>
      </c>
      <c r="P75" s="271"/>
      <c r="Q75" s="271"/>
      <c r="R75" s="271"/>
      <c r="S75" s="271"/>
      <c r="T75" s="271"/>
      <c r="U75" s="271"/>
      <c r="V75" s="271"/>
      <c r="W75" s="272"/>
      <c r="X75" s="273"/>
    </row>
    <row r="76" spans="1:24" s="213" customFormat="1" ht="58" x14ac:dyDescent="0.25">
      <c r="A76" s="455"/>
      <c r="B76" s="215"/>
      <c r="C76" s="216"/>
      <c r="D76" s="217"/>
      <c r="E76" s="208"/>
      <c r="F76" s="466"/>
      <c r="G76" s="245" t="s">
        <v>698</v>
      </c>
      <c r="H76" s="337"/>
      <c r="I76" s="209" t="s">
        <v>699</v>
      </c>
      <c r="J76" s="209" t="s">
        <v>700</v>
      </c>
      <c r="K76" s="209" t="s">
        <v>701</v>
      </c>
      <c r="L76" s="209" t="s">
        <v>702</v>
      </c>
      <c r="M76" s="209" t="s">
        <v>703</v>
      </c>
      <c r="N76" s="209" t="s">
        <v>704</v>
      </c>
      <c r="O76" s="209" t="s">
        <v>705</v>
      </c>
      <c r="P76" s="210"/>
      <c r="Q76" s="210"/>
      <c r="R76" s="210"/>
      <c r="S76" s="210"/>
      <c r="T76" s="210"/>
      <c r="U76" s="210"/>
      <c r="V76" s="210"/>
      <c r="W76" s="211"/>
      <c r="X76" s="212"/>
    </row>
    <row r="77" spans="1:24" s="274" customFormat="1" ht="58" x14ac:dyDescent="0.25">
      <c r="A77" s="455"/>
      <c r="B77" s="215"/>
      <c r="C77" s="266"/>
      <c r="D77" s="267"/>
      <c r="E77" s="268"/>
      <c r="F77" s="466"/>
      <c r="G77" s="269" t="s">
        <v>706</v>
      </c>
      <c r="H77" s="339"/>
      <c r="I77" s="270" t="s">
        <v>707</v>
      </c>
      <c r="J77" s="270" t="s">
        <v>708</v>
      </c>
      <c r="K77" s="270" t="s">
        <v>709</v>
      </c>
      <c r="L77" s="270" t="s">
        <v>710</v>
      </c>
      <c r="M77" s="270" t="s">
        <v>711</v>
      </c>
      <c r="N77" s="270" t="s">
        <v>305</v>
      </c>
      <c r="O77" s="270" t="s">
        <v>712</v>
      </c>
      <c r="P77" s="271"/>
      <c r="Q77" s="271"/>
      <c r="R77" s="271"/>
      <c r="S77" s="271"/>
      <c r="T77" s="271"/>
      <c r="U77" s="271"/>
      <c r="V77" s="271"/>
      <c r="W77" s="272"/>
      <c r="X77" s="273"/>
    </row>
    <row r="78" spans="1:24" s="274" customFormat="1" ht="43.5" x14ac:dyDescent="0.25">
      <c r="A78" s="455"/>
      <c r="B78" s="215"/>
      <c r="C78" s="266"/>
      <c r="D78" s="267"/>
      <c r="E78" s="268"/>
      <c r="F78" s="466"/>
      <c r="G78" s="269" t="s">
        <v>713</v>
      </c>
      <c r="H78" s="339"/>
      <c r="I78" s="270" t="s">
        <v>714</v>
      </c>
      <c r="J78" s="270" t="s">
        <v>715</v>
      </c>
      <c r="K78" s="270" t="s">
        <v>716</v>
      </c>
      <c r="L78" s="270" t="s">
        <v>717</v>
      </c>
      <c r="M78" s="270" t="s">
        <v>718</v>
      </c>
      <c r="N78" s="270" t="s">
        <v>305</v>
      </c>
      <c r="O78" s="270" t="s">
        <v>719</v>
      </c>
      <c r="P78" s="271"/>
      <c r="Q78" s="271"/>
      <c r="R78" s="271"/>
      <c r="S78" s="271"/>
      <c r="T78" s="271"/>
      <c r="U78" s="271"/>
      <c r="V78" s="271"/>
      <c r="W78" s="272"/>
      <c r="X78" s="273"/>
    </row>
    <row r="79" spans="1:24" s="244" customFormat="1" ht="43.5" x14ac:dyDescent="0.25">
      <c r="A79" s="455"/>
      <c r="B79" s="233"/>
      <c r="C79" s="234"/>
      <c r="D79" s="235"/>
      <c r="E79" s="246"/>
      <c r="F79" s="247"/>
      <c r="G79" s="248"/>
      <c r="H79" s="338" t="s">
        <v>354</v>
      </c>
      <c r="I79" s="239" t="s">
        <v>355</v>
      </c>
      <c r="J79" s="240"/>
      <c r="K79" s="240"/>
      <c r="L79" s="241"/>
      <c r="M79" s="240"/>
      <c r="N79" s="240"/>
      <c r="O79" s="240"/>
      <c r="P79" s="240"/>
      <c r="Q79" s="240"/>
      <c r="R79" s="240"/>
      <c r="S79" s="240"/>
      <c r="T79" s="240"/>
      <c r="U79" s="240"/>
      <c r="V79" s="240"/>
      <c r="W79" s="242"/>
      <c r="X79" s="243"/>
    </row>
    <row r="80" spans="1:24" s="213" customFormat="1" ht="46.5" customHeight="1" x14ac:dyDescent="0.25">
      <c r="A80" s="455"/>
      <c r="B80" s="215"/>
      <c r="C80" s="216"/>
      <c r="D80" s="217"/>
      <c r="E80" s="208"/>
      <c r="F80" s="465" t="s">
        <v>353</v>
      </c>
      <c r="G80" s="245"/>
      <c r="H80" s="337"/>
      <c r="I80" s="209" t="s">
        <v>720</v>
      </c>
      <c r="J80" s="209" t="s">
        <v>721</v>
      </c>
      <c r="K80" s="209" t="s">
        <v>722</v>
      </c>
      <c r="L80" s="209" t="s">
        <v>723</v>
      </c>
      <c r="M80" s="209" t="s">
        <v>724</v>
      </c>
      <c r="N80" s="209" t="s">
        <v>305</v>
      </c>
      <c r="O80" s="209" t="s">
        <v>725</v>
      </c>
      <c r="P80" s="209" t="s">
        <v>573</v>
      </c>
      <c r="Q80" s="210"/>
      <c r="R80" s="210"/>
      <c r="S80" s="210"/>
      <c r="T80" s="210"/>
      <c r="U80" s="210"/>
      <c r="V80" s="210"/>
      <c r="W80" s="211"/>
      <c r="X80" s="212"/>
    </row>
    <row r="81" spans="1:24" s="213" customFormat="1" ht="72.5" x14ac:dyDescent="0.25">
      <c r="A81" s="455"/>
      <c r="B81" s="215"/>
      <c r="C81" s="216"/>
      <c r="D81" s="217"/>
      <c r="E81" s="208"/>
      <c r="F81" s="466"/>
      <c r="G81" s="245"/>
      <c r="H81" s="337"/>
      <c r="I81" s="209" t="s">
        <v>726</v>
      </c>
      <c r="J81" s="209" t="s">
        <v>727</v>
      </c>
      <c r="K81" s="209" t="s">
        <v>728</v>
      </c>
      <c r="L81" s="209" t="s">
        <v>729</v>
      </c>
      <c r="M81" s="209" t="s">
        <v>730</v>
      </c>
      <c r="N81" s="209" t="s">
        <v>731</v>
      </c>
      <c r="O81" s="209" t="s">
        <v>732</v>
      </c>
      <c r="P81" s="209" t="s">
        <v>582</v>
      </c>
      <c r="Q81" s="210"/>
      <c r="R81" s="210"/>
      <c r="S81" s="210"/>
      <c r="T81" s="210"/>
      <c r="U81" s="210"/>
      <c r="V81" s="210"/>
      <c r="W81" s="211"/>
      <c r="X81" s="212"/>
    </row>
    <row r="82" spans="1:24" s="213" customFormat="1" ht="60" customHeight="1" x14ac:dyDescent="0.25">
      <c r="A82" s="455"/>
      <c r="B82" s="215"/>
      <c r="C82" s="216"/>
      <c r="D82" s="217"/>
      <c r="E82" s="208"/>
      <c r="F82" s="466"/>
      <c r="G82" s="348"/>
      <c r="H82" s="349"/>
      <c r="I82" s="221" t="s">
        <v>733</v>
      </c>
      <c r="J82" s="209" t="s">
        <v>734</v>
      </c>
      <c r="K82" s="209" t="s">
        <v>735</v>
      </c>
      <c r="L82" s="209" t="s">
        <v>736</v>
      </c>
      <c r="M82" s="209" t="s">
        <v>737</v>
      </c>
      <c r="N82" s="209" t="s">
        <v>738</v>
      </c>
      <c r="O82" s="209" t="s">
        <v>739</v>
      </c>
      <c r="P82" s="209" t="s">
        <v>591</v>
      </c>
      <c r="Q82" s="210"/>
      <c r="R82" s="210"/>
      <c r="S82" s="210"/>
      <c r="T82" s="210"/>
      <c r="U82" s="210"/>
      <c r="V82" s="210"/>
      <c r="W82" s="211"/>
      <c r="X82" s="212"/>
    </row>
    <row r="83" spans="1:24" s="213" customFormat="1" ht="87" x14ac:dyDescent="0.25">
      <c r="A83" s="455"/>
      <c r="B83" s="215"/>
      <c r="C83" s="216"/>
      <c r="D83" s="217"/>
      <c r="E83" s="208"/>
      <c r="F83" s="467"/>
      <c r="G83" s="351"/>
      <c r="H83" s="352"/>
      <c r="I83" s="353" t="s">
        <v>740</v>
      </c>
      <c r="J83" s="209" t="s">
        <v>741</v>
      </c>
      <c r="K83" s="209" t="s">
        <v>742</v>
      </c>
      <c r="L83" s="209" t="s">
        <v>743</v>
      </c>
      <c r="M83" s="209" t="s">
        <v>744</v>
      </c>
      <c r="N83" s="209" t="s">
        <v>305</v>
      </c>
      <c r="O83" s="209" t="s">
        <v>745</v>
      </c>
      <c r="P83" s="209" t="s">
        <v>600</v>
      </c>
      <c r="Q83" s="210"/>
      <c r="R83" s="210"/>
      <c r="S83" s="210"/>
      <c r="T83" s="210"/>
      <c r="U83" s="210"/>
      <c r="V83" s="210"/>
      <c r="W83" s="211"/>
      <c r="X83" s="212"/>
    </row>
    <row r="84" spans="1:24" s="213" customFormat="1" ht="72.5" x14ac:dyDescent="0.25">
      <c r="A84" s="455"/>
      <c r="B84" s="215"/>
      <c r="C84" s="216"/>
      <c r="D84" s="217"/>
      <c r="E84" s="208"/>
      <c r="F84" s="467"/>
      <c r="G84" s="257"/>
      <c r="H84" s="336"/>
      <c r="I84" s="258" t="s">
        <v>746</v>
      </c>
      <c r="J84" s="209" t="s">
        <v>747</v>
      </c>
      <c r="K84" s="209" t="s">
        <v>748</v>
      </c>
      <c r="L84" s="209" t="s">
        <v>749</v>
      </c>
      <c r="M84" s="209" t="s">
        <v>750</v>
      </c>
      <c r="N84" s="209" t="s">
        <v>751</v>
      </c>
      <c r="O84" s="209" t="s">
        <v>752</v>
      </c>
      <c r="P84" s="209" t="s">
        <v>609</v>
      </c>
      <c r="Q84" s="210"/>
      <c r="R84" s="210"/>
      <c r="S84" s="210"/>
      <c r="T84" s="210"/>
      <c r="U84" s="210"/>
      <c r="V84" s="210"/>
      <c r="W84" s="211"/>
      <c r="X84" s="212"/>
    </row>
    <row r="85" spans="1:24" s="213" customFormat="1" ht="72.5" x14ac:dyDescent="0.25">
      <c r="A85" s="455"/>
      <c r="B85" s="215"/>
      <c r="C85" s="216"/>
      <c r="D85" s="217"/>
      <c r="E85" s="208"/>
      <c r="F85" s="468"/>
      <c r="G85" s="350"/>
      <c r="H85" s="337"/>
      <c r="I85" s="209" t="s">
        <v>753</v>
      </c>
      <c r="J85" s="209" t="s">
        <v>754</v>
      </c>
      <c r="K85" s="209" t="s">
        <v>755</v>
      </c>
      <c r="L85" s="209" t="s">
        <v>756</v>
      </c>
      <c r="M85" s="209" t="s">
        <v>757</v>
      </c>
      <c r="N85" s="209" t="s">
        <v>758</v>
      </c>
      <c r="O85" s="209" t="s">
        <v>759</v>
      </c>
      <c r="P85" s="209" t="s">
        <v>618</v>
      </c>
      <c r="Q85" s="210"/>
      <c r="R85" s="210"/>
      <c r="S85" s="210"/>
      <c r="T85" s="210"/>
      <c r="U85" s="210"/>
      <c r="V85" s="210"/>
      <c r="W85" s="211"/>
      <c r="X85" s="212"/>
    </row>
    <row r="86" spans="1:24" s="244" customFormat="1" ht="29" x14ac:dyDescent="0.25">
      <c r="A86" s="455"/>
      <c r="B86" s="233"/>
      <c r="C86" s="234"/>
      <c r="D86" s="235"/>
      <c r="E86" s="246"/>
      <c r="F86" s="247"/>
      <c r="G86" s="248"/>
      <c r="H86" s="338" t="s">
        <v>363</v>
      </c>
      <c r="I86" s="239" t="s">
        <v>760</v>
      </c>
      <c r="J86" s="240"/>
      <c r="K86" s="240"/>
      <c r="L86" s="241"/>
      <c r="M86" s="240"/>
      <c r="N86" s="240"/>
      <c r="O86" s="240"/>
      <c r="P86" s="240"/>
      <c r="Q86" s="240"/>
      <c r="R86" s="240"/>
      <c r="S86" s="240"/>
      <c r="T86" s="240"/>
      <c r="U86" s="240"/>
      <c r="V86" s="240"/>
      <c r="W86" s="242"/>
      <c r="X86" s="243"/>
    </row>
    <row r="87" spans="1:24" s="213" customFormat="1" ht="58" x14ac:dyDescent="0.25">
      <c r="A87" s="455"/>
      <c r="B87" s="215"/>
      <c r="C87" s="216"/>
      <c r="D87" s="217"/>
      <c r="E87" s="208"/>
      <c r="F87" s="465" t="s">
        <v>361</v>
      </c>
      <c r="G87" s="245"/>
      <c r="H87" s="337"/>
      <c r="I87" s="209" t="s">
        <v>761</v>
      </c>
      <c r="J87" s="209" t="s">
        <v>762</v>
      </c>
      <c r="K87" s="209" t="s">
        <v>763</v>
      </c>
      <c r="L87" s="209" t="s">
        <v>764</v>
      </c>
      <c r="M87" s="209" t="s">
        <v>765</v>
      </c>
      <c r="N87" s="209" t="s">
        <v>305</v>
      </c>
      <c r="O87" s="209" t="s">
        <v>766</v>
      </c>
      <c r="P87" s="210" t="s">
        <v>767</v>
      </c>
      <c r="Q87" s="210"/>
      <c r="R87" s="210"/>
      <c r="S87" s="210"/>
      <c r="T87" s="210"/>
      <c r="U87" s="210"/>
      <c r="V87" s="210"/>
      <c r="W87" s="211"/>
      <c r="X87" s="212"/>
    </row>
    <row r="88" spans="1:24" s="213" customFormat="1" ht="87" x14ac:dyDescent="0.25">
      <c r="A88" s="455"/>
      <c r="B88" s="215"/>
      <c r="C88" s="216"/>
      <c r="D88" s="217"/>
      <c r="E88" s="208"/>
      <c r="F88" s="466"/>
      <c r="G88" s="245"/>
      <c r="H88" s="337"/>
      <c r="I88" s="209" t="s">
        <v>768</v>
      </c>
      <c r="J88" s="209" t="s">
        <v>769</v>
      </c>
      <c r="K88" s="209" t="s">
        <v>770</v>
      </c>
      <c r="L88" s="209" t="s">
        <v>771</v>
      </c>
      <c r="M88" s="209" t="s">
        <v>772</v>
      </c>
      <c r="N88" s="209" t="s">
        <v>305</v>
      </c>
      <c r="O88" s="209" t="s">
        <v>773</v>
      </c>
      <c r="P88" s="209" t="s">
        <v>774</v>
      </c>
      <c r="Q88" s="210"/>
      <c r="R88" s="210"/>
      <c r="S88" s="210"/>
      <c r="T88" s="210"/>
      <c r="U88" s="210"/>
      <c r="V88" s="210"/>
      <c r="W88" s="211"/>
      <c r="X88" s="212"/>
    </row>
    <row r="89" spans="1:24" s="213" customFormat="1" ht="61.5" customHeight="1" x14ac:dyDescent="0.25">
      <c r="A89" s="455"/>
      <c r="B89" s="215"/>
      <c r="C89" s="216"/>
      <c r="D89" s="217"/>
      <c r="E89" s="208"/>
      <c r="F89" s="466"/>
      <c r="G89" s="245"/>
      <c r="H89" s="337"/>
      <c r="I89" s="209" t="s">
        <v>775</v>
      </c>
      <c r="J89" s="209" t="s">
        <v>776</v>
      </c>
      <c r="K89" s="209" t="s">
        <v>777</v>
      </c>
      <c r="L89" s="209" t="s">
        <v>778</v>
      </c>
      <c r="M89" s="209" t="s">
        <v>779</v>
      </c>
      <c r="N89" s="209" t="s">
        <v>780</v>
      </c>
      <c r="O89" s="209" t="s">
        <v>781</v>
      </c>
      <c r="P89" s="209" t="s">
        <v>782</v>
      </c>
      <c r="Q89" s="210"/>
      <c r="R89" s="210"/>
      <c r="S89" s="210"/>
      <c r="T89" s="210"/>
      <c r="U89" s="210"/>
      <c r="V89" s="210"/>
      <c r="W89" s="211"/>
      <c r="X89" s="212"/>
    </row>
    <row r="90" spans="1:24" s="213" customFormat="1" ht="41.5" customHeight="1" x14ac:dyDescent="0.25">
      <c r="A90" s="455"/>
      <c r="B90" s="215"/>
      <c r="C90" s="216"/>
      <c r="D90" s="217"/>
      <c r="E90" s="208"/>
      <c r="F90" s="466"/>
      <c r="G90" s="245"/>
      <c r="H90" s="337"/>
      <c r="I90" s="209" t="s">
        <v>783</v>
      </c>
      <c r="J90" s="209" t="s">
        <v>784</v>
      </c>
      <c r="K90" s="209" t="s">
        <v>785</v>
      </c>
      <c r="L90" s="209" t="s">
        <v>786</v>
      </c>
      <c r="M90" s="209" t="s">
        <v>787</v>
      </c>
      <c r="N90" s="209" t="s">
        <v>305</v>
      </c>
      <c r="O90" s="209" t="s">
        <v>788</v>
      </c>
      <c r="P90" s="209" t="s">
        <v>789</v>
      </c>
      <c r="Q90" s="210"/>
      <c r="R90" s="210"/>
      <c r="S90" s="210"/>
      <c r="T90" s="210"/>
      <c r="U90" s="210"/>
      <c r="V90" s="210"/>
      <c r="W90" s="211"/>
      <c r="X90" s="212"/>
    </row>
    <row r="91" spans="1:24" s="213" customFormat="1" ht="58" x14ac:dyDescent="0.25">
      <c r="A91" s="455"/>
      <c r="B91" s="215"/>
      <c r="C91" s="216"/>
      <c r="D91" s="217"/>
      <c r="E91" s="208"/>
      <c r="F91" s="466"/>
      <c r="G91" s="245"/>
      <c r="H91" s="337"/>
      <c r="I91" s="209" t="s">
        <v>790</v>
      </c>
      <c r="J91" s="209" t="s">
        <v>791</v>
      </c>
      <c r="K91" s="209" t="s">
        <v>792</v>
      </c>
      <c r="L91" s="209" t="s">
        <v>793</v>
      </c>
      <c r="M91" s="209" t="s">
        <v>794</v>
      </c>
      <c r="N91" s="209" t="s">
        <v>305</v>
      </c>
      <c r="O91" s="209" t="s">
        <v>795</v>
      </c>
      <c r="P91" s="209" t="s">
        <v>796</v>
      </c>
      <c r="Q91" s="210"/>
      <c r="R91" s="210"/>
      <c r="S91" s="210"/>
      <c r="T91" s="210"/>
      <c r="U91" s="210"/>
      <c r="V91" s="210"/>
      <c r="W91" s="211"/>
      <c r="X91" s="212"/>
    </row>
    <row r="92" spans="1:24" s="213" customFormat="1" ht="101.5" x14ac:dyDescent="0.25">
      <c r="A92" s="455"/>
      <c r="B92" s="215"/>
      <c r="C92" s="216"/>
      <c r="D92" s="217"/>
      <c r="E92" s="208"/>
      <c r="F92" s="468"/>
      <c r="G92" s="245"/>
      <c r="H92" s="337"/>
      <c r="I92" s="209" t="s">
        <v>797</v>
      </c>
      <c r="J92" s="209" t="s">
        <v>798</v>
      </c>
      <c r="K92" s="209" t="s">
        <v>799</v>
      </c>
      <c r="L92" s="209" t="s">
        <v>800</v>
      </c>
      <c r="M92" s="209" t="s">
        <v>801</v>
      </c>
      <c r="N92" s="209" t="s">
        <v>802</v>
      </c>
      <c r="O92" s="209" t="s">
        <v>803</v>
      </c>
      <c r="P92" s="209" t="s">
        <v>804</v>
      </c>
      <c r="Q92" s="210"/>
      <c r="R92" s="210"/>
      <c r="S92" s="210"/>
      <c r="T92" s="210"/>
      <c r="U92" s="210"/>
      <c r="V92" s="210"/>
      <c r="W92" s="211"/>
      <c r="X92" s="212"/>
    </row>
    <row r="93" spans="1:24" s="244" customFormat="1" ht="29" x14ac:dyDescent="0.25">
      <c r="A93" s="455"/>
      <c r="B93" s="233"/>
      <c r="C93" s="234"/>
      <c r="D93" s="235"/>
      <c r="E93" s="246"/>
      <c r="F93" s="247"/>
      <c r="G93" s="248"/>
      <c r="H93" s="338" t="s">
        <v>375</v>
      </c>
      <c r="I93" s="239" t="s">
        <v>376</v>
      </c>
      <c r="J93" s="240"/>
      <c r="K93" s="240"/>
      <c r="L93" s="241"/>
      <c r="M93" s="240"/>
      <c r="N93" s="240"/>
      <c r="O93" s="240"/>
      <c r="P93" s="240"/>
      <c r="Q93" s="240"/>
      <c r="R93" s="240"/>
      <c r="S93" s="240"/>
      <c r="T93" s="240"/>
      <c r="U93" s="240"/>
      <c r="V93" s="240"/>
      <c r="W93" s="242"/>
      <c r="X93" s="243"/>
    </row>
    <row r="94" spans="1:24" s="213" customFormat="1" ht="56.5" customHeight="1" x14ac:dyDescent="0.35">
      <c r="A94" s="455"/>
      <c r="B94" s="215"/>
      <c r="C94" s="216"/>
      <c r="D94" s="217"/>
      <c r="E94" s="208"/>
      <c r="F94" s="465" t="s">
        <v>374</v>
      </c>
      <c r="G94" s="245"/>
      <c r="H94" s="337"/>
      <c r="I94" s="209" t="s">
        <v>805</v>
      </c>
      <c r="J94" s="209" t="s">
        <v>806</v>
      </c>
      <c r="K94" s="209" t="s">
        <v>807</v>
      </c>
      <c r="L94" s="209" t="s">
        <v>808</v>
      </c>
      <c r="M94" s="209" t="s">
        <v>809</v>
      </c>
      <c r="N94" s="209" t="s">
        <v>810</v>
      </c>
      <c r="O94" s="209" t="s">
        <v>811</v>
      </c>
      <c r="P94" s="276"/>
      <c r="Q94" s="210"/>
      <c r="R94" s="210"/>
      <c r="S94" s="210"/>
      <c r="T94" s="210"/>
      <c r="U94" s="210"/>
      <c r="V94" s="210"/>
      <c r="W94" s="211"/>
      <c r="X94" s="212"/>
    </row>
    <row r="95" spans="1:24" s="213" customFormat="1" ht="58" x14ac:dyDescent="0.35">
      <c r="A95" s="455"/>
      <c r="B95" s="215"/>
      <c r="C95" s="216"/>
      <c r="D95" s="217"/>
      <c r="E95" s="208"/>
      <c r="F95" s="466"/>
      <c r="G95" s="245"/>
      <c r="H95" s="337"/>
      <c r="I95" s="209" t="s">
        <v>812</v>
      </c>
      <c r="J95" s="209" t="s">
        <v>813</v>
      </c>
      <c r="K95" s="209" t="s">
        <v>814</v>
      </c>
      <c r="L95" s="209" t="s">
        <v>815</v>
      </c>
      <c r="M95" s="209" t="s">
        <v>816</v>
      </c>
      <c r="N95" s="209" t="s">
        <v>817</v>
      </c>
      <c r="O95" s="209" t="s">
        <v>818</v>
      </c>
      <c r="P95" s="276" t="s">
        <v>819</v>
      </c>
      <c r="Q95" s="210"/>
      <c r="R95" s="210"/>
      <c r="S95" s="210"/>
      <c r="T95" s="210"/>
      <c r="U95" s="210"/>
      <c r="V95" s="210"/>
      <c r="W95" s="211"/>
      <c r="X95" s="212"/>
    </row>
    <row r="96" spans="1:24" s="213" customFormat="1" ht="48" customHeight="1" x14ac:dyDescent="0.35">
      <c r="A96" s="455"/>
      <c r="B96" s="215"/>
      <c r="C96" s="216"/>
      <c r="D96" s="217"/>
      <c r="E96" s="208"/>
      <c r="F96" s="466"/>
      <c r="G96" s="245"/>
      <c r="H96" s="337"/>
      <c r="I96" s="209" t="s">
        <v>820</v>
      </c>
      <c r="J96" s="209" t="s">
        <v>821</v>
      </c>
      <c r="K96" s="209" t="s">
        <v>822</v>
      </c>
      <c r="L96" s="209" t="s">
        <v>823</v>
      </c>
      <c r="M96" s="209" t="s">
        <v>824</v>
      </c>
      <c r="N96" s="209" t="s">
        <v>825</v>
      </c>
      <c r="O96" s="209" t="s">
        <v>826</v>
      </c>
      <c r="P96" s="276" t="s">
        <v>827</v>
      </c>
      <c r="Q96" s="210"/>
      <c r="R96" s="210"/>
      <c r="S96" s="210"/>
      <c r="T96" s="210"/>
      <c r="U96" s="210"/>
      <c r="V96" s="210"/>
      <c r="W96" s="211"/>
      <c r="X96" s="212"/>
    </row>
    <row r="97" spans="1:24" s="213" customFormat="1" ht="72" customHeight="1" x14ac:dyDescent="0.35">
      <c r="A97" s="455"/>
      <c r="B97" s="215"/>
      <c r="C97" s="216"/>
      <c r="D97" s="217"/>
      <c r="E97" s="208"/>
      <c r="F97" s="466"/>
      <c r="G97" s="245"/>
      <c r="H97" s="337"/>
      <c r="I97" s="209" t="s">
        <v>828</v>
      </c>
      <c r="J97" s="209" t="s">
        <v>829</v>
      </c>
      <c r="K97" s="209" t="s">
        <v>830</v>
      </c>
      <c r="L97" s="209" t="s">
        <v>831</v>
      </c>
      <c r="M97" s="209" t="s">
        <v>832</v>
      </c>
      <c r="N97" s="209" t="s">
        <v>305</v>
      </c>
      <c r="O97" s="209" t="s">
        <v>833</v>
      </c>
      <c r="P97" s="276"/>
      <c r="Q97" s="210"/>
      <c r="R97" s="210"/>
      <c r="S97" s="210"/>
      <c r="T97" s="210"/>
      <c r="U97" s="210"/>
      <c r="V97" s="210"/>
      <c r="W97" s="211"/>
      <c r="X97" s="212"/>
    </row>
    <row r="98" spans="1:24" s="213" customFormat="1" ht="72.5" x14ac:dyDescent="0.35">
      <c r="A98" s="455"/>
      <c r="B98" s="215"/>
      <c r="C98" s="216"/>
      <c r="D98" s="217"/>
      <c r="E98" s="208"/>
      <c r="F98" s="468"/>
      <c r="G98" s="245"/>
      <c r="H98" s="337"/>
      <c r="I98" s="209" t="s">
        <v>834</v>
      </c>
      <c r="J98" s="209" t="s">
        <v>835</v>
      </c>
      <c r="K98" s="209" t="s">
        <v>836</v>
      </c>
      <c r="L98" s="209" t="s">
        <v>837</v>
      </c>
      <c r="M98" s="209" t="s">
        <v>838</v>
      </c>
      <c r="N98" s="209" t="s">
        <v>305</v>
      </c>
      <c r="O98" s="209" t="s">
        <v>839</v>
      </c>
      <c r="P98" s="276"/>
      <c r="Q98" s="210"/>
      <c r="R98" s="210"/>
      <c r="S98" s="210"/>
      <c r="T98" s="210"/>
      <c r="U98" s="210"/>
      <c r="V98" s="210"/>
      <c r="W98" s="211"/>
      <c r="X98" s="212"/>
    </row>
    <row r="99" spans="1:24" s="244" customFormat="1" ht="43.5" x14ac:dyDescent="0.25">
      <c r="A99" s="455"/>
      <c r="B99" s="233"/>
      <c r="C99" s="234"/>
      <c r="D99" s="235"/>
      <c r="E99" s="246"/>
      <c r="F99" s="247"/>
      <c r="G99" s="248"/>
      <c r="H99" s="338" t="s">
        <v>387</v>
      </c>
      <c r="I99" s="239" t="s">
        <v>388</v>
      </c>
      <c r="J99" s="240"/>
      <c r="K99" s="240"/>
      <c r="L99" s="241"/>
      <c r="M99" s="240"/>
      <c r="N99" s="240"/>
      <c r="O99" s="240"/>
      <c r="P99" s="240"/>
      <c r="Q99" s="240"/>
      <c r="R99" s="240"/>
      <c r="S99" s="240"/>
      <c r="T99" s="240"/>
      <c r="U99" s="240"/>
      <c r="V99" s="240"/>
      <c r="W99" s="242"/>
      <c r="X99" s="243"/>
    </row>
    <row r="100" spans="1:24" s="213" customFormat="1" ht="44.5" customHeight="1" x14ac:dyDescent="0.25">
      <c r="A100" s="455"/>
      <c r="B100" s="215"/>
      <c r="C100" s="216"/>
      <c r="D100" s="217"/>
      <c r="E100" s="208"/>
      <c r="F100" s="465" t="s">
        <v>385</v>
      </c>
      <c r="G100" s="245"/>
      <c r="H100" s="337"/>
      <c r="I100" s="209" t="s">
        <v>840</v>
      </c>
      <c r="J100" s="209" t="s">
        <v>841</v>
      </c>
      <c r="K100" s="209" t="s">
        <v>842</v>
      </c>
      <c r="L100" s="209" t="s">
        <v>843</v>
      </c>
      <c r="M100" s="209" t="s">
        <v>844</v>
      </c>
      <c r="N100" s="209" t="s">
        <v>455</v>
      </c>
      <c r="O100" s="209" t="s">
        <v>845</v>
      </c>
      <c r="P100" s="209" t="s">
        <v>846</v>
      </c>
      <c r="Q100" s="210"/>
      <c r="R100" s="210"/>
      <c r="S100" s="210"/>
      <c r="T100" s="210"/>
      <c r="U100" s="210"/>
      <c r="V100" s="210"/>
      <c r="W100" s="211"/>
      <c r="X100" s="212"/>
    </row>
    <row r="101" spans="1:24" s="213" customFormat="1" ht="59.5" customHeight="1" x14ac:dyDescent="0.25">
      <c r="A101" s="455"/>
      <c r="B101" s="215"/>
      <c r="C101" s="216"/>
      <c r="D101" s="217"/>
      <c r="E101" s="208"/>
      <c r="F101" s="466"/>
      <c r="G101" s="245"/>
      <c r="H101" s="337"/>
      <c r="I101" s="209" t="s">
        <v>847</v>
      </c>
      <c r="J101" s="209" t="s">
        <v>848</v>
      </c>
      <c r="K101" s="209" t="s">
        <v>849</v>
      </c>
      <c r="L101" s="209" t="s">
        <v>850</v>
      </c>
      <c r="M101" s="209" t="s">
        <v>851</v>
      </c>
      <c r="N101" s="209" t="s">
        <v>780</v>
      </c>
      <c r="O101" s="209" t="s">
        <v>852</v>
      </c>
      <c r="P101" s="209" t="s">
        <v>853</v>
      </c>
      <c r="Q101" s="210"/>
      <c r="R101" s="210"/>
      <c r="S101" s="210"/>
      <c r="T101" s="210"/>
      <c r="U101" s="210"/>
      <c r="V101" s="210"/>
      <c r="W101" s="211"/>
      <c r="X101" s="212"/>
    </row>
    <row r="102" spans="1:24" s="213" customFormat="1" ht="59.5" customHeight="1" x14ac:dyDescent="0.25">
      <c r="A102" s="455"/>
      <c r="B102" s="215"/>
      <c r="C102" s="216"/>
      <c r="D102" s="217"/>
      <c r="E102" s="208"/>
      <c r="F102" s="466"/>
      <c r="G102" s="245"/>
      <c r="H102" s="337"/>
      <c r="I102" s="209" t="s">
        <v>854</v>
      </c>
      <c r="J102" s="209" t="s">
        <v>855</v>
      </c>
      <c r="K102" s="209" t="s">
        <v>856</v>
      </c>
      <c r="L102" s="209" t="s">
        <v>857</v>
      </c>
      <c r="M102" s="209" t="s">
        <v>858</v>
      </c>
      <c r="N102" s="209" t="s">
        <v>817</v>
      </c>
      <c r="O102" s="209" t="s">
        <v>859</v>
      </c>
      <c r="P102" s="277" t="s">
        <v>860</v>
      </c>
      <c r="Q102" s="210"/>
      <c r="R102" s="210"/>
      <c r="S102" s="210"/>
      <c r="T102" s="210"/>
      <c r="U102" s="210"/>
      <c r="V102" s="210"/>
      <c r="W102" s="211"/>
      <c r="X102" s="212"/>
    </row>
    <row r="103" spans="1:24" s="213" customFormat="1" ht="58" x14ac:dyDescent="0.25">
      <c r="A103" s="455"/>
      <c r="B103" s="215"/>
      <c r="C103" s="216"/>
      <c r="D103" s="217"/>
      <c r="E103" s="208"/>
      <c r="F103" s="466"/>
      <c r="G103" s="245"/>
      <c r="H103" s="337"/>
      <c r="I103" s="209" t="s">
        <v>861</v>
      </c>
      <c r="J103" s="209" t="s">
        <v>862</v>
      </c>
      <c r="K103" s="209" t="s">
        <v>863</v>
      </c>
      <c r="L103" s="209" t="s">
        <v>864</v>
      </c>
      <c r="M103" s="209" t="s">
        <v>865</v>
      </c>
      <c r="N103" s="209" t="s">
        <v>305</v>
      </c>
      <c r="O103" s="209" t="s">
        <v>866</v>
      </c>
      <c r="P103" s="209" t="s">
        <v>867</v>
      </c>
      <c r="Q103" s="210"/>
      <c r="R103" s="210"/>
      <c r="S103" s="210"/>
      <c r="T103" s="210"/>
      <c r="U103" s="210"/>
      <c r="V103" s="210"/>
      <c r="W103" s="211"/>
      <c r="X103" s="212"/>
    </row>
    <row r="104" spans="1:24" s="213" customFormat="1" ht="74.5" customHeight="1" x14ac:dyDescent="0.35">
      <c r="A104" s="455"/>
      <c r="B104" s="215"/>
      <c r="C104" s="216"/>
      <c r="D104" s="217"/>
      <c r="E104" s="208"/>
      <c r="F104" s="468"/>
      <c r="G104" s="245"/>
      <c r="H104" s="337"/>
      <c r="I104" s="209" t="s">
        <v>868</v>
      </c>
      <c r="J104" s="209" t="s">
        <v>869</v>
      </c>
      <c r="K104" s="209" t="s">
        <v>870</v>
      </c>
      <c r="L104" s="209" t="s">
        <v>871</v>
      </c>
      <c r="M104" s="209" t="s">
        <v>872</v>
      </c>
      <c r="N104" s="209" t="s">
        <v>305</v>
      </c>
      <c r="O104" s="209" t="s">
        <v>873</v>
      </c>
      <c r="P104" s="275"/>
      <c r="Q104" s="210"/>
      <c r="R104" s="210"/>
      <c r="S104" s="210"/>
      <c r="T104" s="210"/>
      <c r="U104" s="210"/>
      <c r="V104" s="210"/>
      <c r="W104" s="211"/>
      <c r="X104" s="212"/>
    </row>
    <row r="105" spans="1:24" s="244" customFormat="1" ht="29" x14ac:dyDescent="0.25">
      <c r="A105" s="455"/>
      <c r="B105" s="233"/>
      <c r="C105" s="234"/>
      <c r="D105" s="235"/>
      <c r="E105" s="246"/>
      <c r="F105" s="247"/>
      <c r="G105" s="248"/>
      <c r="H105" s="338" t="s">
        <v>400</v>
      </c>
      <c r="I105" s="239" t="s">
        <v>401</v>
      </c>
      <c r="J105" s="240"/>
      <c r="K105" s="240"/>
      <c r="L105" s="241"/>
      <c r="M105" s="240"/>
      <c r="N105" s="240"/>
      <c r="O105" s="240"/>
      <c r="P105" s="240"/>
      <c r="Q105" s="240"/>
      <c r="R105" s="240"/>
      <c r="S105" s="240"/>
      <c r="T105" s="240"/>
      <c r="U105" s="240"/>
      <c r="V105" s="240"/>
      <c r="W105" s="242"/>
      <c r="X105" s="243"/>
    </row>
    <row r="106" spans="1:24" s="213" customFormat="1" ht="62.5" customHeight="1" x14ac:dyDescent="0.35">
      <c r="A106" s="455"/>
      <c r="B106" s="215"/>
      <c r="C106" s="249"/>
      <c r="D106" s="215"/>
      <c r="E106" s="206"/>
      <c r="F106" s="469" t="s">
        <v>398</v>
      </c>
      <c r="G106" s="245"/>
      <c r="H106" s="337"/>
      <c r="I106" s="209" t="s">
        <v>874</v>
      </c>
      <c r="J106" s="209" t="s">
        <v>875</v>
      </c>
      <c r="K106" s="209" t="s">
        <v>876</v>
      </c>
      <c r="L106" s="209" t="s">
        <v>877</v>
      </c>
      <c r="M106" s="209" t="s">
        <v>878</v>
      </c>
      <c r="N106" s="209" t="s">
        <v>879</v>
      </c>
      <c r="O106" s="209" t="s">
        <v>880</v>
      </c>
      <c r="P106" s="275"/>
      <c r="Q106" s="210"/>
      <c r="R106" s="210"/>
      <c r="S106" s="210"/>
      <c r="T106" s="210"/>
      <c r="U106" s="210"/>
      <c r="V106" s="210"/>
      <c r="W106" s="211"/>
      <c r="X106" s="212"/>
    </row>
    <row r="107" spans="1:24" s="213" customFormat="1" ht="87" x14ac:dyDescent="0.25">
      <c r="A107" s="455"/>
      <c r="B107" s="250"/>
      <c r="C107" s="206"/>
      <c r="D107" s="250"/>
      <c r="E107" s="206"/>
      <c r="F107" s="470"/>
      <c r="G107" s="245"/>
      <c r="H107" s="337"/>
      <c r="I107" s="209" t="s">
        <v>881</v>
      </c>
      <c r="J107" s="209" t="s">
        <v>882</v>
      </c>
      <c r="K107" s="209" t="s">
        <v>883</v>
      </c>
      <c r="L107" s="209" t="s">
        <v>884</v>
      </c>
      <c r="M107" s="209" t="s">
        <v>885</v>
      </c>
      <c r="N107" s="209" t="s">
        <v>886</v>
      </c>
      <c r="O107" s="209" t="s">
        <v>887</v>
      </c>
      <c r="P107" s="209" t="s">
        <v>888</v>
      </c>
      <c r="Q107" s="210"/>
      <c r="R107" s="210"/>
      <c r="S107" s="210"/>
      <c r="T107" s="210"/>
      <c r="U107" s="210"/>
      <c r="V107" s="210"/>
      <c r="W107" s="211"/>
      <c r="X107" s="212"/>
    </row>
    <row r="108" spans="1:24" s="213" customFormat="1" ht="60.65" customHeight="1" x14ac:dyDescent="0.35">
      <c r="A108" s="455"/>
      <c r="B108" s="250"/>
      <c r="C108" s="206"/>
      <c r="D108" s="250"/>
      <c r="E108" s="206"/>
      <c r="F108" s="471"/>
      <c r="G108" s="245"/>
      <c r="H108" s="337"/>
      <c r="I108" s="209" t="s">
        <v>889</v>
      </c>
      <c r="J108" s="209" t="s">
        <v>890</v>
      </c>
      <c r="K108" s="209" t="s">
        <v>891</v>
      </c>
      <c r="L108" s="209" t="s">
        <v>892</v>
      </c>
      <c r="M108" s="209" t="s">
        <v>893</v>
      </c>
      <c r="N108" s="209" t="s">
        <v>305</v>
      </c>
      <c r="O108" s="209" t="s">
        <v>894</v>
      </c>
      <c r="P108" s="276" t="s">
        <v>895</v>
      </c>
      <c r="Q108" s="210"/>
      <c r="R108" s="210"/>
      <c r="S108" s="210"/>
      <c r="T108" s="210"/>
      <c r="U108" s="210"/>
      <c r="V108" s="210"/>
      <c r="W108" s="211"/>
      <c r="X108" s="212"/>
    </row>
    <row r="109" spans="1:24" s="244" customFormat="1" ht="29" x14ac:dyDescent="0.25">
      <c r="A109" s="455"/>
      <c r="B109" s="251"/>
      <c r="C109" s="251"/>
      <c r="D109" s="251"/>
      <c r="E109" s="251"/>
      <c r="F109" s="252"/>
      <c r="G109" s="253"/>
      <c r="H109" s="340" t="s">
        <v>409</v>
      </c>
      <c r="I109" s="254" t="s">
        <v>896</v>
      </c>
      <c r="J109" s="243"/>
      <c r="K109" s="243"/>
      <c r="L109" s="255"/>
      <c r="M109" s="243"/>
      <c r="N109" s="243"/>
      <c r="O109" s="243"/>
      <c r="P109" s="243"/>
      <c r="Q109" s="243"/>
      <c r="R109" s="243"/>
      <c r="S109" s="243"/>
      <c r="T109" s="243"/>
      <c r="U109" s="243"/>
      <c r="V109" s="243"/>
      <c r="W109" s="243"/>
      <c r="X109" s="243"/>
    </row>
    <row r="110" spans="1:24" s="261" customFormat="1" ht="58" x14ac:dyDescent="0.25">
      <c r="A110" s="455"/>
      <c r="B110" s="256"/>
      <c r="C110" s="256"/>
      <c r="D110" s="256"/>
      <c r="E110" s="256"/>
      <c r="F110" s="461" t="s">
        <v>407</v>
      </c>
      <c r="G110" s="257"/>
      <c r="H110" s="336"/>
      <c r="I110" s="258" t="s">
        <v>897</v>
      </c>
      <c r="J110" s="258" t="s">
        <v>898</v>
      </c>
      <c r="K110" s="258" t="s">
        <v>899</v>
      </c>
      <c r="L110" s="258" t="s">
        <v>900</v>
      </c>
      <c r="M110" s="258" t="s">
        <v>901</v>
      </c>
      <c r="N110" s="258" t="s">
        <v>902</v>
      </c>
      <c r="O110" s="258" t="s">
        <v>903</v>
      </c>
      <c r="P110" s="258" t="s">
        <v>904</v>
      </c>
      <c r="Q110" s="259"/>
      <c r="R110" s="259"/>
      <c r="S110" s="259"/>
      <c r="T110" s="259"/>
      <c r="U110" s="259"/>
      <c r="V110" s="259"/>
      <c r="W110" s="259"/>
      <c r="X110" s="260"/>
    </row>
    <row r="111" spans="1:24" s="261" customFormat="1" ht="72.5" x14ac:dyDescent="0.25">
      <c r="A111" s="455"/>
      <c r="B111" s="256"/>
      <c r="C111" s="256"/>
      <c r="D111" s="256"/>
      <c r="E111" s="256"/>
      <c r="F111" s="462"/>
      <c r="G111" s="257"/>
      <c r="H111" s="336"/>
      <c r="I111" s="258" t="s">
        <v>905</v>
      </c>
      <c r="J111" s="258" t="s">
        <v>906</v>
      </c>
      <c r="K111" s="258" t="s">
        <v>907</v>
      </c>
      <c r="L111" s="258" t="s">
        <v>908</v>
      </c>
      <c r="M111" s="258" t="s">
        <v>909</v>
      </c>
      <c r="N111" s="258" t="s">
        <v>902</v>
      </c>
      <c r="O111" s="258" t="s">
        <v>910</v>
      </c>
      <c r="P111" s="258" t="s">
        <v>911</v>
      </c>
      <c r="Q111" s="259"/>
      <c r="R111" s="259"/>
      <c r="S111" s="259"/>
      <c r="T111" s="259"/>
      <c r="U111" s="259"/>
      <c r="V111" s="259"/>
      <c r="W111" s="259"/>
      <c r="X111" s="260"/>
    </row>
    <row r="112" spans="1:24" s="261" customFormat="1" ht="58" x14ac:dyDescent="0.25">
      <c r="A112" s="455"/>
      <c r="B112" s="256"/>
      <c r="C112" s="256"/>
      <c r="D112" s="256"/>
      <c r="E112" s="256"/>
      <c r="F112" s="462"/>
      <c r="G112" s="257"/>
      <c r="H112" s="336"/>
      <c r="I112" s="258" t="s">
        <v>912</v>
      </c>
      <c r="J112" s="258" t="s">
        <v>913</v>
      </c>
      <c r="K112" s="258" t="s">
        <v>914</v>
      </c>
      <c r="L112" s="258" t="s">
        <v>915</v>
      </c>
      <c r="M112" s="258" t="s">
        <v>916</v>
      </c>
      <c r="N112" s="258" t="s">
        <v>917</v>
      </c>
      <c r="O112" s="258" t="s">
        <v>918</v>
      </c>
      <c r="P112" s="258" t="s">
        <v>919</v>
      </c>
      <c r="Q112" s="259"/>
      <c r="R112" s="259"/>
      <c r="S112" s="259"/>
      <c r="T112" s="259"/>
      <c r="U112" s="259"/>
      <c r="V112" s="259"/>
      <c r="W112" s="259"/>
      <c r="X112" s="260"/>
    </row>
    <row r="113" spans="1:24" s="261" customFormat="1" ht="72.5" x14ac:dyDescent="0.25">
      <c r="A113" s="455"/>
      <c r="B113" s="256"/>
      <c r="C113" s="256"/>
      <c r="D113" s="256"/>
      <c r="E113" s="256"/>
      <c r="F113" s="462"/>
      <c r="G113" s="257"/>
      <c r="H113" s="336"/>
      <c r="I113" s="258" t="s">
        <v>920</v>
      </c>
      <c r="J113" s="258" t="s">
        <v>921</v>
      </c>
      <c r="K113" s="258" t="s">
        <v>922</v>
      </c>
      <c r="L113" s="258" t="s">
        <v>923</v>
      </c>
      <c r="M113" s="258" t="s">
        <v>924</v>
      </c>
      <c r="N113" s="258" t="s">
        <v>925</v>
      </c>
      <c r="O113" s="258" t="s">
        <v>926</v>
      </c>
      <c r="P113" s="258" t="s">
        <v>927</v>
      </c>
      <c r="Q113" s="259"/>
      <c r="R113" s="259"/>
      <c r="S113" s="259"/>
      <c r="T113" s="259"/>
      <c r="U113" s="259"/>
      <c r="V113" s="259"/>
      <c r="W113" s="259"/>
      <c r="X113" s="260"/>
    </row>
    <row r="114" spans="1:24" s="261" customFormat="1" ht="72.5" x14ac:dyDescent="0.25">
      <c r="A114" s="455"/>
      <c r="B114" s="256"/>
      <c r="C114" s="256"/>
      <c r="D114" s="256"/>
      <c r="E114" s="256"/>
      <c r="F114" s="462"/>
      <c r="G114" s="257"/>
      <c r="H114" s="336"/>
      <c r="I114" s="258" t="s">
        <v>928</v>
      </c>
      <c r="J114" s="258" t="s">
        <v>929</v>
      </c>
      <c r="K114" s="258" t="s">
        <v>930</v>
      </c>
      <c r="L114" s="258" t="s">
        <v>931</v>
      </c>
      <c r="M114" s="258" t="s">
        <v>932</v>
      </c>
      <c r="N114" s="258" t="s">
        <v>933</v>
      </c>
      <c r="O114" s="258" t="s">
        <v>934</v>
      </c>
      <c r="P114" s="258" t="s">
        <v>935</v>
      </c>
      <c r="Q114" s="259"/>
      <c r="R114" s="259"/>
      <c r="S114" s="259"/>
      <c r="T114" s="259"/>
      <c r="U114" s="259"/>
      <c r="V114" s="259"/>
      <c r="W114" s="259"/>
      <c r="X114" s="260"/>
    </row>
    <row r="115" spans="1:24" s="261" customFormat="1" ht="58" x14ac:dyDescent="0.25">
      <c r="A115" s="455"/>
      <c r="B115" s="256"/>
      <c r="C115" s="256"/>
      <c r="D115" s="256"/>
      <c r="E115" s="256"/>
      <c r="F115" s="462"/>
      <c r="G115" s="257"/>
      <c r="H115" s="336"/>
      <c r="I115" s="258" t="s">
        <v>936</v>
      </c>
      <c r="J115" s="258" t="s">
        <v>937</v>
      </c>
      <c r="K115" s="258" t="s">
        <v>938</v>
      </c>
      <c r="L115" s="258" t="s">
        <v>939</v>
      </c>
      <c r="M115" s="258" t="s">
        <v>940</v>
      </c>
      <c r="N115" s="258" t="s">
        <v>305</v>
      </c>
      <c r="O115" s="258" t="s">
        <v>941</v>
      </c>
      <c r="P115" s="258" t="s">
        <v>942</v>
      </c>
      <c r="Q115" s="259"/>
      <c r="R115" s="259"/>
      <c r="S115" s="259"/>
      <c r="T115" s="259"/>
      <c r="U115" s="259"/>
      <c r="V115" s="259"/>
      <c r="W115" s="259"/>
      <c r="X115" s="260"/>
    </row>
    <row r="116" spans="1:24" s="261" customFormat="1" ht="58" x14ac:dyDescent="0.25">
      <c r="A116" s="455"/>
      <c r="B116" s="256"/>
      <c r="C116" s="256"/>
      <c r="D116" s="256"/>
      <c r="E116" s="256"/>
      <c r="F116" s="462"/>
      <c r="G116" s="257"/>
      <c r="H116" s="336"/>
      <c r="I116" s="258" t="s">
        <v>943</v>
      </c>
      <c r="J116" s="258" t="s">
        <v>944</v>
      </c>
      <c r="K116" s="258"/>
      <c r="L116" s="258"/>
      <c r="M116" s="258"/>
      <c r="N116" s="258"/>
      <c r="O116" s="258"/>
      <c r="P116" s="258" t="s">
        <v>945</v>
      </c>
      <c r="Q116" s="259"/>
      <c r="R116" s="259"/>
      <c r="S116" s="259"/>
      <c r="T116" s="259"/>
      <c r="U116" s="259"/>
      <c r="V116" s="259"/>
      <c r="W116" s="259"/>
      <c r="X116" s="260"/>
    </row>
    <row r="117" spans="1:24" s="261" customFormat="1" ht="72.5" x14ac:dyDescent="0.25">
      <c r="A117" s="455"/>
      <c r="B117" s="256"/>
      <c r="C117" s="256"/>
      <c r="D117" s="256"/>
      <c r="E117" s="256"/>
      <c r="F117" s="462"/>
      <c r="G117" s="257"/>
      <c r="H117" s="336"/>
      <c r="I117" s="258" t="s">
        <v>946</v>
      </c>
      <c r="J117" s="258" t="s">
        <v>947</v>
      </c>
      <c r="K117" s="258" t="s">
        <v>948</v>
      </c>
      <c r="L117" s="258" t="s">
        <v>949</v>
      </c>
      <c r="M117" s="258" t="s">
        <v>950</v>
      </c>
      <c r="N117" s="258" t="s">
        <v>951</v>
      </c>
      <c r="O117" s="258" t="s">
        <v>952</v>
      </c>
      <c r="P117" s="258" t="s">
        <v>953</v>
      </c>
      <c r="Q117" s="259"/>
      <c r="R117" s="259"/>
      <c r="S117" s="259"/>
      <c r="T117" s="259"/>
      <c r="U117" s="259"/>
      <c r="V117" s="259"/>
      <c r="W117" s="259"/>
      <c r="X117" s="260"/>
    </row>
    <row r="118" spans="1:24" s="261" customFormat="1" ht="72.5" x14ac:dyDescent="0.25">
      <c r="A118" s="455"/>
      <c r="B118" s="256"/>
      <c r="C118" s="256"/>
      <c r="D118" s="256"/>
      <c r="E118" s="256"/>
      <c r="F118" s="463"/>
      <c r="G118" s="257"/>
      <c r="H118" s="336"/>
      <c r="I118" s="258" t="s">
        <v>954</v>
      </c>
      <c r="J118" s="258" t="s">
        <v>955</v>
      </c>
      <c r="K118" s="258" t="s">
        <v>956</v>
      </c>
      <c r="L118" s="258" t="s">
        <v>957</v>
      </c>
      <c r="M118" s="258" t="s">
        <v>958</v>
      </c>
      <c r="N118" s="258" t="s">
        <v>959</v>
      </c>
      <c r="O118" s="258" t="s">
        <v>960</v>
      </c>
      <c r="P118" s="258" t="s">
        <v>961</v>
      </c>
      <c r="Q118" s="259"/>
      <c r="R118" s="259"/>
      <c r="S118" s="259"/>
      <c r="T118" s="259"/>
      <c r="U118" s="259"/>
      <c r="V118" s="259"/>
      <c r="W118" s="259"/>
      <c r="X118" s="260"/>
    </row>
    <row r="119" spans="1:24" s="229" customFormat="1" ht="43.5" x14ac:dyDescent="0.25">
      <c r="A119" s="455"/>
      <c r="B119" s="224"/>
      <c r="C119" s="224"/>
      <c r="D119" s="224"/>
      <c r="E119" s="224"/>
      <c r="F119" s="262"/>
      <c r="G119" s="263"/>
      <c r="H119" s="341" t="s">
        <v>422</v>
      </c>
      <c r="I119" s="227" t="s">
        <v>962</v>
      </c>
      <c r="J119" s="226"/>
      <c r="K119" s="226"/>
      <c r="L119" s="228"/>
      <c r="M119" s="226"/>
      <c r="N119" s="226"/>
      <c r="O119" s="226"/>
      <c r="P119" s="226"/>
      <c r="Q119" s="226"/>
      <c r="R119" s="226"/>
      <c r="S119" s="226"/>
      <c r="T119" s="226"/>
      <c r="U119" s="226"/>
      <c r="V119" s="226"/>
      <c r="W119" s="226"/>
      <c r="X119" s="226"/>
    </row>
    <row r="120" spans="1:24" s="261" customFormat="1" ht="72.5" x14ac:dyDescent="0.35">
      <c r="A120" s="455"/>
      <c r="B120" s="256"/>
      <c r="C120" s="256"/>
      <c r="D120" s="256"/>
      <c r="E120" s="256"/>
      <c r="F120" s="464" t="s">
        <v>407</v>
      </c>
      <c r="G120" s="257"/>
      <c r="H120" s="336"/>
      <c r="I120" s="258" t="s">
        <v>963</v>
      </c>
      <c r="J120" s="258" t="s">
        <v>964</v>
      </c>
      <c r="K120" s="258" t="s">
        <v>965</v>
      </c>
      <c r="L120" s="258" t="s">
        <v>966</v>
      </c>
      <c r="M120" s="258" t="s">
        <v>967</v>
      </c>
      <c r="N120" s="258" t="s">
        <v>968</v>
      </c>
      <c r="O120" s="258" t="s">
        <v>969</v>
      </c>
      <c r="P120" s="278" t="s">
        <v>970</v>
      </c>
      <c r="Q120" s="259"/>
      <c r="R120" s="259"/>
      <c r="S120" s="259"/>
      <c r="T120" s="259"/>
      <c r="U120" s="259"/>
      <c r="V120" s="259"/>
      <c r="W120" s="259"/>
      <c r="X120" s="260"/>
    </row>
    <row r="121" spans="1:24" s="261" customFormat="1" ht="87" x14ac:dyDescent="0.35">
      <c r="A121" s="455"/>
      <c r="B121" s="256"/>
      <c r="C121" s="256"/>
      <c r="D121" s="256"/>
      <c r="E121" s="256"/>
      <c r="F121" s="462"/>
      <c r="G121" s="257"/>
      <c r="H121" s="336"/>
      <c r="I121" s="258" t="s">
        <v>971</v>
      </c>
      <c r="J121" s="258" t="s">
        <v>972</v>
      </c>
      <c r="K121" s="258" t="s">
        <v>973</v>
      </c>
      <c r="L121" s="258" t="s">
        <v>974</v>
      </c>
      <c r="M121" s="258" t="s">
        <v>975</v>
      </c>
      <c r="N121" s="258" t="s">
        <v>976</v>
      </c>
      <c r="O121" s="258" t="s">
        <v>977</v>
      </c>
      <c r="P121" s="278"/>
      <c r="Q121" s="259"/>
      <c r="R121" s="259"/>
      <c r="S121" s="259"/>
      <c r="T121" s="259"/>
      <c r="U121" s="259"/>
      <c r="V121" s="259"/>
      <c r="W121" s="259"/>
      <c r="X121" s="260"/>
    </row>
    <row r="122" spans="1:24" s="261" customFormat="1" ht="145" x14ac:dyDescent="0.25">
      <c r="A122" s="455"/>
      <c r="B122" s="256"/>
      <c r="C122" s="256"/>
      <c r="D122" s="256"/>
      <c r="E122" s="256"/>
      <c r="F122" s="462"/>
      <c r="G122" s="257"/>
      <c r="H122" s="336"/>
      <c r="I122" s="258" t="s">
        <v>978</v>
      </c>
      <c r="J122" s="258" t="s">
        <v>979</v>
      </c>
      <c r="K122" s="258" t="s">
        <v>980</v>
      </c>
      <c r="L122" s="258" t="s">
        <v>981</v>
      </c>
      <c r="M122" s="258" t="s">
        <v>982</v>
      </c>
      <c r="N122" s="258" t="s">
        <v>305</v>
      </c>
      <c r="O122" s="258" t="s">
        <v>983</v>
      </c>
      <c r="P122" s="279" t="s">
        <v>984</v>
      </c>
      <c r="Q122" s="259"/>
      <c r="R122" s="259"/>
      <c r="S122" s="259"/>
      <c r="T122" s="259"/>
      <c r="U122" s="259"/>
      <c r="V122" s="259"/>
      <c r="W122" s="259"/>
      <c r="X122" s="260"/>
    </row>
    <row r="123" spans="1:24" s="261" customFormat="1" ht="60" customHeight="1" x14ac:dyDescent="0.35">
      <c r="A123" s="455"/>
      <c r="B123" s="256"/>
      <c r="C123" s="256"/>
      <c r="D123" s="256"/>
      <c r="E123" s="256"/>
      <c r="F123" s="463"/>
      <c r="G123" s="257"/>
      <c r="H123" s="336"/>
      <c r="I123" s="258" t="s">
        <v>985</v>
      </c>
      <c r="J123" s="258" t="s">
        <v>986</v>
      </c>
      <c r="K123" s="258" t="s">
        <v>987</v>
      </c>
      <c r="L123" s="258" t="s">
        <v>988</v>
      </c>
      <c r="M123" s="258" t="s">
        <v>989</v>
      </c>
      <c r="N123" s="258" t="s">
        <v>990</v>
      </c>
      <c r="O123" s="258" t="s">
        <v>991</v>
      </c>
      <c r="P123" s="278"/>
      <c r="Q123" s="259"/>
      <c r="R123" s="259"/>
      <c r="S123" s="259"/>
      <c r="T123" s="259"/>
      <c r="U123" s="259"/>
      <c r="V123" s="259"/>
      <c r="W123" s="259"/>
      <c r="X123" s="260"/>
    </row>
    <row r="124" spans="1:24" s="229" customFormat="1" ht="29" x14ac:dyDescent="0.25">
      <c r="A124" s="455"/>
      <c r="B124" s="224"/>
      <c r="C124" s="224"/>
      <c r="D124" s="224"/>
      <c r="E124" s="224"/>
      <c r="F124" s="262"/>
      <c r="G124" s="263"/>
      <c r="H124" s="341" t="s">
        <v>433</v>
      </c>
      <c r="I124" s="227" t="s">
        <v>434</v>
      </c>
      <c r="J124" s="226"/>
      <c r="K124" s="226"/>
      <c r="L124" s="228"/>
      <c r="M124" s="226"/>
      <c r="N124" s="226"/>
      <c r="O124" s="226"/>
      <c r="P124" s="226"/>
      <c r="Q124" s="226"/>
      <c r="R124" s="226"/>
      <c r="S124" s="226"/>
      <c r="T124" s="226"/>
      <c r="U124" s="226"/>
      <c r="V124" s="226"/>
      <c r="W124" s="226"/>
      <c r="X124" s="226"/>
    </row>
    <row r="125" spans="1:24" s="261" customFormat="1" ht="72.5" x14ac:dyDescent="0.25">
      <c r="A125" s="455"/>
      <c r="B125" s="256"/>
      <c r="C125" s="256"/>
      <c r="D125" s="256"/>
      <c r="E125" s="256"/>
      <c r="F125" s="464" t="s">
        <v>431</v>
      </c>
      <c r="G125" s="257"/>
      <c r="H125" s="336"/>
      <c r="I125" s="258" t="s">
        <v>992</v>
      </c>
      <c r="J125" s="258" t="s">
        <v>993</v>
      </c>
      <c r="K125" s="258" t="s">
        <v>994</v>
      </c>
      <c r="L125" s="258" t="s">
        <v>995</v>
      </c>
      <c r="M125" s="258" t="s">
        <v>996</v>
      </c>
      <c r="N125" s="258" t="s">
        <v>997</v>
      </c>
      <c r="O125" s="258" t="s">
        <v>998</v>
      </c>
      <c r="P125" s="258" t="s">
        <v>999</v>
      </c>
      <c r="Q125" s="259"/>
      <c r="R125" s="259"/>
      <c r="S125" s="259"/>
      <c r="T125" s="259"/>
      <c r="U125" s="259"/>
      <c r="V125" s="259"/>
      <c r="W125" s="259"/>
      <c r="X125" s="260"/>
    </row>
    <row r="126" spans="1:24" s="261" customFormat="1" ht="57" customHeight="1" x14ac:dyDescent="0.35">
      <c r="A126" s="455"/>
      <c r="B126" s="256"/>
      <c r="C126" s="256"/>
      <c r="D126" s="256"/>
      <c r="E126" s="256"/>
      <c r="F126" s="462"/>
      <c r="G126" s="257"/>
      <c r="H126" s="336"/>
      <c r="I126" s="258" t="s">
        <v>1000</v>
      </c>
      <c r="J126" s="258" t="s">
        <v>1001</v>
      </c>
      <c r="K126" s="258" t="s">
        <v>1002</v>
      </c>
      <c r="L126" s="258" t="s">
        <v>1003</v>
      </c>
      <c r="M126" s="258" t="s">
        <v>1004</v>
      </c>
      <c r="N126" s="258" t="s">
        <v>1005</v>
      </c>
      <c r="O126" s="258" t="s">
        <v>1006</v>
      </c>
      <c r="P126" s="278"/>
      <c r="Q126" s="259"/>
      <c r="R126" s="259"/>
      <c r="S126" s="259"/>
      <c r="T126" s="259"/>
      <c r="U126" s="259"/>
      <c r="V126" s="259"/>
      <c r="W126" s="259"/>
      <c r="X126" s="260"/>
    </row>
    <row r="127" spans="1:24" s="261" customFormat="1" ht="101.5" x14ac:dyDescent="0.25">
      <c r="A127" s="455"/>
      <c r="B127" s="256"/>
      <c r="C127" s="256"/>
      <c r="D127" s="256"/>
      <c r="E127" s="256"/>
      <c r="F127" s="462"/>
      <c r="G127" s="257"/>
      <c r="H127" s="336"/>
      <c r="I127" s="258" t="s">
        <v>1007</v>
      </c>
      <c r="J127" s="258" t="s">
        <v>1008</v>
      </c>
      <c r="K127" s="258" t="s">
        <v>1009</v>
      </c>
      <c r="L127" s="258" t="s">
        <v>1010</v>
      </c>
      <c r="M127" s="258" t="s">
        <v>1011</v>
      </c>
      <c r="N127" s="258" t="s">
        <v>1012</v>
      </c>
      <c r="O127" s="258" t="s">
        <v>1013</v>
      </c>
      <c r="P127" s="258" t="s">
        <v>1014</v>
      </c>
      <c r="Q127" s="259"/>
      <c r="R127" s="259"/>
      <c r="S127" s="259"/>
      <c r="T127" s="259"/>
      <c r="U127" s="259"/>
      <c r="V127" s="259"/>
      <c r="W127" s="259"/>
      <c r="X127" s="260"/>
    </row>
    <row r="128" spans="1:24" s="261" customFormat="1" ht="72.5" x14ac:dyDescent="0.35">
      <c r="A128" s="455"/>
      <c r="B128" s="256"/>
      <c r="C128" s="256"/>
      <c r="D128" s="256"/>
      <c r="E128" s="256"/>
      <c r="F128" s="462"/>
      <c r="G128" s="257"/>
      <c r="H128" s="336"/>
      <c r="I128" s="258" t="s">
        <v>1015</v>
      </c>
      <c r="J128" s="258" t="s">
        <v>1016</v>
      </c>
      <c r="K128" s="258" t="s">
        <v>1017</v>
      </c>
      <c r="L128" s="258" t="s">
        <v>1018</v>
      </c>
      <c r="M128" s="258" t="s">
        <v>1019</v>
      </c>
      <c r="N128" s="258" t="s">
        <v>1020</v>
      </c>
      <c r="O128" s="258" t="s">
        <v>1021</v>
      </c>
      <c r="P128" s="278"/>
      <c r="Q128" s="259"/>
      <c r="R128" s="259"/>
      <c r="S128" s="259"/>
      <c r="T128" s="259"/>
      <c r="U128" s="259"/>
      <c r="V128" s="259"/>
      <c r="W128" s="259"/>
      <c r="X128" s="260"/>
    </row>
    <row r="129" spans="1:24" s="261" customFormat="1" ht="77.150000000000006" customHeight="1" x14ac:dyDescent="0.25">
      <c r="A129" s="455"/>
      <c r="B129" s="256"/>
      <c r="C129" s="256"/>
      <c r="D129" s="256"/>
      <c r="E129" s="256"/>
      <c r="F129" s="462"/>
      <c r="G129" s="257"/>
      <c r="H129" s="336"/>
      <c r="I129" s="258" t="s">
        <v>1022</v>
      </c>
      <c r="J129" s="258" t="s">
        <v>1023</v>
      </c>
      <c r="K129" s="258" t="s">
        <v>1024</v>
      </c>
      <c r="L129" s="258" t="s">
        <v>1025</v>
      </c>
      <c r="M129" s="258" t="s">
        <v>1026</v>
      </c>
      <c r="N129" s="258" t="s">
        <v>1027</v>
      </c>
      <c r="O129" s="258" t="s">
        <v>1028</v>
      </c>
      <c r="P129" s="280" t="s">
        <v>1029</v>
      </c>
      <c r="Q129" s="259"/>
      <c r="R129" s="259"/>
      <c r="S129" s="259"/>
      <c r="T129" s="259"/>
      <c r="U129" s="259"/>
      <c r="V129" s="259"/>
      <c r="W129" s="259"/>
      <c r="X129" s="260"/>
    </row>
    <row r="130" spans="1:24" s="261" customFormat="1" ht="58" x14ac:dyDescent="0.35">
      <c r="A130" s="455"/>
      <c r="B130" s="256"/>
      <c r="C130" s="256"/>
      <c r="D130" s="256"/>
      <c r="E130" s="256"/>
      <c r="F130" s="462"/>
      <c r="G130" s="257"/>
      <c r="H130" s="336"/>
      <c r="I130" s="258" t="s">
        <v>1030</v>
      </c>
      <c r="J130" s="258" t="s">
        <v>1031</v>
      </c>
      <c r="K130" s="258" t="s">
        <v>1032</v>
      </c>
      <c r="L130" s="258" t="s">
        <v>1033</v>
      </c>
      <c r="M130" s="258" t="s">
        <v>1034</v>
      </c>
      <c r="N130" s="258" t="s">
        <v>1035</v>
      </c>
      <c r="O130" s="258" t="s">
        <v>1036</v>
      </c>
      <c r="P130" s="278"/>
      <c r="Q130" s="259"/>
      <c r="R130" s="259"/>
      <c r="S130" s="259"/>
      <c r="T130" s="259"/>
      <c r="U130" s="259"/>
      <c r="V130" s="259"/>
      <c r="W130" s="259"/>
      <c r="X130" s="260"/>
    </row>
    <row r="131" spans="1:24" s="261" customFormat="1" ht="87" x14ac:dyDescent="0.35">
      <c r="A131" s="455"/>
      <c r="B131" s="256"/>
      <c r="C131" s="256"/>
      <c r="D131" s="256"/>
      <c r="E131" s="256"/>
      <c r="F131" s="463"/>
      <c r="G131" s="257"/>
      <c r="H131" s="336"/>
      <c r="I131" s="258" t="s">
        <v>1037</v>
      </c>
      <c r="J131" s="258" t="s">
        <v>1038</v>
      </c>
      <c r="K131" s="258" t="s">
        <v>1039</v>
      </c>
      <c r="L131" s="258" t="s">
        <v>1040</v>
      </c>
      <c r="M131" s="258" t="s">
        <v>1041</v>
      </c>
      <c r="N131" s="258" t="s">
        <v>1042</v>
      </c>
      <c r="O131" s="258" t="s">
        <v>1043</v>
      </c>
      <c r="P131" s="278"/>
      <c r="Q131" s="259"/>
      <c r="R131" s="259"/>
      <c r="S131" s="259"/>
      <c r="T131" s="259"/>
      <c r="U131" s="259"/>
      <c r="V131" s="259"/>
      <c r="W131" s="259"/>
      <c r="X131" s="260"/>
    </row>
    <row r="132" spans="1:24" s="261" customFormat="1" ht="14.5" x14ac:dyDescent="0.25">
      <c r="A132" s="455"/>
      <c r="B132" s="256"/>
      <c r="C132" s="256"/>
      <c r="D132" s="256"/>
      <c r="E132" s="256"/>
      <c r="F132" s="264"/>
      <c r="G132" s="257"/>
      <c r="H132" s="336"/>
      <c r="I132" s="258"/>
      <c r="J132" s="259"/>
      <c r="K132" s="259"/>
      <c r="L132" s="258"/>
      <c r="M132" s="259"/>
      <c r="N132" s="259"/>
      <c r="O132" s="259"/>
      <c r="P132" s="259"/>
      <c r="Q132" s="259"/>
      <c r="R132" s="259"/>
      <c r="S132" s="259"/>
      <c r="T132" s="259"/>
      <c r="U132" s="259"/>
      <c r="V132" s="259"/>
      <c r="W132" s="259"/>
      <c r="X132" s="260"/>
    </row>
    <row r="133" spans="1:24" s="261" customFormat="1" ht="15.75" customHeight="1" thickBot="1" x14ac:dyDescent="0.3">
      <c r="A133" s="456"/>
      <c r="B133" s="256"/>
      <c r="C133" s="256"/>
      <c r="D133" s="256"/>
      <c r="E133" s="256"/>
      <c r="F133" s="256"/>
      <c r="G133" s="257"/>
      <c r="H133" s="336"/>
      <c r="I133" s="258"/>
      <c r="J133" s="259"/>
      <c r="K133" s="259"/>
      <c r="L133" s="258"/>
      <c r="M133" s="259"/>
      <c r="N133" s="259"/>
      <c r="O133" s="259"/>
      <c r="P133" s="259"/>
      <c r="Q133" s="259"/>
      <c r="R133" s="259"/>
      <c r="S133" s="259"/>
      <c r="T133" s="259"/>
      <c r="U133" s="259"/>
      <c r="V133" s="259"/>
      <c r="W133" s="259"/>
      <c r="X133" s="260"/>
    </row>
    <row r="134" spans="1:24" ht="15.75" customHeight="1" x14ac:dyDescent="0.35">
      <c r="A134" s="61"/>
      <c r="B134" s="93"/>
      <c r="C134" s="61"/>
      <c r="D134" s="61"/>
      <c r="E134" s="61"/>
      <c r="F134" s="61"/>
      <c r="G134" s="62"/>
      <c r="H134" s="342"/>
      <c r="I134" s="149"/>
      <c r="J134" s="99"/>
      <c r="K134" s="61"/>
      <c r="L134" s="149"/>
      <c r="M134" s="61"/>
      <c r="N134" s="61"/>
      <c r="O134" s="61"/>
      <c r="P134" s="61"/>
      <c r="Q134" s="61"/>
      <c r="R134" s="61"/>
      <c r="S134" s="61"/>
      <c r="T134" s="61"/>
      <c r="U134" s="61"/>
      <c r="V134" s="61"/>
      <c r="W134" s="61"/>
      <c r="X134" s="61"/>
    </row>
    <row r="135" spans="1:24" ht="15.75" customHeight="1" x14ac:dyDescent="0.35">
      <c r="B135" s="61"/>
      <c r="J135" s="61"/>
    </row>
  </sheetData>
  <autoFilter ref="A1:W135" xr:uid="{00000000-0001-0000-0600-000000000000}"/>
  <mergeCells count="132">
    <mergeCell ref="H31:H32"/>
    <mergeCell ref="H34:H35"/>
    <mergeCell ref="F100:F104"/>
    <mergeCell ref="O2:O6"/>
    <mergeCell ref="O7:O11"/>
    <mergeCell ref="O12:O16"/>
    <mergeCell ref="O19:O20"/>
    <mergeCell ref="O21:O22"/>
    <mergeCell ref="F39:F49"/>
    <mergeCell ref="F65:F71"/>
    <mergeCell ref="I34:I35"/>
    <mergeCell ref="G34:G35"/>
    <mergeCell ref="O31:O32"/>
    <mergeCell ref="O34:O35"/>
    <mergeCell ref="F51:F56"/>
    <mergeCell ref="F58:F63"/>
    <mergeCell ref="G42:G43"/>
    <mergeCell ref="I42:I43"/>
    <mergeCell ref="K42:K43"/>
    <mergeCell ref="L42:L43"/>
    <mergeCell ref="M42:M43"/>
    <mergeCell ref="N42:N43"/>
    <mergeCell ref="O42:O43"/>
    <mergeCell ref="H2:H6"/>
    <mergeCell ref="H7:H11"/>
    <mergeCell ref="H12:H16"/>
    <mergeCell ref="V29:V30"/>
    <mergeCell ref="W29:W30"/>
    <mergeCell ref="T29:T30"/>
    <mergeCell ref="U29:U30"/>
    <mergeCell ref="O27:O28"/>
    <mergeCell ref="Q29:Q30"/>
    <mergeCell ref="R29:R30"/>
    <mergeCell ref="S29:S30"/>
    <mergeCell ref="N29:N30"/>
    <mergeCell ref="O29:O30"/>
    <mergeCell ref="P29:P30"/>
    <mergeCell ref="H29:H30"/>
    <mergeCell ref="A39:A133"/>
    <mergeCell ref="B34:B35"/>
    <mergeCell ref="B31:B32"/>
    <mergeCell ref="B29:B30"/>
    <mergeCell ref="M29:M30"/>
    <mergeCell ref="D29:D30"/>
    <mergeCell ref="I29:I30"/>
    <mergeCell ref="J29:J30"/>
    <mergeCell ref="K29:K30"/>
    <mergeCell ref="L29:L30"/>
    <mergeCell ref="F29:F30"/>
    <mergeCell ref="E29:E30"/>
    <mergeCell ref="E34:E35"/>
    <mergeCell ref="F31:F32"/>
    <mergeCell ref="E31:E32"/>
    <mergeCell ref="D34:D35"/>
    <mergeCell ref="F110:F118"/>
    <mergeCell ref="F120:F123"/>
    <mergeCell ref="F125:F131"/>
    <mergeCell ref="F73:F78"/>
    <mergeCell ref="F80:F85"/>
    <mergeCell ref="F87:F92"/>
    <mergeCell ref="F94:F98"/>
    <mergeCell ref="F106:F108"/>
    <mergeCell ref="A2:A18"/>
    <mergeCell ref="B19:B20"/>
    <mergeCell ref="I2:I6"/>
    <mergeCell ref="C29:C30"/>
    <mergeCell ref="G2:G6"/>
    <mergeCell ref="G7:G11"/>
    <mergeCell ref="I7:I11"/>
    <mergeCell ref="I12:I16"/>
    <mergeCell ref="C2:C6"/>
    <mergeCell ref="C7:C11"/>
    <mergeCell ref="A19:A37"/>
    <mergeCell ref="E12:E16"/>
    <mergeCell ref="G12:G16"/>
    <mergeCell ref="I21:I22"/>
    <mergeCell ref="G29:G30"/>
    <mergeCell ref="G19:G20"/>
    <mergeCell ref="I27:I28"/>
    <mergeCell ref="C34:C35"/>
    <mergeCell ref="I31:I32"/>
    <mergeCell ref="G31:G32"/>
    <mergeCell ref="D31:D32"/>
    <mergeCell ref="C31:C32"/>
    <mergeCell ref="F34:F35"/>
    <mergeCell ref="I19:I20"/>
    <mergeCell ref="B2:B6"/>
    <mergeCell ref="D2:D6"/>
    <mergeCell ref="B7:B11"/>
    <mergeCell ref="D7:D11"/>
    <mergeCell ref="B12:B16"/>
    <mergeCell ref="D12:D16"/>
    <mergeCell ref="C12:C16"/>
    <mergeCell ref="E2:E6"/>
    <mergeCell ref="F2:F6"/>
    <mergeCell ref="E7:E11"/>
    <mergeCell ref="C19:C20"/>
    <mergeCell ref="D19:D20"/>
    <mergeCell ref="W19:W20"/>
    <mergeCell ref="W21:W22"/>
    <mergeCell ref="B21:B22"/>
    <mergeCell ref="C21:C22"/>
    <mergeCell ref="D21:D22"/>
    <mergeCell ref="G21:G22"/>
    <mergeCell ref="B27:B28"/>
    <mergeCell ref="C27:C28"/>
    <mergeCell ref="D27:D28"/>
    <mergeCell ref="G27:G28"/>
    <mergeCell ref="F21:F22"/>
    <mergeCell ref="E21:E22"/>
    <mergeCell ref="F27:F28"/>
    <mergeCell ref="E27:E28"/>
    <mergeCell ref="E19:E20"/>
    <mergeCell ref="F19:F20"/>
    <mergeCell ref="H19:H20"/>
    <mergeCell ref="H21:H22"/>
    <mergeCell ref="H27:H28"/>
    <mergeCell ref="P42:P43"/>
    <mergeCell ref="I45:I46"/>
    <mergeCell ref="G45:G46"/>
    <mergeCell ref="K45:K46"/>
    <mergeCell ref="L45:L46"/>
    <mergeCell ref="M45:M46"/>
    <mergeCell ref="N45:N46"/>
    <mergeCell ref="O45:O46"/>
    <mergeCell ref="G54:G55"/>
    <mergeCell ref="I54:I55"/>
    <mergeCell ref="K54:K55"/>
    <mergeCell ref="L54:L55"/>
    <mergeCell ref="M54:M55"/>
    <mergeCell ref="N54:N55"/>
    <mergeCell ref="O54:O55"/>
  </mergeCells>
  <phoneticPr fontId="27"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1080"/>
  <sheetViews>
    <sheetView topLeftCell="A55" workbookViewId="0">
      <selection activeCell="C60" sqref="C60"/>
    </sheetView>
  </sheetViews>
  <sheetFormatPr defaultColWidth="12.81640625" defaultRowHeight="15.75" customHeight="1" x14ac:dyDescent="0.25"/>
  <cols>
    <col min="1" max="1" width="6.1796875" customWidth="1"/>
    <col min="2" max="2" width="20.26953125" style="150" customWidth="1"/>
    <col min="3" max="3" width="81.7265625" style="283" customWidth="1"/>
    <col min="4" max="4" width="25" style="283" customWidth="1"/>
    <col min="5" max="5" width="23.26953125" style="283" customWidth="1"/>
    <col min="6" max="6" width="19.81640625" style="283" customWidth="1"/>
    <col min="7" max="8" width="17.81640625" style="283" bestFit="1" customWidth="1"/>
    <col min="9" max="9" width="19.7265625" style="283" customWidth="1"/>
    <col min="10" max="10" width="6.26953125" customWidth="1"/>
    <col min="11" max="11" width="4.26953125" customWidth="1"/>
    <col min="12" max="12" width="14.81640625" customWidth="1"/>
  </cols>
  <sheetData>
    <row r="1" spans="1:12" ht="39" customHeight="1" x14ac:dyDescent="0.3">
      <c r="A1" s="63"/>
      <c r="B1" s="38" t="s">
        <v>1044</v>
      </c>
      <c r="C1" s="38" t="s">
        <v>1045</v>
      </c>
      <c r="D1" s="64" t="s">
        <v>1046</v>
      </c>
      <c r="E1" s="64" t="s">
        <v>1047</v>
      </c>
      <c r="F1" s="64" t="s">
        <v>1048</v>
      </c>
      <c r="G1" s="64" t="s">
        <v>1049</v>
      </c>
      <c r="H1" s="64" t="s">
        <v>1050</v>
      </c>
      <c r="I1" s="64" t="s">
        <v>1051</v>
      </c>
      <c r="J1" s="64" t="s">
        <v>1052</v>
      </c>
      <c r="K1" s="64" t="s">
        <v>1053</v>
      </c>
      <c r="L1" s="65"/>
    </row>
    <row r="2" spans="1:12" ht="28" x14ac:dyDescent="0.3">
      <c r="A2" s="66"/>
      <c r="B2" s="343" t="str">
        <f>INDEX('Program M&amp;E Plan'!H$38:H$132,MATCH('Programme Implementation Plan'!C2,'Program M&amp;E Plan'!I$38:I$132,0))</f>
        <v>HWC incidences reduced</v>
      </c>
      <c r="C2" s="281" t="s">
        <v>300</v>
      </c>
      <c r="D2" s="284"/>
      <c r="E2" s="284"/>
      <c r="F2" s="284"/>
      <c r="G2" s="284"/>
      <c r="H2" s="284"/>
      <c r="I2" s="288">
        <f t="shared" ref="I2:I102" si="0">SUM(D2:H2)*1.125</f>
        <v>0</v>
      </c>
      <c r="J2" s="66"/>
      <c r="K2" s="35"/>
    </row>
    <row r="3" spans="1:12" ht="28" x14ac:dyDescent="0.25">
      <c r="A3" s="66"/>
      <c r="B3" s="343"/>
      <c r="C3" s="355" t="s">
        <v>1054</v>
      </c>
      <c r="D3" s="289">
        <v>100000000</v>
      </c>
      <c r="E3" s="289">
        <v>15000000</v>
      </c>
      <c r="F3" s="289">
        <v>100000000</v>
      </c>
      <c r="G3" s="289">
        <v>50000000</v>
      </c>
      <c r="H3" s="289">
        <v>100000000</v>
      </c>
      <c r="I3" s="290">
        <f>SUM(D3:H3)*1.125</f>
        <v>410625000</v>
      </c>
      <c r="J3" s="66"/>
      <c r="K3" s="35"/>
    </row>
    <row r="4" spans="1:12" ht="28" x14ac:dyDescent="0.25">
      <c r="A4" s="66"/>
      <c r="B4" s="343"/>
      <c r="C4" s="355" t="s">
        <v>450</v>
      </c>
      <c r="D4" s="289">
        <v>30000000</v>
      </c>
      <c r="E4" s="289">
        <v>25000000</v>
      </c>
      <c r="F4" s="289">
        <v>25000000</v>
      </c>
      <c r="G4" s="289">
        <v>25000000</v>
      </c>
      <c r="H4" s="289">
        <v>25000000</v>
      </c>
      <c r="I4" s="290">
        <f t="shared" ref="I4:I17" si="1">SUM(D4:H4)*1.125</f>
        <v>146250000</v>
      </c>
      <c r="J4" s="66"/>
      <c r="K4" s="35"/>
    </row>
    <row r="5" spans="1:12" ht="28" x14ac:dyDescent="0.25">
      <c r="A5" s="66"/>
      <c r="B5" s="343"/>
      <c r="C5" s="355" t="s">
        <v>459</v>
      </c>
      <c r="D5" s="289">
        <v>40000000</v>
      </c>
      <c r="E5" s="289">
        <v>40000000</v>
      </c>
      <c r="F5" s="289">
        <v>40000000</v>
      </c>
      <c r="G5" s="289">
        <v>40000000</v>
      </c>
      <c r="H5" s="289">
        <v>40000000</v>
      </c>
      <c r="I5" s="290">
        <f t="shared" si="1"/>
        <v>225000000</v>
      </c>
      <c r="J5" s="66"/>
      <c r="K5" s="35"/>
    </row>
    <row r="6" spans="1:12" ht="15.5" x14ac:dyDescent="0.25">
      <c r="A6" s="66"/>
      <c r="B6" s="343"/>
      <c r="C6" s="355" t="s">
        <v>468</v>
      </c>
      <c r="D6" s="289">
        <v>100000000</v>
      </c>
      <c r="E6" s="289">
        <v>100000000</v>
      </c>
      <c r="F6" s="289">
        <v>100000000</v>
      </c>
      <c r="G6" s="289">
        <v>100000000</v>
      </c>
      <c r="H6" s="289">
        <v>100000000</v>
      </c>
      <c r="I6" s="290">
        <f t="shared" si="1"/>
        <v>562500000</v>
      </c>
      <c r="J6" s="66"/>
      <c r="K6" s="35"/>
    </row>
    <row r="7" spans="1:12" ht="28" x14ac:dyDescent="0.25">
      <c r="A7" s="66"/>
      <c r="B7" s="343"/>
      <c r="C7" s="355" t="s">
        <v>478</v>
      </c>
      <c r="D7" s="289">
        <v>35000000</v>
      </c>
      <c r="E7" s="289">
        <v>35000000</v>
      </c>
      <c r="F7" s="289">
        <v>35000000</v>
      </c>
      <c r="G7" s="289">
        <v>35000000</v>
      </c>
      <c r="H7" s="289">
        <v>35000000</v>
      </c>
      <c r="I7" s="290">
        <f t="shared" si="1"/>
        <v>196875000</v>
      </c>
      <c r="J7" s="66"/>
      <c r="K7" s="35"/>
    </row>
    <row r="8" spans="1:12" ht="15.5" x14ac:dyDescent="0.25">
      <c r="A8" s="66"/>
      <c r="B8" s="343"/>
      <c r="C8" s="355" t="s">
        <v>487</v>
      </c>
      <c r="D8" s="289">
        <v>30000000</v>
      </c>
      <c r="E8" s="289">
        <v>40000000</v>
      </c>
      <c r="F8" s="289">
        <v>45000000</v>
      </c>
      <c r="G8" s="289">
        <v>50000000</v>
      </c>
      <c r="H8" s="289">
        <v>60000000</v>
      </c>
      <c r="I8" s="290">
        <f t="shared" si="1"/>
        <v>253125000</v>
      </c>
      <c r="J8" s="66"/>
      <c r="K8" s="35"/>
    </row>
    <row r="9" spans="1:12" ht="28" x14ac:dyDescent="0.25">
      <c r="A9" s="66"/>
      <c r="B9" s="343"/>
      <c r="C9" s="355" t="s">
        <v>496</v>
      </c>
      <c r="D9" s="289">
        <v>30000000</v>
      </c>
      <c r="E9" s="289">
        <v>30000000</v>
      </c>
      <c r="F9" s="289">
        <v>30000000</v>
      </c>
      <c r="G9" s="289">
        <v>30000000</v>
      </c>
      <c r="H9" s="289">
        <v>30000000</v>
      </c>
      <c r="I9" s="290">
        <f t="shared" si="1"/>
        <v>168750000</v>
      </c>
      <c r="J9" s="66"/>
      <c r="K9" s="35"/>
    </row>
    <row r="10" spans="1:12" ht="15.5" x14ac:dyDescent="0.25">
      <c r="A10" s="66"/>
      <c r="B10" s="347" t="s">
        <v>1055</v>
      </c>
      <c r="C10" s="355" t="s">
        <v>504</v>
      </c>
      <c r="D10" s="289">
        <v>30000000</v>
      </c>
      <c r="E10" s="289">
        <v>30000000</v>
      </c>
      <c r="F10" s="289">
        <v>30000000</v>
      </c>
      <c r="G10" s="289">
        <v>30000000</v>
      </c>
      <c r="H10" s="289">
        <v>30000000</v>
      </c>
      <c r="I10" s="290">
        <f t="shared" si="1"/>
        <v>168750000</v>
      </c>
      <c r="J10" s="66"/>
      <c r="K10" s="35"/>
    </row>
    <row r="11" spans="1:12" ht="42" x14ac:dyDescent="0.25">
      <c r="A11" s="66"/>
      <c r="B11" s="347" t="s">
        <v>1055</v>
      </c>
      <c r="C11" s="356" t="s">
        <v>513</v>
      </c>
      <c r="D11" s="289">
        <v>40000000</v>
      </c>
      <c r="E11" s="289">
        <v>100000000</v>
      </c>
      <c r="F11" s="289">
        <v>50000000</v>
      </c>
      <c r="G11" s="289">
        <v>75000000</v>
      </c>
      <c r="H11" s="289">
        <v>75000000</v>
      </c>
      <c r="I11" s="290">
        <f t="shared" si="1"/>
        <v>382500000</v>
      </c>
      <c r="J11" s="66"/>
      <c r="K11" s="35"/>
    </row>
    <row r="12" spans="1:12" ht="28" x14ac:dyDescent="0.25">
      <c r="A12" s="66"/>
      <c r="B12" s="343" t="str">
        <f>INDEX('Program M&amp;E Plan'!H$38:H$132,MATCH('Programme Implementation Plan'!C12,'Program M&amp;E Plan'!I$38:I$132,0))</f>
        <v>Positive perception of HWC improved</v>
      </c>
      <c r="C12" s="285" t="s">
        <v>314</v>
      </c>
      <c r="D12" s="291"/>
      <c r="E12" s="291"/>
      <c r="F12" s="291"/>
      <c r="G12" s="291"/>
      <c r="H12" s="291"/>
      <c r="I12" s="290">
        <f t="shared" si="1"/>
        <v>0</v>
      </c>
      <c r="J12" s="66"/>
      <c r="K12" s="35"/>
    </row>
    <row r="13" spans="1:12" ht="28" x14ac:dyDescent="0.25">
      <c r="A13" s="66"/>
      <c r="B13" s="343"/>
      <c r="C13" s="355" t="s">
        <v>522</v>
      </c>
      <c r="D13" s="289">
        <v>30000000</v>
      </c>
      <c r="E13" s="289">
        <v>30000000</v>
      </c>
      <c r="F13" s="289">
        <v>35000000</v>
      </c>
      <c r="G13" s="289">
        <v>40000000</v>
      </c>
      <c r="H13" s="289">
        <v>50000000</v>
      </c>
      <c r="I13" s="290">
        <f t="shared" si="1"/>
        <v>208125000</v>
      </c>
      <c r="J13" s="66"/>
      <c r="K13" s="35"/>
    </row>
    <row r="14" spans="1:12" ht="28" x14ac:dyDescent="0.25">
      <c r="A14" s="66"/>
      <c r="B14" s="343"/>
      <c r="C14" s="355" t="s">
        <v>530</v>
      </c>
      <c r="D14" s="289">
        <v>30000000</v>
      </c>
      <c r="E14" s="289">
        <v>30000000</v>
      </c>
      <c r="F14" s="289">
        <v>30000000</v>
      </c>
      <c r="G14" s="289">
        <v>30000000</v>
      </c>
      <c r="H14" s="289">
        <v>30000000</v>
      </c>
      <c r="I14" s="290">
        <f t="shared" si="1"/>
        <v>168750000</v>
      </c>
      <c r="J14" s="66"/>
      <c r="K14" s="35"/>
    </row>
    <row r="15" spans="1:12" ht="28" x14ac:dyDescent="0.25">
      <c r="A15" s="66"/>
      <c r="B15" s="343"/>
      <c r="C15" s="355" t="s">
        <v>539</v>
      </c>
      <c r="D15" s="289">
        <v>30000000</v>
      </c>
      <c r="E15" s="289">
        <v>30000000</v>
      </c>
      <c r="F15" s="289">
        <v>30000000</v>
      </c>
      <c r="G15" s="289">
        <v>30000000</v>
      </c>
      <c r="H15" s="289">
        <v>30000000</v>
      </c>
      <c r="I15" s="290">
        <f t="shared" si="1"/>
        <v>168750000</v>
      </c>
      <c r="J15" s="66"/>
      <c r="K15" s="35"/>
    </row>
    <row r="16" spans="1:12" ht="28" x14ac:dyDescent="0.25">
      <c r="A16" s="66"/>
      <c r="B16" s="343"/>
      <c r="C16" s="355" t="s">
        <v>548</v>
      </c>
      <c r="D16" s="289">
        <v>30000000</v>
      </c>
      <c r="E16" s="289">
        <v>30000000</v>
      </c>
      <c r="F16" s="289">
        <v>30000000</v>
      </c>
      <c r="G16" s="289">
        <v>30000000</v>
      </c>
      <c r="H16" s="289">
        <v>30000000</v>
      </c>
      <c r="I16" s="290">
        <f t="shared" si="1"/>
        <v>168750000</v>
      </c>
      <c r="J16" s="66"/>
      <c r="K16" s="35"/>
    </row>
    <row r="17" spans="1:12" ht="42" x14ac:dyDescent="0.25">
      <c r="A17" s="66"/>
      <c r="B17" s="343"/>
      <c r="C17" s="355" t="s">
        <v>558</v>
      </c>
      <c r="D17" s="289">
        <v>50000000</v>
      </c>
      <c r="E17" s="289">
        <v>75000000</v>
      </c>
      <c r="F17" s="289">
        <v>75000000</v>
      </c>
      <c r="G17" s="289">
        <v>75000000</v>
      </c>
      <c r="H17" s="289">
        <v>75000000</v>
      </c>
      <c r="I17" s="290">
        <f t="shared" si="1"/>
        <v>393750000</v>
      </c>
      <c r="J17" s="66"/>
      <c r="K17" s="35"/>
    </row>
    <row r="18" spans="1:12" s="295" customFormat="1" ht="15.5" x14ac:dyDescent="0.35">
      <c r="A18" s="292"/>
      <c r="B18" s="344"/>
      <c r="C18" s="293" t="s">
        <v>1056</v>
      </c>
      <c r="D18" s="294">
        <f t="shared" ref="D18:I18" si="2">SUM(D3:D17)</f>
        <v>605000000</v>
      </c>
      <c r="E18" s="294">
        <f t="shared" si="2"/>
        <v>610000000</v>
      </c>
      <c r="F18" s="294">
        <f t="shared" si="2"/>
        <v>655000000</v>
      </c>
      <c r="G18" s="294">
        <f t="shared" si="2"/>
        <v>640000000</v>
      </c>
      <c r="H18" s="294">
        <f t="shared" si="2"/>
        <v>710000000</v>
      </c>
      <c r="I18" s="294">
        <f t="shared" si="2"/>
        <v>3622500000</v>
      </c>
      <c r="J18" s="66"/>
      <c r="K18" s="35"/>
      <c r="L18"/>
    </row>
    <row r="19" spans="1:12" ht="28" x14ac:dyDescent="0.25">
      <c r="A19" s="66"/>
      <c r="B19" s="343" t="str">
        <f>INDEX('Program M&amp;E Plan'!H$38:H$132,MATCH('Programme Implementation Plan'!C19,'Program M&amp;E Plan'!I$38:I$132,0))</f>
        <v>Poaching reduced</v>
      </c>
      <c r="C19" s="286" t="s">
        <v>328</v>
      </c>
      <c r="D19" s="291"/>
      <c r="E19" s="291"/>
      <c r="F19" s="291"/>
      <c r="G19" s="291"/>
      <c r="H19" s="291"/>
      <c r="I19" s="290">
        <f t="shared" si="0"/>
        <v>0</v>
      </c>
      <c r="J19" s="66"/>
      <c r="K19" s="35"/>
    </row>
    <row r="20" spans="1:12" ht="42" x14ac:dyDescent="0.25">
      <c r="A20" s="66"/>
      <c r="B20" s="343"/>
      <c r="C20" s="355" t="s">
        <v>566</v>
      </c>
      <c r="D20" s="289">
        <v>75000000</v>
      </c>
      <c r="E20" s="289">
        <v>75000000</v>
      </c>
      <c r="F20" s="289">
        <v>75000000</v>
      </c>
      <c r="G20" s="289">
        <v>75000000</v>
      </c>
      <c r="H20" s="289">
        <v>75000000</v>
      </c>
      <c r="I20" s="290">
        <f t="shared" si="0"/>
        <v>421875000</v>
      </c>
      <c r="J20" s="66"/>
      <c r="K20" s="35"/>
    </row>
    <row r="21" spans="1:12" ht="28" x14ac:dyDescent="0.25">
      <c r="A21" s="66"/>
      <c r="B21" s="343"/>
      <c r="C21" s="355" t="s">
        <v>575</v>
      </c>
      <c r="D21" s="289">
        <v>100000000</v>
      </c>
      <c r="E21" s="289">
        <v>100000000</v>
      </c>
      <c r="F21" s="289">
        <v>120000000</v>
      </c>
      <c r="G21" s="289">
        <v>130000000</v>
      </c>
      <c r="H21" s="289">
        <v>150000000</v>
      </c>
      <c r="I21" s="290">
        <f t="shared" si="0"/>
        <v>675000000</v>
      </c>
      <c r="J21" s="66"/>
      <c r="K21" s="35"/>
    </row>
    <row r="22" spans="1:12" ht="28" x14ac:dyDescent="0.25">
      <c r="A22" s="66"/>
      <c r="B22" s="343"/>
      <c r="C22" s="355" t="s">
        <v>584</v>
      </c>
      <c r="D22" s="289">
        <v>50000000</v>
      </c>
      <c r="E22" s="289">
        <v>50000000</v>
      </c>
      <c r="F22" s="289">
        <v>50000000</v>
      </c>
      <c r="G22" s="289">
        <v>50000000</v>
      </c>
      <c r="H22" s="289">
        <v>50000000</v>
      </c>
      <c r="I22" s="290">
        <f t="shared" si="0"/>
        <v>281250000</v>
      </c>
      <c r="J22" s="66"/>
      <c r="K22" s="35"/>
    </row>
    <row r="23" spans="1:12" ht="42" x14ac:dyDescent="0.25">
      <c r="A23" s="66"/>
      <c r="B23" s="343"/>
      <c r="C23" s="355" t="s">
        <v>593</v>
      </c>
      <c r="D23" s="289">
        <v>50000000</v>
      </c>
      <c r="E23" s="289">
        <v>50000000</v>
      </c>
      <c r="F23" s="289">
        <v>50000000</v>
      </c>
      <c r="G23" s="289">
        <v>50000000</v>
      </c>
      <c r="H23" s="289">
        <v>50000000</v>
      </c>
      <c r="I23" s="290">
        <f t="shared" si="0"/>
        <v>281250000</v>
      </c>
      <c r="J23" s="66"/>
      <c r="K23" s="35"/>
    </row>
    <row r="24" spans="1:12" ht="28" x14ac:dyDescent="0.25">
      <c r="A24" s="66"/>
      <c r="B24" s="343"/>
      <c r="C24" s="355" t="s">
        <v>602</v>
      </c>
      <c r="D24" s="289">
        <v>50000000</v>
      </c>
      <c r="E24" s="289">
        <v>50000000</v>
      </c>
      <c r="F24" s="289">
        <v>50000000</v>
      </c>
      <c r="G24" s="289">
        <v>50000000</v>
      </c>
      <c r="H24" s="289">
        <v>50000000</v>
      </c>
      <c r="I24" s="290">
        <f t="shared" si="0"/>
        <v>281250000</v>
      </c>
      <c r="J24" s="66"/>
      <c r="K24" s="35"/>
    </row>
    <row r="25" spans="1:12" ht="28" x14ac:dyDescent="0.25">
      <c r="A25" s="66"/>
      <c r="B25" s="343"/>
      <c r="C25" s="355" t="s">
        <v>611</v>
      </c>
      <c r="D25" s="289">
        <v>50000000</v>
      </c>
      <c r="E25" s="289">
        <v>50000000</v>
      </c>
      <c r="F25" s="289">
        <v>50000000</v>
      </c>
      <c r="G25" s="289">
        <v>50000000</v>
      </c>
      <c r="H25" s="289">
        <v>50000000</v>
      </c>
      <c r="I25" s="290">
        <f t="shared" si="0"/>
        <v>281250000</v>
      </c>
      <c r="J25" s="66"/>
      <c r="K25" s="35"/>
    </row>
    <row r="26" spans="1:12" s="295" customFormat="1" ht="15.5" x14ac:dyDescent="0.35">
      <c r="A26" s="292"/>
      <c r="B26" s="344"/>
      <c r="C26" s="293" t="s">
        <v>1057</v>
      </c>
      <c r="D26" s="294">
        <f>SUM(D20:D25)</f>
        <v>375000000</v>
      </c>
      <c r="E26" s="294">
        <f t="shared" ref="E26:I26" si="3">SUM(E20:E25)</f>
        <v>375000000</v>
      </c>
      <c r="F26" s="294">
        <f t="shared" si="3"/>
        <v>395000000</v>
      </c>
      <c r="G26" s="294">
        <f t="shared" si="3"/>
        <v>405000000</v>
      </c>
      <c r="H26" s="294">
        <f t="shared" si="3"/>
        <v>425000000</v>
      </c>
      <c r="I26" s="294">
        <f t="shared" si="3"/>
        <v>2221875000</v>
      </c>
      <c r="J26" s="66"/>
      <c r="K26" s="35"/>
      <c r="L26"/>
    </row>
    <row r="27" spans="1:12" ht="28" x14ac:dyDescent="0.25">
      <c r="A27" s="66"/>
      <c r="B27" s="343" t="str">
        <f>INDEX('Program M&amp;E Plan'!H$38:H$132,MATCH('Programme Implementation Plan'!C27,'Program M&amp;E Plan'!I$38:I$132,0))</f>
        <v>Preyed on sea turtle nests reduced</v>
      </c>
      <c r="C27" s="286" t="s">
        <v>338</v>
      </c>
      <c r="D27" s="291"/>
      <c r="E27" s="291"/>
      <c r="F27" s="291"/>
      <c r="G27" s="291"/>
      <c r="H27" s="291"/>
      <c r="I27" s="290">
        <f t="shared" si="0"/>
        <v>0</v>
      </c>
      <c r="J27" s="66"/>
      <c r="K27" s="35"/>
    </row>
    <row r="28" spans="1:12" ht="42" x14ac:dyDescent="0.25">
      <c r="A28" s="66"/>
      <c r="B28" s="343"/>
      <c r="C28" s="355" t="s">
        <v>620</v>
      </c>
      <c r="D28" s="289">
        <v>40000000</v>
      </c>
      <c r="E28" s="289">
        <v>40000000</v>
      </c>
      <c r="F28" s="289">
        <v>40000000</v>
      </c>
      <c r="G28" s="289">
        <v>40000000</v>
      </c>
      <c r="H28" s="289">
        <v>40000000</v>
      </c>
      <c r="I28" s="290">
        <f t="shared" si="0"/>
        <v>225000000</v>
      </c>
      <c r="J28" s="66"/>
      <c r="K28" s="35"/>
    </row>
    <row r="29" spans="1:12" ht="28" x14ac:dyDescent="0.25">
      <c r="A29" s="66"/>
      <c r="B29" s="343"/>
      <c r="C29" s="355" t="s">
        <v>1058</v>
      </c>
      <c r="D29" s="289">
        <v>40000000</v>
      </c>
      <c r="E29" s="289">
        <v>40000000</v>
      </c>
      <c r="F29" s="289">
        <v>40000000</v>
      </c>
      <c r="G29" s="289">
        <v>40000000</v>
      </c>
      <c r="H29" s="289">
        <v>40000000</v>
      </c>
      <c r="I29" s="290">
        <f t="shared" si="0"/>
        <v>225000000</v>
      </c>
      <c r="J29" s="66"/>
      <c r="K29" s="35"/>
    </row>
    <row r="30" spans="1:12" s="302" customFormat="1" ht="15.5" x14ac:dyDescent="0.25">
      <c r="A30" s="66"/>
      <c r="B30" s="343"/>
      <c r="C30" s="355" t="s">
        <v>636</v>
      </c>
      <c r="D30" s="291">
        <v>30000000</v>
      </c>
      <c r="E30" s="291">
        <v>35000000</v>
      </c>
      <c r="F30" s="291">
        <v>40000000</v>
      </c>
      <c r="G30" s="291">
        <v>45000000</v>
      </c>
      <c r="H30" s="291">
        <v>50000000</v>
      </c>
      <c r="I30" s="290">
        <f t="shared" si="0"/>
        <v>225000000</v>
      </c>
      <c r="J30" s="66"/>
      <c r="K30" s="35"/>
      <c r="L30"/>
    </row>
    <row r="31" spans="1:12" s="302" customFormat="1" ht="28" x14ac:dyDescent="0.25">
      <c r="A31" s="66"/>
      <c r="B31" s="343"/>
      <c r="C31" s="355" t="s">
        <v>1059</v>
      </c>
      <c r="D31" s="291">
        <v>30000000</v>
      </c>
      <c r="E31" s="291">
        <v>35000000</v>
      </c>
      <c r="F31" s="291">
        <v>40000000</v>
      </c>
      <c r="G31" s="291">
        <v>45000000</v>
      </c>
      <c r="H31" s="291">
        <v>50000000</v>
      </c>
      <c r="I31" s="290">
        <f t="shared" si="0"/>
        <v>225000000</v>
      </c>
      <c r="J31" s="66"/>
      <c r="K31" s="35"/>
      <c r="L31"/>
    </row>
    <row r="32" spans="1:12" ht="15.5" x14ac:dyDescent="0.25">
      <c r="A32" s="66"/>
      <c r="B32" s="343"/>
      <c r="C32" s="355" t="s">
        <v>652</v>
      </c>
      <c r="D32" s="291">
        <v>20000000</v>
      </c>
      <c r="E32" s="291">
        <v>20000000</v>
      </c>
      <c r="F32" s="291">
        <v>20000000</v>
      </c>
      <c r="G32" s="291">
        <v>20000000</v>
      </c>
      <c r="H32" s="291">
        <v>20000000</v>
      </c>
      <c r="I32" s="290">
        <f t="shared" si="0"/>
        <v>112500000</v>
      </c>
      <c r="J32" s="66"/>
      <c r="K32" s="35"/>
    </row>
    <row r="33" spans="1:12" ht="15.5" x14ac:dyDescent="0.25">
      <c r="A33" s="66"/>
      <c r="B33" s="343"/>
      <c r="C33" s="355" t="s">
        <v>659</v>
      </c>
      <c r="D33" s="291">
        <v>20000000</v>
      </c>
      <c r="E33" s="291">
        <v>20000000</v>
      </c>
      <c r="F33" s="291">
        <v>20000000</v>
      </c>
      <c r="G33" s="291">
        <v>20000000</v>
      </c>
      <c r="H33" s="291">
        <v>20000000</v>
      </c>
      <c r="I33" s="290">
        <f t="shared" si="0"/>
        <v>112500000</v>
      </c>
      <c r="J33" s="66"/>
      <c r="K33" s="35"/>
    </row>
    <row r="34" spans="1:12" ht="28" x14ac:dyDescent="0.25">
      <c r="A34" s="66"/>
      <c r="B34" s="343"/>
      <c r="C34" s="355" t="s">
        <v>667</v>
      </c>
      <c r="D34" s="291">
        <v>20000000</v>
      </c>
      <c r="E34" s="291">
        <v>20000000</v>
      </c>
      <c r="F34" s="291">
        <v>20000000</v>
      </c>
      <c r="G34" s="291">
        <v>20000000</v>
      </c>
      <c r="H34" s="291">
        <v>20000000</v>
      </c>
      <c r="I34" s="290">
        <f t="shared" si="0"/>
        <v>112500000</v>
      </c>
      <c r="J34" s="66"/>
      <c r="K34" s="35"/>
    </row>
    <row r="35" spans="1:12" ht="28" x14ac:dyDescent="0.25">
      <c r="A35" s="66"/>
      <c r="B35" s="343" t="str">
        <f>INDEX('Program M&amp;E Plan'!H$38:H$132,MATCH('Programme Implementation Plan'!C35,'Program M&amp;E Plan'!I$38:I$132,0))</f>
        <v>Sea turtle nesting sites monitored</v>
      </c>
      <c r="C35" s="286" t="s">
        <v>347</v>
      </c>
      <c r="D35" s="291"/>
      <c r="E35" s="291"/>
      <c r="F35" s="291"/>
      <c r="G35" s="291"/>
      <c r="H35" s="291"/>
      <c r="I35" s="290">
        <f t="shared" si="0"/>
        <v>0</v>
      </c>
      <c r="J35" s="66"/>
      <c r="K35" s="35"/>
    </row>
    <row r="36" spans="1:12" ht="28" x14ac:dyDescent="0.25">
      <c r="A36" s="66"/>
      <c r="B36" s="343"/>
      <c r="C36" s="355" t="s">
        <v>675</v>
      </c>
      <c r="D36" s="289">
        <v>50000000</v>
      </c>
      <c r="E36" s="289">
        <v>50000000</v>
      </c>
      <c r="F36" s="289">
        <v>50000000</v>
      </c>
      <c r="G36" s="289">
        <v>50000000</v>
      </c>
      <c r="H36" s="289">
        <v>50000000</v>
      </c>
      <c r="I36" s="290">
        <f t="shared" si="0"/>
        <v>281250000</v>
      </c>
      <c r="J36" s="66"/>
      <c r="K36" s="35"/>
    </row>
    <row r="37" spans="1:12" ht="28" x14ac:dyDescent="0.25">
      <c r="A37" s="66"/>
      <c r="B37" s="343"/>
      <c r="C37" s="355" t="s">
        <v>683</v>
      </c>
      <c r="D37" s="289">
        <v>40000000</v>
      </c>
      <c r="E37" s="289">
        <v>40000000</v>
      </c>
      <c r="F37" s="289">
        <v>40000000</v>
      </c>
      <c r="G37" s="289">
        <v>40000000</v>
      </c>
      <c r="H37" s="289">
        <v>40000000</v>
      </c>
      <c r="I37" s="290">
        <f t="shared" si="0"/>
        <v>225000000</v>
      </c>
      <c r="J37" s="66"/>
      <c r="K37" s="35"/>
    </row>
    <row r="38" spans="1:12" s="302" customFormat="1" ht="28" x14ac:dyDescent="0.25">
      <c r="A38" s="66"/>
      <c r="B38" s="343"/>
      <c r="C38" s="355" t="s">
        <v>691</v>
      </c>
      <c r="D38" s="291">
        <v>40000000</v>
      </c>
      <c r="E38" s="291">
        <v>40000000</v>
      </c>
      <c r="F38" s="291">
        <v>40000000</v>
      </c>
      <c r="G38" s="291">
        <v>40000000</v>
      </c>
      <c r="H38" s="291">
        <v>40000000</v>
      </c>
      <c r="I38" s="290">
        <f t="shared" si="0"/>
        <v>225000000</v>
      </c>
      <c r="J38" s="66"/>
      <c r="K38" s="35"/>
      <c r="L38"/>
    </row>
    <row r="39" spans="1:12" ht="28" x14ac:dyDescent="0.25">
      <c r="A39" s="66"/>
      <c r="B39" s="343"/>
      <c r="C39" s="355" t="s">
        <v>699</v>
      </c>
      <c r="D39" s="289">
        <v>20000000</v>
      </c>
      <c r="E39" s="289">
        <v>40000000</v>
      </c>
      <c r="F39" s="289">
        <v>40000000</v>
      </c>
      <c r="G39" s="289">
        <v>40000000</v>
      </c>
      <c r="H39" s="289">
        <v>40000000</v>
      </c>
      <c r="I39" s="290">
        <f t="shared" si="0"/>
        <v>202500000</v>
      </c>
      <c r="J39" s="66"/>
      <c r="K39" s="35"/>
    </row>
    <row r="40" spans="1:12" ht="28" x14ac:dyDescent="0.25">
      <c r="A40" s="66"/>
      <c r="B40" s="343"/>
      <c r="C40" s="287" t="s">
        <v>707</v>
      </c>
      <c r="D40" s="289">
        <v>20000000</v>
      </c>
      <c r="E40" s="289">
        <v>40000000</v>
      </c>
      <c r="F40" s="289">
        <v>40000000</v>
      </c>
      <c r="G40" s="289">
        <v>40000000</v>
      </c>
      <c r="H40" s="289">
        <v>40000000</v>
      </c>
      <c r="I40" s="290">
        <f t="shared" si="0"/>
        <v>202500000</v>
      </c>
      <c r="J40" s="66"/>
      <c r="K40" s="35"/>
    </row>
    <row r="41" spans="1:12" s="304" customFormat="1" ht="28" x14ac:dyDescent="0.25">
      <c r="A41" s="303"/>
      <c r="B41" s="345"/>
      <c r="C41" s="287" t="s">
        <v>714</v>
      </c>
      <c r="D41" s="289">
        <v>20000000</v>
      </c>
      <c r="E41" s="289">
        <v>20000000</v>
      </c>
      <c r="F41" s="289">
        <v>20000000</v>
      </c>
      <c r="G41" s="289">
        <v>20000000</v>
      </c>
      <c r="H41" s="289">
        <v>20000000</v>
      </c>
      <c r="I41" s="290">
        <f t="shared" si="0"/>
        <v>112500000</v>
      </c>
      <c r="J41" s="66"/>
      <c r="K41" s="35"/>
      <c r="L41"/>
    </row>
    <row r="42" spans="1:12" s="295" customFormat="1" ht="15.5" x14ac:dyDescent="0.35">
      <c r="A42" s="292"/>
      <c r="B42" s="344"/>
      <c r="C42" s="293" t="s">
        <v>1060</v>
      </c>
      <c r="D42" s="294">
        <f t="shared" ref="D42:I42" si="4">SUM(D28:D41)</f>
        <v>390000000</v>
      </c>
      <c r="E42" s="294">
        <f t="shared" si="4"/>
        <v>440000000</v>
      </c>
      <c r="F42" s="294">
        <f t="shared" si="4"/>
        <v>450000000</v>
      </c>
      <c r="G42" s="294">
        <f t="shared" si="4"/>
        <v>460000000</v>
      </c>
      <c r="H42" s="294">
        <f t="shared" si="4"/>
        <v>470000000</v>
      </c>
      <c r="I42" s="294">
        <f t="shared" si="4"/>
        <v>2486250000</v>
      </c>
      <c r="J42" s="66"/>
      <c r="K42" s="35"/>
      <c r="L42"/>
    </row>
    <row r="43" spans="1:12" ht="43.15" customHeight="1" x14ac:dyDescent="0.25">
      <c r="A43" s="66"/>
      <c r="B43" s="343" t="str">
        <f>INDEX('Program M&amp;E Plan'!H$38:H$132,MATCH('Programme Implementation Plan'!C43,'Program M&amp;E Plan'!I$38:I$132,0))</f>
        <v>Management effectiveness of PAs improved</v>
      </c>
      <c r="C43" s="286" t="s">
        <v>355</v>
      </c>
      <c r="D43" s="291"/>
      <c r="E43" s="291"/>
      <c r="F43" s="291"/>
      <c r="G43" s="291"/>
      <c r="H43" s="291"/>
      <c r="I43" s="290">
        <f t="shared" si="0"/>
        <v>0</v>
      </c>
      <c r="J43" s="66"/>
      <c r="K43" s="35"/>
    </row>
    <row r="44" spans="1:12" ht="28" x14ac:dyDescent="0.25">
      <c r="A44" s="66"/>
      <c r="B44" s="343"/>
      <c r="C44" s="355" t="s">
        <v>720</v>
      </c>
      <c r="D44" s="289">
        <v>50000000</v>
      </c>
      <c r="E44" s="289">
        <v>75000000</v>
      </c>
      <c r="F44" s="289">
        <v>80000000</v>
      </c>
      <c r="G44" s="289">
        <v>85000000</v>
      </c>
      <c r="H44" s="289">
        <v>50000000</v>
      </c>
      <c r="I44" s="290">
        <f t="shared" si="0"/>
        <v>382500000</v>
      </c>
      <c r="J44" s="66"/>
      <c r="K44" s="35"/>
    </row>
    <row r="45" spans="1:12" ht="28" x14ac:dyDescent="0.25">
      <c r="A45" s="66"/>
      <c r="B45" s="343"/>
      <c r="C45" s="355" t="s">
        <v>726</v>
      </c>
      <c r="D45" s="289">
        <v>30000000</v>
      </c>
      <c r="E45" s="289">
        <v>30000000</v>
      </c>
      <c r="F45" s="289">
        <v>30000000</v>
      </c>
      <c r="G45" s="289">
        <v>30000000</v>
      </c>
      <c r="H45" s="289">
        <v>30000000</v>
      </c>
      <c r="I45" s="290">
        <f t="shared" si="0"/>
        <v>168750000</v>
      </c>
      <c r="J45" s="66"/>
      <c r="K45" s="35"/>
    </row>
    <row r="46" spans="1:12" ht="28" x14ac:dyDescent="0.25">
      <c r="A46" s="66"/>
      <c r="B46" s="343"/>
      <c r="C46" s="355" t="s">
        <v>733</v>
      </c>
      <c r="D46" s="289">
        <v>50000000</v>
      </c>
      <c r="E46" s="289">
        <v>60000000</v>
      </c>
      <c r="F46" s="289">
        <v>70000000</v>
      </c>
      <c r="G46" s="289">
        <v>80000000</v>
      </c>
      <c r="H46" s="289">
        <v>85000000</v>
      </c>
      <c r="I46" s="290">
        <f t="shared" si="0"/>
        <v>388125000</v>
      </c>
      <c r="J46" s="66"/>
      <c r="K46" s="35"/>
    </row>
    <row r="47" spans="1:12" ht="42" x14ac:dyDescent="0.25">
      <c r="A47" s="66"/>
      <c r="B47" s="343"/>
      <c r="C47" s="355" t="s">
        <v>1061</v>
      </c>
      <c r="D47" s="289">
        <v>30000000</v>
      </c>
      <c r="E47" s="289">
        <v>35000000</v>
      </c>
      <c r="F47" s="289">
        <v>40000000</v>
      </c>
      <c r="G47" s="289">
        <v>45000000</v>
      </c>
      <c r="H47" s="289">
        <v>50000000</v>
      </c>
      <c r="I47" s="290">
        <f t="shared" si="0"/>
        <v>225000000</v>
      </c>
      <c r="J47" s="66"/>
      <c r="K47" s="35"/>
    </row>
    <row r="48" spans="1:12" ht="28" x14ac:dyDescent="0.25">
      <c r="A48" s="66"/>
      <c r="B48" s="343"/>
      <c r="C48" s="355" t="s">
        <v>746</v>
      </c>
      <c r="D48" s="289">
        <v>100000000</v>
      </c>
      <c r="E48" s="289">
        <v>100000000</v>
      </c>
      <c r="F48" s="289">
        <v>100000000</v>
      </c>
      <c r="G48" s="289">
        <v>100000000</v>
      </c>
      <c r="H48" s="289">
        <v>100000000</v>
      </c>
      <c r="I48" s="290">
        <f t="shared" si="0"/>
        <v>562500000</v>
      </c>
      <c r="J48" s="66"/>
      <c r="K48" s="35"/>
    </row>
    <row r="49" spans="1:12" ht="42" x14ac:dyDescent="0.25">
      <c r="A49" s="66"/>
      <c r="B49" s="343"/>
      <c r="C49" s="355" t="s">
        <v>753</v>
      </c>
      <c r="D49" s="289">
        <v>30000000</v>
      </c>
      <c r="E49" s="289">
        <v>40000000</v>
      </c>
      <c r="F49" s="289">
        <v>45000000</v>
      </c>
      <c r="G49" s="289">
        <v>50000000</v>
      </c>
      <c r="H49" s="289">
        <v>55000000</v>
      </c>
      <c r="I49" s="290">
        <f t="shared" si="0"/>
        <v>247500000</v>
      </c>
      <c r="J49" s="66"/>
      <c r="K49" s="35"/>
    </row>
    <row r="50" spans="1:12" s="295" customFormat="1" ht="15.5" x14ac:dyDescent="0.35">
      <c r="A50" s="292"/>
      <c r="B50" s="344"/>
      <c r="C50" s="293" t="s">
        <v>1062</v>
      </c>
      <c r="D50" s="294">
        <f t="shared" ref="D50:I50" si="5">SUM(D44:D49)</f>
        <v>290000000</v>
      </c>
      <c r="E50" s="294">
        <f t="shared" si="5"/>
        <v>340000000</v>
      </c>
      <c r="F50" s="294">
        <f t="shared" si="5"/>
        <v>365000000</v>
      </c>
      <c r="G50" s="294">
        <f t="shared" si="5"/>
        <v>390000000</v>
      </c>
      <c r="H50" s="294">
        <f t="shared" si="5"/>
        <v>370000000</v>
      </c>
      <c r="I50" s="294">
        <f t="shared" si="5"/>
        <v>1974375000</v>
      </c>
      <c r="J50" s="66"/>
      <c r="K50" s="35"/>
      <c r="L50"/>
    </row>
    <row r="51" spans="1:12" ht="28" x14ac:dyDescent="0.25">
      <c r="A51" s="66"/>
      <c r="B51" s="343" t="str">
        <f>INDEX('Program M&amp;E Plan'!H$38:H$132,MATCH('Programme Implementation Plan'!C51,'Program M&amp;E Plan'!I$38:I$132,0))</f>
        <v>Zoonotic reduced</v>
      </c>
      <c r="C51" s="286" t="s">
        <v>760</v>
      </c>
      <c r="D51" s="291"/>
      <c r="E51" s="291"/>
      <c r="F51" s="291"/>
      <c r="G51" s="291"/>
      <c r="H51" s="291"/>
      <c r="I51" s="290">
        <f t="shared" si="0"/>
        <v>0</v>
      </c>
      <c r="J51" s="66"/>
      <c r="K51" s="35"/>
    </row>
    <row r="52" spans="1:12" ht="42" x14ac:dyDescent="0.25">
      <c r="A52" s="66"/>
      <c r="B52" s="343"/>
      <c r="C52" s="355" t="s">
        <v>761</v>
      </c>
      <c r="D52" s="289">
        <v>80000000</v>
      </c>
      <c r="E52" s="289">
        <v>90000000</v>
      </c>
      <c r="F52" s="289">
        <v>100000000</v>
      </c>
      <c r="G52" s="289">
        <v>110000000</v>
      </c>
      <c r="H52" s="289">
        <v>120000000</v>
      </c>
      <c r="I52" s="290">
        <f t="shared" si="0"/>
        <v>562500000</v>
      </c>
      <c r="J52" s="66"/>
      <c r="K52" s="35"/>
    </row>
    <row r="53" spans="1:12" ht="42" x14ac:dyDescent="0.25">
      <c r="A53" s="66"/>
      <c r="B53" s="343"/>
      <c r="C53" s="355" t="s">
        <v>768</v>
      </c>
      <c r="D53" s="289">
        <v>30000000</v>
      </c>
      <c r="E53" s="289">
        <v>30000000</v>
      </c>
      <c r="F53" s="289">
        <v>30000000</v>
      </c>
      <c r="G53" s="289">
        <v>30000000</v>
      </c>
      <c r="H53" s="289">
        <v>30000000</v>
      </c>
      <c r="I53" s="290">
        <f t="shared" si="0"/>
        <v>168750000</v>
      </c>
      <c r="J53" s="66"/>
      <c r="K53" s="35"/>
    </row>
    <row r="54" spans="1:12" ht="28" x14ac:dyDescent="0.25">
      <c r="A54" s="66"/>
      <c r="B54" s="343"/>
      <c r="C54" s="355" t="s">
        <v>775</v>
      </c>
      <c r="D54" s="289">
        <v>30000000</v>
      </c>
      <c r="E54" s="289">
        <v>40000000</v>
      </c>
      <c r="F54" s="289">
        <v>50000000</v>
      </c>
      <c r="G54" s="289">
        <v>60000000</v>
      </c>
      <c r="H54" s="289">
        <v>70000000</v>
      </c>
      <c r="I54" s="290">
        <f t="shared" si="0"/>
        <v>281250000</v>
      </c>
      <c r="J54" s="66"/>
      <c r="K54" s="35"/>
    </row>
    <row r="55" spans="1:12" ht="28" x14ac:dyDescent="0.25">
      <c r="A55" s="66"/>
      <c r="B55" s="343"/>
      <c r="C55" s="355" t="s">
        <v>783</v>
      </c>
      <c r="D55" s="289">
        <v>30000000</v>
      </c>
      <c r="E55" s="289">
        <v>30000000</v>
      </c>
      <c r="F55" s="289">
        <v>30000000</v>
      </c>
      <c r="G55" s="289">
        <v>30000000</v>
      </c>
      <c r="H55" s="289">
        <v>30000000</v>
      </c>
      <c r="I55" s="290">
        <f t="shared" si="0"/>
        <v>168750000</v>
      </c>
      <c r="J55" s="66"/>
      <c r="K55" s="35"/>
    </row>
    <row r="56" spans="1:12" ht="42" x14ac:dyDescent="0.25">
      <c r="A56" s="66"/>
      <c r="B56" s="343"/>
      <c r="C56" s="355" t="s">
        <v>790</v>
      </c>
      <c r="D56" s="289">
        <v>30000000</v>
      </c>
      <c r="E56" s="289">
        <v>30000000</v>
      </c>
      <c r="F56" s="289">
        <v>30000000</v>
      </c>
      <c r="G56" s="289">
        <v>30000000</v>
      </c>
      <c r="H56" s="289">
        <v>30000000</v>
      </c>
      <c r="I56" s="290">
        <f t="shared" si="0"/>
        <v>168750000</v>
      </c>
      <c r="J56" s="66"/>
      <c r="K56" s="35"/>
    </row>
    <row r="57" spans="1:12" ht="56" x14ac:dyDescent="0.25">
      <c r="A57" s="66"/>
      <c r="B57" s="343"/>
      <c r="C57" s="355" t="s">
        <v>797</v>
      </c>
      <c r="D57" s="289">
        <v>30000000</v>
      </c>
      <c r="E57" s="289">
        <v>30000000</v>
      </c>
      <c r="F57" s="289">
        <v>30000000</v>
      </c>
      <c r="G57" s="289">
        <v>30000000</v>
      </c>
      <c r="H57" s="289">
        <v>30000000</v>
      </c>
      <c r="I57" s="290">
        <f t="shared" si="0"/>
        <v>168750000</v>
      </c>
      <c r="J57" s="66"/>
      <c r="K57" s="35"/>
    </row>
    <row r="58" spans="1:12" s="295" customFormat="1" ht="15.5" x14ac:dyDescent="0.35">
      <c r="A58" s="292"/>
      <c r="B58" s="344"/>
      <c r="C58" s="293" t="s">
        <v>1063</v>
      </c>
      <c r="D58" s="294">
        <f t="shared" ref="D58:I58" si="6">SUM(D52:D57)</f>
        <v>230000000</v>
      </c>
      <c r="E58" s="294">
        <f t="shared" si="6"/>
        <v>250000000</v>
      </c>
      <c r="F58" s="294">
        <f t="shared" si="6"/>
        <v>270000000</v>
      </c>
      <c r="G58" s="294">
        <f t="shared" si="6"/>
        <v>290000000</v>
      </c>
      <c r="H58" s="294">
        <f t="shared" si="6"/>
        <v>310000000</v>
      </c>
      <c r="I58" s="294">
        <f t="shared" si="6"/>
        <v>1518750000</v>
      </c>
      <c r="J58" s="66"/>
      <c r="K58" s="35"/>
      <c r="L58"/>
    </row>
    <row r="59" spans="1:12" ht="28" x14ac:dyDescent="0.25">
      <c r="A59" s="66"/>
      <c r="B59" s="343" t="str">
        <f>INDEX('Program M&amp;E Plan'!H$38:H$132,MATCH('Programme Implementation Plan'!C59,'Program M&amp;E Plan'!I$38:I$132,0))</f>
        <v>Community hunting zones  managed</v>
      </c>
      <c r="C59" s="286" t="s">
        <v>376</v>
      </c>
      <c r="D59" s="291"/>
      <c r="E59" s="291"/>
      <c r="F59" s="291"/>
      <c r="G59" s="291"/>
      <c r="H59" s="291"/>
      <c r="I59" s="290">
        <f t="shared" si="0"/>
        <v>0</v>
      </c>
      <c r="J59" s="66"/>
      <c r="K59" s="35"/>
    </row>
    <row r="60" spans="1:12" ht="28" x14ac:dyDescent="0.25">
      <c r="A60" s="66"/>
      <c r="B60" s="343"/>
      <c r="C60" s="355" t="s">
        <v>805</v>
      </c>
      <c r="D60" s="289">
        <v>30000000</v>
      </c>
      <c r="E60" s="289">
        <v>30000000</v>
      </c>
      <c r="F60" s="289">
        <v>30000000</v>
      </c>
      <c r="G60" s="289">
        <v>30000000</v>
      </c>
      <c r="H60" s="289">
        <v>30000000</v>
      </c>
      <c r="I60" s="290">
        <f t="shared" si="0"/>
        <v>168750000</v>
      </c>
      <c r="J60" s="66"/>
      <c r="K60" s="35"/>
    </row>
    <row r="61" spans="1:12" ht="42" x14ac:dyDescent="0.25">
      <c r="A61" s="66"/>
      <c r="B61" s="343"/>
      <c r="C61" s="355" t="s">
        <v>812</v>
      </c>
      <c r="D61" s="289">
        <v>30000000</v>
      </c>
      <c r="E61" s="289">
        <v>30000000</v>
      </c>
      <c r="F61" s="289">
        <v>30000000</v>
      </c>
      <c r="G61" s="289">
        <v>30000000</v>
      </c>
      <c r="H61" s="289">
        <v>30000000</v>
      </c>
      <c r="I61" s="290">
        <f t="shared" si="0"/>
        <v>168750000</v>
      </c>
      <c r="J61" s="66"/>
      <c r="K61" s="35"/>
    </row>
    <row r="62" spans="1:12" ht="28" x14ac:dyDescent="0.25">
      <c r="A62" s="66"/>
      <c r="B62" s="343"/>
      <c r="C62" s="355" t="s">
        <v>820</v>
      </c>
      <c r="D62" s="289">
        <v>30000000</v>
      </c>
      <c r="E62" s="289">
        <v>30000000</v>
      </c>
      <c r="F62" s="289">
        <v>30000000</v>
      </c>
      <c r="G62" s="289">
        <v>30000000</v>
      </c>
      <c r="H62" s="289">
        <v>30000000</v>
      </c>
      <c r="I62" s="290">
        <f t="shared" si="0"/>
        <v>168750000</v>
      </c>
      <c r="J62" s="66"/>
      <c r="K62" s="35"/>
    </row>
    <row r="63" spans="1:12" ht="110.5" customHeight="1" x14ac:dyDescent="0.25">
      <c r="A63" s="66"/>
      <c r="B63" s="343"/>
      <c r="C63" s="355" t="s">
        <v>828</v>
      </c>
      <c r="D63" s="289">
        <v>30000000</v>
      </c>
      <c r="E63" s="289">
        <v>30000000</v>
      </c>
      <c r="F63" s="289">
        <v>30000000</v>
      </c>
      <c r="G63" s="289">
        <v>30000000</v>
      </c>
      <c r="H63" s="289">
        <v>30000000</v>
      </c>
      <c r="I63" s="290">
        <f t="shared" si="0"/>
        <v>168750000</v>
      </c>
      <c r="J63" s="66"/>
      <c r="K63" s="35"/>
    </row>
    <row r="64" spans="1:12" ht="42" x14ac:dyDescent="0.25">
      <c r="A64" s="66"/>
      <c r="B64" s="343"/>
      <c r="C64" s="355" t="s">
        <v>834</v>
      </c>
      <c r="D64" s="289">
        <v>20000000</v>
      </c>
      <c r="E64" s="289">
        <v>20000000</v>
      </c>
      <c r="F64" s="289">
        <v>20000000</v>
      </c>
      <c r="G64" s="289">
        <v>20000000</v>
      </c>
      <c r="H64" s="289">
        <v>20000000</v>
      </c>
      <c r="I64" s="290">
        <f t="shared" si="0"/>
        <v>112500000</v>
      </c>
      <c r="J64" s="66"/>
      <c r="K64" s="35"/>
    </row>
    <row r="65" spans="1:17" s="295" customFormat="1" ht="15.5" x14ac:dyDescent="0.35">
      <c r="A65" s="292"/>
      <c r="B65" s="344"/>
      <c r="C65" s="293" t="s">
        <v>1064</v>
      </c>
      <c r="D65" s="294">
        <f t="shared" ref="D65:I65" si="7">SUM(D60:D64)</f>
        <v>140000000</v>
      </c>
      <c r="E65" s="294">
        <f t="shared" si="7"/>
        <v>140000000</v>
      </c>
      <c r="F65" s="294">
        <f t="shared" si="7"/>
        <v>140000000</v>
      </c>
      <c r="G65" s="294">
        <f t="shared" si="7"/>
        <v>140000000</v>
      </c>
      <c r="H65" s="294">
        <f t="shared" si="7"/>
        <v>140000000</v>
      </c>
      <c r="I65" s="294">
        <f t="shared" si="7"/>
        <v>787500000</v>
      </c>
      <c r="J65" s="66"/>
      <c r="K65" s="35"/>
      <c r="L65"/>
    </row>
    <row r="66" spans="1:17" ht="28" x14ac:dyDescent="0.25">
      <c r="A66" s="66"/>
      <c r="B66" s="343" t="str">
        <f>INDEX('Program M&amp;E Plan'!H$38:H$132,MATCH('Programme Implementation Plan'!C66,'Program M&amp;E Plan'!I$38:I$132,0))</f>
        <v>Conservation related complaints reduce</v>
      </c>
      <c r="C66" s="286" t="s">
        <v>388</v>
      </c>
      <c r="D66" s="291"/>
      <c r="E66" s="291"/>
      <c r="F66" s="291"/>
      <c r="G66" s="291"/>
      <c r="H66" s="291"/>
      <c r="I66" s="290">
        <f t="shared" si="0"/>
        <v>0</v>
      </c>
      <c r="J66" s="66"/>
      <c r="K66" s="35"/>
    </row>
    <row r="67" spans="1:17" ht="28" x14ac:dyDescent="0.25">
      <c r="A67" s="66"/>
      <c r="B67" s="343"/>
      <c r="C67" s="355" t="s">
        <v>840</v>
      </c>
      <c r="D67" s="289">
        <v>20000000</v>
      </c>
      <c r="E67" s="289">
        <v>20000000</v>
      </c>
      <c r="F67" s="289">
        <v>20000000</v>
      </c>
      <c r="G67" s="289">
        <v>20000000</v>
      </c>
      <c r="H67" s="289">
        <v>20000000</v>
      </c>
      <c r="I67" s="290">
        <f t="shared" si="0"/>
        <v>112500000</v>
      </c>
      <c r="J67" s="66"/>
      <c r="K67" s="35"/>
      <c r="M67" s="354"/>
      <c r="N67" s="354"/>
      <c r="O67" s="354"/>
      <c r="P67" s="354"/>
      <c r="Q67" s="354"/>
    </row>
    <row r="68" spans="1:17" ht="42" x14ac:dyDescent="0.25">
      <c r="A68" s="66"/>
      <c r="B68" s="343"/>
      <c r="C68" s="355" t="s">
        <v>847</v>
      </c>
      <c r="D68" s="289">
        <v>30000000</v>
      </c>
      <c r="E68" s="289">
        <v>30000000</v>
      </c>
      <c r="F68" s="289">
        <v>30000000</v>
      </c>
      <c r="G68" s="289">
        <v>30000000</v>
      </c>
      <c r="H68" s="289">
        <v>30000000</v>
      </c>
      <c r="I68" s="290">
        <f t="shared" si="0"/>
        <v>168750000</v>
      </c>
      <c r="J68" s="66"/>
      <c r="K68" s="35"/>
      <c r="M68" s="354"/>
      <c r="N68" s="354"/>
      <c r="O68" s="354"/>
      <c r="P68" s="354"/>
      <c r="Q68" s="354"/>
    </row>
    <row r="69" spans="1:17" ht="28" x14ac:dyDescent="0.25">
      <c r="A69" s="66"/>
      <c r="B69" s="343"/>
      <c r="C69" s="355" t="s">
        <v>854</v>
      </c>
      <c r="D69" s="289">
        <v>40000000</v>
      </c>
      <c r="E69" s="289">
        <v>40000000</v>
      </c>
      <c r="F69" s="289">
        <v>40000000</v>
      </c>
      <c r="G69" s="289">
        <v>40000000</v>
      </c>
      <c r="H69" s="289">
        <v>40000000</v>
      </c>
      <c r="I69" s="290">
        <f t="shared" si="0"/>
        <v>225000000</v>
      </c>
      <c r="J69" s="66"/>
      <c r="K69" s="35"/>
      <c r="M69" s="354"/>
      <c r="N69" s="354"/>
      <c r="O69" s="354"/>
      <c r="P69" s="354"/>
      <c r="Q69" s="354"/>
    </row>
    <row r="70" spans="1:17" ht="42" x14ac:dyDescent="0.25">
      <c r="A70" s="66"/>
      <c r="B70" s="343"/>
      <c r="C70" s="355" t="s">
        <v>861</v>
      </c>
      <c r="D70" s="289">
        <v>20000000</v>
      </c>
      <c r="E70" s="289">
        <v>20000000</v>
      </c>
      <c r="F70" s="289">
        <v>20000000</v>
      </c>
      <c r="G70" s="289">
        <v>20000000</v>
      </c>
      <c r="H70" s="289">
        <v>20000000</v>
      </c>
      <c r="I70" s="290">
        <f t="shared" si="0"/>
        <v>112500000</v>
      </c>
      <c r="J70" s="66"/>
      <c r="K70" s="35"/>
      <c r="M70" s="354"/>
      <c r="N70" s="354"/>
      <c r="O70" s="354"/>
      <c r="P70" s="354"/>
      <c r="Q70" s="354"/>
    </row>
    <row r="71" spans="1:17" ht="42" x14ac:dyDescent="0.25">
      <c r="A71" s="66"/>
      <c r="B71" s="343"/>
      <c r="C71" s="355" t="s">
        <v>868</v>
      </c>
      <c r="D71" s="289">
        <v>20000000</v>
      </c>
      <c r="E71" s="289">
        <v>20000000</v>
      </c>
      <c r="F71" s="289">
        <v>20000000</v>
      </c>
      <c r="G71" s="289">
        <v>20000000</v>
      </c>
      <c r="H71" s="289">
        <v>20000000</v>
      </c>
      <c r="I71" s="290">
        <f t="shared" si="0"/>
        <v>112500000</v>
      </c>
      <c r="J71" s="66"/>
      <c r="K71" s="35"/>
      <c r="M71" s="354"/>
      <c r="N71" s="354"/>
      <c r="O71" s="354"/>
      <c r="P71" s="354"/>
      <c r="Q71" s="354"/>
    </row>
    <row r="72" spans="1:17" s="295" customFormat="1" ht="15.5" x14ac:dyDescent="0.35">
      <c r="A72" s="292"/>
      <c r="B72" s="344"/>
      <c r="C72" s="293" t="s">
        <v>1065</v>
      </c>
      <c r="D72" s="294">
        <f t="shared" ref="D72:I72" si="8">SUM(D67:D71)</f>
        <v>130000000</v>
      </c>
      <c r="E72" s="294">
        <f t="shared" si="8"/>
        <v>130000000</v>
      </c>
      <c r="F72" s="294">
        <f t="shared" si="8"/>
        <v>130000000</v>
      </c>
      <c r="G72" s="294">
        <f t="shared" si="8"/>
        <v>130000000</v>
      </c>
      <c r="H72" s="294">
        <f t="shared" si="8"/>
        <v>130000000</v>
      </c>
      <c r="I72" s="294">
        <f t="shared" si="8"/>
        <v>731250000</v>
      </c>
      <c r="J72" s="66"/>
      <c r="K72" s="35"/>
      <c r="L72"/>
    </row>
    <row r="73" spans="1:17" ht="50.5" customHeight="1" x14ac:dyDescent="0.25">
      <c r="A73" s="66"/>
      <c r="B73" s="343" t="str">
        <f>INDEX('Program M&amp;E Plan'!H$38:H$132,MATCH('Programme Implementation Plan'!C73,'Program M&amp;E Plan'!I$38:I$132,0))</f>
        <v>IPLC positive perception towards conservation</v>
      </c>
      <c r="C73" s="286" t="s">
        <v>401</v>
      </c>
      <c r="D73" s="291"/>
      <c r="E73" s="291"/>
      <c r="F73" s="291"/>
      <c r="G73" s="291"/>
      <c r="H73" s="291"/>
      <c r="I73" s="290">
        <f t="shared" si="0"/>
        <v>0</v>
      </c>
      <c r="J73" s="66"/>
      <c r="K73" s="35"/>
    </row>
    <row r="74" spans="1:17" ht="28" x14ac:dyDescent="0.25">
      <c r="A74" s="66"/>
      <c r="B74" s="343"/>
      <c r="C74" s="355" t="s">
        <v>874</v>
      </c>
      <c r="D74" s="289">
        <v>20000000</v>
      </c>
      <c r="E74" s="289">
        <v>20000000</v>
      </c>
      <c r="F74" s="289">
        <v>20000000</v>
      </c>
      <c r="G74" s="289">
        <v>20000000</v>
      </c>
      <c r="H74" s="289">
        <v>20000000</v>
      </c>
      <c r="I74" s="290">
        <f t="shared" si="0"/>
        <v>112500000</v>
      </c>
      <c r="J74" s="66"/>
      <c r="K74" s="35"/>
    </row>
    <row r="75" spans="1:17" ht="56" x14ac:dyDescent="0.25">
      <c r="A75" s="66"/>
      <c r="B75" s="343"/>
      <c r="C75" s="355" t="s">
        <v>881</v>
      </c>
      <c r="D75" s="289">
        <v>20000000</v>
      </c>
      <c r="E75" s="289">
        <v>20000000</v>
      </c>
      <c r="F75" s="289">
        <v>20000000</v>
      </c>
      <c r="G75" s="289">
        <v>20000000</v>
      </c>
      <c r="H75" s="289">
        <v>20000000</v>
      </c>
      <c r="I75" s="290">
        <f t="shared" si="0"/>
        <v>112500000</v>
      </c>
      <c r="J75" s="66"/>
      <c r="K75" s="35"/>
    </row>
    <row r="76" spans="1:17" s="302" customFormat="1" ht="42" x14ac:dyDescent="0.25">
      <c r="A76" s="66"/>
      <c r="B76" s="343"/>
      <c r="C76" s="355" t="s">
        <v>889</v>
      </c>
      <c r="D76" s="291">
        <v>40000000</v>
      </c>
      <c r="E76" s="291">
        <v>40000000</v>
      </c>
      <c r="F76" s="291">
        <v>40000000</v>
      </c>
      <c r="G76" s="291">
        <v>40000000</v>
      </c>
      <c r="H76" s="291">
        <v>40000000</v>
      </c>
      <c r="I76" s="290">
        <f t="shared" si="0"/>
        <v>225000000</v>
      </c>
      <c r="J76" s="66"/>
      <c r="K76" s="35"/>
      <c r="L76"/>
    </row>
    <row r="77" spans="1:17" s="295" customFormat="1" ht="15.5" x14ac:dyDescent="0.35">
      <c r="A77" s="292"/>
      <c r="B77" s="344"/>
      <c r="C77" s="293" t="s">
        <v>1066</v>
      </c>
      <c r="D77" s="294">
        <f t="shared" ref="D77:I77" si="9">SUM(D74:D76)</f>
        <v>80000000</v>
      </c>
      <c r="E77" s="294">
        <f t="shared" si="9"/>
        <v>80000000</v>
      </c>
      <c r="F77" s="294">
        <f t="shared" si="9"/>
        <v>80000000</v>
      </c>
      <c r="G77" s="294">
        <f t="shared" si="9"/>
        <v>80000000</v>
      </c>
      <c r="H77" s="294">
        <f t="shared" si="9"/>
        <v>80000000</v>
      </c>
      <c r="I77" s="294">
        <f t="shared" si="9"/>
        <v>450000000</v>
      </c>
      <c r="J77" s="66"/>
      <c r="K77" s="35"/>
      <c r="L77"/>
    </row>
    <row r="78" spans="1:17" ht="28" x14ac:dyDescent="0.25">
      <c r="A78" s="66"/>
      <c r="B78" s="343" t="str">
        <f>INDEX('Program M&amp;E Plan'!H$38:H$132,MATCH('Programme Implementation Plan'!C78,'Program M&amp;E Plan'!I$38:I$132,0))</f>
        <v>Household income increased</v>
      </c>
      <c r="C78" s="282" t="s">
        <v>896</v>
      </c>
      <c r="D78" s="291"/>
      <c r="E78" s="291"/>
      <c r="F78" s="291"/>
      <c r="G78" s="291"/>
      <c r="H78" s="291"/>
      <c r="I78" s="290">
        <f t="shared" si="0"/>
        <v>0</v>
      </c>
      <c r="J78" s="66"/>
      <c r="K78" s="35"/>
    </row>
    <row r="79" spans="1:17" ht="28" x14ac:dyDescent="0.25">
      <c r="A79" s="66"/>
      <c r="B79" s="343"/>
      <c r="C79" s="357" t="s">
        <v>897</v>
      </c>
      <c r="D79" s="289">
        <v>25000000</v>
      </c>
      <c r="E79" s="289">
        <v>25000000</v>
      </c>
      <c r="F79" s="289">
        <v>10000000</v>
      </c>
      <c r="G79" s="289">
        <v>0</v>
      </c>
      <c r="H79" s="289">
        <v>10000000</v>
      </c>
      <c r="I79" s="290">
        <f t="shared" si="0"/>
        <v>78750000</v>
      </c>
      <c r="J79" s="66"/>
      <c r="K79" s="35"/>
    </row>
    <row r="80" spans="1:17" ht="42" x14ac:dyDescent="0.25">
      <c r="A80" s="66"/>
      <c r="B80" s="343"/>
      <c r="C80" s="357" t="s">
        <v>905</v>
      </c>
      <c r="D80" s="289">
        <v>25000000</v>
      </c>
      <c r="E80" s="289">
        <v>25000000</v>
      </c>
      <c r="F80" s="289">
        <v>25000000</v>
      </c>
      <c r="G80" s="289">
        <v>25000000</v>
      </c>
      <c r="H80" s="289">
        <v>25000000</v>
      </c>
      <c r="I80" s="290">
        <f t="shared" si="0"/>
        <v>140625000</v>
      </c>
      <c r="J80" s="66"/>
      <c r="K80" s="35"/>
    </row>
    <row r="81" spans="1:12" ht="42" x14ac:dyDescent="0.25">
      <c r="A81" s="66"/>
      <c r="B81" s="343"/>
      <c r="C81" s="357" t="s">
        <v>912</v>
      </c>
      <c r="D81" s="289">
        <v>75000000</v>
      </c>
      <c r="E81" s="289">
        <v>100000000</v>
      </c>
      <c r="F81" s="289">
        <v>120000000</v>
      </c>
      <c r="G81" s="289">
        <v>130000000</v>
      </c>
      <c r="H81" s="289">
        <v>150000000</v>
      </c>
      <c r="I81" s="290">
        <f t="shared" si="0"/>
        <v>646875000</v>
      </c>
      <c r="J81" s="66"/>
      <c r="K81" s="35"/>
    </row>
    <row r="82" spans="1:12" ht="56" x14ac:dyDescent="0.25">
      <c r="A82" s="66"/>
      <c r="B82" s="343"/>
      <c r="C82" s="357" t="s">
        <v>920</v>
      </c>
      <c r="D82" s="289">
        <v>25000000</v>
      </c>
      <c r="E82" s="289">
        <v>25000000</v>
      </c>
      <c r="F82" s="289">
        <v>25000000</v>
      </c>
      <c r="G82" s="289">
        <v>25000000</v>
      </c>
      <c r="H82" s="289">
        <v>25000000</v>
      </c>
      <c r="I82" s="290">
        <f t="shared" si="0"/>
        <v>140625000</v>
      </c>
      <c r="J82" s="66"/>
      <c r="K82" s="35"/>
    </row>
    <row r="83" spans="1:12" ht="56" x14ac:dyDescent="0.25">
      <c r="A83" s="66"/>
      <c r="B83" s="343"/>
      <c r="C83" s="357" t="s">
        <v>928</v>
      </c>
      <c r="D83" s="289">
        <v>25000000</v>
      </c>
      <c r="E83" s="289">
        <v>25000000</v>
      </c>
      <c r="F83" s="289">
        <v>25000000</v>
      </c>
      <c r="G83" s="289">
        <v>25000000</v>
      </c>
      <c r="H83" s="289">
        <v>20000000</v>
      </c>
      <c r="I83" s="290">
        <f t="shared" si="0"/>
        <v>135000000</v>
      </c>
      <c r="J83" s="66"/>
      <c r="K83" s="35"/>
    </row>
    <row r="84" spans="1:12" ht="42" x14ac:dyDescent="0.25">
      <c r="A84" s="66"/>
      <c r="B84" s="343"/>
      <c r="C84" s="357" t="s">
        <v>936</v>
      </c>
      <c r="D84" s="289">
        <v>30000000</v>
      </c>
      <c r="E84" s="289">
        <v>50000000</v>
      </c>
      <c r="F84" s="289">
        <v>70000000</v>
      </c>
      <c r="G84" s="289">
        <v>80000000</v>
      </c>
      <c r="H84" s="289">
        <v>100000000</v>
      </c>
      <c r="I84" s="290">
        <f t="shared" si="0"/>
        <v>371250000</v>
      </c>
      <c r="J84" s="66"/>
      <c r="K84" s="35"/>
    </row>
    <row r="85" spans="1:12" ht="28" x14ac:dyDescent="0.25">
      <c r="A85" s="66"/>
      <c r="B85" s="343"/>
      <c r="C85" s="357" t="s">
        <v>943</v>
      </c>
      <c r="D85" s="289">
        <v>30000000</v>
      </c>
      <c r="E85" s="289">
        <v>30000000</v>
      </c>
      <c r="F85" s="289">
        <v>30000000</v>
      </c>
      <c r="G85" s="289">
        <v>30000000</v>
      </c>
      <c r="H85" s="289">
        <v>30000000</v>
      </c>
      <c r="I85" s="290">
        <f t="shared" si="0"/>
        <v>168750000</v>
      </c>
      <c r="J85" s="66"/>
      <c r="K85" s="35"/>
    </row>
    <row r="86" spans="1:12" ht="28" x14ac:dyDescent="0.25">
      <c r="A86" s="66"/>
      <c r="B86" s="343"/>
      <c r="C86" s="357" t="s">
        <v>946</v>
      </c>
      <c r="D86" s="289">
        <v>30000000</v>
      </c>
      <c r="E86" s="289">
        <v>30000000</v>
      </c>
      <c r="F86" s="289">
        <v>30000000</v>
      </c>
      <c r="G86" s="289">
        <v>30000000</v>
      </c>
      <c r="H86" s="289">
        <v>30000000</v>
      </c>
      <c r="I86" s="290">
        <f t="shared" si="0"/>
        <v>168750000</v>
      </c>
      <c r="J86" s="66"/>
      <c r="K86" s="35"/>
    </row>
    <row r="87" spans="1:12" ht="56" x14ac:dyDescent="0.25">
      <c r="A87" s="66"/>
      <c r="B87" s="343"/>
      <c r="C87" s="357" t="s">
        <v>954</v>
      </c>
      <c r="D87" s="289">
        <v>20000000</v>
      </c>
      <c r="E87" s="289">
        <v>20000000</v>
      </c>
      <c r="F87" s="289">
        <v>20000000</v>
      </c>
      <c r="G87" s="289">
        <v>20000000</v>
      </c>
      <c r="H87" s="289">
        <v>20000000</v>
      </c>
      <c r="I87" s="290">
        <f t="shared" si="0"/>
        <v>112500000</v>
      </c>
      <c r="J87" s="66"/>
      <c r="K87" s="35"/>
    </row>
    <row r="88" spans="1:12" s="295" customFormat="1" ht="15.5" x14ac:dyDescent="0.35">
      <c r="A88" s="292"/>
      <c r="B88" s="344"/>
      <c r="C88" s="293" t="s">
        <v>1067</v>
      </c>
      <c r="D88" s="294">
        <f>SUM(D79:D87)</f>
        <v>285000000</v>
      </c>
      <c r="E88" s="294">
        <f t="shared" ref="E88:H88" si="10">SUM(E79:E87)</f>
        <v>330000000</v>
      </c>
      <c r="F88" s="294">
        <f t="shared" si="10"/>
        <v>355000000</v>
      </c>
      <c r="G88" s="294">
        <f t="shared" si="10"/>
        <v>365000000</v>
      </c>
      <c r="H88" s="294">
        <f t="shared" si="10"/>
        <v>410000000</v>
      </c>
      <c r="I88" s="294">
        <f t="shared" ref="I88" si="11">SUM(I79:I87)</f>
        <v>1963125000</v>
      </c>
      <c r="J88" s="66"/>
      <c r="K88" s="35"/>
      <c r="L88"/>
    </row>
    <row r="89" spans="1:12" ht="42" x14ac:dyDescent="0.25">
      <c r="A89" s="66"/>
      <c r="B89" s="343" t="str">
        <f>INDEX('Program M&amp;E Plan'!H$38:H$132,MATCH('Programme Implementation Plan'!C89,'Program M&amp;E Plan'!I$38:I$132,0))</f>
        <v>Access to materials of good life increased</v>
      </c>
      <c r="C89" s="285" t="s">
        <v>962</v>
      </c>
      <c r="D89" s="291"/>
      <c r="E89" s="291"/>
      <c r="F89" s="291"/>
      <c r="G89" s="291"/>
      <c r="H89" s="291"/>
      <c r="I89" s="290">
        <f t="shared" si="0"/>
        <v>0</v>
      </c>
      <c r="J89" s="66"/>
      <c r="K89" s="35"/>
    </row>
    <row r="90" spans="1:12" ht="42" x14ac:dyDescent="0.25">
      <c r="A90" s="66"/>
      <c r="B90" s="343"/>
      <c r="C90" s="357" t="s">
        <v>963</v>
      </c>
      <c r="D90" s="289">
        <v>50000000</v>
      </c>
      <c r="E90" s="289">
        <v>50000000</v>
      </c>
      <c r="F90" s="289">
        <v>50000000</v>
      </c>
      <c r="G90" s="289">
        <v>50000000</v>
      </c>
      <c r="H90" s="289">
        <v>50000000</v>
      </c>
      <c r="I90" s="290">
        <f t="shared" si="0"/>
        <v>281250000</v>
      </c>
      <c r="J90" s="66"/>
      <c r="K90" s="35"/>
    </row>
    <row r="91" spans="1:12" ht="56" x14ac:dyDescent="0.25">
      <c r="A91" s="66"/>
      <c r="B91" s="343"/>
      <c r="C91" s="357" t="s">
        <v>971</v>
      </c>
      <c r="D91" s="289">
        <v>60000000</v>
      </c>
      <c r="E91" s="289">
        <v>75000000</v>
      </c>
      <c r="F91" s="289">
        <v>85000000</v>
      </c>
      <c r="G91" s="289">
        <v>90000000</v>
      </c>
      <c r="H91" s="289">
        <v>100000000</v>
      </c>
      <c r="I91" s="290">
        <f t="shared" si="0"/>
        <v>461250000</v>
      </c>
      <c r="J91" s="66"/>
      <c r="K91" s="35"/>
    </row>
    <row r="92" spans="1:12" ht="42" x14ac:dyDescent="0.25">
      <c r="A92" s="66"/>
      <c r="B92" s="343"/>
      <c r="C92" s="357" t="s">
        <v>978</v>
      </c>
      <c r="D92" s="289">
        <v>25000000</v>
      </c>
      <c r="E92" s="289">
        <v>25000000</v>
      </c>
      <c r="F92" s="289">
        <v>25000000</v>
      </c>
      <c r="G92" s="289">
        <v>25000000</v>
      </c>
      <c r="H92" s="289">
        <v>25000000</v>
      </c>
      <c r="I92" s="290">
        <f t="shared" si="0"/>
        <v>140625000</v>
      </c>
      <c r="J92" s="66"/>
      <c r="K92" s="35"/>
    </row>
    <row r="93" spans="1:12" ht="28" x14ac:dyDescent="0.25">
      <c r="A93" s="66"/>
      <c r="B93" s="343"/>
      <c r="C93" s="357" t="s">
        <v>985</v>
      </c>
      <c r="D93" s="289">
        <v>25000000</v>
      </c>
      <c r="E93" s="289">
        <v>25000000</v>
      </c>
      <c r="F93" s="289">
        <v>25000000</v>
      </c>
      <c r="G93" s="289">
        <v>25000000</v>
      </c>
      <c r="H93" s="289">
        <v>25000000</v>
      </c>
      <c r="I93" s="290">
        <f t="shared" si="0"/>
        <v>140625000</v>
      </c>
      <c r="J93" s="66"/>
      <c r="K93" s="35"/>
    </row>
    <row r="94" spans="1:12" s="295" customFormat="1" ht="15.5" x14ac:dyDescent="0.35">
      <c r="A94" s="292"/>
      <c r="B94" s="344"/>
      <c r="C94" s="293" t="s">
        <v>1068</v>
      </c>
      <c r="D94" s="294">
        <f>SUM(D90:D93)</f>
        <v>160000000</v>
      </c>
      <c r="E94" s="294">
        <f>SUM(E90:E93)</f>
        <v>175000000</v>
      </c>
      <c r="F94" s="294">
        <f>SUM(F90:F93)</f>
        <v>185000000</v>
      </c>
      <c r="G94" s="294">
        <f>SUM(G90:G93)</f>
        <v>190000000</v>
      </c>
      <c r="H94" s="294">
        <f>SUM(H90:H93)</f>
        <v>200000000</v>
      </c>
      <c r="I94" s="294">
        <f>SUM(I89:I93)</f>
        <v>1023750000</v>
      </c>
      <c r="J94" s="66"/>
      <c r="K94" s="35"/>
      <c r="L94"/>
    </row>
    <row r="95" spans="1:12" ht="37.5" x14ac:dyDescent="0.25">
      <c r="A95" s="66"/>
      <c r="B95" s="343" t="str">
        <f>INDEX('Program M&amp;E Plan'!H$38:H$132,MATCH('Programme Implementation Plan'!C95,'Program M&amp;E Plan'!I$38:I$132,0))</f>
        <v>Policies promoting the rights of IPLC Supported</v>
      </c>
      <c r="C95" s="285" t="s">
        <v>434</v>
      </c>
      <c r="D95" s="291"/>
      <c r="E95" s="291"/>
      <c r="F95" s="291"/>
      <c r="G95" s="291"/>
      <c r="H95" s="291"/>
      <c r="I95" s="290">
        <f t="shared" si="0"/>
        <v>0</v>
      </c>
      <c r="J95" s="66"/>
      <c r="K95" s="35"/>
    </row>
    <row r="96" spans="1:12" ht="42" x14ac:dyDescent="0.25">
      <c r="A96" s="66"/>
      <c r="B96" s="343"/>
      <c r="C96" s="357" t="s">
        <v>992</v>
      </c>
      <c r="D96" s="289">
        <v>25000000</v>
      </c>
      <c r="E96" s="289">
        <v>25000000</v>
      </c>
      <c r="F96" s="289">
        <v>25000000</v>
      </c>
      <c r="G96" s="289">
        <v>25000000</v>
      </c>
      <c r="H96" s="289">
        <v>25000000</v>
      </c>
      <c r="I96" s="290">
        <f t="shared" si="0"/>
        <v>140625000</v>
      </c>
      <c r="J96" s="66"/>
      <c r="K96" s="35"/>
    </row>
    <row r="97" spans="1:12" ht="42" x14ac:dyDescent="0.25">
      <c r="A97" s="66"/>
      <c r="B97" s="343"/>
      <c r="C97" s="357" t="s">
        <v>1000</v>
      </c>
      <c r="D97" s="289">
        <v>25000000</v>
      </c>
      <c r="E97" s="289">
        <v>25000000</v>
      </c>
      <c r="F97" s="289">
        <v>25000000</v>
      </c>
      <c r="G97" s="289">
        <v>25000000</v>
      </c>
      <c r="H97" s="289">
        <v>25000000</v>
      </c>
      <c r="I97" s="290">
        <f t="shared" si="0"/>
        <v>140625000</v>
      </c>
      <c r="J97" s="66"/>
      <c r="K97" s="35"/>
    </row>
    <row r="98" spans="1:12" ht="42" x14ac:dyDescent="0.25">
      <c r="A98" s="66"/>
      <c r="B98" s="343"/>
      <c r="C98" s="357" t="s">
        <v>1007</v>
      </c>
      <c r="D98" s="289">
        <v>25000000</v>
      </c>
      <c r="E98" s="289">
        <v>25000000</v>
      </c>
      <c r="F98" s="289">
        <v>25000000</v>
      </c>
      <c r="G98" s="289">
        <v>25000000</v>
      </c>
      <c r="H98" s="289">
        <v>25000000</v>
      </c>
      <c r="I98" s="290">
        <f t="shared" si="0"/>
        <v>140625000</v>
      </c>
      <c r="J98" s="66"/>
      <c r="K98" s="35"/>
    </row>
    <row r="99" spans="1:12" ht="42" x14ac:dyDescent="0.25">
      <c r="A99" s="66"/>
      <c r="B99" s="343"/>
      <c r="C99" s="357" t="s">
        <v>1015</v>
      </c>
      <c r="D99" s="289">
        <v>20000000</v>
      </c>
      <c r="E99" s="289">
        <v>20000000</v>
      </c>
      <c r="F99" s="289">
        <v>20000000</v>
      </c>
      <c r="G99" s="289">
        <v>20000000</v>
      </c>
      <c r="H99" s="289">
        <v>20000000</v>
      </c>
      <c r="I99" s="290">
        <f t="shared" si="0"/>
        <v>112500000</v>
      </c>
      <c r="J99" s="66"/>
      <c r="K99" s="35"/>
    </row>
    <row r="100" spans="1:12" ht="42" x14ac:dyDescent="0.25">
      <c r="A100" s="66"/>
      <c r="B100" s="343"/>
      <c r="C100" s="357" t="s">
        <v>1022</v>
      </c>
      <c r="D100" s="289">
        <v>25000000</v>
      </c>
      <c r="E100" s="289">
        <v>25000000</v>
      </c>
      <c r="F100" s="289">
        <v>25000000</v>
      </c>
      <c r="G100" s="289">
        <v>25000000</v>
      </c>
      <c r="H100" s="289">
        <v>25000000</v>
      </c>
      <c r="I100" s="290">
        <f t="shared" si="0"/>
        <v>140625000</v>
      </c>
      <c r="J100" s="66"/>
      <c r="K100" s="35"/>
    </row>
    <row r="101" spans="1:12" ht="28" x14ac:dyDescent="0.25">
      <c r="A101" s="66"/>
      <c r="B101" s="343"/>
      <c r="C101" s="357" t="s">
        <v>1030</v>
      </c>
      <c r="D101" s="289">
        <v>25000000</v>
      </c>
      <c r="E101" s="289">
        <v>25000000</v>
      </c>
      <c r="F101" s="289">
        <v>25000000</v>
      </c>
      <c r="G101" s="289">
        <v>25000000</v>
      </c>
      <c r="H101" s="289">
        <v>25000000</v>
      </c>
      <c r="I101" s="290">
        <f t="shared" si="0"/>
        <v>140625000</v>
      </c>
      <c r="J101" s="66"/>
      <c r="K101" s="35"/>
    </row>
    <row r="102" spans="1:12" ht="42" x14ac:dyDescent="0.25">
      <c r="A102" s="66"/>
      <c r="B102" s="343"/>
      <c r="C102" s="357" t="s">
        <v>1037</v>
      </c>
      <c r="D102" s="289">
        <v>25000000</v>
      </c>
      <c r="E102" s="289">
        <v>25000000</v>
      </c>
      <c r="F102" s="289">
        <v>25000000</v>
      </c>
      <c r="G102" s="289">
        <v>25000000</v>
      </c>
      <c r="H102" s="289">
        <v>25000000</v>
      </c>
      <c r="I102" s="290">
        <f t="shared" si="0"/>
        <v>140625000</v>
      </c>
      <c r="J102" s="66"/>
      <c r="K102" s="35"/>
    </row>
    <row r="103" spans="1:12" s="295" customFormat="1" ht="15.5" x14ac:dyDescent="0.35">
      <c r="A103" s="292"/>
      <c r="B103" s="344"/>
      <c r="C103" s="293" t="s">
        <v>1069</v>
      </c>
      <c r="D103" s="294">
        <f>SUM(D96:D102)</f>
        <v>170000000</v>
      </c>
      <c r="E103" s="294">
        <f t="shared" ref="E103:I103" si="12">SUM(E96:E102)</f>
        <v>170000000</v>
      </c>
      <c r="F103" s="294">
        <f t="shared" si="12"/>
        <v>170000000</v>
      </c>
      <c r="G103" s="294">
        <f t="shared" si="12"/>
        <v>170000000</v>
      </c>
      <c r="H103" s="294">
        <f t="shared" si="12"/>
        <v>170000000</v>
      </c>
      <c r="I103" s="294">
        <f t="shared" si="12"/>
        <v>956250000</v>
      </c>
      <c r="J103" s="66"/>
      <c r="K103" s="35"/>
      <c r="L103"/>
    </row>
    <row r="104" spans="1:12" s="298" customFormat="1" ht="18" x14ac:dyDescent="0.25">
      <c r="A104" s="310" t="s">
        <v>1070</v>
      </c>
      <c r="B104" s="296"/>
      <c r="C104" s="296"/>
      <c r="D104" s="297">
        <f>(D18+D26+D42+D50+D58+D65+D72+D77+D88+D94+D103)*1.125</f>
        <v>3211875000</v>
      </c>
      <c r="E104" s="297">
        <f t="shared" ref="E104:H104" si="13">(E18+E26+E42+E50+E58+E65+E72+E77+E88+E94+E103)*1.125</f>
        <v>3420000000</v>
      </c>
      <c r="F104" s="297">
        <f t="shared" si="13"/>
        <v>3594375000</v>
      </c>
      <c r="G104" s="297">
        <f t="shared" si="13"/>
        <v>3667500000</v>
      </c>
      <c r="H104" s="297">
        <f t="shared" si="13"/>
        <v>3841875000</v>
      </c>
      <c r="I104" s="297">
        <f t="shared" ref="I104" si="14">I18+I26+I42+I50+I58+I65+I72+I77+I88+I94+I103</f>
        <v>17735625000</v>
      </c>
      <c r="J104" s="66"/>
      <c r="K104" s="35"/>
      <c r="L104"/>
    </row>
    <row r="105" spans="1:12" s="311" customFormat="1" ht="20" x14ac:dyDescent="0.4">
      <c r="B105" s="346"/>
      <c r="C105" s="312"/>
      <c r="D105" s="313">
        <f t="shared" ref="D105:I105" si="15">+D104/656</f>
        <v>4896150.9146341467</v>
      </c>
      <c r="E105" s="313">
        <f t="shared" si="15"/>
        <v>5213414.6341463411</v>
      </c>
      <c r="F105" s="313">
        <f t="shared" si="15"/>
        <v>5479230.182926829</v>
      </c>
      <c r="G105" s="313">
        <f t="shared" si="15"/>
        <v>5590701.2195121953</v>
      </c>
      <c r="H105" s="313">
        <f t="shared" si="15"/>
        <v>5856516.7682926832</v>
      </c>
      <c r="I105" s="313">
        <f t="shared" si="15"/>
        <v>27036013.719512194</v>
      </c>
      <c r="J105" s="66"/>
      <c r="K105" s="35"/>
      <c r="L105" t="str">
        <f t="shared" ref="L105" si="16">LEFT(C105,90)</f>
        <v/>
      </c>
    </row>
    <row r="106" spans="1:12" ht="12.5" x14ac:dyDescent="0.25">
      <c r="C106" s="47"/>
      <c r="D106" s="47"/>
      <c r="E106" s="47"/>
      <c r="F106" s="47"/>
      <c r="G106" s="47"/>
      <c r="H106" s="47"/>
    </row>
    <row r="107" spans="1:12" ht="12.5" x14ac:dyDescent="0.25">
      <c r="C107" s="47"/>
      <c r="D107" s="47"/>
      <c r="E107" s="47"/>
      <c r="F107" s="47"/>
      <c r="G107" s="47"/>
      <c r="H107" s="47"/>
    </row>
    <row r="108" spans="1:12" ht="12.5" x14ac:dyDescent="0.25">
      <c r="C108" s="47"/>
      <c r="D108" s="47"/>
      <c r="E108" s="47"/>
      <c r="F108" s="47"/>
      <c r="G108" s="47"/>
      <c r="H108" s="47"/>
    </row>
    <row r="109" spans="1:12" ht="12.5" x14ac:dyDescent="0.25">
      <c r="C109" s="47"/>
      <c r="D109" s="47"/>
      <c r="E109" s="47"/>
      <c r="F109" s="47"/>
      <c r="G109" s="47"/>
      <c r="H109" s="47"/>
    </row>
    <row r="110" spans="1:12" ht="12.5" x14ac:dyDescent="0.25">
      <c r="C110" s="47"/>
      <c r="D110" s="47"/>
      <c r="E110" s="47"/>
      <c r="F110" s="47"/>
      <c r="G110" s="47"/>
      <c r="H110" s="47"/>
    </row>
    <row r="111" spans="1:12" ht="12.5" x14ac:dyDescent="0.25">
      <c r="C111" s="47"/>
      <c r="D111" s="47"/>
      <c r="E111" s="47"/>
      <c r="F111" s="47"/>
      <c r="G111" s="47"/>
      <c r="H111" s="47"/>
    </row>
    <row r="112" spans="1:12" ht="12.5" x14ac:dyDescent="0.25">
      <c r="C112" s="47"/>
      <c r="D112" s="47"/>
      <c r="E112" s="47"/>
      <c r="F112" s="47"/>
      <c r="G112" s="47"/>
      <c r="H112" s="47"/>
    </row>
    <row r="113" spans="3:8" ht="12.5" x14ac:dyDescent="0.25">
      <c r="C113" s="47"/>
      <c r="D113" s="47"/>
      <c r="E113" s="47"/>
      <c r="F113" s="47"/>
      <c r="G113" s="47"/>
      <c r="H113" s="47"/>
    </row>
    <row r="114" spans="3:8" ht="12.5" x14ac:dyDescent="0.25">
      <c r="C114" s="47"/>
      <c r="D114" s="47"/>
      <c r="E114" s="47"/>
      <c r="F114" s="47"/>
      <c r="G114" s="47"/>
      <c r="H114" s="47"/>
    </row>
    <row r="115" spans="3:8" ht="12.5" x14ac:dyDescent="0.25">
      <c r="C115" s="47"/>
      <c r="D115" s="47"/>
      <c r="E115" s="47"/>
      <c r="F115" s="47"/>
      <c r="G115" s="47"/>
      <c r="H115" s="47"/>
    </row>
    <row r="116" spans="3:8" ht="12.5" x14ac:dyDescent="0.25">
      <c r="C116" s="47"/>
      <c r="D116" s="47"/>
      <c r="E116" s="47"/>
      <c r="F116" s="47"/>
      <c r="G116" s="47"/>
      <c r="H116" s="47"/>
    </row>
    <row r="117" spans="3:8" ht="12.5" x14ac:dyDescent="0.25">
      <c r="C117" s="47"/>
      <c r="D117" s="47"/>
      <c r="E117" s="47"/>
      <c r="F117" s="47"/>
      <c r="G117" s="47"/>
      <c r="H117" s="47"/>
    </row>
    <row r="118" spans="3:8" ht="12.5" x14ac:dyDescent="0.25">
      <c r="C118" s="47"/>
      <c r="D118" s="47"/>
      <c r="E118" s="47"/>
      <c r="F118" s="47"/>
      <c r="G118" s="47"/>
      <c r="H118" s="47"/>
    </row>
    <row r="119" spans="3:8" ht="12.5" x14ac:dyDescent="0.25">
      <c r="C119" s="47"/>
      <c r="D119" s="47"/>
      <c r="E119" s="47"/>
      <c r="F119" s="47"/>
      <c r="G119" s="47"/>
      <c r="H119" s="47"/>
    </row>
    <row r="120" spans="3:8" ht="12.5" x14ac:dyDescent="0.25">
      <c r="C120" s="47"/>
      <c r="D120" s="47"/>
      <c r="E120" s="47"/>
      <c r="F120" s="47"/>
      <c r="G120" s="47"/>
      <c r="H120" s="47"/>
    </row>
    <row r="121" spans="3:8" ht="12.5" x14ac:dyDescent="0.25">
      <c r="C121" s="47"/>
      <c r="D121" s="47"/>
      <c r="E121" s="47"/>
      <c r="F121" s="47"/>
      <c r="G121" s="47"/>
      <c r="H121" s="47"/>
    </row>
    <row r="122" spans="3:8" ht="12.5" x14ac:dyDescent="0.25">
      <c r="C122" s="47"/>
      <c r="D122" s="47"/>
      <c r="E122" s="47"/>
      <c r="F122" s="47"/>
      <c r="G122" s="47"/>
      <c r="H122" s="47"/>
    </row>
    <row r="123" spans="3:8" ht="12.5" x14ac:dyDescent="0.25">
      <c r="C123" s="47"/>
      <c r="D123" s="47"/>
      <c r="E123" s="47"/>
      <c r="F123" s="47"/>
      <c r="G123" s="47"/>
      <c r="H123" s="47"/>
    </row>
    <row r="124" spans="3:8" ht="12.5" x14ac:dyDescent="0.25">
      <c r="C124" s="47"/>
      <c r="D124" s="47"/>
      <c r="E124" s="47"/>
      <c r="F124" s="47"/>
      <c r="G124" s="47"/>
      <c r="H124" s="47"/>
    </row>
    <row r="125" spans="3:8" ht="12.5" x14ac:dyDescent="0.25">
      <c r="C125" s="47"/>
      <c r="D125" s="47"/>
      <c r="E125" s="47"/>
      <c r="F125" s="47"/>
      <c r="G125" s="47"/>
      <c r="H125" s="47"/>
    </row>
    <row r="126" spans="3:8" ht="12.5" x14ac:dyDescent="0.25">
      <c r="C126" s="47"/>
      <c r="D126" s="47"/>
      <c r="E126" s="47"/>
      <c r="F126" s="47"/>
      <c r="G126" s="47"/>
      <c r="H126" s="47"/>
    </row>
    <row r="127" spans="3:8" ht="12.5" x14ac:dyDescent="0.25">
      <c r="C127" s="47"/>
      <c r="D127" s="47"/>
      <c r="E127" s="47"/>
      <c r="F127" s="47"/>
      <c r="G127" s="47"/>
      <c r="H127" s="47"/>
    </row>
    <row r="128" spans="3:8" ht="12.5" x14ac:dyDescent="0.25">
      <c r="C128" s="47"/>
      <c r="D128" s="47"/>
      <c r="E128" s="47"/>
      <c r="F128" s="47"/>
      <c r="G128" s="47"/>
      <c r="H128" s="47"/>
    </row>
    <row r="129" spans="3:8" ht="12.5" x14ac:dyDescent="0.25">
      <c r="C129" s="47"/>
      <c r="D129" s="47"/>
      <c r="E129" s="47"/>
      <c r="F129" s="47"/>
      <c r="G129" s="47"/>
      <c r="H129" s="47"/>
    </row>
    <row r="130" spans="3:8" ht="12.5" x14ac:dyDescent="0.25">
      <c r="C130" s="47"/>
      <c r="D130" s="47"/>
      <c r="E130" s="47"/>
      <c r="F130" s="47"/>
      <c r="G130" s="47"/>
      <c r="H130" s="47"/>
    </row>
    <row r="131" spans="3:8" ht="12.5" x14ac:dyDescent="0.25">
      <c r="C131" s="47"/>
      <c r="D131" s="47"/>
      <c r="E131" s="47"/>
      <c r="F131" s="47"/>
      <c r="G131" s="47"/>
      <c r="H131" s="47"/>
    </row>
    <row r="132" spans="3:8" ht="12.5" x14ac:dyDescent="0.25">
      <c r="C132" s="47"/>
      <c r="D132" s="47"/>
      <c r="E132" s="47"/>
      <c r="F132" s="47"/>
      <c r="G132" s="47"/>
      <c r="H132" s="47"/>
    </row>
    <row r="133" spans="3:8" ht="12.5" x14ac:dyDescent="0.25">
      <c r="C133" s="47"/>
      <c r="D133" s="47"/>
      <c r="E133" s="47"/>
      <c r="F133" s="47"/>
      <c r="G133" s="47"/>
      <c r="H133" s="47"/>
    </row>
    <row r="134" spans="3:8" ht="12.5" x14ac:dyDescent="0.25">
      <c r="C134" s="47"/>
      <c r="D134" s="47"/>
      <c r="E134" s="47"/>
      <c r="F134" s="47"/>
      <c r="G134" s="47"/>
      <c r="H134" s="47"/>
    </row>
    <row r="135" spans="3:8" ht="12.5" x14ac:dyDescent="0.25">
      <c r="C135" s="47"/>
      <c r="D135" s="47"/>
      <c r="E135" s="47"/>
      <c r="F135" s="47"/>
      <c r="G135" s="47"/>
      <c r="H135" s="47"/>
    </row>
    <row r="136" spans="3:8" ht="12.5" x14ac:dyDescent="0.25">
      <c r="C136" s="47"/>
      <c r="D136" s="47"/>
      <c r="E136" s="47"/>
      <c r="F136" s="47"/>
      <c r="G136" s="47"/>
      <c r="H136" s="47"/>
    </row>
    <row r="137" spans="3:8" ht="12.5" x14ac:dyDescent="0.25">
      <c r="C137" s="47"/>
      <c r="D137" s="47"/>
      <c r="E137" s="47"/>
      <c r="F137" s="47"/>
      <c r="G137" s="47"/>
      <c r="H137" s="47"/>
    </row>
    <row r="138" spans="3:8" ht="12.5" x14ac:dyDescent="0.25">
      <c r="C138" s="47"/>
      <c r="D138" s="47"/>
      <c r="E138" s="47"/>
      <c r="F138" s="47"/>
      <c r="G138" s="47"/>
      <c r="H138" s="47"/>
    </row>
    <row r="139" spans="3:8" ht="12.5" x14ac:dyDescent="0.25">
      <c r="C139" s="47"/>
      <c r="D139" s="47"/>
      <c r="E139" s="47"/>
      <c r="F139" s="47"/>
      <c r="G139" s="47"/>
      <c r="H139" s="47"/>
    </row>
    <row r="140" spans="3:8" ht="12.5" x14ac:dyDescent="0.25">
      <c r="C140" s="47"/>
      <c r="D140" s="47"/>
      <c r="E140" s="47"/>
      <c r="F140" s="47"/>
      <c r="G140" s="47"/>
      <c r="H140" s="47"/>
    </row>
    <row r="141" spans="3:8" ht="12.5" x14ac:dyDescent="0.25">
      <c r="C141" s="47"/>
      <c r="D141" s="47"/>
      <c r="E141" s="47"/>
      <c r="F141" s="47"/>
      <c r="G141" s="47"/>
      <c r="H141" s="47"/>
    </row>
    <row r="142" spans="3:8" ht="12.5" x14ac:dyDescent="0.25">
      <c r="C142" s="47"/>
      <c r="D142" s="47"/>
      <c r="E142" s="47"/>
      <c r="F142" s="47"/>
      <c r="G142" s="47"/>
      <c r="H142" s="47"/>
    </row>
    <row r="143" spans="3:8" ht="12.5" x14ac:dyDescent="0.25">
      <c r="C143" s="47"/>
      <c r="D143" s="47"/>
      <c r="E143" s="47"/>
      <c r="F143" s="47"/>
      <c r="G143" s="47"/>
      <c r="H143" s="47"/>
    </row>
    <row r="144" spans="3:8" ht="12.5" x14ac:dyDescent="0.25">
      <c r="C144" s="47"/>
      <c r="D144" s="47"/>
      <c r="E144" s="47"/>
      <c r="F144" s="47"/>
      <c r="G144" s="47"/>
      <c r="H144" s="47"/>
    </row>
    <row r="145" spans="3:8" ht="12.5" x14ac:dyDescent="0.25">
      <c r="C145" s="47"/>
      <c r="D145" s="47"/>
      <c r="E145" s="47"/>
      <c r="F145" s="47"/>
      <c r="G145" s="47"/>
      <c r="H145" s="47"/>
    </row>
    <row r="146" spans="3:8" ht="12.5" x14ac:dyDescent="0.25">
      <c r="C146" s="47"/>
      <c r="D146" s="47"/>
      <c r="E146" s="47"/>
      <c r="F146" s="47"/>
      <c r="G146" s="47"/>
      <c r="H146" s="47"/>
    </row>
    <row r="147" spans="3:8" ht="12.5" x14ac:dyDescent="0.25">
      <c r="C147" s="47"/>
      <c r="D147" s="47"/>
      <c r="E147" s="47"/>
      <c r="F147" s="47"/>
      <c r="G147" s="47"/>
      <c r="H147" s="47"/>
    </row>
    <row r="148" spans="3:8" ht="12.5" x14ac:dyDescent="0.25">
      <c r="C148" s="47"/>
      <c r="D148" s="47"/>
      <c r="E148" s="47"/>
      <c r="F148" s="47"/>
      <c r="G148" s="47"/>
      <c r="H148" s="47"/>
    </row>
    <row r="149" spans="3:8" ht="12.5" x14ac:dyDescent="0.25">
      <c r="C149" s="47"/>
      <c r="D149" s="47"/>
      <c r="E149" s="47"/>
      <c r="F149" s="47"/>
      <c r="G149" s="47"/>
      <c r="H149" s="47"/>
    </row>
    <row r="150" spans="3:8" ht="12.5" x14ac:dyDescent="0.25">
      <c r="C150" s="47"/>
      <c r="D150" s="47"/>
      <c r="E150" s="47"/>
      <c r="F150" s="47"/>
      <c r="G150" s="47"/>
      <c r="H150" s="47"/>
    </row>
    <row r="151" spans="3:8" ht="12.5" x14ac:dyDescent="0.25">
      <c r="C151" s="47"/>
      <c r="D151" s="47"/>
      <c r="E151" s="47"/>
      <c r="F151" s="47"/>
      <c r="G151" s="47"/>
      <c r="H151" s="47"/>
    </row>
    <row r="152" spans="3:8" ht="12.5" x14ac:dyDescent="0.25">
      <c r="C152" s="47"/>
      <c r="D152" s="47"/>
      <c r="E152" s="47"/>
      <c r="F152" s="47"/>
      <c r="G152" s="47"/>
      <c r="H152" s="47"/>
    </row>
    <row r="153" spans="3:8" ht="12.5" x14ac:dyDescent="0.25">
      <c r="C153" s="47"/>
      <c r="D153" s="47"/>
      <c r="E153" s="47"/>
      <c r="F153" s="47"/>
      <c r="G153" s="47"/>
      <c r="H153" s="47"/>
    </row>
    <row r="154" spans="3:8" ht="12.5" x14ac:dyDescent="0.25">
      <c r="C154" s="47"/>
      <c r="D154" s="47"/>
      <c r="E154" s="47"/>
      <c r="F154" s="47"/>
      <c r="G154" s="47"/>
      <c r="H154" s="47"/>
    </row>
    <row r="155" spans="3:8" ht="12.5" x14ac:dyDescent="0.25">
      <c r="C155" s="47"/>
      <c r="D155" s="47"/>
      <c r="E155" s="47"/>
      <c r="F155" s="47"/>
      <c r="G155" s="47"/>
      <c r="H155" s="47"/>
    </row>
    <row r="156" spans="3:8" ht="12.5" x14ac:dyDescent="0.25">
      <c r="C156" s="47"/>
      <c r="D156" s="47"/>
      <c r="E156" s="47"/>
      <c r="F156" s="47"/>
      <c r="G156" s="47"/>
      <c r="H156" s="47"/>
    </row>
    <row r="157" spans="3:8" ht="12.5" x14ac:dyDescent="0.25">
      <c r="C157" s="47"/>
      <c r="D157" s="47"/>
      <c r="E157" s="47"/>
      <c r="F157" s="47"/>
      <c r="G157" s="47"/>
      <c r="H157" s="47"/>
    </row>
    <row r="158" spans="3:8" ht="12.5" x14ac:dyDescent="0.25">
      <c r="C158" s="47"/>
      <c r="D158" s="47"/>
      <c r="E158" s="47"/>
      <c r="F158" s="47"/>
      <c r="G158" s="47"/>
      <c r="H158" s="47"/>
    </row>
    <row r="159" spans="3:8" ht="12.5" x14ac:dyDescent="0.25">
      <c r="C159" s="47"/>
      <c r="D159" s="47"/>
      <c r="E159" s="47"/>
      <c r="F159" s="47"/>
      <c r="G159" s="47"/>
      <c r="H159" s="47"/>
    </row>
    <row r="160" spans="3:8" ht="12.5" x14ac:dyDescent="0.25">
      <c r="C160" s="47"/>
      <c r="D160" s="47"/>
      <c r="E160" s="47"/>
      <c r="F160" s="47"/>
      <c r="G160" s="47"/>
      <c r="H160" s="47"/>
    </row>
    <row r="161" spans="3:8" ht="12.5" x14ac:dyDescent="0.25">
      <c r="C161" s="47"/>
      <c r="D161" s="47"/>
      <c r="E161" s="47"/>
      <c r="F161" s="47"/>
      <c r="G161" s="47"/>
      <c r="H161" s="47"/>
    </row>
    <row r="162" spans="3:8" ht="12.5" x14ac:dyDescent="0.25">
      <c r="C162" s="47"/>
      <c r="D162" s="47"/>
      <c r="E162" s="47"/>
      <c r="F162" s="47"/>
      <c r="G162" s="47"/>
      <c r="H162" s="47"/>
    </row>
    <row r="163" spans="3:8" ht="12.5" x14ac:dyDescent="0.25">
      <c r="C163" s="47"/>
      <c r="D163" s="47"/>
      <c r="E163" s="47"/>
      <c r="F163" s="47"/>
      <c r="G163" s="47"/>
      <c r="H163" s="47"/>
    </row>
    <row r="164" spans="3:8" ht="12.5" x14ac:dyDescent="0.25">
      <c r="C164" s="47"/>
      <c r="D164" s="47"/>
      <c r="E164" s="47"/>
      <c r="F164" s="47"/>
      <c r="G164" s="47"/>
      <c r="H164" s="47"/>
    </row>
    <row r="165" spans="3:8" ht="12.5" x14ac:dyDescent="0.25">
      <c r="C165" s="47"/>
      <c r="D165" s="47"/>
      <c r="E165" s="47"/>
      <c r="F165" s="47"/>
      <c r="G165" s="47"/>
      <c r="H165" s="47"/>
    </row>
    <row r="166" spans="3:8" ht="12.5" x14ac:dyDescent="0.25">
      <c r="C166" s="47"/>
      <c r="D166" s="47"/>
      <c r="E166" s="47"/>
      <c r="F166" s="47"/>
      <c r="G166" s="47"/>
      <c r="H166" s="47"/>
    </row>
    <row r="167" spans="3:8" ht="12.5" x14ac:dyDescent="0.25">
      <c r="C167" s="47"/>
      <c r="D167" s="47"/>
      <c r="E167" s="47"/>
      <c r="F167" s="47"/>
      <c r="G167" s="47"/>
      <c r="H167" s="47"/>
    </row>
    <row r="168" spans="3:8" ht="12.5" x14ac:dyDescent="0.25">
      <c r="C168" s="47"/>
      <c r="D168" s="47"/>
      <c r="E168" s="47"/>
      <c r="F168" s="47"/>
      <c r="G168" s="47"/>
      <c r="H168" s="47"/>
    </row>
    <row r="169" spans="3:8" ht="12.5" x14ac:dyDescent="0.25">
      <c r="C169" s="47"/>
      <c r="D169" s="47"/>
      <c r="E169" s="47"/>
      <c r="F169" s="47"/>
      <c r="G169" s="47"/>
      <c r="H169" s="47"/>
    </row>
    <row r="170" spans="3:8" ht="12.5" x14ac:dyDescent="0.25">
      <c r="C170" s="47"/>
      <c r="D170" s="47"/>
      <c r="E170" s="47"/>
      <c r="F170" s="47"/>
      <c r="G170" s="47"/>
      <c r="H170" s="47"/>
    </row>
    <row r="171" spans="3:8" ht="12.5" x14ac:dyDescent="0.25">
      <c r="C171" s="47"/>
      <c r="D171" s="47"/>
      <c r="E171" s="47"/>
      <c r="F171" s="47"/>
      <c r="G171" s="47"/>
      <c r="H171" s="47"/>
    </row>
    <row r="172" spans="3:8" ht="12.5" x14ac:dyDescent="0.25">
      <c r="C172" s="47"/>
      <c r="D172" s="47"/>
      <c r="E172" s="47"/>
      <c r="F172" s="47"/>
      <c r="G172" s="47"/>
      <c r="H172" s="47"/>
    </row>
    <row r="173" spans="3:8" ht="12.5" x14ac:dyDescent="0.25">
      <c r="C173" s="47"/>
      <c r="D173" s="47"/>
      <c r="E173" s="47"/>
      <c r="F173" s="47"/>
      <c r="G173" s="47"/>
      <c r="H173" s="47"/>
    </row>
    <row r="174" spans="3:8" ht="12.5" x14ac:dyDescent="0.25">
      <c r="C174" s="47"/>
      <c r="D174" s="47"/>
      <c r="E174" s="47"/>
      <c r="F174" s="47"/>
      <c r="G174" s="47"/>
      <c r="H174" s="47"/>
    </row>
    <row r="175" spans="3:8" ht="12.5" x14ac:dyDescent="0.25">
      <c r="C175" s="47"/>
      <c r="D175" s="47"/>
      <c r="E175" s="47"/>
      <c r="F175" s="47"/>
      <c r="G175" s="47"/>
      <c r="H175" s="47"/>
    </row>
    <row r="176" spans="3:8" ht="12.5" x14ac:dyDescent="0.25">
      <c r="C176" s="47"/>
      <c r="D176" s="47"/>
      <c r="E176" s="47"/>
      <c r="F176" s="47"/>
      <c r="G176" s="47"/>
      <c r="H176" s="47"/>
    </row>
    <row r="177" spans="3:8" ht="12.5" x14ac:dyDescent="0.25">
      <c r="C177" s="47"/>
      <c r="D177" s="47"/>
      <c r="E177" s="47"/>
      <c r="F177" s="47"/>
      <c r="G177" s="47"/>
      <c r="H177" s="47"/>
    </row>
    <row r="178" spans="3:8" ht="12.5" x14ac:dyDescent="0.25">
      <c r="C178" s="47"/>
      <c r="D178" s="47"/>
      <c r="E178" s="47"/>
      <c r="F178" s="47"/>
      <c r="G178" s="47"/>
      <c r="H178" s="47"/>
    </row>
    <row r="179" spans="3:8" ht="12.5" x14ac:dyDescent="0.25">
      <c r="C179" s="47"/>
      <c r="D179" s="47"/>
      <c r="E179" s="47"/>
      <c r="F179" s="47"/>
      <c r="G179" s="47"/>
      <c r="H179" s="47"/>
    </row>
    <row r="180" spans="3:8" ht="12.5" x14ac:dyDescent="0.25">
      <c r="C180" s="47"/>
      <c r="D180" s="47"/>
      <c r="E180" s="47"/>
      <c r="F180" s="47"/>
      <c r="G180" s="47"/>
      <c r="H180" s="47"/>
    </row>
    <row r="181" spans="3:8" ht="12.5" x14ac:dyDescent="0.25">
      <c r="C181" s="47"/>
      <c r="D181" s="47"/>
      <c r="E181" s="47"/>
      <c r="F181" s="47"/>
      <c r="G181" s="47"/>
      <c r="H181" s="47"/>
    </row>
    <row r="182" spans="3:8" ht="12.5" x14ac:dyDescent="0.25">
      <c r="C182" s="47"/>
      <c r="D182" s="47"/>
      <c r="E182" s="47"/>
      <c r="F182" s="47"/>
      <c r="G182" s="47"/>
      <c r="H182" s="47"/>
    </row>
    <row r="183" spans="3:8" ht="12.5" x14ac:dyDescent="0.25">
      <c r="C183" s="47"/>
      <c r="D183" s="47"/>
      <c r="E183" s="47"/>
      <c r="F183" s="47"/>
      <c r="G183" s="47"/>
      <c r="H183" s="47"/>
    </row>
    <row r="184" spans="3:8" ht="12.5" x14ac:dyDescent="0.25">
      <c r="C184" s="47"/>
      <c r="D184" s="47"/>
      <c r="E184" s="47"/>
      <c r="F184" s="47"/>
      <c r="G184" s="47"/>
      <c r="H184" s="47"/>
    </row>
    <row r="185" spans="3:8" ht="12.5" x14ac:dyDescent="0.25">
      <c r="C185" s="47"/>
      <c r="D185" s="47"/>
      <c r="E185" s="47"/>
      <c r="F185" s="47"/>
      <c r="G185" s="47"/>
      <c r="H185" s="47"/>
    </row>
    <row r="186" spans="3:8" ht="12.5" x14ac:dyDescent="0.25">
      <c r="C186" s="47"/>
      <c r="D186" s="47"/>
      <c r="E186" s="47"/>
      <c r="F186" s="47"/>
      <c r="G186" s="47"/>
      <c r="H186" s="47"/>
    </row>
    <row r="187" spans="3:8" ht="12.5" x14ac:dyDescent="0.25">
      <c r="C187" s="47"/>
      <c r="D187" s="47"/>
      <c r="E187" s="47"/>
      <c r="F187" s="47"/>
      <c r="G187" s="47"/>
      <c r="H187" s="47"/>
    </row>
    <row r="188" spans="3:8" ht="12.5" x14ac:dyDescent="0.25">
      <c r="C188" s="47"/>
      <c r="D188" s="47"/>
      <c r="E188" s="47"/>
      <c r="F188" s="47"/>
      <c r="G188" s="47"/>
      <c r="H188" s="47"/>
    </row>
    <row r="189" spans="3:8" ht="12.5" x14ac:dyDescent="0.25">
      <c r="C189" s="47"/>
      <c r="D189" s="47"/>
      <c r="E189" s="47"/>
      <c r="F189" s="47"/>
      <c r="G189" s="47"/>
      <c r="H189" s="47"/>
    </row>
    <row r="190" spans="3:8" ht="12.5" x14ac:dyDescent="0.25">
      <c r="C190" s="47"/>
      <c r="D190" s="47"/>
      <c r="E190" s="47"/>
      <c r="F190" s="47"/>
      <c r="G190" s="47"/>
      <c r="H190" s="47"/>
    </row>
    <row r="191" spans="3:8" ht="12.5" x14ac:dyDescent="0.25">
      <c r="C191" s="47"/>
      <c r="D191" s="47"/>
      <c r="E191" s="47"/>
      <c r="F191" s="47"/>
      <c r="G191" s="47"/>
      <c r="H191" s="47"/>
    </row>
    <row r="192" spans="3:8" ht="12.5" x14ac:dyDescent="0.25">
      <c r="C192" s="47"/>
      <c r="D192" s="47"/>
      <c r="E192" s="47"/>
      <c r="F192" s="47"/>
      <c r="G192" s="47"/>
      <c r="H192" s="47"/>
    </row>
    <row r="193" spans="3:8" ht="12.5" x14ac:dyDescent="0.25">
      <c r="C193" s="47"/>
      <c r="D193" s="47"/>
      <c r="E193" s="47"/>
      <c r="F193" s="47"/>
      <c r="G193" s="47"/>
      <c r="H193" s="47"/>
    </row>
    <row r="194" spans="3:8" ht="12.5" x14ac:dyDescent="0.25">
      <c r="C194" s="47"/>
      <c r="D194" s="47"/>
      <c r="E194" s="47"/>
      <c r="F194" s="47"/>
      <c r="G194" s="47"/>
      <c r="H194" s="47"/>
    </row>
    <row r="195" spans="3:8" ht="12.5" x14ac:dyDescent="0.25">
      <c r="C195" s="47"/>
      <c r="D195" s="47"/>
      <c r="E195" s="47"/>
      <c r="F195" s="47"/>
      <c r="G195" s="47"/>
      <c r="H195" s="47"/>
    </row>
    <row r="196" spans="3:8" ht="12.5" x14ac:dyDescent="0.25">
      <c r="C196" s="47"/>
      <c r="D196" s="47"/>
      <c r="E196" s="47"/>
      <c r="F196" s="47"/>
      <c r="G196" s="47"/>
      <c r="H196" s="47"/>
    </row>
    <row r="197" spans="3:8" ht="12.5" x14ac:dyDescent="0.25">
      <c r="C197" s="47"/>
      <c r="D197" s="47"/>
      <c r="E197" s="47"/>
      <c r="F197" s="47"/>
      <c r="G197" s="47"/>
      <c r="H197" s="47"/>
    </row>
    <row r="198" spans="3:8" ht="12.5" x14ac:dyDescent="0.25">
      <c r="C198" s="47"/>
      <c r="D198" s="47"/>
      <c r="E198" s="47"/>
      <c r="F198" s="47"/>
      <c r="G198" s="47"/>
      <c r="H198" s="47"/>
    </row>
    <row r="199" spans="3:8" ht="12.5" x14ac:dyDescent="0.25">
      <c r="C199" s="47"/>
      <c r="D199" s="47"/>
      <c r="E199" s="47"/>
      <c r="F199" s="47"/>
      <c r="G199" s="47"/>
      <c r="H199" s="47"/>
    </row>
    <row r="200" spans="3:8" ht="12.5" x14ac:dyDescent="0.25">
      <c r="C200" s="47"/>
      <c r="D200" s="47"/>
      <c r="E200" s="47"/>
      <c r="F200" s="47"/>
      <c r="G200" s="47"/>
      <c r="H200" s="47"/>
    </row>
    <row r="201" spans="3:8" ht="12.5" x14ac:dyDescent="0.25">
      <c r="C201" s="47"/>
      <c r="D201" s="47"/>
      <c r="E201" s="47"/>
      <c r="F201" s="47"/>
      <c r="G201" s="47"/>
      <c r="H201" s="47"/>
    </row>
    <row r="202" spans="3:8" ht="12.5" x14ac:dyDescent="0.25">
      <c r="C202" s="47"/>
      <c r="D202" s="47"/>
      <c r="E202" s="47"/>
      <c r="F202" s="47"/>
      <c r="G202" s="47"/>
      <c r="H202" s="47"/>
    </row>
    <row r="203" spans="3:8" ht="12.5" x14ac:dyDescent="0.25">
      <c r="C203" s="47"/>
      <c r="D203" s="47"/>
      <c r="E203" s="47"/>
      <c r="F203" s="47"/>
      <c r="G203" s="47"/>
      <c r="H203" s="47"/>
    </row>
    <row r="204" spans="3:8" ht="12.5" x14ac:dyDescent="0.25">
      <c r="C204" s="47"/>
      <c r="D204" s="47"/>
      <c r="E204" s="47"/>
      <c r="F204" s="47"/>
      <c r="G204" s="47"/>
      <c r="H204" s="47"/>
    </row>
    <row r="205" spans="3:8" ht="12.5" x14ac:dyDescent="0.25">
      <c r="C205" s="47"/>
      <c r="D205" s="47"/>
      <c r="E205" s="47"/>
      <c r="F205" s="47"/>
      <c r="G205" s="47"/>
      <c r="H205" s="47"/>
    </row>
    <row r="206" spans="3:8" ht="12.5" x14ac:dyDescent="0.25">
      <c r="C206" s="47"/>
      <c r="D206" s="47"/>
      <c r="E206" s="47"/>
      <c r="F206" s="47"/>
      <c r="G206" s="47"/>
      <c r="H206" s="47"/>
    </row>
    <row r="207" spans="3:8" ht="12.5" x14ac:dyDescent="0.25">
      <c r="C207" s="47"/>
      <c r="D207" s="47"/>
      <c r="E207" s="47"/>
      <c r="F207" s="47"/>
      <c r="G207" s="47"/>
      <c r="H207" s="47"/>
    </row>
    <row r="208" spans="3:8" ht="12.5" x14ac:dyDescent="0.25">
      <c r="C208" s="47"/>
      <c r="D208" s="47"/>
      <c r="E208" s="47"/>
      <c r="F208" s="47"/>
      <c r="G208" s="47"/>
      <c r="H208" s="47"/>
    </row>
    <row r="209" spans="3:8" ht="12.5" x14ac:dyDescent="0.25">
      <c r="C209" s="47"/>
      <c r="D209" s="47"/>
      <c r="E209" s="47"/>
      <c r="F209" s="47"/>
      <c r="G209" s="47"/>
      <c r="H209" s="47"/>
    </row>
    <row r="210" spans="3:8" ht="12.5" x14ac:dyDescent="0.25">
      <c r="C210" s="47"/>
      <c r="D210" s="47"/>
      <c r="E210" s="47"/>
      <c r="F210" s="47"/>
      <c r="G210" s="47"/>
      <c r="H210" s="47"/>
    </row>
    <row r="211" spans="3:8" ht="12.5" x14ac:dyDescent="0.25">
      <c r="C211" s="47"/>
      <c r="D211" s="47"/>
      <c r="E211" s="47"/>
      <c r="F211" s="47"/>
      <c r="G211" s="47"/>
      <c r="H211" s="47"/>
    </row>
    <row r="212" spans="3:8" ht="12.5" x14ac:dyDescent="0.25">
      <c r="C212" s="47"/>
      <c r="D212" s="47"/>
      <c r="E212" s="47"/>
      <c r="F212" s="47"/>
      <c r="G212" s="47"/>
      <c r="H212" s="47"/>
    </row>
    <row r="213" spans="3:8" ht="12.5" x14ac:dyDescent="0.25">
      <c r="C213" s="47"/>
      <c r="D213" s="47"/>
      <c r="E213" s="47"/>
      <c r="F213" s="47"/>
      <c r="G213" s="47"/>
      <c r="H213" s="47"/>
    </row>
    <row r="214" spans="3:8" ht="12.5" x14ac:dyDescent="0.25">
      <c r="C214" s="47"/>
      <c r="D214" s="47"/>
      <c r="E214" s="47"/>
      <c r="F214" s="47"/>
      <c r="G214" s="47"/>
      <c r="H214" s="47"/>
    </row>
    <row r="215" spans="3:8" ht="12.5" x14ac:dyDescent="0.25">
      <c r="C215" s="47"/>
      <c r="D215" s="47"/>
      <c r="E215" s="47"/>
      <c r="F215" s="47"/>
      <c r="G215" s="47"/>
      <c r="H215" s="47"/>
    </row>
    <row r="216" spans="3:8" ht="12.5" x14ac:dyDescent="0.25">
      <c r="C216" s="47"/>
      <c r="D216" s="47"/>
      <c r="E216" s="47"/>
      <c r="F216" s="47"/>
      <c r="G216" s="47"/>
      <c r="H216" s="47"/>
    </row>
    <row r="217" spans="3:8" ht="12.5" x14ac:dyDescent="0.25">
      <c r="C217" s="47"/>
      <c r="D217" s="47"/>
      <c r="E217" s="47"/>
      <c r="F217" s="47"/>
      <c r="G217" s="47"/>
      <c r="H217" s="47"/>
    </row>
    <row r="218" spans="3:8" ht="12.5" x14ac:dyDescent="0.25">
      <c r="C218" s="47"/>
      <c r="D218" s="47"/>
      <c r="E218" s="47"/>
      <c r="F218" s="47"/>
      <c r="G218" s="47"/>
      <c r="H218" s="47"/>
    </row>
    <row r="219" spans="3:8" ht="12.5" x14ac:dyDescent="0.25">
      <c r="C219" s="47"/>
      <c r="D219" s="47"/>
      <c r="E219" s="47"/>
      <c r="F219" s="47"/>
      <c r="G219" s="47"/>
      <c r="H219" s="47"/>
    </row>
    <row r="220" spans="3:8" ht="12.5" x14ac:dyDescent="0.25">
      <c r="C220" s="47"/>
      <c r="D220" s="47"/>
      <c r="E220" s="47"/>
      <c r="F220" s="47"/>
      <c r="G220" s="47"/>
      <c r="H220" s="47"/>
    </row>
    <row r="221" spans="3:8" ht="12.5" x14ac:dyDescent="0.25">
      <c r="C221" s="47"/>
      <c r="D221" s="47"/>
      <c r="E221" s="47"/>
      <c r="F221" s="47"/>
      <c r="G221" s="47"/>
      <c r="H221" s="47"/>
    </row>
    <row r="222" spans="3:8" ht="12.5" x14ac:dyDescent="0.25">
      <c r="C222" s="47"/>
      <c r="D222" s="47"/>
      <c r="E222" s="47"/>
      <c r="F222" s="47"/>
      <c r="G222" s="47"/>
      <c r="H222" s="47"/>
    </row>
    <row r="223" spans="3:8" ht="12.5" x14ac:dyDescent="0.25">
      <c r="C223" s="47"/>
      <c r="D223" s="47"/>
      <c r="E223" s="47"/>
      <c r="F223" s="47"/>
      <c r="G223" s="47"/>
      <c r="H223" s="47"/>
    </row>
    <row r="224" spans="3:8" ht="12.5" x14ac:dyDescent="0.25">
      <c r="C224" s="47"/>
      <c r="D224" s="47"/>
      <c r="E224" s="47"/>
      <c r="F224" s="47"/>
      <c r="G224" s="47"/>
      <c r="H224" s="47"/>
    </row>
    <row r="225" spans="3:8" ht="12.5" x14ac:dyDescent="0.25">
      <c r="C225" s="47"/>
      <c r="D225" s="47"/>
      <c r="E225" s="47"/>
      <c r="F225" s="47"/>
      <c r="G225" s="47"/>
      <c r="H225" s="47"/>
    </row>
    <row r="226" spans="3:8" ht="12.5" x14ac:dyDescent="0.25">
      <c r="C226" s="47"/>
      <c r="D226" s="47"/>
      <c r="E226" s="47"/>
      <c r="F226" s="47"/>
      <c r="G226" s="47"/>
      <c r="H226" s="47"/>
    </row>
    <row r="227" spans="3:8" ht="12.5" x14ac:dyDescent="0.25">
      <c r="C227" s="47"/>
      <c r="D227" s="47"/>
      <c r="E227" s="47"/>
      <c r="F227" s="47"/>
      <c r="G227" s="47"/>
      <c r="H227" s="47"/>
    </row>
    <row r="228" spans="3:8" ht="12.5" x14ac:dyDescent="0.25">
      <c r="C228" s="47"/>
      <c r="D228" s="47"/>
      <c r="E228" s="47"/>
      <c r="F228" s="47"/>
      <c r="G228" s="47"/>
      <c r="H228" s="47"/>
    </row>
    <row r="229" spans="3:8" ht="12.5" x14ac:dyDescent="0.25">
      <c r="C229" s="47"/>
      <c r="D229" s="47"/>
      <c r="E229" s="47"/>
      <c r="F229" s="47"/>
      <c r="G229" s="47"/>
      <c r="H229" s="47"/>
    </row>
    <row r="230" spans="3:8" ht="12.5" x14ac:dyDescent="0.25">
      <c r="C230" s="47"/>
      <c r="D230" s="47"/>
      <c r="E230" s="47"/>
      <c r="F230" s="47"/>
      <c r="G230" s="47"/>
      <c r="H230" s="47"/>
    </row>
    <row r="231" spans="3:8" ht="12.5" x14ac:dyDescent="0.25">
      <c r="C231" s="47"/>
      <c r="D231" s="47"/>
      <c r="E231" s="47"/>
      <c r="F231" s="47"/>
      <c r="G231" s="47"/>
      <c r="H231" s="47"/>
    </row>
    <row r="232" spans="3:8" ht="12.5" x14ac:dyDescent="0.25">
      <c r="C232" s="47"/>
      <c r="D232" s="47"/>
      <c r="E232" s="47"/>
      <c r="F232" s="47"/>
      <c r="G232" s="47"/>
      <c r="H232" s="47"/>
    </row>
    <row r="233" spans="3:8" ht="12.5" x14ac:dyDescent="0.25">
      <c r="C233" s="47"/>
      <c r="D233" s="47"/>
      <c r="E233" s="47"/>
      <c r="F233" s="47"/>
      <c r="G233" s="47"/>
      <c r="H233" s="47"/>
    </row>
    <row r="234" spans="3:8" ht="12.5" x14ac:dyDescent="0.25">
      <c r="C234" s="47"/>
      <c r="D234" s="47"/>
      <c r="E234" s="47"/>
      <c r="F234" s="47"/>
      <c r="G234" s="47"/>
      <c r="H234" s="47"/>
    </row>
    <row r="235" spans="3:8" ht="12.5" x14ac:dyDescent="0.25">
      <c r="C235" s="47"/>
      <c r="D235" s="47"/>
      <c r="E235" s="47"/>
      <c r="F235" s="47"/>
      <c r="G235" s="47"/>
      <c r="H235" s="47"/>
    </row>
    <row r="236" spans="3:8" ht="12.5" x14ac:dyDescent="0.25">
      <c r="C236" s="47"/>
      <c r="D236" s="47"/>
      <c r="E236" s="47"/>
      <c r="F236" s="47"/>
      <c r="G236" s="47"/>
      <c r="H236" s="47"/>
    </row>
    <row r="237" spans="3:8" ht="12.5" x14ac:dyDescent="0.25">
      <c r="C237" s="47"/>
      <c r="D237" s="47"/>
      <c r="E237" s="47"/>
      <c r="F237" s="47"/>
      <c r="G237" s="47"/>
      <c r="H237" s="47"/>
    </row>
    <row r="238" spans="3:8" ht="12.5" x14ac:dyDescent="0.25">
      <c r="C238" s="47"/>
      <c r="D238" s="47"/>
      <c r="E238" s="47"/>
      <c r="F238" s="47"/>
      <c r="G238" s="47"/>
      <c r="H238" s="47"/>
    </row>
    <row r="239" spans="3:8" ht="12.5" x14ac:dyDescent="0.25">
      <c r="C239" s="47"/>
      <c r="D239" s="47"/>
      <c r="E239" s="47"/>
      <c r="F239" s="47"/>
      <c r="G239" s="47"/>
      <c r="H239" s="47"/>
    </row>
    <row r="240" spans="3:8" ht="12.5" x14ac:dyDescent="0.25">
      <c r="C240" s="47"/>
      <c r="D240" s="47"/>
      <c r="E240" s="47"/>
      <c r="F240" s="47"/>
      <c r="G240" s="47"/>
      <c r="H240" s="47"/>
    </row>
    <row r="241" spans="3:8" ht="12.5" x14ac:dyDescent="0.25">
      <c r="C241" s="47"/>
      <c r="D241" s="47"/>
      <c r="E241" s="47"/>
      <c r="F241" s="47"/>
      <c r="G241" s="47"/>
      <c r="H241" s="47"/>
    </row>
    <row r="242" spans="3:8" ht="12.5" x14ac:dyDescent="0.25">
      <c r="C242" s="47"/>
      <c r="D242" s="47"/>
      <c r="E242" s="47"/>
      <c r="F242" s="47"/>
      <c r="G242" s="47"/>
      <c r="H242" s="47"/>
    </row>
    <row r="243" spans="3:8" ht="12.5" x14ac:dyDescent="0.25">
      <c r="C243" s="47"/>
      <c r="D243" s="47"/>
      <c r="E243" s="47"/>
      <c r="F243" s="47"/>
      <c r="G243" s="47"/>
      <c r="H243" s="47"/>
    </row>
    <row r="244" spans="3:8" ht="12.5" x14ac:dyDescent="0.25">
      <c r="C244" s="47"/>
      <c r="D244" s="47"/>
      <c r="E244" s="47"/>
      <c r="F244" s="47"/>
      <c r="G244" s="47"/>
      <c r="H244" s="47"/>
    </row>
    <row r="245" spans="3:8" ht="12.5" x14ac:dyDescent="0.25">
      <c r="C245" s="47"/>
      <c r="D245" s="47"/>
      <c r="E245" s="47"/>
      <c r="F245" s="47"/>
      <c r="G245" s="47"/>
      <c r="H245" s="47"/>
    </row>
    <row r="246" spans="3:8" ht="12.5" x14ac:dyDescent="0.25">
      <c r="C246" s="47"/>
      <c r="D246" s="47"/>
      <c r="E246" s="47"/>
      <c r="F246" s="47"/>
      <c r="G246" s="47"/>
      <c r="H246" s="47"/>
    </row>
    <row r="247" spans="3:8" ht="12.5" x14ac:dyDescent="0.25">
      <c r="C247" s="47"/>
      <c r="D247" s="47"/>
      <c r="E247" s="47"/>
      <c r="F247" s="47"/>
      <c r="G247" s="47"/>
      <c r="H247" s="47"/>
    </row>
    <row r="248" spans="3:8" ht="12.5" x14ac:dyDescent="0.25">
      <c r="C248" s="47"/>
      <c r="D248" s="47"/>
      <c r="E248" s="47"/>
      <c r="F248" s="47"/>
      <c r="G248" s="47"/>
      <c r="H248" s="47"/>
    </row>
    <row r="249" spans="3:8" ht="12.5" x14ac:dyDescent="0.25">
      <c r="C249" s="47"/>
      <c r="D249" s="47"/>
      <c r="E249" s="47"/>
      <c r="F249" s="47"/>
      <c r="G249" s="47"/>
      <c r="H249" s="47"/>
    </row>
    <row r="250" spans="3:8" ht="12.5" x14ac:dyDescent="0.25">
      <c r="C250" s="47"/>
      <c r="D250" s="47"/>
      <c r="E250" s="47"/>
      <c r="F250" s="47"/>
      <c r="G250" s="47"/>
      <c r="H250" s="47"/>
    </row>
    <row r="251" spans="3:8" ht="12.5" x14ac:dyDescent="0.25">
      <c r="C251" s="47"/>
      <c r="D251" s="47"/>
      <c r="E251" s="47"/>
      <c r="F251" s="47"/>
      <c r="G251" s="47"/>
      <c r="H251" s="47"/>
    </row>
    <row r="252" spans="3:8" ht="12.5" x14ac:dyDescent="0.25">
      <c r="C252" s="47"/>
      <c r="D252" s="47"/>
      <c r="E252" s="47"/>
      <c r="F252" s="47"/>
      <c r="G252" s="47"/>
      <c r="H252" s="47"/>
    </row>
    <row r="253" spans="3:8" ht="12.5" x14ac:dyDescent="0.25">
      <c r="C253" s="47"/>
      <c r="D253" s="47"/>
      <c r="E253" s="47"/>
      <c r="F253" s="47"/>
      <c r="G253" s="47"/>
      <c r="H253" s="47"/>
    </row>
    <row r="254" spans="3:8" ht="12.5" x14ac:dyDescent="0.25">
      <c r="C254" s="47"/>
      <c r="D254" s="47"/>
      <c r="E254" s="47"/>
      <c r="F254" s="47"/>
      <c r="G254" s="47"/>
      <c r="H254" s="47"/>
    </row>
    <row r="255" spans="3:8" ht="12.5" x14ac:dyDescent="0.25">
      <c r="C255" s="47"/>
      <c r="D255" s="47"/>
      <c r="E255" s="47"/>
      <c r="F255" s="47"/>
      <c r="G255" s="47"/>
      <c r="H255" s="47"/>
    </row>
    <row r="256" spans="3:8" ht="12.5" x14ac:dyDescent="0.25">
      <c r="C256" s="47"/>
      <c r="D256" s="47"/>
      <c r="E256" s="47"/>
      <c r="F256" s="47"/>
      <c r="G256" s="47"/>
      <c r="H256" s="47"/>
    </row>
    <row r="257" spans="3:8" ht="12.5" x14ac:dyDescent="0.25">
      <c r="C257" s="47"/>
      <c r="D257" s="47"/>
      <c r="E257" s="47"/>
      <c r="F257" s="47"/>
      <c r="G257" s="47"/>
      <c r="H257" s="47"/>
    </row>
    <row r="258" spans="3:8" ht="12.5" x14ac:dyDescent="0.25">
      <c r="C258" s="47"/>
      <c r="D258" s="47"/>
      <c r="E258" s="47"/>
      <c r="F258" s="47"/>
      <c r="G258" s="47"/>
      <c r="H258" s="47"/>
    </row>
    <row r="259" spans="3:8" ht="12.5" x14ac:dyDescent="0.25">
      <c r="C259" s="47"/>
      <c r="D259" s="47"/>
      <c r="E259" s="47"/>
      <c r="F259" s="47"/>
      <c r="G259" s="47"/>
      <c r="H259" s="47"/>
    </row>
    <row r="260" spans="3:8" ht="12.5" x14ac:dyDescent="0.25">
      <c r="C260" s="47"/>
      <c r="D260" s="47"/>
      <c r="E260" s="47"/>
      <c r="F260" s="47"/>
      <c r="G260" s="47"/>
      <c r="H260" s="47"/>
    </row>
    <row r="261" spans="3:8" ht="12.5" x14ac:dyDescent="0.25">
      <c r="C261" s="47"/>
      <c r="D261" s="47"/>
      <c r="E261" s="47"/>
      <c r="F261" s="47"/>
      <c r="G261" s="47"/>
      <c r="H261" s="47"/>
    </row>
    <row r="262" spans="3:8" ht="12.5" x14ac:dyDescent="0.25">
      <c r="C262" s="47"/>
      <c r="D262" s="47"/>
      <c r="E262" s="47"/>
      <c r="F262" s="47"/>
      <c r="G262" s="47"/>
      <c r="H262" s="47"/>
    </row>
    <row r="263" spans="3:8" ht="12.5" x14ac:dyDescent="0.25">
      <c r="C263" s="47"/>
      <c r="D263" s="47"/>
      <c r="E263" s="47"/>
      <c r="F263" s="47"/>
      <c r="G263" s="47"/>
      <c r="H263" s="47"/>
    </row>
    <row r="264" spans="3:8" ht="12.5" x14ac:dyDescent="0.25">
      <c r="C264" s="47"/>
      <c r="D264" s="47"/>
      <c r="E264" s="47"/>
      <c r="F264" s="47"/>
      <c r="G264" s="47"/>
      <c r="H264" s="47"/>
    </row>
    <row r="265" spans="3:8" ht="12.5" x14ac:dyDescent="0.25">
      <c r="C265" s="47"/>
      <c r="D265" s="47"/>
      <c r="E265" s="47"/>
      <c r="F265" s="47"/>
      <c r="G265" s="47"/>
      <c r="H265" s="47"/>
    </row>
    <row r="266" spans="3:8" ht="12.5" x14ac:dyDescent="0.25">
      <c r="C266" s="47"/>
      <c r="D266" s="47"/>
      <c r="E266" s="47"/>
      <c r="F266" s="47"/>
      <c r="G266" s="47"/>
      <c r="H266" s="47"/>
    </row>
    <row r="267" spans="3:8" ht="12.5" x14ac:dyDescent="0.25">
      <c r="C267" s="47"/>
      <c r="D267" s="47"/>
      <c r="E267" s="47"/>
      <c r="F267" s="47"/>
      <c r="G267" s="47"/>
      <c r="H267" s="47"/>
    </row>
    <row r="268" spans="3:8" ht="12.5" x14ac:dyDescent="0.25">
      <c r="C268" s="47"/>
      <c r="D268" s="47"/>
      <c r="E268" s="47"/>
      <c r="F268" s="47"/>
      <c r="G268" s="47"/>
      <c r="H268" s="47"/>
    </row>
    <row r="269" spans="3:8" ht="12.5" x14ac:dyDescent="0.25">
      <c r="C269" s="47"/>
      <c r="D269" s="47"/>
      <c r="E269" s="47"/>
      <c r="F269" s="47"/>
      <c r="G269" s="47"/>
      <c r="H269" s="47"/>
    </row>
    <row r="270" spans="3:8" ht="12.5" x14ac:dyDescent="0.25">
      <c r="C270" s="47"/>
      <c r="D270" s="47"/>
      <c r="E270" s="47"/>
      <c r="F270" s="47"/>
      <c r="G270" s="47"/>
      <c r="H270" s="47"/>
    </row>
    <row r="271" spans="3:8" ht="12.5" x14ac:dyDescent="0.25">
      <c r="C271" s="47"/>
      <c r="D271" s="47"/>
      <c r="E271" s="47"/>
      <c r="F271" s="47"/>
      <c r="G271" s="47"/>
      <c r="H271" s="47"/>
    </row>
    <row r="272" spans="3:8" ht="12.5" x14ac:dyDescent="0.25">
      <c r="C272" s="47"/>
      <c r="D272" s="47"/>
      <c r="E272" s="47"/>
      <c r="F272" s="47"/>
      <c r="G272" s="47"/>
      <c r="H272" s="47"/>
    </row>
    <row r="273" spans="3:8" ht="12.5" x14ac:dyDescent="0.25">
      <c r="C273" s="47"/>
      <c r="D273" s="47"/>
      <c r="E273" s="47"/>
      <c r="F273" s="47"/>
      <c r="G273" s="47"/>
      <c r="H273" s="47"/>
    </row>
    <row r="274" spans="3:8" ht="12.5" x14ac:dyDescent="0.25">
      <c r="C274" s="47"/>
      <c r="D274" s="47"/>
      <c r="E274" s="47"/>
      <c r="F274" s="47"/>
      <c r="G274" s="47"/>
      <c r="H274" s="47"/>
    </row>
    <row r="275" spans="3:8" ht="12.5" x14ac:dyDescent="0.25">
      <c r="C275" s="47"/>
      <c r="D275" s="47"/>
      <c r="E275" s="47"/>
      <c r="F275" s="47"/>
      <c r="G275" s="47"/>
      <c r="H275" s="47"/>
    </row>
    <row r="276" spans="3:8" ht="12.5" x14ac:dyDescent="0.25">
      <c r="C276" s="47"/>
      <c r="D276" s="47"/>
      <c r="E276" s="47"/>
      <c r="F276" s="47"/>
      <c r="G276" s="47"/>
      <c r="H276" s="47"/>
    </row>
    <row r="277" spans="3:8" ht="12.5" x14ac:dyDescent="0.25">
      <c r="C277" s="47"/>
      <c r="D277" s="47"/>
      <c r="E277" s="47"/>
      <c r="F277" s="47"/>
      <c r="G277" s="47"/>
      <c r="H277" s="47"/>
    </row>
    <row r="278" spans="3:8" ht="12.5" x14ac:dyDescent="0.25">
      <c r="C278" s="47"/>
      <c r="D278" s="47"/>
      <c r="E278" s="47"/>
      <c r="F278" s="47"/>
      <c r="G278" s="47"/>
      <c r="H278" s="47"/>
    </row>
    <row r="279" spans="3:8" ht="12.5" x14ac:dyDescent="0.25">
      <c r="C279" s="47"/>
      <c r="D279" s="47"/>
      <c r="E279" s="47"/>
      <c r="F279" s="47"/>
      <c r="G279" s="47"/>
      <c r="H279" s="47"/>
    </row>
    <row r="280" spans="3:8" ht="12.5" x14ac:dyDescent="0.25">
      <c r="C280" s="47"/>
      <c r="D280" s="47"/>
      <c r="E280" s="47"/>
      <c r="F280" s="47"/>
      <c r="G280" s="47"/>
      <c r="H280" s="47"/>
    </row>
    <row r="281" spans="3:8" ht="12.5" x14ac:dyDescent="0.25">
      <c r="C281" s="47"/>
      <c r="D281" s="47"/>
      <c r="E281" s="47"/>
      <c r="F281" s="47"/>
      <c r="G281" s="47"/>
      <c r="H281" s="47"/>
    </row>
    <row r="282" spans="3:8" ht="12.5" x14ac:dyDescent="0.25">
      <c r="C282" s="47"/>
      <c r="D282" s="47"/>
      <c r="E282" s="47"/>
      <c r="F282" s="47"/>
      <c r="G282" s="47"/>
      <c r="H282" s="47"/>
    </row>
    <row r="283" spans="3:8" ht="12.5" x14ac:dyDescent="0.25">
      <c r="C283" s="47"/>
      <c r="D283" s="47"/>
      <c r="E283" s="47"/>
      <c r="F283" s="47"/>
      <c r="G283" s="47"/>
      <c r="H283" s="47"/>
    </row>
    <row r="284" spans="3:8" ht="12.5" x14ac:dyDescent="0.25">
      <c r="C284" s="47"/>
      <c r="D284" s="47"/>
      <c r="E284" s="47"/>
      <c r="F284" s="47"/>
      <c r="G284" s="47"/>
      <c r="H284" s="47"/>
    </row>
    <row r="285" spans="3:8" ht="12.5" x14ac:dyDescent="0.25">
      <c r="C285" s="47"/>
      <c r="D285" s="47"/>
      <c r="E285" s="47"/>
      <c r="F285" s="47"/>
      <c r="G285" s="47"/>
      <c r="H285" s="47"/>
    </row>
    <row r="286" spans="3:8" ht="12.5" x14ac:dyDescent="0.25">
      <c r="C286" s="47"/>
      <c r="D286" s="47"/>
      <c r="E286" s="47"/>
      <c r="F286" s="47"/>
      <c r="G286" s="47"/>
      <c r="H286" s="47"/>
    </row>
    <row r="287" spans="3:8" ht="12.5" x14ac:dyDescent="0.25">
      <c r="C287" s="47"/>
      <c r="D287" s="47"/>
      <c r="E287" s="47"/>
      <c r="F287" s="47"/>
      <c r="G287" s="47"/>
      <c r="H287" s="47"/>
    </row>
    <row r="288" spans="3:8" ht="12.5" x14ac:dyDescent="0.25">
      <c r="C288" s="47"/>
      <c r="D288" s="47"/>
      <c r="E288" s="47"/>
      <c r="F288" s="47"/>
      <c r="G288" s="47"/>
      <c r="H288" s="47"/>
    </row>
    <row r="289" spans="3:8" ht="12.5" x14ac:dyDescent="0.25">
      <c r="C289" s="47"/>
      <c r="D289" s="47"/>
      <c r="E289" s="47"/>
      <c r="F289" s="47"/>
      <c r="G289" s="47"/>
      <c r="H289" s="47"/>
    </row>
    <row r="290" spans="3:8" ht="12.5" x14ac:dyDescent="0.25">
      <c r="C290" s="47"/>
      <c r="D290" s="47"/>
      <c r="E290" s="47"/>
      <c r="F290" s="47"/>
      <c r="G290" s="47"/>
      <c r="H290" s="47"/>
    </row>
    <row r="291" spans="3:8" ht="12.5" x14ac:dyDescent="0.25">
      <c r="C291" s="47"/>
      <c r="D291" s="47"/>
      <c r="E291" s="47"/>
      <c r="F291" s="47"/>
      <c r="G291" s="47"/>
      <c r="H291" s="47"/>
    </row>
    <row r="292" spans="3:8" ht="12.5" x14ac:dyDescent="0.25">
      <c r="C292" s="47"/>
      <c r="D292" s="47"/>
      <c r="E292" s="47"/>
      <c r="F292" s="47"/>
      <c r="G292" s="47"/>
      <c r="H292" s="47"/>
    </row>
    <row r="293" spans="3:8" ht="12.5" x14ac:dyDescent="0.25">
      <c r="C293" s="47"/>
      <c r="D293" s="47"/>
      <c r="E293" s="47"/>
      <c r="F293" s="47"/>
      <c r="G293" s="47"/>
      <c r="H293" s="47"/>
    </row>
    <row r="294" spans="3:8" ht="12.5" x14ac:dyDescent="0.25">
      <c r="C294" s="47"/>
      <c r="D294" s="47"/>
      <c r="E294" s="47"/>
      <c r="F294" s="47"/>
      <c r="G294" s="47"/>
      <c r="H294" s="47"/>
    </row>
    <row r="295" spans="3:8" ht="12.5" x14ac:dyDescent="0.25">
      <c r="C295" s="47"/>
      <c r="D295" s="47"/>
      <c r="E295" s="47"/>
      <c r="F295" s="47"/>
      <c r="G295" s="47"/>
      <c r="H295" s="47"/>
    </row>
    <row r="296" spans="3:8" ht="12.5" x14ac:dyDescent="0.25">
      <c r="C296" s="47"/>
      <c r="D296" s="47"/>
      <c r="E296" s="47"/>
      <c r="F296" s="47"/>
      <c r="G296" s="47"/>
      <c r="H296" s="47"/>
    </row>
    <row r="297" spans="3:8" ht="12.5" x14ac:dyDescent="0.25">
      <c r="C297" s="47"/>
      <c r="D297" s="47"/>
      <c r="E297" s="47"/>
      <c r="F297" s="47"/>
      <c r="G297" s="47"/>
      <c r="H297" s="47"/>
    </row>
    <row r="298" spans="3:8" ht="12.5" x14ac:dyDescent="0.25">
      <c r="C298" s="47"/>
      <c r="D298" s="47"/>
      <c r="E298" s="47"/>
      <c r="F298" s="47"/>
      <c r="G298" s="47"/>
      <c r="H298" s="47"/>
    </row>
    <row r="299" spans="3:8" ht="12.5" x14ac:dyDescent="0.25">
      <c r="C299" s="47"/>
      <c r="D299" s="47"/>
      <c r="E299" s="47"/>
      <c r="F299" s="47"/>
      <c r="G299" s="47"/>
      <c r="H299" s="47"/>
    </row>
    <row r="300" spans="3:8" ht="12.5" x14ac:dyDescent="0.25">
      <c r="C300" s="47"/>
      <c r="D300" s="47"/>
      <c r="E300" s="47"/>
      <c r="F300" s="47"/>
      <c r="G300" s="47"/>
      <c r="H300" s="47"/>
    </row>
    <row r="301" spans="3:8" ht="12.5" x14ac:dyDescent="0.25">
      <c r="C301" s="47"/>
      <c r="D301" s="47"/>
      <c r="E301" s="47"/>
      <c r="F301" s="47"/>
      <c r="G301" s="47"/>
      <c r="H301" s="47"/>
    </row>
    <row r="302" spans="3:8" ht="12.5" x14ac:dyDescent="0.25">
      <c r="C302" s="47"/>
      <c r="D302" s="47"/>
      <c r="E302" s="47"/>
      <c r="F302" s="47"/>
      <c r="G302" s="47"/>
      <c r="H302" s="47"/>
    </row>
    <row r="303" spans="3:8" ht="12.5" x14ac:dyDescent="0.25">
      <c r="C303" s="47"/>
      <c r="D303" s="47"/>
      <c r="E303" s="47"/>
      <c r="F303" s="47"/>
      <c r="G303" s="47"/>
      <c r="H303" s="47"/>
    </row>
    <row r="304" spans="3:8" ht="12.5" x14ac:dyDescent="0.25">
      <c r="C304" s="47"/>
      <c r="D304" s="47"/>
      <c r="E304" s="47"/>
      <c r="F304" s="47"/>
      <c r="G304" s="47"/>
      <c r="H304" s="47"/>
    </row>
    <row r="305" spans="3:8" ht="12.5" x14ac:dyDescent="0.25">
      <c r="C305" s="47"/>
      <c r="D305" s="47"/>
      <c r="E305" s="47"/>
      <c r="F305" s="47"/>
      <c r="G305" s="47"/>
      <c r="H305" s="47"/>
    </row>
    <row r="306" spans="3:8" ht="12.5" x14ac:dyDescent="0.25">
      <c r="C306" s="47"/>
      <c r="D306" s="47"/>
      <c r="E306" s="47"/>
      <c r="F306" s="47"/>
      <c r="G306" s="47"/>
      <c r="H306" s="47"/>
    </row>
    <row r="307" spans="3:8" ht="12.5" x14ac:dyDescent="0.25">
      <c r="C307" s="47"/>
      <c r="D307" s="47"/>
      <c r="E307" s="47"/>
      <c r="F307" s="47"/>
      <c r="G307" s="47"/>
      <c r="H307" s="47"/>
    </row>
    <row r="308" spans="3:8" ht="12.5" x14ac:dyDescent="0.25">
      <c r="C308" s="47"/>
      <c r="D308" s="47"/>
      <c r="E308" s="47"/>
      <c r="F308" s="47"/>
      <c r="G308" s="47"/>
      <c r="H308" s="47"/>
    </row>
    <row r="309" spans="3:8" ht="12.5" x14ac:dyDescent="0.25">
      <c r="C309" s="47"/>
      <c r="D309" s="47"/>
      <c r="E309" s="47"/>
      <c r="F309" s="47"/>
      <c r="G309" s="47"/>
      <c r="H309" s="47"/>
    </row>
    <row r="310" spans="3:8" ht="12.5" x14ac:dyDescent="0.25">
      <c r="C310" s="47"/>
      <c r="D310" s="47"/>
      <c r="E310" s="47"/>
      <c r="F310" s="47"/>
      <c r="G310" s="47"/>
      <c r="H310" s="47"/>
    </row>
    <row r="311" spans="3:8" ht="12.5" x14ac:dyDescent="0.25">
      <c r="C311" s="47"/>
      <c r="D311" s="47"/>
      <c r="E311" s="47"/>
      <c r="F311" s="47"/>
      <c r="G311" s="47"/>
      <c r="H311" s="47"/>
    </row>
    <row r="312" spans="3:8" ht="12.5" x14ac:dyDescent="0.25">
      <c r="C312" s="47"/>
      <c r="D312" s="47"/>
      <c r="E312" s="47"/>
      <c r="F312" s="47"/>
      <c r="G312" s="47"/>
      <c r="H312" s="47"/>
    </row>
    <row r="313" spans="3:8" ht="12.5" x14ac:dyDescent="0.25">
      <c r="C313" s="47"/>
      <c r="D313" s="47"/>
      <c r="E313" s="47"/>
      <c r="F313" s="47"/>
      <c r="G313" s="47"/>
      <c r="H313" s="47"/>
    </row>
    <row r="314" spans="3:8" ht="12.5" x14ac:dyDescent="0.25">
      <c r="C314" s="47"/>
      <c r="D314" s="47"/>
      <c r="E314" s="47"/>
      <c r="F314" s="47"/>
      <c r="G314" s="47"/>
      <c r="H314" s="47"/>
    </row>
    <row r="315" spans="3:8" ht="12.5" x14ac:dyDescent="0.25">
      <c r="C315" s="47"/>
      <c r="D315" s="47"/>
      <c r="E315" s="47"/>
      <c r="F315" s="47"/>
      <c r="G315" s="47"/>
      <c r="H315" s="47"/>
    </row>
    <row r="316" spans="3:8" ht="12.5" x14ac:dyDescent="0.25">
      <c r="C316" s="47"/>
      <c r="D316" s="47"/>
      <c r="E316" s="47"/>
      <c r="F316" s="47"/>
      <c r="G316" s="47"/>
      <c r="H316" s="47"/>
    </row>
    <row r="317" spans="3:8" ht="12.5" x14ac:dyDescent="0.25">
      <c r="C317" s="47"/>
      <c r="D317" s="47"/>
      <c r="E317" s="47"/>
      <c r="F317" s="47"/>
      <c r="G317" s="47"/>
      <c r="H317" s="47"/>
    </row>
    <row r="318" spans="3:8" ht="12.5" x14ac:dyDescent="0.25">
      <c r="C318" s="47"/>
      <c r="D318" s="47"/>
      <c r="E318" s="47"/>
      <c r="F318" s="47"/>
      <c r="G318" s="47"/>
      <c r="H318" s="47"/>
    </row>
    <row r="319" spans="3:8" ht="12.5" x14ac:dyDescent="0.25">
      <c r="C319" s="47"/>
      <c r="D319" s="47"/>
      <c r="E319" s="47"/>
      <c r="F319" s="47"/>
      <c r="G319" s="47"/>
      <c r="H319" s="47"/>
    </row>
    <row r="320" spans="3:8" ht="12.5" x14ac:dyDescent="0.25">
      <c r="C320" s="47"/>
      <c r="D320" s="47"/>
      <c r="E320" s="47"/>
      <c r="F320" s="47"/>
      <c r="G320" s="47"/>
      <c r="H320" s="47"/>
    </row>
    <row r="321" spans="3:8" ht="12.5" x14ac:dyDescent="0.25">
      <c r="C321" s="47"/>
      <c r="D321" s="47"/>
      <c r="E321" s="47"/>
      <c r="F321" s="47"/>
      <c r="G321" s="47"/>
      <c r="H321" s="47"/>
    </row>
    <row r="322" spans="3:8" ht="12.5" x14ac:dyDescent="0.25">
      <c r="C322" s="47"/>
      <c r="D322" s="47"/>
      <c r="E322" s="47"/>
      <c r="F322" s="47"/>
      <c r="G322" s="47"/>
      <c r="H322" s="47"/>
    </row>
    <row r="323" spans="3:8" ht="12.5" x14ac:dyDescent="0.25">
      <c r="C323" s="47"/>
      <c r="D323" s="47"/>
      <c r="E323" s="47"/>
      <c r="F323" s="47"/>
      <c r="G323" s="47"/>
      <c r="H323" s="47"/>
    </row>
    <row r="324" spans="3:8" ht="12.5" x14ac:dyDescent="0.25">
      <c r="C324" s="47"/>
      <c r="D324" s="47"/>
      <c r="E324" s="47"/>
      <c r="F324" s="47"/>
      <c r="G324" s="47"/>
      <c r="H324" s="47"/>
    </row>
    <row r="325" spans="3:8" ht="12.5" x14ac:dyDescent="0.25">
      <c r="C325" s="47"/>
      <c r="D325" s="47"/>
      <c r="E325" s="47"/>
      <c r="F325" s="47"/>
      <c r="G325" s="47"/>
      <c r="H325" s="47"/>
    </row>
    <row r="326" spans="3:8" ht="12.5" x14ac:dyDescent="0.25">
      <c r="C326" s="47"/>
      <c r="D326" s="47"/>
      <c r="E326" s="47"/>
      <c r="F326" s="47"/>
      <c r="G326" s="47"/>
      <c r="H326" s="47"/>
    </row>
    <row r="327" spans="3:8" ht="12.5" x14ac:dyDescent="0.25">
      <c r="C327" s="47"/>
      <c r="D327" s="47"/>
      <c r="E327" s="47"/>
      <c r="F327" s="47"/>
      <c r="G327" s="47"/>
      <c r="H327" s="47"/>
    </row>
    <row r="328" spans="3:8" ht="12.5" x14ac:dyDescent="0.25">
      <c r="C328" s="47"/>
      <c r="D328" s="47"/>
      <c r="E328" s="47"/>
      <c r="F328" s="47"/>
      <c r="G328" s="47"/>
      <c r="H328" s="47"/>
    </row>
    <row r="329" spans="3:8" ht="12.5" x14ac:dyDescent="0.25">
      <c r="C329" s="47"/>
      <c r="D329" s="47"/>
      <c r="E329" s="47"/>
      <c r="F329" s="47"/>
      <c r="G329" s="47"/>
      <c r="H329" s="47"/>
    </row>
    <row r="330" spans="3:8" ht="12.5" x14ac:dyDescent="0.25">
      <c r="C330" s="47"/>
      <c r="D330" s="47"/>
      <c r="E330" s="47"/>
      <c r="F330" s="47"/>
      <c r="G330" s="47"/>
      <c r="H330" s="47"/>
    </row>
    <row r="331" spans="3:8" ht="12.5" x14ac:dyDescent="0.25">
      <c r="C331" s="47"/>
      <c r="D331" s="47"/>
      <c r="E331" s="47"/>
      <c r="F331" s="47"/>
      <c r="G331" s="47"/>
      <c r="H331" s="47"/>
    </row>
    <row r="332" spans="3:8" ht="12.5" x14ac:dyDescent="0.25">
      <c r="C332" s="47"/>
      <c r="D332" s="47"/>
      <c r="E332" s="47"/>
      <c r="F332" s="47"/>
      <c r="G332" s="47"/>
      <c r="H332" s="47"/>
    </row>
    <row r="333" spans="3:8" ht="12.5" x14ac:dyDescent="0.25">
      <c r="C333" s="47"/>
      <c r="D333" s="47"/>
      <c r="E333" s="47"/>
      <c r="F333" s="47"/>
      <c r="G333" s="47"/>
      <c r="H333" s="47"/>
    </row>
    <row r="334" spans="3:8" ht="12.5" x14ac:dyDescent="0.25">
      <c r="C334" s="47"/>
      <c r="D334" s="47"/>
      <c r="E334" s="47"/>
      <c r="F334" s="47"/>
      <c r="G334" s="47"/>
      <c r="H334" s="47"/>
    </row>
    <row r="335" spans="3:8" ht="12.5" x14ac:dyDescent="0.25">
      <c r="C335" s="47"/>
      <c r="D335" s="47"/>
      <c r="E335" s="47"/>
      <c r="F335" s="47"/>
      <c r="G335" s="47"/>
      <c r="H335" s="47"/>
    </row>
    <row r="336" spans="3:8" ht="12.5" x14ac:dyDescent="0.25">
      <c r="C336" s="47"/>
      <c r="D336" s="47"/>
      <c r="E336" s="47"/>
      <c r="F336" s="47"/>
      <c r="G336" s="47"/>
      <c r="H336" s="47"/>
    </row>
    <row r="337" spans="3:8" ht="12.5" x14ac:dyDescent="0.25">
      <c r="C337" s="47"/>
      <c r="D337" s="47"/>
      <c r="E337" s="47"/>
      <c r="F337" s="47"/>
      <c r="G337" s="47"/>
      <c r="H337" s="47"/>
    </row>
    <row r="338" spans="3:8" ht="12.5" x14ac:dyDescent="0.25">
      <c r="C338" s="47"/>
      <c r="D338" s="47"/>
      <c r="E338" s="47"/>
      <c r="F338" s="47"/>
      <c r="G338" s="47"/>
      <c r="H338" s="47"/>
    </row>
    <row r="339" spans="3:8" ht="12.5" x14ac:dyDescent="0.25">
      <c r="C339" s="47"/>
      <c r="D339" s="47"/>
      <c r="E339" s="47"/>
      <c r="F339" s="47"/>
      <c r="G339" s="47"/>
      <c r="H339" s="47"/>
    </row>
    <row r="340" spans="3:8" ht="12.5" x14ac:dyDescent="0.25">
      <c r="C340" s="47"/>
      <c r="D340" s="47"/>
      <c r="E340" s="47"/>
      <c r="F340" s="47"/>
      <c r="G340" s="47"/>
      <c r="H340" s="47"/>
    </row>
    <row r="341" spans="3:8" ht="12.5" x14ac:dyDescent="0.25">
      <c r="C341" s="47"/>
      <c r="D341" s="47"/>
      <c r="E341" s="47"/>
      <c r="F341" s="47"/>
      <c r="G341" s="47"/>
      <c r="H341" s="47"/>
    </row>
    <row r="342" spans="3:8" ht="12.5" x14ac:dyDescent="0.25">
      <c r="C342" s="47"/>
      <c r="D342" s="47"/>
      <c r="E342" s="47"/>
      <c r="F342" s="47"/>
      <c r="G342" s="47"/>
      <c r="H342" s="47"/>
    </row>
    <row r="343" spans="3:8" ht="12.5" x14ac:dyDescent="0.25">
      <c r="C343" s="47"/>
      <c r="D343" s="47"/>
      <c r="E343" s="47"/>
      <c r="F343" s="47"/>
      <c r="G343" s="47"/>
      <c r="H343" s="47"/>
    </row>
    <row r="344" spans="3:8" ht="12.5" x14ac:dyDescent="0.25">
      <c r="C344" s="47"/>
      <c r="D344" s="47"/>
      <c r="E344" s="47"/>
      <c r="F344" s="47"/>
      <c r="G344" s="47"/>
      <c r="H344" s="47"/>
    </row>
    <row r="345" spans="3:8" ht="12.5" x14ac:dyDescent="0.25">
      <c r="C345" s="47"/>
      <c r="D345" s="47"/>
      <c r="E345" s="47"/>
      <c r="F345" s="47"/>
      <c r="G345" s="47"/>
      <c r="H345" s="47"/>
    </row>
    <row r="346" spans="3:8" ht="12.5" x14ac:dyDescent="0.25">
      <c r="C346" s="47"/>
      <c r="D346" s="47"/>
      <c r="E346" s="47"/>
      <c r="F346" s="47"/>
      <c r="G346" s="47"/>
      <c r="H346" s="47"/>
    </row>
    <row r="347" spans="3:8" ht="12.5" x14ac:dyDescent="0.25">
      <c r="C347" s="47"/>
      <c r="D347" s="47"/>
      <c r="E347" s="47"/>
      <c r="F347" s="47"/>
      <c r="G347" s="47"/>
      <c r="H347" s="47"/>
    </row>
    <row r="348" spans="3:8" ht="12.5" x14ac:dyDescent="0.25">
      <c r="C348" s="47"/>
      <c r="D348" s="47"/>
      <c r="E348" s="47"/>
      <c r="F348" s="47"/>
      <c r="G348" s="47"/>
      <c r="H348" s="47"/>
    </row>
    <row r="349" spans="3:8" ht="12.5" x14ac:dyDescent="0.25">
      <c r="C349" s="47"/>
      <c r="D349" s="47"/>
      <c r="E349" s="47"/>
      <c r="F349" s="47"/>
      <c r="G349" s="47"/>
      <c r="H349" s="47"/>
    </row>
    <row r="350" spans="3:8" ht="12.5" x14ac:dyDescent="0.25">
      <c r="C350" s="47"/>
      <c r="D350" s="47"/>
      <c r="E350" s="47"/>
      <c r="F350" s="47"/>
      <c r="G350" s="47"/>
      <c r="H350" s="47"/>
    </row>
    <row r="351" spans="3:8" ht="12.5" x14ac:dyDescent="0.25">
      <c r="C351" s="47"/>
      <c r="D351" s="47"/>
      <c r="E351" s="47"/>
      <c r="F351" s="47"/>
      <c r="G351" s="47"/>
      <c r="H351" s="47"/>
    </row>
    <row r="352" spans="3:8" ht="12.5" x14ac:dyDescent="0.25">
      <c r="C352" s="47"/>
      <c r="D352" s="47"/>
      <c r="E352" s="47"/>
      <c r="F352" s="47"/>
      <c r="G352" s="47"/>
      <c r="H352" s="47"/>
    </row>
    <row r="353" spans="3:8" ht="12.5" x14ac:dyDescent="0.25">
      <c r="C353" s="47"/>
      <c r="D353" s="47"/>
      <c r="E353" s="47"/>
      <c r="F353" s="47"/>
      <c r="G353" s="47"/>
      <c r="H353" s="47"/>
    </row>
    <row r="354" spans="3:8" ht="12.5" x14ac:dyDescent="0.25">
      <c r="C354" s="47"/>
      <c r="D354" s="47"/>
      <c r="E354" s="47"/>
      <c r="F354" s="47"/>
      <c r="G354" s="47"/>
      <c r="H354" s="47"/>
    </row>
    <row r="355" spans="3:8" ht="12.5" x14ac:dyDescent="0.25">
      <c r="C355" s="47"/>
      <c r="D355" s="47"/>
      <c r="E355" s="47"/>
      <c r="F355" s="47"/>
      <c r="G355" s="47"/>
      <c r="H355" s="47"/>
    </row>
    <row r="356" spans="3:8" ht="12.5" x14ac:dyDescent="0.25">
      <c r="C356" s="47"/>
      <c r="D356" s="47"/>
      <c r="E356" s="47"/>
      <c r="F356" s="47"/>
      <c r="G356" s="47"/>
      <c r="H356" s="47"/>
    </row>
    <row r="357" spans="3:8" ht="12.5" x14ac:dyDescent="0.25">
      <c r="C357" s="47"/>
      <c r="D357" s="47"/>
      <c r="E357" s="47"/>
      <c r="F357" s="47"/>
      <c r="G357" s="47"/>
      <c r="H357" s="47"/>
    </row>
    <row r="358" spans="3:8" ht="12.5" x14ac:dyDescent="0.25">
      <c r="C358" s="47"/>
      <c r="D358" s="47"/>
      <c r="E358" s="47"/>
      <c r="F358" s="47"/>
      <c r="G358" s="47"/>
      <c r="H358" s="47"/>
    </row>
    <row r="359" spans="3:8" ht="12.5" x14ac:dyDescent="0.25">
      <c r="C359" s="47"/>
      <c r="D359" s="47"/>
      <c r="E359" s="47"/>
      <c r="F359" s="47"/>
      <c r="G359" s="47"/>
      <c r="H359" s="47"/>
    </row>
    <row r="360" spans="3:8" ht="12.5" x14ac:dyDescent="0.25">
      <c r="C360" s="47"/>
      <c r="D360" s="47"/>
      <c r="E360" s="47"/>
      <c r="F360" s="47"/>
      <c r="G360" s="47"/>
      <c r="H360" s="47"/>
    </row>
    <row r="361" spans="3:8" ht="12.5" x14ac:dyDescent="0.25">
      <c r="C361" s="47"/>
      <c r="D361" s="47"/>
      <c r="E361" s="47"/>
      <c r="F361" s="47"/>
      <c r="G361" s="47"/>
      <c r="H361" s="47"/>
    </row>
    <row r="362" spans="3:8" ht="12.5" x14ac:dyDescent="0.25">
      <c r="C362" s="47"/>
      <c r="D362" s="47"/>
      <c r="E362" s="47"/>
      <c r="F362" s="47"/>
      <c r="G362" s="47"/>
      <c r="H362" s="47"/>
    </row>
    <row r="363" spans="3:8" ht="12.5" x14ac:dyDescent="0.25">
      <c r="C363" s="47"/>
      <c r="D363" s="47"/>
      <c r="E363" s="47"/>
      <c r="F363" s="47"/>
      <c r="G363" s="47"/>
      <c r="H363" s="47"/>
    </row>
    <row r="364" spans="3:8" ht="12.5" x14ac:dyDescent="0.25">
      <c r="C364" s="47"/>
      <c r="D364" s="47"/>
      <c r="E364" s="47"/>
      <c r="F364" s="47"/>
      <c r="G364" s="47"/>
      <c r="H364" s="47"/>
    </row>
    <row r="365" spans="3:8" ht="12.5" x14ac:dyDescent="0.25">
      <c r="C365" s="47"/>
      <c r="D365" s="47"/>
      <c r="E365" s="47"/>
      <c r="F365" s="47"/>
      <c r="G365" s="47"/>
      <c r="H365" s="47"/>
    </row>
    <row r="366" spans="3:8" ht="12.5" x14ac:dyDescent="0.25">
      <c r="C366" s="47"/>
      <c r="D366" s="47"/>
      <c r="E366" s="47"/>
      <c r="F366" s="47"/>
      <c r="G366" s="47"/>
      <c r="H366" s="47"/>
    </row>
    <row r="367" spans="3:8" ht="12.5" x14ac:dyDescent="0.25">
      <c r="C367" s="47"/>
      <c r="D367" s="47"/>
      <c r="E367" s="47"/>
      <c r="F367" s="47"/>
      <c r="G367" s="47"/>
      <c r="H367" s="47"/>
    </row>
    <row r="368" spans="3:8" ht="12.5" x14ac:dyDescent="0.25">
      <c r="C368" s="47"/>
      <c r="D368" s="47"/>
      <c r="E368" s="47"/>
      <c r="F368" s="47"/>
      <c r="G368" s="47"/>
      <c r="H368" s="47"/>
    </row>
    <row r="369" spans="3:8" ht="12.5" x14ac:dyDescent="0.25">
      <c r="C369" s="47"/>
      <c r="D369" s="47"/>
      <c r="E369" s="47"/>
      <c r="F369" s="47"/>
      <c r="G369" s="47"/>
      <c r="H369" s="47"/>
    </row>
    <row r="370" spans="3:8" ht="12.5" x14ac:dyDescent="0.25">
      <c r="C370" s="47"/>
      <c r="D370" s="47"/>
      <c r="E370" s="47"/>
      <c r="F370" s="47"/>
      <c r="G370" s="47"/>
      <c r="H370" s="47"/>
    </row>
    <row r="371" spans="3:8" ht="12.5" x14ac:dyDescent="0.25">
      <c r="C371" s="47"/>
      <c r="D371" s="47"/>
      <c r="E371" s="47"/>
      <c r="F371" s="47"/>
      <c r="G371" s="47"/>
      <c r="H371" s="47"/>
    </row>
    <row r="372" spans="3:8" ht="12.5" x14ac:dyDescent="0.25">
      <c r="C372" s="47"/>
      <c r="D372" s="47"/>
      <c r="E372" s="47"/>
      <c r="F372" s="47"/>
      <c r="G372" s="47"/>
      <c r="H372" s="47"/>
    </row>
    <row r="373" spans="3:8" ht="12.5" x14ac:dyDescent="0.25">
      <c r="C373" s="47"/>
      <c r="D373" s="47"/>
      <c r="E373" s="47"/>
      <c r="F373" s="47"/>
      <c r="G373" s="47"/>
      <c r="H373" s="47"/>
    </row>
    <row r="374" spans="3:8" ht="12.5" x14ac:dyDescent="0.25">
      <c r="C374" s="47"/>
      <c r="D374" s="47"/>
      <c r="E374" s="47"/>
      <c r="F374" s="47"/>
      <c r="G374" s="47"/>
      <c r="H374" s="47"/>
    </row>
    <row r="375" spans="3:8" ht="12.5" x14ac:dyDescent="0.25">
      <c r="C375" s="47"/>
      <c r="D375" s="47"/>
      <c r="E375" s="47"/>
      <c r="F375" s="47"/>
      <c r="G375" s="47"/>
      <c r="H375" s="47"/>
    </row>
    <row r="376" spans="3:8" ht="12.5" x14ac:dyDescent="0.25">
      <c r="C376" s="47"/>
      <c r="D376" s="47"/>
      <c r="E376" s="47"/>
      <c r="F376" s="47"/>
      <c r="G376" s="47"/>
      <c r="H376" s="47"/>
    </row>
    <row r="377" spans="3:8" ht="12.5" x14ac:dyDescent="0.25">
      <c r="C377" s="47"/>
      <c r="D377" s="47"/>
      <c r="E377" s="47"/>
      <c r="F377" s="47"/>
      <c r="G377" s="47"/>
      <c r="H377" s="47"/>
    </row>
    <row r="378" spans="3:8" ht="12.5" x14ac:dyDescent="0.25">
      <c r="C378" s="47"/>
      <c r="D378" s="47"/>
      <c r="E378" s="47"/>
      <c r="F378" s="47"/>
      <c r="G378" s="47"/>
      <c r="H378" s="47"/>
    </row>
    <row r="379" spans="3:8" ht="12.5" x14ac:dyDescent="0.25">
      <c r="C379" s="47"/>
      <c r="D379" s="47"/>
      <c r="E379" s="47"/>
      <c r="F379" s="47"/>
      <c r="G379" s="47"/>
      <c r="H379" s="47"/>
    </row>
    <row r="380" spans="3:8" ht="12.5" x14ac:dyDescent="0.25">
      <c r="C380" s="47"/>
      <c r="D380" s="47"/>
      <c r="E380" s="47"/>
      <c r="F380" s="47"/>
      <c r="G380" s="47"/>
      <c r="H380" s="47"/>
    </row>
    <row r="381" spans="3:8" ht="12.5" x14ac:dyDescent="0.25">
      <c r="C381" s="47"/>
      <c r="D381" s="47"/>
      <c r="E381" s="47"/>
      <c r="F381" s="47"/>
      <c r="G381" s="47"/>
      <c r="H381" s="47"/>
    </row>
    <row r="382" spans="3:8" ht="12.5" x14ac:dyDescent="0.25">
      <c r="C382" s="47"/>
      <c r="D382" s="47"/>
      <c r="E382" s="47"/>
      <c r="F382" s="47"/>
      <c r="G382" s="47"/>
      <c r="H382" s="47"/>
    </row>
    <row r="383" spans="3:8" ht="12.5" x14ac:dyDescent="0.25">
      <c r="C383" s="47"/>
      <c r="D383" s="47"/>
      <c r="E383" s="47"/>
      <c r="F383" s="47"/>
      <c r="G383" s="47"/>
      <c r="H383" s="47"/>
    </row>
    <row r="384" spans="3:8" ht="12.5" x14ac:dyDescent="0.25">
      <c r="C384" s="47"/>
      <c r="D384" s="47"/>
      <c r="E384" s="47"/>
      <c r="F384" s="47"/>
      <c r="G384" s="47"/>
      <c r="H384" s="47"/>
    </row>
    <row r="385" spans="3:8" ht="12.5" x14ac:dyDescent="0.25">
      <c r="C385" s="47"/>
      <c r="D385" s="47"/>
      <c r="E385" s="47"/>
      <c r="F385" s="47"/>
      <c r="G385" s="47"/>
      <c r="H385" s="47"/>
    </row>
    <row r="386" spans="3:8" ht="12.5" x14ac:dyDescent="0.25">
      <c r="C386" s="47"/>
      <c r="D386" s="47"/>
      <c r="E386" s="47"/>
      <c r="F386" s="47"/>
      <c r="G386" s="47"/>
      <c r="H386" s="47"/>
    </row>
    <row r="387" spans="3:8" ht="12.5" x14ac:dyDescent="0.25">
      <c r="C387" s="47"/>
      <c r="D387" s="47"/>
      <c r="E387" s="47"/>
      <c r="F387" s="47"/>
      <c r="G387" s="47"/>
      <c r="H387" s="47"/>
    </row>
    <row r="388" spans="3:8" ht="12.5" x14ac:dyDescent="0.25">
      <c r="C388" s="47"/>
      <c r="D388" s="47"/>
      <c r="E388" s="47"/>
      <c r="F388" s="47"/>
      <c r="G388" s="47"/>
      <c r="H388" s="47"/>
    </row>
    <row r="389" spans="3:8" ht="12.5" x14ac:dyDescent="0.25">
      <c r="C389" s="47"/>
      <c r="D389" s="47"/>
      <c r="E389" s="47"/>
      <c r="F389" s="47"/>
      <c r="G389" s="47"/>
      <c r="H389" s="47"/>
    </row>
    <row r="390" spans="3:8" ht="12.5" x14ac:dyDescent="0.25">
      <c r="C390" s="47"/>
      <c r="D390" s="47"/>
      <c r="E390" s="47"/>
      <c r="F390" s="47"/>
      <c r="G390" s="47"/>
      <c r="H390" s="47"/>
    </row>
    <row r="391" spans="3:8" ht="12.5" x14ac:dyDescent="0.25">
      <c r="C391" s="47"/>
      <c r="D391" s="47"/>
      <c r="E391" s="47"/>
      <c r="F391" s="47"/>
      <c r="G391" s="47"/>
      <c r="H391" s="47"/>
    </row>
    <row r="392" spans="3:8" ht="12.5" x14ac:dyDescent="0.25">
      <c r="C392" s="47"/>
      <c r="D392" s="47"/>
      <c r="E392" s="47"/>
      <c r="F392" s="47"/>
      <c r="G392" s="47"/>
      <c r="H392" s="47"/>
    </row>
    <row r="393" spans="3:8" ht="12.5" x14ac:dyDescent="0.25">
      <c r="C393" s="47"/>
      <c r="D393" s="47"/>
      <c r="E393" s="47"/>
      <c r="F393" s="47"/>
      <c r="G393" s="47"/>
      <c r="H393" s="47"/>
    </row>
    <row r="394" spans="3:8" ht="12.5" x14ac:dyDescent="0.25">
      <c r="C394" s="47"/>
      <c r="D394" s="47"/>
      <c r="E394" s="47"/>
      <c r="F394" s="47"/>
      <c r="G394" s="47"/>
      <c r="H394" s="47"/>
    </row>
    <row r="395" spans="3:8" ht="12.5" x14ac:dyDescent="0.25">
      <c r="C395" s="47"/>
      <c r="D395" s="47"/>
      <c r="E395" s="47"/>
      <c r="F395" s="47"/>
      <c r="G395" s="47"/>
      <c r="H395" s="47"/>
    </row>
    <row r="396" spans="3:8" ht="12.5" x14ac:dyDescent="0.25">
      <c r="C396" s="47"/>
      <c r="D396" s="47"/>
      <c r="E396" s="47"/>
      <c r="F396" s="47"/>
      <c r="G396" s="47"/>
      <c r="H396" s="47"/>
    </row>
    <row r="397" spans="3:8" ht="12.5" x14ac:dyDescent="0.25">
      <c r="C397" s="47"/>
      <c r="D397" s="47"/>
      <c r="E397" s="47"/>
      <c r="F397" s="47"/>
      <c r="G397" s="47"/>
      <c r="H397" s="47"/>
    </row>
    <row r="398" spans="3:8" ht="12.5" x14ac:dyDescent="0.25">
      <c r="C398" s="47"/>
      <c r="D398" s="47"/>
      <c r="E398" s="47"/>
      <c r="F398" s="47"/>
      <c r="G398" s="47"/>
      <c r="H398" s="47"/>
    </row>
    <row r="399" spans="3:8" ht="12.5" x14ac:dyDescent="0.25">
      <c r="C399" s="47"/>
      <c r="D399" s="47"/>
      <c r="E399" s="47"/>
      <c r="F399" s="47"/>
      <c r="G399" s="47"/>
      <c r="H399" s="47"/>
    </row>
    <row r="400" spans="3:8" ht="12.5" x14ac:dyDescent="0.25">
      <c r="C400" s="47"/>
      <c r="D400" s="47"/>
      <c r="E400" s="47"/>
      <c r="F400" s="47"/>
      <c r="G400" s="47"/>
      <c r="H400" s="47"/>
    </row>
    <row r="401" spans="3:8" ht="12.5" x14ac:dyDescent="0.25">
      <c r="C401" s="47"/>
      <c r="D401" s="47"/>
      <c r="E401" s="47"/>
      <c r="F401" s="47"/>
      <c r="G401" s="47"/>
      <c r="H401" s="47"/>
    </row>
    <row r="402" spans="3:8" ht="12.5" x14ac:dyDescent="0.25">
      <c r="C402" s="47"/>
      <c r="D402" s="47"/>
      <c r="E402" s="47"/>
      <c r="F402" s="47"/>
      <c r="G402" s="47"/>
      <c r="H402" s="47"/>
    </row>
    <row r="403" spans="3:8" ht="12.5" x14ac:dyDescent="0.25">
      <c r="C403" s="47"/>
      <c r="D403" s="47"/>
      <c r="E403" s="47"/>
      <c r="F403" s="47"/>
      <c r="G403" s="47"/>
      <c r="H403" s="47"/>
    </row>
    <row r="404" spans="3:8" ht="12.5" x14ac:dyDescent="0.25">
      <c r="C404" s="47"/>
      <c r="D404" s="47"/>
      <c r="E404" s="47"/>
      <c r="F404" s="47"/>
      <c r="G404" s="47"/>
      <c r="H404" s="47"/>
    </row>
    <row r="405" spans="3:8" ht="12.5" x14ac:dyDescent="0.25">
      <c r="C405" s="47"/>
      <c r="D405" s="47"/>
      <c r="E405" s="47"/>
      <c r="F405" s="47"/>
      <c r="G405" s="47"/>
      <c r="H405" s="47"/>
    </row>
    <row r="406" spans="3:8" ht="12.5" x14ac:dyDescent="0.25">
      <c r="C406" s="47"/>
      <c r="D406" s="47"/>
      <c r="E406" s="47"/>
      <c r="F406" s="47"/>
      <c r="G406" s="47"/>
      <c r="H406" s="47"/>
    </row>
    <row r="407" spans="3:8" ht="12.5" x14ac:dyDescent="0.25">
      <c r="C407" s="47"/>
      <c r="D407" s="47"/>
      <c r="E407" s="47"/>
      <c r="F407" s="47"/>
      <c r="G407" s="47"/>
      <c r="H407" s="47"/>
    </row>
    <row r="408" spans="3:8" ht="12.5" x14ac:dyDescent="0.25">
      <c r="C408" s="47"/>
      <c r="D408" s="47"/>
      <c r="E408" s="47"/>
      <c r="F408" s="47"/>
      <c r="G408" s="47"/>
      <c r="H408" s="47"/>
    </row>
    <row r="409" spans="3:8" ht="12.5" x14ac:dyDescent="0.25">
      <c r="C409" s="47"/>
      <c r="D409" s="47"/>
      <c r="E409" s="47"/>
      <c r="F409" s="47"/>
      <c r="G409" s="47"/>
      <c r="H409" s="47"/>
    </row>
    <row r="410" spans="3:8" ht="12.5" x14ac:dyDescent="0.25">
      <c r="C410" s="47"/>
      <c r="D410" s="47"/>
      <c r="E410" s="47"/>
      <c r="F410" s="47"/>
      <c r="G410" s="47"/>
      <c r="H410" s="47"/>
    </row>
    <row r="411" spans="3:8" ht="12.5" x14ac:dyDescent="0.25">
      <c r="C411" s="47"/>
      <c r="D411" s="47"/>
      <c r="E411" s="47"/>
      <c r="F411" s="47"/>
      <c r="G411" s="47"/>
      <c r="H411" s="47"/>
    </row>
    <row r="412" spans="3:8" ht="12.5" x14ac:dyDescent="0.25">
      <c r="C412" s="47"/>
      <c r="D412" s="47"/>
      <c r="E412" s="47"/>
      <c r="F412" s="47"/>
      <c r="G412" s="47"/>
      <c r="H412" s="47"/>
    </row>
    <row r="413" spans="3:8" ht="12.5" x14ac:dyDescent="0.25">
      <c r="C413" s="47"/>
      <c r="D413" s="47"/>
      <c r="E413" s="47"/>
      <c r="F413" s="47"/>
      <c r="G413" s="47"/>
      <c r="H413" s="47"/>
    </row>
    <row r="414" spans="3:8" ht="12.5" x14ac:dyDescent="0.25">
      <c r="C414" s="47"/>
      <c r="D414" s="47"/>
      <c r="E414" s="47"/>
      <c r="F414" s="47"/>
      <c r="G414" s="47"/>
      <c r="H414" s="47"/>
    </row>
    <row r="415" spans="3:8" ht="12.5" x14ac:dyDescent="0.25">
      <c r="C415" s="47"/>
      <c r="D415" s="47"/>
      <c r="E415" s="47"/>
      <c r="F415" s="47"/>
      <c r="G415" s="47"/>
      <c r="H415" s="47"/>
    </row>
    <row r="416" spans="3:8" ht="12.5" x14ac:dyDescent="0.25">
      <c r="C416" s="47"/>
      <c r="D416" s="47"/>
      <c r="E416" s="47"/>
      <c r="F416" s="47"/>
      <c r="G416" s="47"/>
      <c r="H416" s="47"/>
    </row>
    <row r="417" spans="3:8" ht="12.5" x14ac:dyDescent="0.25">
      <c r="C417" s="47"/>
      <c r="D417" s="47"/>
      <c r="E417" s="47"/>
      <c r="F417" s="47"/>
      <c r="G417" s="47"/>
      <c r="H417" s="47"/>
    </row>
    <row r="418" spans="3:8" ht="12.5" x14ac:dyDescent="0.25">
      <c r="C418" s="47"/>
      <c r="D418" s="47"/>
      <c r="E418" s="47"/>
      <c r="F418" s="47"/>
      <c r="G418" s="47"/>
      <c r="H418" s="47"/>
    </row>
    <row r="419" spans="3:8" ht="12.5" x14ac:dyDescent="0.25">
      <c r="C419" s="47"/>
      <c r="D419" s="47"/>
      <c r="E419" s="47"/>
      <c r="F419" s="47"/>
      <c r="G419" s="47"/>
      <c r="H419" s="47"/>
    </row>
    <row r="420" spans="3:8" ht="12.5" x14ac:dyDescent="0.25">
      <c r="C420" s="47"/>
      <c r="D420" s="47"/>
      <c r="E420" s="47"/>
      <c r="F420" s="47"/>
      <c r="G420" s="47"/>
      <c r="H420" s="47"/>
    </row>
    <row r="421" spans="3:8" ht="12.5" x14ac:dyDescent="0.25">
      <c r="C421" s="47"/>
      <c r="D421" s="47"/>
      <c r="E421" s="47"/>
      <c r="F421" s="47"/>
      <c r="G421" s="47"/>
      <c r="H421" s="47"/>
    </row>
    <row r="422" spans="3:8" ht="12.5" x14ac:dyDescent="0.25">
      <c r="C422" s="47"/>
      <c r="D422" s="47"/>
      <c r="E422" s="47"/>
      <c r="F422" s="47"/>
      <c r="G422" s="47"/>
      <c r="H422" s="47"/>
    </row>
    <row r="423" spans="3:8" ht="12.5" x14ac:dyDescent="0.25">
      <c r="C423" s="47"/>
      <c r="D423" s="47"/>
      <c r="E423" s="47"/>
      <c r="F423" s="47"/>
      <c r="G423" s="47"/>
      <c r="H423" s="47"/>
    </row>
    <row r="424" spans="3:8" ht="12.5" x14ac:dyDescent="0.25">
      <c r="C424" s="47"/>
      <c r="D424" s="47"/>
      <c r="E424" s="47"/>
      <c r="F424" s="47"/>
      <c r="G424" s="47"/>
      <c r="H424" s="47"/>
    </row>
    <row r="425" spans="3:8" ht="12.5" x14ac:dyDescent="0.25">
      <c r="C425" s="47"/>
      <c r="D425" s="47"/>
      <c r="E425" s="47"/>
      <c r="F425" s="47"/>
      <c r="G425" s="47"/>
      <c r="H425" s="47"/>
    </row>
    <row r="426" spans="3:8" ht="12.5" x14ac:dyDescent="0.25">
      <c r="C426" s="47"/>
      <c r="D426" s="47"/>
      <c r="E426" s="47"/>
      <c r="F426" s="47"/>
      <c r="G426" s="47"/>
      <c r="H426" s="47"/>
    </row>
    <row r="427" spans="3:8" ht="12.5" x14ac:dyDescent="0.25">
      <c r="C427" s="47"/>
      <c r="D427" s="47"/>
      <c r="E427" s="47"/>
      <c r="F427" s="47"/>
      <c r="G427" s="47"/>
      <c r="H427" s="47"/>
    </row>
    <row r="428" spans="3:8" ht="12.5" x14ac:dyDescent="0.25">
      <c r="C428" s="47"/>
      <c r="D428" s="47"/>
      <c r="E428" s="47"/>
      <c r="F428" s="47"/>
      <c r="G428" s="47"/>
      <c r="H428" s="47"/>
    </row>
    <row r="429" spans="3:8" ht="12.5" x14ac:dyDescent="0.25">
      <c r="C429" s="47"/>
      <c r="D429" s="47"/>
      <c r="E429" s="47"/>
      <c r="F429" s="47"/>
      <c r="G429" s="47"/>
      <c r="H429" s="47"/>
    </row>
    <row r="430" spans="3:8" ht="12.5" x14ac:dyDescent="0.25">
      <c r="C430" s="47"/>
      <c r="D430" s="47"/>
      <c r="E430" s="47"/>
      <c r="F430" s="47"/>
      <c r="G430" s="47"/>
      <c r="H430" s="47"/>
    </row>
    <row r="431" spans="3:8" ht="12.5" x14ac:dyDescent="0.25">
      <c r="C431" s="47"/>
      <c r="D431" s="47"/>
      <c r="E431" s="47"/>
      <c r="F431" s="47"/>
      <c r="G431" s="47"/>
      <c r="H431" s="47"/>
    </row>
    <row r="432" spans="3:8" ht="12.5" x14ac:dyDescent="0.25">
      <c r="C432" s="47"/>
      <c r="D432" s="47"/>
      <c r="E432" s="47"/>
      <c r="F432" s="47"/>
      <c r="G432" s="47"/>
      <c r="H432" s="47"/>
    </row>
    <row r="433" spans="3:8" ht="12.5" x14ac:dyDescent="0.25">
      <c r="C433" s="47"/>
      <c r="D433" s="47"/>
      <c r="E433" s="47"/>
      <c r="F433" s="47"/>
      <c r="G433" s="47"/>
      <c r="H433" s="47"/>
    </row>
    <row r="434" spans="3:8" ht="12.5" x14ac:dyDescent="0.25">
      <c r="C434" s="47"/>
      <c r="D434" s="47"/>
      <c r="E434" s="47"/>
      <c r="F434" s="47"/>
      <c r="G434" s="47"/>
      <c r="H434" s="47"/>
    </row>
    <row r="435" spans="3:8" ht="12.5" x14ac:dyDescent="0.25">
      <c r="C435" s="47"/>
      <c r="D435" s="47"/>
      <c r="E435" s="47"/>
      <c r="F435" s="47"/>
      <c r="G435" s="47"/>
      <c r="H435" s="47"/>
    </row>
    <row r="436" spans="3:8" ht="12.5" x14ac:dyDescent="0.25">
      <c r="C436" s="47"/>
      <c r="D436" s="47"/>
      <c r="E436" s="47"/>
      <c r="F436" s="47"/>
      <c r="G436" s="47"/>
      <c r="H436" s="47"/>
    </row>
    <row r="437" spans="3:8" ht="12.5" x14ac:dyDescent="0.25">
      <c r="C437" s="47"/>
      <c r="D437" s="47"/>
      <c r="E437" s="47"/>
      <c r="F437" s="47"/>
      <c r="G437" s="47"/>
      <c r="H437" s="47"/>
    </row>
    <row r="438" spans="3:8" ht="12.5" x14ac:dyDescent="0.25">
      <c r="C438" s="47"/>
      <c r="D438" s="47"/>
      <c r="E438" s="47"/>
      <c r="F438" s="47"/>
      <c r="G438" s="47"/>
      <c r="H438" s="47"/>
    </row>
    <row r="439" spans="3:8" ht="12.5" x14ac:dyDescent="0.25">
      <c r="C439" s="47"/>
      <c r="D439" s="47"/>
      <c r="E439" s="47"/>
      <c r="F439" s="47"/>
      <c r="G439" s="47"/>
      <c r="H439" s="47"/>
    </row>
    <row r="440" spans="3:8" ht="12.5" x14ac:dyDescent="0.25">
      <c r="C440" s="47"/>
      <c r="D440" s="47"/>
      <c r="E440" s="47"/>
      <c r="F440" s="47"/>
      <c r="G440" s="47"/>
      <c r="H440" s="47"/>
    </row>
    <row r="441" spans="3:8" ht="12.5" x14ac:dyDescent="0.25">
      <c r="C441" s="47"/>
      <c r="D441" s="47"/>
      <c r="E441" s="47"/>
      <c r="F441" s="47"/>
      <c r="G441" s="47"/>
      <c r="H441" s="47"/>
    </row>
    <row r="442" spans="3:8" ht="12.5" x14ac:dyDescent="0.25">
      <c r="C442" s="47"/>
      <c r="D442" s="47"/>
      <c r="E442" s="47"/>
      <c r="F442" s="47"/>
      <c r="G442" s="47"/>
      <c r="H442" s="47"/>
    </row>
    <row r="443" spans="3:8" ht="12.5" x14ac:dyDescent="0.25">
      <c r="C443" s="47"/>
      <c r="D443" s="47"/>
      <c r="E443" s="47"/>
      <c r="F443" s="47"/>
      <c r="G443" s="47"/>
      <c r="H443" s="47"/>
    </row>
    <row r="444" spans="3:8" ht="12.5" x14ac:dyDescent="0.25">
      <c r="C444" s="47"/>
      <c r="D444" s="47"/>
      <c r="E444" s="47"/>
      <c r="F444" s="47"/>
      <c r="G444" s="47"/>
      <c r="H444" s="47"/>
    </row>
    <row r="445" spans="3:8" ht="12.5" x14ac:dyDescent="0.25">
      <c r="C445" s="47"/>
      <c r="D445" s="47"/>
      <c r="E445" s="47"/>
      <c r="F445" s="47"/>
      <c r="G445" s="47"/>
      <c r="H445" s="47"/>
    </row>
    <row r="446" spans="3:8" ht="12.5" x14ac:dyDescent="0.25">
      <c r="C446" s="47"/>
      <c r="D446" s="47"/>
      <c r="E446" s="47"/>
      <c r="F446" s="47"/>
      <c r="G446" s="47"/>
      <c r="H446" s="47"/>
    </row>
    <row r="447" spans="3:8" ht="12.5" x14ac:dyDescent="0.25">
      <c r="C447" s="47"/>
      <c r="D447" s="47"/>
      <c r="E447" s="47"/>
      <c r="F447" s="47"/>
      <c r="G447" s="47"/>
      <c r="H447" s="47"/>
    </row>
    <row r="448" spans="3:8" ht="12.5" x14ac:dyDescent="0.25">
      <c r="C448" s="47"/>
      <c r="D448" s="47"/>
      <c r="E448" s="47"/>
      <c r="F448" s="47"/>
      <c r="G448" s="47"/>
      <c r="H448" s="47"/>
    </row>
    <row r="449" spans="3:8" ht="12.5" x14ac:dyDescent="0.25">
      <c r="C449" s="47"/>
      <c r="D449" s="47"/>
      <c r="E449" s="47"/>
      <c r="F449" s="47"/>
      <c r="G449" s="47"/>
      <c r="H449" s="47"/>
    </row>
    <row r="450" spans="3:8" ht="12.5" x14ac:dyDescent="0.25">
      <c r="C450" s="47"/>
      <c r="D450" s="47"/>
      <c r="E450" s="47"/>
      <c r="F450" s="47"/>
      <c r="G450" s="47"/>
      <c r="H450" s="47"/>
    </row>
    <row r="451" spans="3:8" ht="12.5" x14ac:dyDescent="0.25">
      <c r="C451" s="47"/>
      <c r="D451" s="47"/>
      <c r="E451" s="47"/>
      <c r="F451" s="47"/>
      <c r="G451" s="47"/>
      <c r="H451" s="47"/>
    </row>
    <row r="452" spans="3:8" ht="12.5" x14ac:dyDescent="0.25">
      <c r="C452" s="47"/>
      <c r="D452" s="47"/>
      <c r="E452" s="47"/>
      <c r="F452" s="47"/>
      <c r="G452" s="47"/>
      <c r="H452" s="47"/>
    </row>
    <row r="453" spans="3:8" ht="12.5" x14ac:dyDescent="0.25">
      <c r="C453" s="47"/>
      <c r="D453" s="47"/>
      <c r="E453" s="47"/>
      <c r="F453" s="47"/>
      <c r="G453" s="47"/>
      <c r="H453" s="47"/>
    </row>
    <row r="454" spans="3:8" ht="12.5" x14ac:dyDescent="0.25">
      <c r="C454" s="47"/>
      <c r="D454" s="47"/>
      <c r="E454" s="47"/>
      <c r="F454" s="47"/>
      <c r="G454" s="47"/>
      <c r="H454" s="47"/>
    </row>
    <row r="455" spans="3:8" ht="12.5" x14ac:dyDescent="0.25">
      <c r="C455" s="47"/>
      <c r="D455" s="47"/>
      <c r="E455" s="47"/>
      <c r="F455" s="47"/>
      <c r="G455" s="47"/>
      <c r="H455" s="47"/>
    </row>
    <row r="456" spans="3:8" ht="12.5" x14ac:dyDescent="0.25">
      <c r="C456" s="47"/>
      <c r="D456" s="47"/>
      <c r="E456" s="47"/>
      <c r="F456" s="47"/>
      <c r="G456" s="47"/>
      <c r="H456" s="47"/>
    </row>
    <row r="457" spans="3:8" ht="12.5" x14ac:dyDescent="0.25">
      <c r="C457" s="47"/>
      <c r="D457" s="47"/>
      <c r="E457" s="47"/>
      <c r="F457" s="47"/>
      <c r="G457" s="47"/>
      <c r="H457" s="47"/>
    </row>
    <row r="458" spans="3:8" ht="12.5" x14ac:dyDescent="0.25">
      <c r="C458" s="47"/>
      <c r="D458" s="47"/>
      <c r="E458" s="47"/>
      <c r="F458" s="47"/>
      <c r="G458" s="47"/>
      <c r="H458" s="47"/>
    </row>
    <row r="459" spans="3:8" ht="12.5" x14ac:dyDescent="0.25">
      <c r="C459" s="47"/>
      <c r="D459" s="47"/>
      <c r="E459" s="47"/>
      <c r="F459" s="47"/>
      <c r="G459" s="47"/>
      <c r="H459" s="47"/>
    </row>
    <row r="460" spans="3:8" ht="12.5" x14ac:dyDescent="0.25">
      <c r="C460" s="47"/>
      <c r="D460" s="47"/>
      <c r="E460" s="47"/>
      <c r="F460" s="47"/>
      <c r="G460" s="47"/>
      <c r="H460" s="47"/>
    </row>
    <row r="461" spans="3:8" ht="12.5" x14ac:dyDescent="0.25">
      <c r="C461" s="47"/>
      <c r="D461" s="47"/>
      <c r="E461" s="47"/>
      <c r="F461" s="47"/>
      <c r="G461" s="47"/>
      <c r="H461" s="47"/>
    </row>
    <row r="462" spans="3:8" ht="12.5" x14ac:dyDescent="0.25">
      <c r="C462" s="47"/>
      <c r="D462" s="47"/>
      <c r="E462" s="47"/>
      <c r="F462" s="47"/>
      <c r="G462" s="47"/>
      <c r="H462" s="47"/>
    </row>
    <row r="463" spans="3:8" ht="12.5" x14ac:dyDescent="0.25">
      <c r="C463" s="47"/>
      <c r="D463" s="47"/>
      <c r="E463" s="47"/>
      <c r="F463" s="47"/>
      <c r="G463" s="47"/>
      <c r="H463" s="47"/>
    </row>
    <row r="464" spans="3:8" ht="12.5" x14ac:dyDescent="0.25">
      <c r="C464" s="47"/>
      <c r="D464" s="47"/>
      <c r="E464" s="47"/>
      <c r="F464" s="47"/>
      <c r="G464" s="47"/>
      <c r="H464" s="47"/>
    </row>
    <row r="465" spans="3:8" ht="12.5" x14ac:dyDescent="0.25">
      <c r="C465" s="47"/>
      <c r="D465" s="47"/>
      <c r="E465" s="47"/>
      <c r="F465" s="47"/>
      <c r="G465" s="47"/>
      <c r="H465" s="47"/>
    </row>
    <row r="466" spans="3:8" ht="12.5" x14ac:dyDescent="0.25">
      <c r="C466" s="47"/>
      <c r="D466" s="47"/>
      <c r="E466" s="47"/>
      <c r="F466" s="47"/>
      <c r="G466" s="47"/>
      <c r="H466" s="47"/>
    </row>
    <row r="467" spans="3:8" ht="12.5" x14ac:dyDescent="0.25">
      <c r="C467" s="47"/>
      <c r="D467" s="47"/>
      <c r="E467" s="47"/>
      <c r="F467" s="47"/>
      <c r="G467" s="47"/>
      <c r="H467" s="47"/>
    </row>
    <row r="468" spans="3:8" ht="12.5" x14ac:dyDescent="0.25">
      <c r="C468" s="47"/>
      <c r="D468" s="47"/>
      <c r="E468" s="47"/>
      <c r="F468" s="47"/>
      <c r="G468" s="47"/>
      <c r="H468" s="47"/>
    </row>
    <row r="469" spans="3:8" ht="12.5" x14ac:dyDescent="0.25">
      <c r="C469" s="47"/>
      <c r="D469" s="47"/>
      <c r="E469" s="47"/>
      <c r="F469" s="47"/>
      <c r="G469" s="47"/>
      <c r="H469" s="47"/>
    </row>
    <row r="470" spans="3:8" ht="12.5" x14ac:dyDescent="0.25">
      <c r="C470" s="47"/>
      <c r="D470" s="47"/>
      <c r="E470" s="47"/>
      <c r="F470" s="47"/>
      <c r="G470" s="47"/>
      <c r="H470" s="47"/>
    </row>
    <row r="471" spans="3:8" ht="12.5" x14ac:dyDescent="0.25">
      <c r="C471" s="47"/>
      <c r="D471" s="47"/>
      <c r="E471" s="47"/>
      <c r="F471" s="47"/>
      <c r="G471" s="47"/>
      <c r="H471" s="47"/>
    </row>
    <row r="472" spans="3:8" ht="12.5" x14ac:dyDescent="0.25">
      <c r="C472" s="47"/>
      <c r="D472" s="47"/>
      <c r="E472" s="47"/>
      <c r="F472" s="47"/>
      <c r="G472" s="47"/>
      <c r="H472" s="47"/>
    </row>
    <row r="473" spans="3:8" ht="12.5" x14ac:dyDescent="0.25">
      <c r="C473" s="47"/>
      <c r="D473" s="47"/>
      <c r="E473" s="47"/>
      <c r="F473" s="47"/>
      <c r="G473" s="47"/>
      <c r="H473" s="47"/>
    </row>
    <row r="474" spans="3:8" ht="12.5" x14ac:dyDescent="0.25">
      <c r="C474" s="47"/>
      <c r="D474" s="47"/>
      <c r="E474" s="47"/>
      <c r="F474" s="47"/>
      <c r="G474" s="47"/>
      <c r="H474" s="47"/>
    </row>
    <row r="475" spans="3:8" ht="12.5" x14ac:dyDescent="0.25">
      <c r="C475" s="47"/>
      <c r="D475" s="47"/>
      <c r="E475" s="47"/>
      <c r="F475" s="47"/>
      <c r="G475" s="47"/>
      <c r="H475" s="47"/>
    </row>
    <row r="476" spans="3:8" ht="12.5" x14ac:dyDescent="0.25">
      <c r="C476" s="47"/>
      <c r="D476" s="47"/>
      <c r="E476" s="47"/>
      <c r="F476" s="47"/>
      <c r="G476" s="47"/>
      <c r="H476" s="47"/>
    </row>
    <row r="477" spans="3:8" ht="12.5" x14ac:dyDescent="0.25">
      <c r="C477" s="47"/>
      <c r="D477" s="47"/>
      <c r="E477" s="47"/>
      <c r="F477" s="47"/>
      <c r="G477" s="47"/>
      <c r="H477" s="47"/>
    </row>
    <row r="478" spans="3:8" ht="12.5" x14ac:dyDescent="0.25">
      <c r="C478" s="47"/>
      <c r="D478" s="47"/>
      <c r="E478" s="47"/>
      <c r="F478" s="47"/>
      <c r="G478" s="47"/>
      <c r="H478" s="47"/>
    </row>
    <row r="479" spans="3:8" ht="12.5" x14ac:dyDescent="0.25">
      <c r="C479" s="47"/>
      <c r="D479" s="47"/>
      <c r="E479" s="47"/>
      <c r="F479" s="47"/>
      <c r="G479" s="47"/>
      <c r="H479" s="47"/>
    </row>
    <row r="480" spans="3:8" ht="12.5" x14ac:dyDescent="0.25">
      <c r="C480" s="47"/>
      <c r="D480" s="47"/>
      <c r="E480" s="47"/>
      <c r="F480" s="47"/>
      <c r="G480" s="47"/>
      <c r="H480" s="47"/>
    </row>
    <row r="481" spans="3:8" ht="12.5" x14ac:dyDescent="0.25">
      <c r="C481" s="47"/>
      <c r="D481" s="47"/>
      <c r="E481" s="47"/>
      <c r="F481" s="47"/>
      <c r="G481" s="47"/>
      <c r="H481" s="47"/>
    </row>
    <row r="482" spans="3:8" ht="12.5" x14ac:dyDescent="0.25">
      <c r="C482" s="47"/>
      <c r="D482" s="47"/>
      <c r="E482" s="47"/>
      <c r="F482" s="47"/>
      <c r="G482" s="47"/>
      <c r="H482" s="47"/>
    </row>
    <row r="483" spans="3:8" ht="12.5" x14ac:dyDescent="0.25">
      <c r="C483" s="47"/>
      <c r="D483" s="47"/>
      <c r="E483" s="47"/>
      <c r="F483" s="47"/>
      <c r="G483" s="47"/>
      <c r="H483" s="47"/>
    </row>
    <row r="484" spans="3:8" ht="12.5" x14ac:dyDescent="0.25">
      <c r="C484" s="47"/>
      <c r="D484" s="47"/>
      <c r="E484" s="47"/>
      <c r="F484" s="47"/>
      <c r="G484" s="47"/>
      <c r="H484" s="47"/>
    </row>
    <row r="485" spans="3:8" ht="12.5" x14ac:dyDescent="0.25">
      <c r="C485" s="47"/>
      <c r="D485" s="47"/>
      <c r="E485" s="47"/>
      <c r="F485" s="47"/>
      <c r="G485" s="47"/>
      <c r="H485" s="47"/>
    </row>
    <row r="486" spans="3:8" ht="12.5" x14ac:dyDescent="0.25">
      <c r="C486" s="47"/>
      <c r="D486" s="47"/>
      <c r="E486" s="47"/>
      <c r="F486" s="47"/>
      <c r="G486" s="47"/>
      <c r="H486" s="47"/>
    </row>
    <row r="487" spans="3:8" ht="12.5" x14ac:dyDescent="0.25">
      <c r="C487" s="47"/>
      <c r="D487" s="47"/>
      <c r="E487" s="47"/>
      <c r="F487" s="47"/>
      <c r="G487" s="47"/>
      <c r="H487" s="47"/>
    </row>
    <row r="488" spans="3:8" ht="12.5" x14ac:dyDescent="0.25">
      <c r="C488" s="47"/>
      <c r="D488" s="47"/>
      <c r="E488" s="47"/>
      <c r="F488" s="47"/>
      <c r="G488" s="47"/>
      <c r="H488" s="47"/>
    </row>
    <row r="489" spans="3:8" ht="12.5" x14ac:dyDescent="0.25">
      <c r="C489" s="47"/>
      <c r="D489" s="47"/>
      <c r="E489" s="47"/>
      <c r="F489" s="47"/>
      <c r="G489" s="47"/>
      <c r="H489" s="47"/>
    </row>
    <row r="490" spans="3:8" ht="12.5" x14ac:dyDescent="0.25">
      <c r="C490" s="47"/>
      <c r="D490" s="47"/>
      <c r="E490" s="47"/>
      <c r="F490" s="47"/>
      <c r="G490" s="47"/>
      <c r="H490" s="47"/>
    </row>
    <row r="491" spans="3:8" ht="12.5" x14ac:dyDescent="0.25">
      <c r="C491" s="47"/>
      <c r="D491" s="47"/>
      <c r="E491" s="47"/>
      <c r="F491" s="47"/>
      <c r="G491" s="47"/>
      <c r="H491" s="47"/>
    </row>
    <row r="492" spans="3:8" ht="12.5" x14ac:dyDescent="0.25">
      <c r="C492" s="47"/>
      <c r="D492" s="47"/>
      <c r="E492" s="47"/>
      <c r="F492" s="47"/>
      <c r="G492" s="47"/>
      <c r="H492" s="47"/>
    </row>
    <row r="493" spans="3:8" ht="12.5" x14ac:dyDescent="0.25">
      <c r="C493" s="47"/>
      <c r="D493" s="47"/>
      <c r="E493" s="47"/>
      <c r="F493" s="47"/>
      <c r="G493" s="47"/>
      <c r="H493" s="47"/>
    </row>
    <row r="494" spans="3:8" ht="12.5" x14ac:dyDescent="0.25">
      <c r="C494" s="47"/>
      <c r="D494" s="47"/>
      <c r="E494" s="47"/>
      <c r="F494" s="47"/>
      <c r="G494" s="47"/>
      <c r="H494" s="47"/>
    </row>
    <row r="495" spans="3:8" ht="12.5" x14ac:dyDescent="0.25">
      <c r="C495" s="47"/>
      <c r="D495" s="47"/>
      <c r="E495" s="47"/>
      <c r="F495" s="47"/>
      <c r="G495" s="47"/>
      <c r="H495" s="47"/>
    </row>
    <row r="496" spans="3:8" ht="12.5" x14ac:dyDescent="0.25">
      <c r="C496" s="47"/>
      <c r="D496" s="47"/>
      <c r="E496" s="47"/>
      <c r="F496" s="47"/>
      <c r="G496" s="47"/>
      <c r="H496" s="47"/>
    </row>
    <row r="497" spans="3:8" ht="12.5" x14ac:dyDescent="0.25">
      <c r="C497" s="47"/>
      <c r="D497" s="47"/>
      <c r="E497" s="47"/>
      <c r="F497" s="47"/>
      <c r="G497" s="47"/>
      <c r="H497" s="47"/>
    </row>
    <row r="498" spans="3:8" ht="12.5" x14ac:dyDescent="0.25">
      <c r="C498" s="47"/>
      <c r="D498" s="47"/>
      <c r="E498" s="47"/>
      <c r="F498" s="47"/>
      <c r="G498" s="47"/>
      <c r="H498" s="47"/>
    </row>
    <row r="499" spans="3:8" ht="12.5" x14ac:dyDescent="0.25">
      <c r="C499" s="47"/>
      <c r="D499" s="47"/>
      <c r="E499" s="47"/>
      <c r="F499" s="47"/>
      <c r="G499" s="47"/>
      <c r="H499" s="47"/>
    </row>
    <row r="500" spans="3:8" ht="12.5" x14ac:dyDescent="0.25">
      <c r="C500" s="47"/>
      <c r="D500" s="47"/>
      <c r="E500" s="47"/>
      <c r="F500" s="47"/>
      <c r="G500" s="47"/>
      <c r="H500" s="47"/>
    </row>
    <row r="501" spans="3:8" ht="12.5" x14ac:dyDescent="0.25">
      <c r="C501" s="47"/>
      <c r="D501" s="47"/>
      <c r="E501" s="47"/>
      <c r="F501" s="47"/>
      <c r="G501" s="47"/>
      <c r="H501" s="47"/>
    </row>
    <row r="502" spans="3:8" ht="12.5" x14ac:dyDescent="0.25">
      <c r="C502" s="47"/>
      <c r="D502" s="47"/>
      <c r="E502" s="47"/>
      <c r="F502" s="47"/>
      <c r="G502" s="47"/>
      <c r="H502" s="47"/>
    </row>
    <row r="503" spans="3:8" ht="12.5" x14ac:dyDescent="0.25">
      <c r="C503" s="47"/>
      <c r="D503" s="47"/>
      <c r="E503" s="47"/>
      <c r="F503" s="47"/>
      <c r="G503" s="47"/>
      <c r="H503" s="47"/>
    </row>
    <row r="504" spans="3:8" ht="12.5" x14ac:dyDescent="0.25">
      <c r="C504" s="47"/>
      <c r="D504" s="47"/>
      <c r="E504" s="47"/>
      <c r="F504" s="47"/>
      <c r="G504" s="47"/>
      <c r="H504" s="47"/>
    </row>
    <row r="505" spans="3:8" ht="12.5" x14ac:dyDescent="0.25">
      <c r="C505" s="47"/>
      <c r="D505" s="47"/>
      <c r="E505" s="47"/>
      <c r="F505" s="47"/>
      <c r="G505" s="47"/>
      <c r="H505" s="47"/>
    </row>
    <row r="506" spans="3:8" ht="12.5" x14ac:dyDescent="0.25">
      <c r="C506" s="47"/>
      <c r="D506" s="47"/>
      <c r="E506" s="47"/>
      <c r="F506" s="47"/>
      <c r="G506" s="47"/>
      <c r="H506" s="47"/>
    </row>
    <row r="507" spans="3:8" ht="12.5" x14ac:dyDescent="0.25">
      <c r="C507" s="47"/>
      <c r="D507" s="47"/>
      <c r="E507" s="47"/>
      <c r="F507" s="47"/>
      <c r="G507" s="47"/>
      <c r="H507" s="47"/>
    </row>
    <row r="508" spans="3:8" ht="12.5" x14ac:dyDescent="0.25">
      <c r="C508" s="47"/>
      <c r="D508" s="47"/>
      <c r="E508" s="47"/>
      <c r="F508" s="47"/>
      <c r="G508" s="47"/>
      <c r="H508" s="47"/>
    </row>
    <row r="509" spans="3:8" ht="12.5" x14ac:dyDescent="0.25">
      <c r="C509" s="47"/>
      <c r="D509" s="47"/>
      <c r="E509" s="47"/>
      <c r="F509" s="47"/>
      <c r="G509" s="47"/>
      <c r="H509" s="47"/>
    </row>
    <row r="510" spans="3:8" ht="12.5" x14ac:dyDescent="0.25">
      <c r="C510" s="47"/>
      <c r="D510" s="47"/>
      <c r="E510" s="47"/>
      <c r="F510" s="47"/>
      <c r="G510" s="47"/>
      <c r="H510" s="47"/>
    </row>
    <row r="511" spans="3:8" ht="12.5" x14ac:dyDescent="0.25">
      <c r="C511" s="47"/>
      <c r="D511" s="47"/>
      <c r="E511" s="47"/>
      <c r="F511" s="47"/>
      <c r="G511" s="47"/>
      <c r="H511" s="47"/>
    </row>
    <row r="512" spans="3:8" ht="12.5" x14ac:dyDescent="0.25">
      <c r="C512" s="47"/>
      <c r="D512" s="47"/>
      <c r="E512" s="47"/>
      <c r="F512" s="47"/>
      <c r="G512" s="47"/>
      <c r="H512" s="47"/>
    </row>
    <row r="513" spans="3:8" ht="12.5" x14ac:dyDescent="0.25">
      <c r="C513" s="47"/>
      <c r="D513" s="47"/>
      <c r="E513" s="47"/>
      <c r="F513" s="47"/>
      <c r="G513" s="47"/>
      <c r="H513" s="47"/>
    </row>
    <row r="514" spans="3:8" ht="12.5" x14ac:dyDescent="0.25">
      <c r="C514" s="47"/>
      <c r="D514" s="47"/>
      <c r="E514" s="47"/>
      <c r="F514" s="47"/>
      <c r="G514" s="47"/>
      <c r="H514" s="47"/>
    </row>
    <row r="515" spans="3:8" ht="12.5" x14ac:dyDescent="0.25">
      <c r="C515" s="47"/>
      <c r="D515" s="47"/>
      <c r="E515" s="47"/>
      <c r="F515" s="47"/>
      <c r="G515" s="47"/>
      <c r="H515" s="47"/>
    </row>
    <row r="516" spans="3:8" ht="12.5" x14ac:dyDescent="0.25">
      <c r="C516" s="47"/>
      <c r="D516" s="47"/>
      <c r="E516" s="47"/>
      <c r="F516" s="47"/>
      <c r="G516" s="47"/>
      <c r="H516" s="47"/>
    </row>
    <row r="517" spans="3:8" ht="12.5" x14ac:dyDescent="0.25">
      <c r="C517" s="47"/>
      <c r="D517" s="47"/>
      <c r="E517" s="47"/>
      <c r="F517" s="47"/>
      <c r="G517" s="47"/>
      <c r="H517" s="47"/>
    </row>
    <row r="518" spans="3:8" ht="12.5" x14ac:dyDescent="0.25">
      <c r="C518" s="47"/>
      <c r="D518" s="47"/>
      <c r="E518" s="47"/>
      <c r="F518" s="47"/>
      <c r="G518" s="47"/>
      <c r="H518" s="47"/>
    </row>
    <row r="519" spans="3:8" ht="12.5" x14ac:dyDescent="0.25">
      <c r="C519" s="47"/>
      <c r="D519" s="47"/>
      <c r="E519" s="47"/>
      <c r="F519" s="47"/>
      <c r="G519" s="47"/>
      <c r="H519" s="47"/>
    </row>
    <row r="520" spans="3:8" ht="12.5" x14ac:dyDescent="0.25">
      <c r="C520" s="47"/>
      <c r="D520" s="47"/>
      <c r="E520" s="47"/>
      <c r="F520" s="47"/>
      <c r="G520" s="47"/>
      <c r="H520" s="47"/>
    </row>
    <row r="521" spans="3:8" ht="12.5" x14ac:dyDescent="0.25">
      <c r="C521" s="47"/>
      <c r="D521" s="47"/>
      <c r="E521" s="47"/>
      <c r="F521" s="47"/>
      <c r="G521" s="47"/>
      <c r="H521" s="47"/>
    </row>
    <row r="522" spans="3:8" ht="12.5" x14ac:dyDescent="0.25">
      <c r="C522" s="47"/>
      <c r="D522" s="47"/>
      <c r="E522" s="47"/>
      <c r="F522" s="47"/>
      <c r="G522" s="47"/>
      <c r="H522" s="47"/>
    </row>
    <row r="523" spans="3:8" ht="12.5" x14ac:dyDescent="0.25">
      <c r="C523" s="47"/>
      <c r="D523" s="47"/>
      <c r="E523" s="47"/>
      <c r="F523" s="47"/>
      <c r="G523" s="47"/>
      <c r="H523" s="47"/>
    </row>
    <row r="524" spans="3:8" ht="12.5" x14ac:dyDescent="0.25">
      <c r="C524" s="47"/>
      <c r="D524" s="47"/>
      <c r="E524" s="47"/>
      <c r="F524" s="47"/>
      <c r="G524" s="47"/>
      <c r="H524" s="47"/>
    </row>
    <row r="525" spans="3:8" ht="12.5" x14ac:dyDescent="0.25">
      <c r="C525" s="47"/>
      <c r="D525" s="47"/>
      <c r="E525" s="47"/>
      <c r="F525" s="47"/>
      <c r="G525" s="47"/>
      <c r="H525" s="47"/>
    </row>
    <row r="526" spans="3:8" ht="12.5" x14ac:dyDescent="0.25">
      <c r="C526" s="47"/>
      <c r="D526" s="47"/>
      <c r="E526" s="47"/>
      <c r="F526" s="47"/>
      <c r="G526" s="47"/>
      <c r="H526" s="47"/>
    </row>
    <row r="527" spans="3:8" ht="12.5" x14ac:dyDescent="0.25">
      <c r="C527" s="47"/>
      <c r="D527" s="47"/>
      <c r="E527" s="47"/>
      <c r="F527" s="47"/>
      <c r="G527" s="47"/>
      <c r="H527" s="47"/>
    </row>
    <row r="528" spans="3:8" ht="12.5" x14ac:dyDescent="0.25">
      <c r="C528" s="47"/>
      <c r="D528" s="47"/>
      <c r="E528" s="47"/>
      <c r="F528" s="47"/>
      <c r="G528" s="47"/>
      <c r="H528" s="47"/>
    </row>
    <row r="529" spans="3:8" ht="12.5" x14ac:dyDescent="0.25">
      <c r="C529" s="47"/>
      <c r="D529" s="47"/>
      <c r="E529" s="47"/>
      <c r="F529" s="47"/>
      <c r="G529" s="47"/>
      <c r="H529" s="47"/>
    </row>
    <row r="530" spans="3:8" ht="12.5" x14ac:dyDescent="0.25">
      <c r="C530" s="47"/>
      <c r="D530" s="47"/>
      <c r="E530" s="47"/>
      <c r="F530" s="47"/>
      <c r="G530" s="47"/>
      <c r="H530" s="47"/>
    </row>
    <row r="531" spans="3:8" ht="12.5" x14ac:dyDescent="0.25">
      <c r="C531" s="47"/>
      <c r="D531" s="47"/>
      <c r="E531" s="47"/>
      <c r="F531" s="47"/>
      <c r="G531" s="47"/>
      <c r="H531" s="47"/>
    </row>
    <row r="532" spans="3:8" ht="12.5" x14ac:dyDescent="0.25">
      <c r="C532" s="47"/>
      <c r="D532" s="47"/>
      <c r="E532" s="47"/>
      <c r="F532" s="47"/>
      <c r="G532" s="47"/>
      <c r="H532" s="47"/>
    </row>
    <row r="533" spans="3:8" ht="12.5" x14ac:dyDescent="0.25">
      <c r="C533" s="47"/>
      <c r="D533" s="47"/>
      <c r="E533" s="47"/>
      <c r="F533" s="47"/>
      <c r="G533" s="47"/>
      <c r="H533" s="47"/>
    </row>
    <row r="534" spans="3:8" ht="12.5" x14ac:dyDescent="0.25">
      <c r="C534" s="47"/>
      <c r="D534" s="47"/>
      <c r="E534" s="47"/>
      <c r="F534" s="47"/>
      <c r="G534" s="47"/>
      <c r="H534" s="47"/>
    </row>
    <row r="535" spans="3:8" ht="12.5" x14ac:dyDescent="0.25">
      <c r="C535" s="47"/>
      <c r="D535" s="47"/>
      <c r="E535" s="47"/>
      <c r="F535" s="47"/>
      <c r="G535" s="47"/>
      <c r="H535" s="47"/>
    </row>
    <row r="536" spans="3:8" ht="12.5" x14ac:dyDescent="0.25">
      <c r="C536" s="47"/>
      <c r="D536" s="47"/>
      <c r="E536" s="47"/>
      <c r="F536" s="47"/>
      <c r="G536" s="47"/>
      <c r="H536" s="47"/>
    </row>
    <row r="537" spans="3:8" ht="12.5" x14ac:dyDescent="0.25">
      <c r="C537" s="47"/>
      <c r="D537" s="47"/>
      <c r="E537" s="47"/>
      <c r="F537" s="47"/>
      <c r="G537" s="47"/>
      <c r="H537" s="47"/>
    </row>
    <row r="538" spans="3:8" ht="12.5" x14ac:dyDescent="0.25">
      <c r="C538" s="47"/>
      <c r="D538" s="47"/>
      <c r="E538" s="47"/>
      <c r="F538" s="47"/>
      <c r="G538" s="47"/>
      <c r="H538" s="47"/>
    </row>
    <row r="539" spans="3:8" ht="12.5" x14ac:dyDescent="0.25">
      <c r="C539" s="47"/>
      <c r="D539" s="47"/>
      <c r="E539" s="47"/>
      <c r="F539" s="47"/>
      <c r="G539" s="47"/>
      <c r="H539" s="47"/>
    </row>
    <row r="540" spans="3:8" ht="12.5" x14ac:dyDescent="0.25">
      <c r="C540" s="47"/>
      <c r="D540" s="47"/>
      <c r="E540" s="47"/>
      <c r="F540" s="47"/>
      <c r="G540" s="47"/>
      <c r="H540" s="47"/>
    </row>
    <row r="541" spans="3:8" ht="12.5" x14ac:dyDescent="0.25">
      <c r="C541" s="47"/>
      <c r="D541" s="47"/>
      <c r="E541" s="47"/>
      <c r="F541" s="47"/>
      <c r="G541" s="47"/>
      <c r="H541" s="47"/>
    </row>
    <row r="542" spans="3:8" ht="12.5" x14ac:dyDescent="0.25">
      <c r="C542" s="47"/>
      <c r="D542" s="47"/>
      <c r="E542" s="47"/>
      <c r="F542" s="47"/>
      <c r="G542" s="47"/>
      <c r="H542" s="47"/>
    </row>
    <row r="543" spans="3:8" ht="12.5" x14ac:dyDescent="0.25">
      <c r="C543" s="47"/>
      <c r="D543" s="47"/>
      <c r="E543" s="47"/>
      <c r="F543" s="47"/>
      <c r="G543" s="47"/>
      <c r="H543" s="47"/>
    </row>
    <row r="544" spans="3:8" ht="12.5" x14ac:dyDescent="0.25">
      <c r="C544" s="47"/>
      <c r="D544" s="47"/>
      <c r="E544" s="47"/>
      <c r="F544" s="47"/>
      <c r="G544" s="47"/>
      <c r="H544" s="47"/>
    </row>
    <row r="545" spans="3:8" ht="12.5" x14ac:dyDescent="0.25">
      <c r="C545" s="47"/>
      <c r="D545" s="47"/>
      <c r="E545" s="47"/>
      <c r="F545" s="47"/>
      <c r="G545" s="47"/>
      <c r="H545" s="47"/>
    </row>
    <row r="546" spans="3:8" ht="12.5" x14ac:dyDescent="0.25">
      <c r="C546" s="47"/>
      <c r="D546" s="47"/>
      <c r="E546" s="47"/>
      <c r="F546" s="47"/>
      <c r="G546" s="47"/>
      <c r="H546" s="47"/>
    </row>
    <row r="547" spans="3:8" ht="12.5" x14ac:dyDescent="0.25">
      <c r="C547" s="47"/>
      <c r="D547" s="47"/>
      <c r="E547" s="47"/>
      <c r="F547" s="47"/>
      <c r="G547" s="47"/>
      <c r="H547" s="47"/>
    </row>
    <row r="548" spans="3:8" ht="12.5" x14ac:dyDescent="0.25">
      <c r="C548" s="47"/>
      <c r="D548" s="47"/>
      <c r="E548" s="47"/>
      <c r="F548" s="47"/>
      <c r="G548" s="47"/>
      <c r="H548" s="47"/>
    </row>
    <row r="549" spans="3:8" ht="12.5" x14ac:dyDescent="0.25">
      <c r="C549" s="47"/>
      <c r="D549" s="47"/>
      <c r="E549" s="47"/>
      <c r="F549" s="47"/>
      <c r="G549" s="47"/>
      <c r="H549" s="47"/>
    </row>
    <row r="550" spans="3:8" ht="12.5" x14ac:dyDescent="0.25">
      <c r="C550" s="47"/>
      <c r="D550" s="47"/>
      <c r="E550" s="47"/>
      <c r="F550" s="47"/>
      <c r="G550" s="47"/>
      <c r="H550" s="47"/>
    </row>
    <row r="551" spans="3:8" ht="12.5" x14ac:dyDescent="0.25">
      <c r="C551" s="47"/>
      <c r="D551" s="47"/>
      <c r="E551" s="47"/>
      <c r="F551" s="47"/>
      <c r="G551" s="47"/>
      <c r="H551" s="47"/>
    </row>
    <row r="552" spans="3:8" ht="12.5" x14ac:dyDescent="0.25">
      <c r="C552" s="47"/>
      <c r="D552" s="47"/>
      <c r="E552" s="47"/>
      <c r="F552" s="47"/>
      <c r="G552" s="47"/>
      <c r="H552" s="47"/>
    </row>
    <row r="553" spans="3:8" ht="12.5" x14ac:dyDescent="0.25">
      <c r="C553" s="47"/>
      <c r="D553" s="47"/>
      <c r="E553" s="47"/>
      <c r="F553" s="47"/>
      <c r="G553" s="47"/>
      <c r="H553" s="47"/>
    </row>
    <row r="554" spans="3:8" ht="12.5" x14ac:dyDescent="0.25">
      <c r="C554" s="47"/>
      <c r="D554" s="47"/>
      <c r="E554" s="47"/>
      <c r="F554" s="47"/>
      <c r="G554" s="47"/>
      <c r="H554" s="47"/>
    </row>
    <row r="555" spans="3:8" ht="12.5" x14ac:dyDescent="0.25">
      <c r="C555" s="47"/>
      <c r="D555" s="47"/>
      <c r="E555" s="47"/>
      <c r="F555" s="47"/>
      <c r="G555" s="47"/>
      <c r="H555" s="47"/>
    </row>
    <row r="556" spans="3:8" ht="12.5" x14ac:dyDescent="0.25">
      <c r="C556" s="47"/>
      <c r="D556" s="47"/>
      <c r="E556" s="47"/>
      <c r="F556" s="47"/>
      <c r="G556" s="47"/>
      <c r="H556" s="47"/>
    </row>
    <row r="557" spans="3:8" ht="12.5" x14ac:dyDescent="0.25">
      <c r="C557" s="47"/>
      <c r="D557" s="47"/>
      <c r="E557" s="47"/>
      <c r="F557" s="47"/>
      <c r="G557" s="47"/>
      <c r="H557" s="47"/>
    </row>
    <row r="558" spans="3:8" ht="12.5" x14ac:dyDescent="0.25">
      <c r="C558" s="47"/>
      <c r="D558" s="47"/>
      <c r="E558" s="47"/>
      <c r="F558" s="47"/>
      <c r="G558" s="47"/>
      <c r="H558" s="47"/>
    </row>
    <row r="559" spans="3:8" ht="12.5" x14ac:dyDescent="0.25">
      <c r="C559" s="47"/>
      <c r="D559" s="47"/>
      <c r="E559" s="47"/>
      <c r="F559" s="47"/>
      <c r="G559" s="47"/>
      <c r="H559" s="47"/>
    </row>
    <row r="560" spans="3:8" ht="12.5" x14ac:dyDescent="0.25">
      <c r="C560" s="47"/>
      <c r="D560" s="47"/>
      <c r="E560" s="47"/>
      <c r="F560" s="47"/>
      <c r="G560" s="47"/>
      <c r="H560" s="47"/>
    </row>
    <row r="561" spans="3:8" ht="12.5" x14ac:dyDescent="0.25">
      <c r="C561" s="47"/>
      <c r="D561" s="47"/>
      <c r="E561" s="47"/>
      <c r="F561" s="47"/>
      <c r="G561" s="47"/>
      <c r="H561" s="47"/>
    </row>
    <row r="562" spans="3:8" ht="12.5" x14ac:dyDescent="0.25">
      <c r="C562" s="47"/>
      <c r="D562" s="47"/>
      <c r="E562" s="47"/>
      <c r="F562" s="47"/>
      <c r="G562" s="47"/>
      <c r="H562" s="47"/>
    </row>
    <row r="563" spans="3:8" ht="12.5" x14ac:dyDescent="0.25">
      <c r="C563" s="47"/>
      <c r="D563" s="47"/>
      <c r="E563" s="47"/>
      <c r="F563" s="47"/>
      <c r="G563" s="47"/>
      <c r="H563" s="47"/>
    </row>
    <row r="564" spans="3:8" ht="12.5" x14ac:dyDescent="0.25">
      <c r="C564" s="47"/>
      <c r="D564" s="47"/>
      <c r="E564" s="47"/>
      <c r="F564" s="47"/>
      <c r="G564" s="47"/>
      <c r="H564" s="47"/>
    </row>
    <row r="565" spans="3:8" ht="12.5" x14ac:dyDescent="0.25">
      <c r="C565" s="47"/>
      <c r="D565" s="47"/>
      <c r="E565" s="47"/>
      <c r="F565" s="47"/>
      <c r="G565" s="47"/>
      <c r="H565" s="47"/>
    </row>
    <row r="566" spans="3:8" ht="12.5" x14ac:dyDescent="0.25">
      <c r="C566" s="47"/>
      <c r="D566" s="47"/>
      <c r="E566" s="47"/>
      <c r="F566" s="47"/>
      <c r="G566" s="47"/>
      <c r="H566" s="47"/>
    </row>
    <row r="567" spans="3:8" ht="12.5" x14ac:dyDescent="0.25">
      <c r="C567" s="47"/>
      <c r="D567" s="47"/>
      <c r="E567" s="47"/>
      <c r="F567" s="47"/>
      <c r="G567" s="47"/>
      <c r="H567" s="47"/>
    </row>
    <row r="568" spans="3:8" ht="12.5" x14ac:dyDescent="0.25">
      <c r="C568" s="47"/>
      <c r="D568" s="47"/>
      <c r="E568" s="47"/>
      <c r="F568" s="47"/>
      <c r="G568" s="47"/>
      <c r="H568" s="47"/>
    </row>
    <row r="569" spans="3:8" ht="12.5" x14ac:dyDescent="0.25">
      <c r="C569" s="47"/>
      <c r="D569" s="47"/>
      <c r="E569" s="47"/>
      <c r="F569" s="47"/>
      <c r="G569" s="47"/>
      <c r="H569" s="47"/>
    </row>
    <row r="570" spans="3:8" ht="12.5" x14ac:dyDescent="0.25">
      <c r="C570" s="47"/>
      <c r="D570" s="47"/>
      <c r="E570" s="47"/>
      <c r="F570" s="47"/>
      <c r="G570" s="47"/>
      <c r="H570" s="47"/>
    </row>
    <row r="571" spans="3:8" ht="12.5" x14ac:dyDescent="0.25">
      <c r="C571" s="47"/>
      <c r="D571" s="47"/>
      <c r="E571" s="47"/>
      <c r="F571" s="47"/>
      <c r="G571" s="47"/>
      <c r="H571" s="47"/>
    </row>
    <row r="572" spans="3:8" ht="12.5" x14ac:dyDescent="0.25">
      <c r="C572" s="47"/>
      <c r="D572" s="47"/>
      <c r="E572" s="47"/>
      <c r="F572" s="47"/>
      <c r="G572" s="47"/>
      <c r="H572" s="47"/>
    </row>
    <row r="573" spans="3:8" ht="12.5" x14ac:dyDescent="0.25">
      <c r="C573" s="47"/>
      <c r="D573" s="47"/>
      <c r="E573" s="47"/>
      <c r="F573" s="47"/>
      <c r="G573" s="47"/>
      <c r="H573" s="47"/>
    </row>
    <row r="574" spans="3:8" ht="12.5" x14ac:dyDescent="0.25">
      <c r="C574" s="47"/>
      <c r="D574" s="47"/>
      <c r="E574" s="47"/>
      <c r="F574" s="47"/>
      <c r="G574" s="47"/>
      <c r="H574" s="47"/>
    </row>
    <row r="575" spans="3:8" ht="12.5" x14ac:dyDescent="0.25">
      <c r="C575" s="47"/>
      <c r="D575" s="47"/>
      <c r="E575" s="47"/>
      <c r="F575" s="47"/>
      <c r="G575" s="47"/>
      <c r="H575" s="47"/>
    </row>
    <row r="576" spans="3:8" ht="12.5" x14ac:dyDescent="0.25">
      <c r="C576" s="47"/>
      <c r="D576" s="47"/>
      <c r="E576" s="47"/>
      <c r="F576" s="47"/>
      <c r="G576" s="47"/>
      <c r="H576" s="47"/>
    </row>
    <row r="577" spans="3:8" ht="12.5" x14ac:dyDescent="0.25">
      <c r="C577" s="47"/>
      <c r="D577" s="47"/>
      <c r="E577" s="47"/>
      <c r="F577" s="47"/>
      <c r="G577" s="47"/>
      <c r="H577" s="47"/>
    </row>
    <row r="578" spans="3:8" ht="12.5" x14ac:dyDescent="0.25">
      <c r="C578" s="47"/>
      <c r="D578" s="47"/>
      <c r="E578" s="47"/>
      <c r="F578" s="47"/>
      <c r="G578" s="47"/>
      <c r="H578" s="47"/>
    </row>
    <row r="579" spans="3:8" ht="12.5" x14ac:dyDescent="0.25">
      <c r="C579" s="47"/>
      <c r="D579" s="47"/>
      <c r="E579" s="47"/>
      <c r="F579" s="47"/>
      <c r="G579" s="47"/>
      <c r="H579" s="47"/>
    </row>
    <row r="580" spans="3:8" ht="12.5" x14ac:dyDescent="0.25">
      <c r="C580" s="47"/>
      <c r="D580" s="47"/>
      <c r="E580" s="47"/>
      <c r="F580" s="47"/>
      <c r="G580" s="47"/>
      <c r="H580" s="47"/>
    </row>
    <row r="581" spans="3:8" ht="12.5" x14ac:dyDescent="0.25">
      <c r="C581" s="47"/>
      <c r="D581" s="47"/>
      <c r="E581" s="47"/>
      <c r="F581" s="47"/>
      <c r="G581" s="47"/>
      <c r="H581" s="47"/>
    </row>
    <row r="582" spans="3:8" ht="12.5" x14ac:dyDescent="0.25">
      <c r="C582" s="47"/>
      <c r="D582" s="47"/>
      <c r="E582" s="47"/>
      <c r="F582" s="47"/>
      <c r="G582" s="47"/>
      <c r="H582" s="47"/>
    </row>
    <row r="583" spans="3:8" ht="12.5" x14ac:dyDescent="0.25">
      <c r="C583" s="47"/>
      <c r="D583" s="47"/>
      <c r="E583" s="47"/>
      <c r="F583" s="47"/>
      <c r="G583" s="47"/>
      <c r="H583" s="47"/>
    </row>
    <row r="584" spans="3:8" ht="12.5" x14ac:dyDescent="0.25">
      <c r="C584" s="47"/>
      <c r="D584" s="47"/>
      <c r="E584" s="47"/>
      <c r="F584" s="47"/>
      <c r="G584" s="47"/>
      <c r="H584" s="47"/>
    </row>
    <row r="585" spans="3:8" ht="12.5" x14ac:dyDescent="0.25">
      <c r="C585" s="47"/>
      <c r="D585" s="47"/>
      <c r="E585" s="47"/>
      <c r="F585" s="47"/>
      <c r="G585" s="47"/>
      <c r="H585" s="47"/>
    </row>
    <row r="586" spans="3:8" ht="12.5" x14ac:dyDescent="0.25">
      <c r="C586" s="47"/>
      <c r="D586" s="47"/>
      <c r="E586" s="47"/>
      <c r="F586" s="47"/>
      <c r="G586" s="47"/>
      <c r="H586" s="47"/>
    </row>
    <row r="587" spans="3:8" ht="12.5" x14ac:dyDescent="0.25">
      <c r="C587" s="47"/>
      <c r="D587" s="47"/>
      <c r="E587" s="47"/>
      <c r="F587" s="47"/>
      <c r="G587" s="47"/>
      <c r="H587" s="47"/>
    </row>
    <row r="588" spans="3:8" ht="12.5" x14ac:dyDescent="0.25">
      <c r="C588" s="47"/>
      <c r="D588" s="47"/>
      <c r="E588" s="47"/>
      <c r="F588" s="47"/>
      <c r="G588" s="47"/>
      <c r="H588" s="47"/>
    </row>
    <row r="589" spans="3:8" ht="12.5" x14ac:dyDescent="0.25">
      <c r="C589" s="47"/>
      <c r="D589" s="47"/>
      <c r="E589" s="47"/>
      <c r="F589" s="47"/>
      <c r="G589" s="47"/>
      <c r="H589" s="47"/>
    </row>
    <row r="590" spans="3:8" ht="12.5" x14ac:dyDescent="0.25">
      <c r="C590" s="47"/>
      <c r="D590" s="47"/>
      <c r="E590" s="47"/>
      <c r="F590" s="47"/>
      <c r="G590" s="47"/>
      <c r="H590" s="47"/>
    </row>
    <row r="591" spans="3:8" ht="12.5" x14ac:dyDescent="0.25">
      <c r="C591" s="47"/>
      <c r="D591" s="47"/>
      <c r="E591" s="47"/>
      <c r="F591" s="47"/>
      <c r="G591" s="47"/>
      <c r="H591" s="47"/>
    </row>
    <row r="592" spans="3:8" ht="12.5" x14ac:dyDescent="0.25">
      <c r="C592" s="47"/>
      <c r="D592" s="47"/>
      <c r="E592" s="47"/>
      <c r="F592" s="47"/>
      <c r="G592" s="47"/>
      <c r="H592" s="47"/>
    </row>
    <row r="593" spans="3:8" ht="12.5" x14ac:dyDescent="0.25">
      <c r="C593" s="47"/>
      <c r="D593" s="47"/>
      <c r="E593" s="47"/>
      <c r="F593" s="47"/>
      <c r="G593" s="47"/>
      <c r="H593" s="47"/>
    </row>
    <row r="594" spans="3:8" ht="12.5" x14ac:dyDescent="0.25">
      <c r="C594" s="47"/>
      <c r="D594" s="47"/>
      <c r="E594" s="47"/>
      <c r="F594" s="47"/>
      <c r="G594" s="47"/>
      <c r="H594" s="47"/>
    </row>
    <row r="595" spans="3:8" ht="12.5" x14ac:dyDescent="0.25">
      <c r="C595" s="47"/>
      <c r="D595" s="47"/>
      <c r="E595" s="47"/>
      <c r="F595" s="47"/>
      <c r="G595" s="47"/>
      <c r="H595" s="47"/>
    </row>
    <row r="596" spans="3:8" ht="12.5" x14ac:dyDescent="0.25">
      <c r="C596" s="47"/>
      <c r="D596" s="47"/>
      <c r="E596" s="47"/>
      <c r="F596" s="47"/>
      <c r="G596" s="47"/>
      <c r="H596" s="47"/>
    </row>
    <row r="597" spans="3:8" ht="12.5" x14ac:dyDescent="0.25">
      <c r="C597" s="47"/>
      <c r="D597" s="47"/>
      <c r="E597" s="47"/>
      <c r="F597" s="47"/>
      <c r="G597" s="47"/>
      <c r="H597" s="47"/>
    </row>
    <row r="598" spans="3:8" ht="12.5" x14ac:dyDescent="0.25">
      <c r="C598" s="47"/>
      <c r="D598" s="47"/>
      <c r="E598" s="47"/>
      <c r="F598" s="47"/>
      <c r="G598" s="47"/>
      <c r="H598" s="47"/>
    </row>
    <row r="599" spans="3:8" ht="12.5" x14ac:dyDescent="0.25">
      <c r="C599" s="47"/>
      <c r="D599" s="47"/>
      <c r="E599" s="47"/>
      <c r="F599" s="47"/>
      <c r="G599" s="47"/>
      <c r="H599" s="47"/>
    </row>
    <row r="600" spans="3:8" ht="12.5" x14ac:dyDescent="0.25">
      <c r="C600" s="47"/>
      <c r="D600" s="47"/>
      <c r="E600" s="47"/>
      <c r="F600" s="47"/>
      <c r="G600" s="47"/>
      <c r="H600" s="47"/>
    </row>
    <row r="601" spans="3:8" ht="12.5" x14ac:dyDescent="0.25">
      <c r="C601" s="47"/>
      <c r="D601" s="47"/>
      <c r="E601" s="47"/>
      <c r="F601" s="47"/>
      <c r="G601" s="47"/>
      <c r="H601" s="47"/>
    </row>
    <row r="602" spans="3:8" ht="12.5" x14ac:dyDescent="0.25">
      <c r="C602" s="47"/>
      <c r="D602" s="47"/>
      <c r="E602" s="47"/>
      <c r="F602" s="47"/>
      <c r="G602" s="47"/>
      <c r="H602" s="47"/>
    </row>
    <row r="603" spans="3:8" ht="12.5" x14ac:dyDescent="0.25">
      <c r="C603" s="47"/>
      <c r="D603" s="47"/>
      <c r="E603" s="47"/>
      <c r="F603" s="47"/>
      <c r="G603" s="47"/>
      <c r="H603" s="47"/>
    </row>
    <row r="604" spans="3:8" ht="12.5" x14ac:dyDescent="0.25">
      <c r="C604" s="47"/>
      <c r="D604" s="47"/>
      <c r="E604" s="47"/>
      <c r="F604" s="47"/>
      <c r="G604" s="47"/>
      <c r="H604" s="47"/>
    </row>
    <row r="605" spans="3:8" ht="12.5" x14ac:dyDescent="0.25">
      <c r="C605" s="47"/>
      <c r="D605" s="47"/>
      <c r="E605" s="47"/>
      <c r="F605" s="47"/>
      <c r="G605" s="47"/>
      <c r="H605" s="47"/>
    </row>
    <row r="606" spans="3:8" ht="12.5" x14ac:dyDescent="0.25">
      <c r="C606" s="47"/>
      <c r="D606" s="47"/>
      <c r="E606" s="47"/>
      <c r="F606" s="47"/>
      <c r="G606" s="47"/>
      <c r="H606" s="47"/>
    </row>
    <row r="607" spans="3:8" ht="12.5" x14ac:dyDescent="0.25">
      <c r="C607" s="47"/>
      <c r="D607" s="47"/>
      <c r="E607" s="47"/>
      <c r="F607" s="47"/>
      <c r="G607" s="47"/>
      <c r="H607" s="47"/>
    </row>
    <row r="608" spans="3:8" ht="12.5" x14ac:dyDescent="0.25">
      <c r="C608" s="47"/>
      <c r="D608" s="47"/>
      <c r="E608" s="47"/>
      <c r="F608" s="47"/>
      <c r="G608" s="47"/>
      <c r="H608" s="47"/>
    </row>
    <row r="609" spans="3:8" ht="12.5" x14ac:dyDescent="0.25">
      <c r="C609" s="47"/>
      <c r="D609" s="47"/>
      <c r="E609" s="47"/>
      <c r="F609" s="47"/>
      <c r="G609" s="47"/>
      <c r="H609" s="47"/>
    </row>
    <row r="610" spans="3:8" ht="12.5" x14ac:dyDescent="0.25">
      <c r="C610" s="47"/>
      <c r="D610" s="47"/>
      <c r="E610" s="47"/>
      <c r="F610" s="47"/>
      <c r="G610" s="47"/>
      <c r="H610" s="47"/>
    </row>
    <row r="611" spans="3:8" ht="12.5" x14ac:dyDescent="0.25">
      <c r="C611" s="47"/>
      <c r="D611" s="47"/>
      <c r="E611" s="47"/>
      <c r="F611" s="47"/>
      <c r="G611" s="47"/>
      <c r="H611" s="47"/>
    </row>
    <row r="612" spans="3:8" ht="12.5" x14ac:dyDescent="0.25">
      <c r="C612" s="47"/>
      <c r="D612" s="47"/>
      <c r="E612" s="47"/>
      <c r="F612" s="47"/>
      <c r="G612" s="47"/>
      <c r="H612" s="47"/>
    </row>
    <row r="613" spans="3:8" ht="12.5" x14ac:dyDescent="0.25">
      <c r="C613" s="47"/>
      <c r="D613" s="47"/>
      <c r="E613" s="47"/>
      <c r="F613" s="47"/>
      <c r="G613" s="47"/>
      <c r="H613" s="47"/>
    </row>
    <row r="614" spans="3:8" ht="12.5" x14ac:dyDescent="0.25">
      <c r="C614" s="47"/>
      <c r="D614" s="47"/>
      <c r="E614" s="47"/>
      <c r="F614" s="47"/>
      <c r="G614" s="47"/>
      <c r="H614" s="47"/>
    </row>
    <row r="615" spans="3:8" ht="12.5" x14ac:dyDescent="0.25">
      <c r="C615" s="47"/>
      <c r="D615" s="47"/>
      <c r="E615" s="47"/>
      <c r="F615" s="47"/>
      <c r="G615" s="47"/>
      <c r="H615" s="47"/>
    </row>
    <row r="616" spans="3:8" ht="12.5" x14ac:dyDescent="0.25">
      <c r="C616" s="47"/>
      <c r="D616" s="47"/>
      <c r="E616" s="47"/>
      <c r="F616" s="47"/>
      <c r="G616" s="47"/>
      <c r="H616" s="47"/>
    </row>
    <row r="617" spans="3:8" ht="12.5" x14ac:dyDescent="0.25">
      <c r="C617" s="47"/>
      <c r="D617" s="47"/>
      <c r="E617" s="47"/>
      <c r="F617" s="47"/>
      <c r="G617" s="47"/>
      <c r="H617" s="47"/>
    </row>
    <row r="618" spans="3:8" ht="12.5" x14ac:dyDescent="0.25">
      <c r="C618" s="47"/>
      <c r="D618" s="47"/>
      <c r="E618" s="47"/>
      <c r="F618" s="47"/>
      <c r="G618" s="47"/>
      <c r="H618" s="47"/>
    </row>
    <row r="619" spans="3:8" ht="12.5" x14ac:dyDescent="0.25">
      <c r="C619" s="47"/>
      <c r="D619" s="47"/>
      <c r="E619" s="47"/>
      <c r="F619" s="47"/>
      <c r="G619" s="47"/>
      <c r="H619" s="47"/>
    </row>
    <row r="620" spans="3:8" ht="12.5" x14ac:dyDescent="0.25">
      <c r="C620" s="47"/>
      <c r="D620" s="47"/>
      <c r="E620" s="47"/>
      <c r="F620" s="47"/>
      <c r="G620" s="47"/>
      <c r="H620" s="47"/>
    </row>
    <row r="621" spans="3:8" ht="12.5" x14ac:dyDescent="0.25">
      <c r="C621" s="47"/>
      <c r="D621" s="47"/>
      <c r="E621" s="47"/>
      <c r="F621" s="47"/>
      <c r="G621" s="47"/>
      <c r="H621" s="47"/>
    </row>
    <row r="622" spans="3:8" ht="12.5" x14ac:dyDescent="0.25">
      <c r="C622" s="47"/>
      <c r="D622" s="47"/>
      <c r="E622" s="47"/>
      <c r="F622" s="47"/>
      <c r="G622" s="47"/>
      <c r="H622" s="47"/>
    </row>
    <row r="623" spans="3:8" ht="12.5" x14ac:dyDescent="0.25">
      <c r="C623" s="47"/>
      <c r="D623" s="47"/>
      <c r="E623" s="47"/>
      <c r="F623" s="47"/>
      <c r="G623" s="47"/>
      <c r="H623" s="47"/>
    </row>
    <row r="624" spans="3:8" ht="12.5" x14ac:dyDescent="0.25">
      <c r="C624" s="47"/>
      <c r="D624" s="47"/>
      <c r="E624" s="47"/>
      <c r="F624" s="47"/>
      <c r="G624" s="47"/>
      <c r="H624" s="47"/>
    </row>
    <row r="625" spans="3:8" ht="12.5" x14ac:dyDescent="0.25">
      <c r="C625" s="47"/>
      <c r="D625" s="47"/>
      <c r="E625" s="47"/>
      <c r="F625" s="47"/>
      <c r="G625" s="47"/>
      <c r="H625" s="47"/>
    </row>
    <row r="626" spans="3:8" ht="12.5" x14ac:dyDescent="0.25">
      <c r="C626" s="47"/>
      <c r="D626" s="47"/>
      <c r="E626" s="47"/>
      <c r="F626" s="47"/>
      <c r="G626" s="47"/>
      <c r="H626" s="47"/>
    </row>
    <row r="627" spans="3:8" ht="12.5" x14ac:dyDescent="0.25">
      <c r="C627" s="47"/>
      <c r="D627" s="47"/>
      <c r="E627" s="47"/>
      <c r="F627" s="47"/>
      <c r="G627" s="47"/>
      <c r="H627" s="47"/>
    </row>
    <row r="628" spans="3:8" ht="12.5" x14ac:dyDescent="0.25">
      <c r="C628" s="47"/>
      <c r="D628" s="47"/>
      <c r="E628" s="47"/>
      <c r="F628" s="47"/>
      <c r="G628" s="47"/>
      <c r="H628" s="47"/>
    </row>
    <row r="629" spans="3:8" ht="12.5" x14ac:dyDescent="0.25">
      <c r="C629" s="47"/>
      <c r="D629" s="47"/>
      <c r="E629" s="47"/>
      <c r="F629" s="47"/>
      <c r="G629" s="47"/>
      <c r="H629" s="47"/>
    </row>
    <row r="630" spans="3:8" ht="12.5" x14ac:dyDescent="0.25">
      <c r="C630" s="47"/>
      <c r="D630" s="47"/>
      <c r="E630" s="47"/>
      <c r="F630" s="47"/>
      <c r="G630" s="47"/>
      <c r="H630" s="47"/>
    </row>
    <row r="631" spans="3:8" ht="12.5" x14ac:dyDescent="0.25">
      <c r="C631" s="47"/>
      <c r="D631" s="47"/>
      <c r="E631" s="47"/>
      <c r="F631" s="47"/>
      <c r="G631" s="47"/>
      <c r="H631" s="47"/>
    </row>
    <row r="632" spans="3:8" ht="12.5" x14ac:dyDescent="0.25">
      <c r="C632" s="47"/>
      <c r="D632" s="47"/>
      <c r="E632" s="47"/>
      <c r="F632" s="47"/>
      <c r="G632" s="47"/>
      <c r="H632" s="47"/>
    </row>
    <row r="633" spans="3:8" ht="12.5" x14ac:dyDescent="0.25">
      <c r="C633" s="47"/>
      <c r="D633" s="47"/>
      <c r="E633" s="47"/>
      <c r="F633" s="47"/>
      <c r="G633" s="47"/>
      <c r="H633" s="47"/>
    </row>
    <row r="634" spans="3:8" ht="12.5" x14ac:dyDescent="0.25">
      <c r="C634" s="47"/>
      <c r="D634" s="47"/>
      <c r="E634" s="47"/>
      <c r="F634" s="47"/>
      <c r="G634" s="47"/>
      <c r="H634" s="47"/>
    </row>
    <row r="635" spans="3:8" ht="12.5" x14ac:dyDescent="0.25">
      <c r="C635" s="47"/>
      <c r="D635" s="47"/>
      <c r="E635" s="47"/>
      <c r="F635" s="47"/>
      <c r="G635" s="47"/>
      <c r="H635" s="47"/>
    </row>
    <row r="636" spans="3:8" ht="12.5" x14ac:dyDescent="0.25">
      <c r="C636" s="47"/>
      <c r="D636" s="47"/>
      <c r="E636" s="47"/>
      <c r="F636" s="47"/>
      <c r="G636" s="47"/>
      <c r="H636" s="47"/>
    </row>
    <row r="637" spans="3:8" ht="12.5" x14ac:dyDescent="0.25">
      <c r="C637" s="47"/>
      <c r="D637" s="47"/>
      <c r="E637" s="47"/>
      <c r="F637" s="47"/>
      <c r="G637" s="47"/>
      <c r="H637" s="47"/>
    </row>
    <row r="638" spans="3:8" ht="12.5" x14ac:dyDescent="0.25">
      <c r="C638" s="47"/>
      <c r="D638" s="47"/>
      <c r="E638" s="47"/>
      <c r="F638" s="47"/>
      <c r="G638" s="47"/>
      <c r="H638" s="47"/>
    </row>
    <row r="639" spans="3:8" ht="12.5" x14ac:dyDescent="0.25">
      <c r="C639" s="47"/>
      <c r="D639" s="47"/>
      <c r="E639" s="47"/>
      <c r="F639" s="47"/>
      <c r="G639" s="47"/>
      <c r="H639" s="47"/>
    </row>
    <row r="640" spans="3:8" ht="12.5" x14ac:dyDescent="0.25">
      <c r="C640" s="47"/>
      <c r="D640" s="47"/>
      <c r="E640" s="47"/>
      <c r="F640" s="47"/>
      <c r="G640" s="47"/>
      <c r="H640" s="47"/>
    </row>
    <row r="641" spans="3:8" ht="12.5" x14ac:dyDescent="0.25">
      <c r="C641" s="47"/>
      <c r="D641" s="47"/>
      <c r="E641" s="47"/>
      <c r="F641" s="47"/>
      <c r="G641" s="47"/>
      <c r="H641" s="47"/>
    </row>
    <row r="642" spans="3:8" ht="12.5" x14ac:dyDescent="0.25">
      <c r="C642" s="47"/>
      <c r="D642" s="47"/>
      <c r="E642" s="47"/>
      <c r="F642" s="47"/>
      <c r="G642" s="47"/>
      <c r="H642" s="47"/>
    </row>
    <row r="643" spans="3:8" ht="12.5" x14ac:dyDescent="0.25">
      <c r="C643" s="47"/>
      <c r="D643" s="47"/>
      <c r="E643" s="47"/>
      <c r="F643" s="47"/>
      <c r="G643" s="47"/>
      <c r="H643" s="47"/>
    </row>
    <row r="644" spans="3:8" ht="12.5" x14ac:dyDescent="0.25">
      <c r="C644" s="47"/>
      <c r="D644" s="47"/>
      <c r="E644" s="47"/>
      <c r="F644" s="47"/>
      <c r="G644" s="47"/>
      <c r="H644" s="47"/>
    </row>
    <row r="645" spans="3:8" ht="12.5" x14ac:dyDescent="0.25">
      <c r="C645" s="47"/>
      <c r="D645" s="47"/>
      <c r="E645" s="47"/>
      <c r="F645" s="47"/>
      <c r="G645" s="47"/>
      <c r="H645" s="47"/>
    </row>
    <row r="646" spans="3:8" ht="12.5" x14ac:dyDescent="0.25">
      <c r="C646" s="47"/>
      <c r="D646" s="47"/>
      <c r="E646" s="47"/>
      <c r="F646" s="47"/>
      <c r="G646" s="47"/>
      <c r="H646" s="47"/>
    </row>
    <row r="647" spans="3:8" ht="12.5" x14ac:dyDescent="0.25">
      <c r="C647" s="47"/>
      <c r="D647" s="47"/>
      <c r="E647" s="47"/>
      <c r="F647" s="47"/>
      <c r="G647" s="47"/>
      <c r="H647" s="47"/>
    </row>
    <row r="648" spans="3:8" ht="12.5" x14ac:dyDescent="0.25">
      <c r="C648" s="47"/>
      <c r="D648" s="47"/>
      <c r="E648" s="47"/>
      <c r="F648" s="47"/>
      <c r="G648" s="47"/>
      <c r="H648" s="47"/>
    </row>
    <row r="649" spans="3:8" ht="12.5" x14ac:dyDescent="0.25">
      <c r="C649" s="47"/>
      <c r="D649" s="47"/>
      <c r="E649" s="47"/>
      <c r="F649" s="47"/>
      <c r="G649" s="47"/>
      <c r="H649" s="47"/>
    </row>
    <row r="650" spans="3:8" ht="12.5" x14ac:dyDescent="0.25">
      <c r="C650" s="47"/>
      <c r="D650" s="47"/>
      <c r="E650" s="47"/>
      <c r="F650" s="47"/>
      <c r="G650" s="47"/>
      <c r="H650" s="47"/>
    </row>
    <row r="651" spans="3:8" ht="12.5" x14ac:dyDescent="0.25">
      <c r="C651" s="47"/>
      <c r="D651" s="47"/>
      <c r="E651" s="47"/>
      <c r="F651" s="47"/>
      <c r="G651" s="47"/>
      <c r="H651" s="47"/>
    </row>
    <row r="652" spans="3:8" ht="12.5" x14ac:dyDescent="0.25">
      <c r="C652" s="47"/>
      <c r="D652" s="47"/>
      <c r="E652" s="47"/>
      <c r="F652" s="47"/>
      <c r="G652" s="47"/>
      <c r="H652" s="47"/>
    </row>
    <row r="653" spans="3:8" ht="12.5" x14ac:dyDescent="0.25">
      <c r="C653" s="47"/>
      <c r="D653" s="47"/>
      <c r="E653" s="47"/>
      <c r="F653" s="47"/>
      <c r="G653" s="47"/>
      <c r="H653" s="47"/>
    </row>
    <row r="654" spans="3:8" ht="12.5" x14ac:dyDescent="0.25">
      <c r="C654" s="47"/>
      <c r="D654" s="47"/>
      <c r="E654" s="47"/>
      <c r="F654" s="47"/>
      <c r="G654" s="47"/>
      <c r="H654" s="47"/>
    </row>
    <row r="655" spans="3:8" ht="12.5" x14ac:dyDescent="0.25">
      <c r="C655" s="47"/>
      <c r="D655" s="47"/>
      <c r="E655" s="47"/>
      <c r="F655" s="47"/>
      <c r="G655" s="47"/>
      <c r="H655" s="47"/>
    </row>
    <row r="656" spans="3:8" ht="12.5" x14ac:dyDescent="0.25">
      <c r="C656" s="47"/>
      <c r="D656" s="47"/>
      <c r="E656" s="47"/>
      <c r="F656" s="47"/>
      <c r="G656" s="47"/>
      <c r="H656" s="47"/>
    </row>
    <row r="657" spans="3:8" ht="12.5" x14ac:dyDescent="0.25">
      <c r="C657" s="47"/>
      <c r="D657" s="47"/>
      <c r="E657" s="47"/>
      <c r="F657" s="47"/>
      <c r="G657" s="47"/>
      <c r="H657" s="47"/>
    </row>
    <row r="658" spans="3:8" ht="12.5" x14ac:dyDescent="0.25">
      <c r="C658" s="47"/>
      <c r="D658" s="47"/>
      <c r="E658" s="47"/>
      <c r="F658" s="47"/>
      <c r="G658" s="47"/>
      <c r="H658" s="47"/>
    </row>
    <row r="659" spans="3:8" ht="12.5" x14ac:dyDescent="0.25">
      <c r="C659" s="47"/>
      <c r="D659" s="47"/>
      <c r="E659" s="47"/>
      <c r="F659" s="47"/>
      <c r="G659" s="47"/>
      <c r="H659" s="47"/>
    </row>
    <row r="660" spans="3:8" ht="12.5" x14ac:dyDescent="0.25">
      <c r="C660" s="47"/>
      <c r="D660" s="47"/>
      <c r="E660" s="47"/>
      <c r="F660" s="47"/>
      <c r="G660" s="47"/>
      <c r="H660" s="47"/>
    </row>
    <row r="661" spans="3:8" ht="12.5" x14ac:dyDescent="0.25">
      <c r="C661" s="47"/>
      <c r="D661" s="47"/>
      <c r="E661" s="47"/>
      <c r="F661" s="47"/>
      <c r="G661" s="47"/>
      <c r="H661" s="47"/>
    </row>
    <row r="662" spans="3:8" ht="12.5" x14ac:dyDescent="0.25">
      <c r="C662" s="47"/>
      <c r="D662" s="47"/>
      <c r="E662" s="47"/>
      <c r="F662" s="47"/>
      <c r="G662" s="47"/>
      <c r="H662" s="47"/>
    </row>
    <row r="663" spans="3:8" ht="12.5" x14ac:dyDescent="0.25">
      <c r="C663" s="47"/>
      <c r="D663" s="47"/>
      <c r="E663" s="47"/>
      <c r="F663" s="47"/>
      <c r="G663" s="47"/>
      <c r="H663" s="47"/>
    </row>
    <row r="664" spans="3:8" ht="12.5" x14ac:dyDescent="0.25">
      <c r="C664" s="47"/>
      <c r="D664" s="47"/>
      <c r="E664" s="47"/>
      <c r="F664" s="47"/>
      <c r="G664" s="47"/>
      <c r="H664" s="47"/>
    </row>
    <row r="665" spans="3:8" ht="12.5" x14ac:dyDescent="0.25">
      <c r="C665" s="47"/>
      <c r="D665" s="47"/>
      <c r="E665" s="47"/>
      <c r="F665" s="47"/>
      <c r="G665" s="47"/>
      <c r="H665" s="47"/>
    </row>
    <row r="666" spans="3:8" ht="12.5" x14ac:dyDescent="0.25">
      <c r="C666" s="47"/>
      <c r="D666" s="47"/>
      <c r="E666" s="47"/>
      <c r="F666" s="47"/>
      <c r="G666" s="47"/>
      <c r="H666" s="47"/>
    </row>
    <row r="667" spans="3:8" ht="12.5" x14ac:dyDescent="0.25">
      <c r="C667" s="47"/>
      <c r="D667" s="47"/>
      <c r="E667" s="47"/>
      <c r="F667" s="47"/>
      <c r="G667" s="47"/>
      <c r="H667" s="47"/>
    </row>
    <row r="668" spans="3:8" ht="12.5" x14ac:dyDescent="0.25">
      <c r="C668" s="47"/>
      <c r="D668" s="47"/>
      <c r="E668" s="47"/>
      <c r="F668" s="47"/>
      <c r="G668" s="47"/>
      <c r="H668" s="47"/>
    </row>
    <row r="669" spans="3:8" ht="12.5" x14ac:dyDescent="0.25">
      <c r="C669" s="47"/>
      <c r="D669" s="47"/>
      <c r="E669" s="47"/>
      <c r="F669" s="47"/>
      <c r="G669" s="47"/>
      <c r="H669" s="47"/>
    </row>
    <row r="670" spans="3:8" ht="12.5" x14ac:dyDescent="0.25">
      <c r="C670" s="47"/>
      <c r="D670" s="47"/>
      <c r="E670" s="47"/>
      <c r="F670" s="47"/>
      <c r="G670" s="47"/>
      <c r="H670" s="47"/>
    </row>
    <row r="671" spans="3:8" ht="12.5" x14ac:dyDescent="0.25">
      <c r="C671" s="47"/>
      <c r="D671" s="47"/>
      <c r="E671" s="47"/>
      <c r="F671" s="47"/>
      <c r="G671" s="47"/>
      <c r="H671" s="47"/>
    </row>
    <row r="672" spans="3:8" ht="12.5" x14ac:dyDescent="0.25">
      <c r="C672" s="47"/>
      <c r="D672" s="47"/>
      <c r="E672" s="47"/>
      <c r="F672" s="47"/>
      <c r="G672" s="47"/>
      <c r="H672" s="47"/>
    </row>
    <row r="673" spans="3:8" ht="12.5" x14ac:dyDescent="0.25">
      <c r="C673" s="47"/>
      <c r="D673" s="47"/>
      <c r="E673" s="47"/>
      <c r="F673" s="47"/>
      <c r="G673" s="47"/>
      <c r="H673" s="47"/>
    </row>
    <row r="674" spans="3:8" ht="12.5" x14ac:dyDescent="0.25">
      <c r="C674" s="47"/>
      <c r="D674" s="47"/>
      <c r="E674" s="47"/>
      <c r="F674" s="47"/>
      <c r="G674" s="47"/>
      <c r="H674" s="47"/>
    </row>
    <row r="675" spans="3:8" ht="12.5" x14ac:dyDescent="0.25">
      <c r="C675" s="47"/>
      <c r="D675" s="47"/>
      <c r="E675" s="47"/>
      <c r="F675" s="47"/>
      <c r="G675" s="47"/>
      <c r="H675" s="47"/>
    </row>
    <row r="676" spans="3:8" ht="12.5" x14ac:dyDescent="0.25">
      <c r="C676" s="47"/>
      <c r="D676" s="47"/>
      <c r="E676" s="47"/>
      <c r="F676" s="47"/>
      <c r="G676" s="47"/>
      <c r="H676" s="47"/>
    </row>
    <row r="677" spans="3:8" ht="12.5" x14ac:dyDescent="0.25">
      <c r="C677" s="47"/>
      <c r="D677" s="47"/>
      <c r="E677" s="47"/>
      <c r="F677" s="47"/>
      <c r="G677" s="47"/>
      <c r="H677" s="47"/>
    </row>
    <row r="678" spans="3:8" ht="12.5" x14ac:dyDescent="0.25">
      <c r="C678" s="47"/>
      <c r="D678" s="47"/>
      <c r="E678" s="47"/>
      <c r="F678" s="47"/>
      <c r="G678" s="47"/>
      <c r="H678" s="47"/>
    </row>
    <row r="679" spans="3:8" ht="12.5" x14ac:dyDescent="0.25">
      <c r="C679" s="47"/>
      <c r="D679" s="47"/>
      <c r="E679" s="47"/>
      <c r="F679" s="47"/>
      <c r="G679" s="47"/>
      <c r="H679" s="47"/>
    </row>
    <row r="680" spans="3:8" ht="12.5" x14ac:dyDescent="0.25">
      <c r="C680" s="47"/>
      <c r="D680" s="47"/>
      <c r="E680" s="47"/>
      <c r="F680" s="47"/>
      <c r="G680" s="47"/>
      <c r="H680" s="47"/>
    </row>
    <row r="681" spans="3:8" ht="12.5" x14ac:dyDescent="0.25">
      <c r="C681" s="47"/>
      <c r="D681" s="47"/>
      <c r="E681" s="47"/>
      <c r="F681" s="47"/>
      <c r="G681" s="47"/>
      <c r="H681" s="47"/>
    </row>
    <row r="682" spans="3:8" ht="12.5" x14ac:dyDescent="0.25">
      <c r="C682" s="47"/>
      <c r="D682" s="47"/>
      <c r="E682" s="47"/>
      <c r="F682" s="47"/>
      <c r="G682" s="47"/>
      <c r="H682" s="47"/>
    </row>
    <row r="683" spans="3:8" ht="12.5" x14ac:dyDescent="0.25">
      <c r="C683" s="47"/>
      <c r="D683" s="47"/>
      <c r="E683" s="47"/>
      <c r="F683" s="47"/>
      <c r="G683" s="47"/>
      <c r="H683" s="47"/>
    </row>
    <row r="684" spans="3:8" ht="12.5" x14ac:dyDescent="0.25">
      <c r="C684" s="47"/>
      <c r="D684" s="47"/>
      <c r="E684" s="47"/>
      <c r="F684" s="47"/>
      <c r="G684" s="47"/>
      <c r="H684" s="47"/>
    </row>
    <row r="685" spans="3:8" ht="12.5" x14ac:dyDescent="0.25">
      <c r="C685" s="47"/>
      <c r="D685" s="47"/>
      <c r="E685" s="47"/>
      <c r="F685" s="47"/>
      <c r="G685" s="47"/>
      <c r="H685" s="47"/>
    </row>
    <row r="686" spans="3:8" ht="12.5" x14ac:dyDescent="0.25">
      <c r="C686" s="47"/>
      <c r="D686" s="47"/>
      <c r="E686" s="47"/>
      <c r="F686" s="47"/>
      <c r="G686" s="47"/>
      <c r="H686" s="47"/>
    </row>
    <row r="687" spans="3:8" ht="12.5" x14ac:dyDescent="0.25">
      <c r="C687" s="47"/>
      <c r="D687" s="47"/>
      <c r="E687" s="47"/>
      <c r="F687" s="47"/>
      <c r="G687" s="47"/>
      <c r="H687" s="47"/>
    </row>
    <row r="688" spans="3:8" ht="12.5" x14ac:dyDescent="0.25">
      <c r="C688" s="47"/>
      <c r="D688" s="47"/>
      <c r="E688" s="47"/>
      <c r="F688" s="47"/>
      <c r="G688" s="47"/>
      <c r="H688" s="47"/>
    </row>
    <row r="689" spans="3:8" ht="12.5" x14ac:dyDescent="0.25">
      <c r="C689" s="47"/>
      <c r="D689" s="47"/>
      <c r="E689" s="47"/>
      <c r="F689" s="47"/>
      <c r="G689" s="47"/>
      <c r="H689" s="47"/>
    </row>
    <row r="690" spans="3:8" ht="12.5" x14ac:dyDescent="0.25">
      <c r="C690" s="47"/>
      <c r="D690" s="47"/>
      <c r="E690" s="47"/>
      <c r="F690" s="47"/>
      <c r="G690" s="47"/>
      <c r="H690" s="47"/>
    </row>
    <row r="691" spans="3:8" ht="12.5" x14ac:dyDescent="0.25">
      <c r="C691" s="47"/>
      <c r="D691" s="47"/>
      <c r="E691" s="47"/>
      <c r="F691" s="47"/>
      <c r="G691" s="47"/>
      <c r="H691" s="47"/>
    </row>
    <row r="692" spans="3:8" ht="12.5" x14ac:dyDescent="0.25">
      <c r="C692" s="47"/>
      <c r="D692" s="47"/>
      <c r="E692" s="47"/>
      <c r="F692" s="47"/>
      <c r="G692" s="47"/>
      <c r="H692" s="47"/>
    </row>
    <row r="693" spans="3:8" ht="12.5" x14ac:dyDescent="0.25">
      <c r="C693" s="47"/>
      <c r="D693" s="47"/>
      <c r="E693" s="47"/>
      <c r="F693" s="47"/>
      <c r="G693" s="47"/>
      <c r="H693" s="47"/>
    </row>
    <row r="694" spans="3:8" ht="12.5" x14ac:dyDescent="0.25">
      <c r="C694" s="47"/>
      <c r="D694" s="47"/>
      <c r="E694" s="47"/>
      <c r="F694" s="47"/>
      <c r="G694" s="47"/>
      <c r="H694" s="47"/>
    </row>
    <row r="695" spans="3:8" ht="12.5" x14ac:dyDescent="0.25">
      <c r="C695" s="47"/>
      <c r="D695" s="47"/>
      <c r="E695" s="47"/>
      <c r="F695" s="47"/>
      <c r="G695" s="47"/>
      <c r="H695" s="47"/>
    </row>
    <row r="696" spans="3:8" ht="12.5" x14ac:dyDescent="0.25">
      <c r="C696" s="47"/>
      <c r="D696" s="47"/>
      <c r="E696" s="47"/>
      <c r="F696" s="47"/>
      <c r="G696" s="47"/>
      <c r="H696" s="47"/>
    </row>
    <row r="697" spans="3:8" ht="12.5" x14ac:dyDescent="0.25">
      <c r="C697" s="47"/>
      <c r="D697" s="47"/>
      <c r="E697" s="47"/>
      <c r="F697" s="47"/>
      <c r="G697" s="47"/>
      <c r="H697" s="47"/>
    </row>
    <row r="698" spans="3:8" ht="12.5" x14ac:dyDescent="0.25">
      <c r="C698" s="47"/>
      <c r="D698" s="47"/>
      <c r="E698" s="47"/>
      <c r="F698" s="47"/>
      <c r="G698" s="47"/>
      <c r="H698" s="47"/>
    </row>
    <row r="699" spans="3:8" ht="12.5" x14ac:dyDescent="0.25">
      <c r="C699" s="47"/>
      <c r="D699" s="47"/>
      <c r="E699" s="47"/>
      <c r="F699" s="47"/>
      <c r="G699" s="47"/>
      <c r="H699" s="47"/>
    </row>
    <row r="700" spans="3:8" ht="12.5" x14ac:dyDescent="0.25">
      <c r="C700" s="47"/>
      <c r="D700" s="47"/>
      <c r="E700" s="47"/>
      <c r="F700" s="47"/>
      <c r="G700" s="47"/>
      <c r="H700" s="47"/>
    </row>
    <row r="701" spans="3:8" ht="12.5" x14ac:dyDescent="0.25">
      <c r="C701" s="47"/>
      <c r="D701" s="47"/>
      <c r="E701" s="47"/>
      <c r="F701" s="47"/>
      <c r="G701" s="47"/>
      <c r="H701" s="47"/>
    </row>
    <row r="702" spans="3:8" ht="12.5" x14ac:dyDescent="0.25">
      <c r="C702" s="47"/>
      <c r="D702" s="47"/>
      <c r="E702" s="47"/>
      <c r="F702" s="47"/>
      <c r="G702" s="47"/>
      <c r="H702" s="47"/>
    </row>
    <row r="703" spans="3:8" ht="12.5" x14ac:dyDescent="0.25">
      <c r="C703" s="47"/>
      <c r="D703" s="47"/>
      <c r="E703" s="47"/>
      <c r="F703" s="47"/>
      <c r="G703" s="47"/>
      <c r="H703" s="47"/>
    </row>
    <row r="704" spans="3:8" ht="12.5" x14ac:dyDescent="0.25">
      <c r="C704" s="47"/>
      <c r="D704" s="47"/>
      <c r="E704" s="47"/>
      <c r="F704" s="47"/>
      <c r="G704" s="47"/>
      <c r="H704" s="47"/>
    </row>
    <row r="705" spans="3:8" ht="12.5" x14ac:dyDescent="0.25">
      <c r="C705" s="47"/>
      <c r="D705" s="47"/>
      <c r="E705" s="47"/>
      <c r="F705" s="47"/>
      <c r="G705" s="47"/>
      <c r="H705" s="47"/>
    </row>
    <row r="706" spans="3:8" ht="12.5" x14ac:dyDescent="0.25">
      <c r="C706" s="47"/>
      <c r="D706" s="47"/>
      <c r="E706" s="47"/>
      <c r="F706" s="47"/>
      <c r="G706" s="47"/>
      <c r="H706" s="47"/>
    </row>
    <row r="707" spans="3:8" ht="12.5" x14ac:dyDescent="0.25">
      <c r="C707" s="47"/>
      <c r="D707" s="47"/>
      <c r="E707" s="47"/>
      <c r="F707" s="47"/>
      <c r="G707" s="47"/>
      <c r="H707" s="47"/>
    </row>
    <row r="708" spans="3:8" ht="12.5" x14ac:dyDescent="0.25">
      <c r="C708" s="47"/>
      <c r="D708" s="47"/>
      <c r="E708" s="47"/>
      <c r="F708" s="47"/>
      <c r="G708" s="47"/>
      <c r="H708" s="47"/>
    </row>
    <row r="709" spans="3:8" ht="12.5" x14ac:dyDescent="0.25">
      <c r="C709" s="47"/>
      <c r="D709" s="47"/>
      <c r="E709" s="47"/>
      <c r="F709" s="47"/>
      <c r="G709" s="47"/>
      <c r="H709" s="47"/>
    </row>
    <row r="710" spans="3:8" ht="12.5" x14ac:dyDescent="0.25">
      <c r="C710" s="47"/>
      <c r="D710" s="47"/>
      <c r="E710" s="47"/>
      <c r="F710" s="47"/>
      <c r="G710" s="47"/>
      <c r="H710" s="47"/>
    </row>
    <row r="711" spans="3:8" ht="12.5" x14ac:dyDescent="0.25">
      <c r="C711" s="47"/>
      <c r="D711" s="47"/>
      <c r="E711" s="47"/>
      <c r="F711" s="47"/>
      <c r="G711" s="47"/>
      <c r="H711" s="47"/>
    </row>
    <row r="712" spans="3:8" ht="12.5" x14ac:dyDescent="0.25">
      <c r="C712" s="47"/>
      <c r="D712" s="47"/>
      <c r="E712" s="47"/>
      <c r="F712" s="47"/>
      <c r="G712" s="47"/>
      <c r="H712" s="47"/>
    </row>
    <row r="713" spans="3:8" ht="12.5" x14ac:dyDescent="0.25">
      <c r="C713" s="47"/>
      <c r="D713" s="47"/>
      <c r="E713" s="47"/>
      <c r="F713" s="47"/>
      <c r="G713" s="47"/>
      <c r="H713" s="47"/>
    </row>
    <row r="714" spans="3:8" ht="12.5" x14ac:dyDescent="0.25">
      <c r="C714" s="47"/>
      <c r="D714" s="47"/>
      <c r="E714" s="47"/>
      <c r="F714" s="47"/>
      <c r="G714" s="47"/>
      <c r="H714" s="47"/>
    </row>
    <row r="715" spans="3:8" ht="12.5" x14ac:dyDescent="0.25">
      <c r="C715" s="47"/>
      <c r="D715" s="47"/>
      <c r="E715" s="47"/>
      <c r="F715" s="47"/>
      <c r="G715" s="47"/>
      <c r="H715" s="47"/>
    </row>
    <row r="716" spans="3:8" ht="12.5" x14ac:dyDescent="0.25">
      <c r="C716" s="47"/>
      <c r="D716" s="47"/>
      <c r="E716" s="47"/>
      <c r="F716" s="47"/>
      <c r="G716" s="47"/>
      <c r="H716" s="47"/>
    </row>
    <row r="717" spans="3:8" ht="12.5" x14ac:dyDescent="0.25">
      <c r="C717" s="47"/>
      <c r="D717" s="47"/>
      <c r="E717" s="47"/>
      <c r="F717" s="47"/>
      <c r="G717" s="47"/>
      <c r="H717" s="47"/>
    </row>
    <row r="718" spans="3:8" ht="12.5" x14ac:dyDescent="0.25">
      <c r="C718" s="47"/>
      <c r="D718" s="47"/>
      <c r="E718" s="47"/>
      <c r="F718" s="47"/>
      <c r="G718" s="47"/>
      <c r="H718" s="47"/>
    </row>
    <row r="719" spans="3:8" ht="12.5" x14ac:dyDescent="0.25">
      <c r="C719" s="47"/>
      <c r="D719" s="47"/>
      <c r="E719" s="47"/>
      <c r="F719" s="47"/>
      <c r="G719" s="47"/>
      <c r="H719" s="47"/>
    </row>
    <row r="720" spans="3:8" ht="12.5" x14ac:dyDescent="0.25">
      <c r="C720" s="47"/>
      <c r="D720" s="47"/>
      <c r="E720" s="47"/>
      <c r="F720" s="47"/>
      <c r="G720" s="47"/>
      <c r="H720" s="47"/>
    </row>
    <row r="721" spans="3:8" ht="12.5" x14ac:dyDescent="0.25">
      <c r="C721" s="47"/>
      <c r="D721" s="47"/>
      <c r="E721" s="47"/>
      <c r="F721" s="47"/>
      <c r="G721" s="47"/>
      <c r="H721" s="47"/>
    </row>
    <row r="722" spans="3:8" ht="12.5" x14ac:dyDescent="0.25">
      <c r="C722" s="47"/>
      <c r="D722" s="47"/>
      <c r="E722" s="47"/>
      <c r="F722" s="47"/>
      <c r="G722" s="47"/>
      <c r="H722" s="47"/>
    </row>
    <row r="723" spans="3:8" ht="12.5" x14ac:dyDescent="0.25">
      <c r="C723" s="47"/>
      <c r="D723" s="47"/>
      <c r="E723" s="47"/>
      <c r="F723" s="47"/>
      <c r="G723" s="47"/>
      <c r="H723" s="47"/>
    </row>
    <row r="724" spans="3:8" ht="12.5" x14ac:dyDescent="0.25">
      <c r="C724" s="47"/>
      <c r="D724" s="47"/>
      <c r="E724" s="47"/>
      <c r="F724" s="47"/>
      <c r="G724" s="47"/>
      <c r="H724" s="47"/>
    </row>
    <row r="725" spans="3:8" ht="12.5" x14ac:dyDescent="0.25">
      <c r="C725" s="47"/>
      <c r="D725" s="47"/>
      <c r="E725" s="47"/>
      <c r="F725" s="47"/>
      <c r="G725" s="47"/>
      <c r="H725" s="47"/>
    </row>
    <row r="726" spans="3:8" ht="12.5" x14ac:dyDescent="0.25">
      <c r="C726" s="47"/>
      <c r="D726" s="47"/>
      <c r="E726" s="47"/>
      <c r="F726" s="47"/>
      <c r="G726" s="47"/>
      <c r="H726" s="47"/>
    </row>
    <row r="727" spans="3:8" ht="12.5" x14ac:dyDescent="0.25">
      <c r="C727" s="47"/>
      <c r="D727" s="47"/>
      <c r="E727" s="47"/>
      <c r="F727" s="47"/>
      <c r="G727" s="47"/>
      <c r="H727" s="47"/>
    </row>
    <row r="728" spans="3:8" ht="12.5" x14ac:dyDescent="0.25">
      <c r="C728" s="47"/>
      <c r="D728" s="47"/>
      <c r="E728" s="47"/>
      <c r="F728" s="47"/>
      <c r="G728" s="47"/>
      <c r="H728" s="47"/>
    </row>
    <row r="729" spans="3:8" ht="12.5" x14ac:dyDescent="0.25">
      <c r="C729" s="47"/>
      <c r="D729" s="47"/>
      <c r="E729" s="47"/>
      <c r="F729" s="47"/>
      <c r="G729" s="47"/>
      <c r="H729" s="47"/>
    </row>
    <row r="730" spans="3:8" ht="12.5" x14ac:dyDescent="0.25">
      <c r="C730" s="47"/>
      <c r="D730" s="47"/>
      <c r="E730" s="47"/>
      <c r="F730" s="47"/>
      <c r="G730" s="47"/>
      <c r="H730" s="47"/>
    </row>
    <row r="731" spans="3:8" ht="12.5" x14ac:dyDescent="0.25">
      <c r="C731" s="47"/>
      <c r="D731" s="47"/>
      <c r="E731" s="47"/>
      <c r="F731" s="47"/>
      <c r="G731" s="47"/>
      <c r="H731" s="47"/>
    </row>
    <row r="732" spans="3:8" ht="12.5" x14ac:dyDescent="0.25">
      <c r="C732" s="47"/>
      <c r="D732" s="47"/>
      <c r="E732" s="47"/>
      <c r="F732" s="47"/>
      <c r="G732" s="47"/>
      <c r="H732" s="47"/>
    </row>
    <row r="733" spans="3:8" ht="12.5" x14ac:dyDescent="0.25">
      <c r="C733" s="47"/>
      <c r="D733" s="47"/>
      <c r="E733" s="47"/>
      <c r="F733" s="47"/>
      <c r="G733" s="47"/>
      <c r="H733" s="47"/>
    </row>
    <row r="734" spans="3:8" ht="12.5" x14ac:dyDescent="0.25">
      <c r="C734" s="47"/>
      <c r="D734" s="47"/>
      <c r="E734" s="47"/>
      <c r="F734" s="47"/>
      <c r="G734" s="47"/>
      <c r="H734" s="47"/>
    </row>
    <row r="735" spans="3:8" ht="12.5" x14ac:dyDescent="0.25">
      <c r="C735" s="47"/>
      <c r="D735" s="47"/>
      <c r="E735" s="47"/>
      <c r="F735" s="47"/>
      <c r="G735" s="47"/>
      <c r="H735" s="47"/>
    </row>
    <row r="736" spans="3:8" ht="12.5" x14ac:dyDescent="0.25">
      <c r="C736" s="47"/>
      <c r="D736" s="47"/>
      <c r="E736" s="47"/>
      <c r="F736" s="47"/>
      <c r="G736" s="47"/>
      <c r="H736" s="47"/>
    </row>
    <row r="737" spans="3:8" ht="12.5" x14ac:dyDescent="0.25">
      <c r="C737" s="47"/>
      <c r="D737" s="47"/>
      <c r="E737" s="47"/>
      <c r="F737" s="47"/>
      <c r="G737" s="47"/>
      <c r="H737" s="47"/>
    </row>
    <row r="738" spans="3:8" ht="12.5" x14ac:dyDescent="0.25">
      <c r="C738" s="47"/>
      <c r="D738" s="47"/>
      <c r="E738" s="47"/>
      <c r="F738" s="47"/>
      <c r="G738" s="47"/>
      <c r="H738" s="47"/>
    </row>
    <row r="739" spans="3:8" ht="12.5" x14ac:dyDescent="0.25">
      <c r="C739" s="47"/>
      <c r="D739" s="47"/>
      <c r="E739" s="47"/>
      <c r="F739" s="47"/>
      <c r="G739" s="47"/>
      <c r="H739" s="47"/>
    </row>
    <row r="740" spans="3:8" ht="12.5" x14ac:dyDescent="0.25">
      <c r="C740" s="47"/>
      <c r="D740" s="47"/>
      <c r="E740" s="47"/>
      <c r="F740" s="47"/>
      <c r="G740" s="47"/>
      <c r="H740" s="47"/>
    </row>
    <row r="741" spans="3:8" ht="12.5" x14ac:dyDescent="0.25">
      <c r="C741" s="47"/>
      <c r="D741" s="47"/>
      <c r="E741" s="47"/>
      <c r="F741" s="47"/>
      <c r="G741" s="47"/>
      <c r="H741" s="47"/>
    </row>
    <row r="742" spans="3:8" ht="12.5" x14ac:dyDescent="0.25">
      <c r="C742" s="47"/>
      <c r="D742" s="47"/>
      <c r="E742" s="47"/>
      <c r="F742" s="47"/>
      <c r="G742" s="47"/>
      <c r="H742" s="47"/>
    </row>
    <row r="743" spans="3:8" ht="12.5" x14ac:dyDescent="0.25">
      <c r="C743" s="47"/>
      <c r="D743" s="47"/>
      <c r="E743" s="47"/>
      <c r="F743" s="47"/>
      <c r="G743" s="47"/>
      <c r="H743" s="47"/>
    </row>
    <row r="744" spans="3:8" ht="12.5" x14ac:dyDescent="0.25">
      <c r="C744" s="47"/>
      <c r="D744" s="47"/>
      <c r="E744" s="47"/>
      <c r="F744" s="47"/>
      <c r="G744" s="47"/>
      <c r="H744" s="47"/>
    </row>
    <row r="745" spans="3:8" ht="12.5" x14ac:dyDescent="0.25">
      <c r="C745" s="47"/>
      <c r="D745" s="47"/>
      <c r="E745" s="47"/>
      <c r="F745" s="47"/>
      <c r="G745" s="47"/>
      <c r="H745" s="47"/>
    </row>
    <row r="746" spans="3:8" ht="12.5" x14ac:dyDescent="0.25">
      <c r="C746" s="47"/>
      <c r="D746" s="47"/>
      <c r="E746" s="47"/>
      <c r="F746" s="47"/>
      <c r="G746" s="47"/>
      <c r="H746" s="47"/>
    </row>
    <row r="747" spans="3:8" ht="12.5" x14ac:dyDescent="0.25">
      <c r="C747" s="47"/>
      <c r="D747" s="47"/>
      <c r="E747" s="47"/>
      <c r="F747" s="47"/>
      <c r="G747" s="47"/>
      <c r="H747" s="47"/>
    </row>
    <row r="748" spans="3:8" ht="12.5" x14ac:dyDescent="0.25">
      <c r="C748" s="47"/>
      <c r="D748" s="47"/>
      <c r="E748" s="47"/>
      <c r="F748" s="47"/>
      <c r="G748" s="47"/>
      <c r="H748" s="47"/>
    </row>
    <row r="749" spans="3:8" ht="12.5" x14ac:dyDescent="0.25">
      <c r="C749" s="47"/>
      <c r="D749" s="47"/>
      <c r="E749" s="47"/>
      <c r="F749" s="47"/>
      <c r="G749" s="47"/>
      <c r="H749" s="47"/>
    </row>
    <row r="750" spans="3:8" ht="12.5" x14ac:dyDescent="0.25">
      <c r="C750" s="47"/>
      <c r="D750" s="47"/>
      <c r="E750" s="47"/>
      <c r="F750" s="47"/>
      <c r="G750" s="47"/>
      <c r="H750" s="47"/>
    </row>
    <row r="751" spans="3:8" ht="12.5" x14ac:dyDescent="0.25">
      <c r="C751" s="47"/>
      <c r="D751" s="47"/>
      <c r="E751" s="47"/>
      <c r="F751" s="47"/>
      <c r="G751" s="47"/>
      <c r="H751" s="47"/>
    </row>
    <row r="752" spans="3:8" ht="12.5" x14ac:dyDescent="0.25">
      <c r="C752" s="47"/>
      <c r="D752" s="47"/>
      <c r="E752" s="47"/>
      <c r="F752" s="47"/>
      <c r="G752" s="47"/>
      <c r="H752" s="47"/>
    </row>
    <row r="753" spans="3:8" ht="12.5" x14ac:dyDescent="0.25">
      <c r="C753" s="47"/>
      <c r="D753" s="47"/>
      <c r="E753" s="47"/>
      <c r="F753" s="47"/>
      <c r="G753" s="47"/>
      <c r="H753" s="47"/>
    </row>
    <row r="754" spans="3:8" ht="12.5" x14ac:dyDescent="0.25">
      <c r="C754" s="47"/>
      <c r="D754" s="47"/>
      <c r="E754" s="47"/>
      <c r="F754" s="47"/>
      <c r="G754" s="47"/>
      <c r="H754" s="47"/>
    </row>
    <row r="755" spans="3:8" ht="12.5" x14ac:dyDescent="0.25">
      <c r="C755" s="47"/>
      <c r="D755" s="47"/>
      <c r="E755" s="47"/>
      <c r="F755" s="47"/>
      <c r="G755" s="47"/>
      <c r="H755" s="47"/>
    </row>
    <row r="756" spans="3:8" ht="12.5" x14ac:dyDescent="0.25">
      <c r="C756" s="47"/>
      <c r="D756" s="47"/>
      <c r="E756" s="47"/>
      <c r="F756" s="47"/>
      <c r="G756" s="47"/>
      <c r="H756" s="47"/>
    </row>
    <row r="757" spans="3:8" ht="12.5" x14ac:dyDescent="0.25">
      <c r="C757" s="47"/>
      <c r="D757" s="47"/>
      <c r="E757" s="47"/>
      <c r="F757" s="47"/>
      <c r="G757" s="47"/>
      <c r="H757" s="47"/>
    </row>
    <row r="758" spans="3:8" ht="12.5" x14ac:dyDescent="0.25">
      <c r="C758" s="47"/>
      <c r="D758" s="47"/>
      <c r="E758" s="47"/>
      <c r="F758" s="47"/>
      <c r="G758" s="47"/>
      <c r="H758" s="47"/>
    </row>
    <row r="759" spans="3:8" ht="12.5" x14ac:dyDescent="0.25">
      <c r="C759" s="47"/>
      <c r="D759" s="47"/>
      <c r="E759" s="47"/>
      <c r="F759" s="47"/>
      <c r="G759" s="47"/>
      <c r="H759" s="47"/>
    </row>
    <row r="760" spans="3:8" ht="12.5" x14ac:dyDescent="0.25">
      <c r="C760" s="47"/>
      <c r="D760" s="47"/>
      <c r="E760" s="47"/>
      <c r="F760" s="47"/>
      <c r="G760" s="47"/>
      <c r="H760" s="47"/>
    </row>
    <row r="761" spans="3:8" ht="12.5" x14ac:dyDescent="0.25">
      <c r="C761" s="47"/>
      <c r="D761" s="47"/>
      <c r="E761" s="47"/>
      <c r="F761" s="47"/>
      <c r="G761" s="47"/>
      <c r="H761" s="47"/>
    </row>
    <row r="762" spans="3:8" ht="12.5" x14ac:dyDescent="0.25">
      <c r="C762" s="47"/>
      <c r="D762" s="47"/>
      <c r="E762" s="47"/>
      <c r="F762" s="47"/>
      <c r="G762" s="47"/>
      <c r="H762" s="47"/>
    </row>
    <row r="763" spans="3:8" ht="12.5" x14ac:dyDescent="0.25">
      <c r="C763" s="47"/>
      <c r="D763" s="47"/>
      <c r="E763" s="47"/>
      <c r="F763" s="47"/>
      <c r="G763" s="47"/>
      <c r="H763" s="47"/>
    </row>
    <row r="764" spans="3:8" ht="12.5" x14ac:dyDescent="0.25">
      <c r="C764" s="47"/>
      <c r="D764" s="47"/>
      <c r="E764" s="47"/>
      <c r="F764" s="47"/>
      <c r="G764" s="47"/>
      <c r="H764" s="47"/>
    </row>
    <row r="765" spans="3:8" ht="12.5" x14ac:dyDescent="0.25">
      <c r="C765" s="47"/>
      <c r="D765" s="47"/>
      <c r="E765" s="47"/>
      <c r="F765" s="47"/>
      <c r="G765" s="47"/>
      <c r="H765" s="47"/>
    </row>
    <row r="766" spans="3:8" ht="12.5" x14ac:dyDescent="0.25">
      <c r="C766" s="47"/>
      <c r="D766" s="47"/>
      <c r="E766" s="47"/>
      <c r="F766" s="47"/>
      <c r="G766" s="47"/>
      <c r="H766" s="47"/>
    </row>
    <row r="767" spans="3:8" ht="12.5" x14ac:dyDescent="0.25">
      <c r="C767" s="47"/>
      <c r="D767" s="47"/>
      <c r="E767" s="47"/>
      <c r="F767" s="47"/>
      <c r="G767" s="47"/>
      <c r="H767" s="47"/>
    </row>
    <row r="768" spans="3:8" ht="12.5" x14ac:dyDescent="0.25">
      <c r="C768" s="47"/>
      <c r="D768" s="47"/>
      <c r="E768" s="47"/>
      <c r="F768" s="47"/>
      <c r="G768" s="47"/>
      <c r="H768" s="47"/>
    </row>
    <row r="769" spans="3:8" ht="12.5" x14ac:dyDescent="0.25">
      <c r="C769" s="47"/>
      <c r="D769" s="47"/>
      <c r="E769" s="47"/>
      <c r="F769" s="47"/>
      <c r="G769" s="47"/>
      <c r="H769" s="47"/>
    </row>
    <row r="770" spans="3:8" ht="12.5" x14ac:dyDescent="0.25">
      <c r="C770" s="47"/>
      <c r="D770" s="47"/>
      <c r="E770" s="47"/>
      <c r="F770" s="47"/>
      <c r="G770" s="47"/>
      <c r="H770" s="47"/>
    </row>
    <row r="771" spans="3:8" ht="12.5" x14ac:dyDescent="0.25">
      <c r="C771" s="47"/>
      <c r="D771" s="47"/>
      <c r="E771" s="47"/>
      <c r="F771" s="47"/>
      <c r="G771" s="47"/>
      <c r="H771" s="47"/>
    </row>
    <row r="772" spans="3:8" ht="12.5" x14ac:dyDescent="0.25">
      <c r="C772" s="47"/>
      <c r="D772" s="47"/>
      <c r="E772" s="47"/>
      <c r="F772" s="47"/>
      <c r="G772" s="47"/>
      <c r="H772" s="47"/>
    </row>
    <row r="773" spans="3:8" ht="12.5" x14ac:dyDescent="0.25">
      <c r="C773" s="47"/>
      <c r="D773" s="47"/>
      <c r="E773" s="47"/>
      <c r="F773" s="47"/>
      <c r="G773" s="47"/>
      <c r="H773" s="47"/>
    </row>
    <row r="774" spans="3:8" ht="12.5" x14ac:dyDescent="0.25">
      <c r="C774" s="47"/>
      <c r="D774" s="47"/>
      <c r="E774" s="47"/>
      <c r="F774" s="47"/>
      <c r="G774" s="47"/>
      <c r="H774" s="47"/>
    </row>
    <row r="775" spans="3:8" ht="12.5" x14ac:dyDescent="0.25">
      <c r="C775" s="47"/>
      <c r="D775" s="47"/>
      <c r="E775" s="47"/>
      <c r="F775" s="47"/>
      <c r="G775" s="47"/>
      <c r="H775" s="47"/>
    </row>
    <row r="776" spans="3:8" ht="12.5" x14ac:dyDescent="0.25">
      <c r="C776" s="47"/>
      <c r="D776" s="47"/>
      <c r="E776" s="47"/>
      <c r="F776" s="47"/>
      <c r="G776" s="47"/>
      <c r="H776" s="47"/>
    </row>
    <row r="777" spans="3:8" ht="12.5" x14ac:dyDescent="0.25">
      <c r="C777" s="47"/>
      <c r="D777" s="47"/>
      <c r="E777" s="47"/>
      <c r="F777" s="47"/>
      <c r="G777" s="47"/>
      <c r="H777" s="47"/>
    </row>
    <row r="778" spans="3:8" ht="12.5" x14ac:dyDescent="0.25">
      <c r="C778" s="47"/>
      <c r="D778" s="47"/>
      <c r="E778" s="47"/>
      <c r="F778" s="47"/>
      <c r="G778" s="47"/>
      <c r="H778" s="47"/>
    </row>
    <row r="779" spans="3:8" ht="12.5" x14ac:dyDescent="0.25">
      <c r="C779" s="47"/>
      <c r="D779" s="47"/>
      <c r="E779" s="47"/>
      <c r="F779" s="47"/>
      <c r="G779" s="47"/>
      <c r="H779" s="47"/>
    </row>
    <row r="780" spans="3:8" ht="12.5" x14ac:dyDescent="0.25">
      <c r="C780" s="47"/>
      <c r="D780" s="47"/>
      <c r="E780" s="47"/>
      <c r="F780" s="47"/>
      <c r="G780" s="47"/>
      <c r="H780" s="47"/>
    </row>
    <row r="781" spans="3:8" ht="12.5" x14ac:dyDescent="0.25">
      <c r="C781" s="47"/>
      <c r="D781" s="47"/>
      <c r="E781" s="47"/>
      <c r="F781" s="47"/>
      <c r="G781" s="47"/>
      <c r="H781" s="47"/>
    </row>
    <row r="782" spans="3:8" ht="12.5" x14ac:dyDescent="0.25">
      <c r="C782" s="47"/>
      <c r="D782" s="47"/>
      <c r="E782" s="47"/>
      <c r="F782" s="47"/>
      <c r="G782" s="47"/>
      <c r="H782" s="47"/>
    </row>
    <row r="783" spans="3:8" ht="12.5" x14ac:dyDescent="0.25">
      <c r="C783" s="47"/>
      <c r="D783" s="47"/>
      <c r="E783" s="47"/>
      <c r="F783" s="47"/>
      <c r="G783" s="47"/>
      <c r="H783" s="47"/>
    </row>
    <row r="784" spans="3:8" ht="12.5" x14ac:dyDescent="0.25">
      <c r="C784" s="47"/>
      <c r="D784" s="47"/>
      <c r="E784" s="47"/>
      <c r="F784" s="47"/>
      <c r="G784" s="47"/>
      <c r="H784" s="47"/>
    </row>
    <row r="785" spans="3:8" ht="12.5" x14ac:dyDescent="0.25">
      <c r="C785" s="47"/>
      <c r="D785" s="47"/>
      <c r="E785" s="47"/>
      <c r="F785" s="47"/>
      <c r="G785" s="47"/>
      <c r="H785" s="47"/>
    </row>
    <row r="786" spans="3:8" ht="12.5" x14ac:dyDescent="0.25">
      <c r="C786" s="47"/>
      <c r="D786" s="47"/>
      <c r="E786" s="47"/>
      <c r="F786" s="47"/>
      <c r="G786" s="47"/>
      <c r="H786" s="47"/>
    </row>
    <row r="787" spans="3:8" ht="12.5" x14ac:dyDescent="0.25">
      <c r="C787" s="47"/>
      <c r="D787" s="47"/>
      <c r="E787" s="47"/>
      <c r="F787" s="47"/>
      <c r="G787" s="47"/>
      <c r="H787" s="47"/>
    </row>
    <row r="788" spans="3:8" ht="12.5" x14ac:dyDescent="0.25">
      <c r="C788" s="47"/>
      <c r="D788" s="47"/>
      <c r="E788" s="47"/>
      <c r="F788" s="47"/>
      <c r="G788" s="47"/>
      <c r="H788" s="47"/>
    </row>
    <row r="789" spans="3:8" ht="12.5" x14ac:dyDescent="0.25">
      <c r="C789" s="47"/>
      <c r="D789" s="47"/>
      <c r="E789" s="47"/>
      <c r="F789" s="47"/>
      <c r="G789" s="47"/>
      <c r="H789" s="47"/>
    </row>
    <row r="790" spans="3:8" ht="12.5" x14ac:dyDescent="0.25">
      <c r="C790" s="47"/>
      <c r="D790" s="47"/>
      <c r="E790" s="47"/>
      <c r="F790" s="47"/>
      <c r="G790" s="47"/>
      <c r="H790" s="47"/>
    </row>
    <row r="791" spans="3:8" ht="12.5" x14ac:dyDescent="0.25">
      <c r="C791" s="47"/>
      <c r="D791" s="47"/>
      <c r="E791" s="47"/>
      <c r="F791" s="47"/>
      <c r="G791" s="47"/>
      <c r="H791" s="47"/>
    </row>
    <row r="792" spans="3:8" ht="12.5" x14ac:dyDescent="0.25">
      <c r="C792" s="47"/>
      <c r="D792" s="47"/>
      <c r="E792" s="47"/>
      <c r="F792" s="47"/>
      <c r="G792" s="47"/>
      <c r="H792" s="47"/>
    </row>
    <row r="793" spans="3:8" ht="12.5" x14ac:dyDescent="0.25">
      <c r="C793" s="47"/>
      <c r="D793" s="47"/>
      <c r="E793" s="47"/>
      <c r="F793" s="47"/>
      <c r="G793" s="47"/>
      <c r="H793" s="47"/>
    </row>
    <row r="794" spans="3:8" ht="12.5" x14ac:dyDescent="0.25">
      <c r="C794" s="47"/>
      <c r="D794" s="47"/>
      <c r="E794" s="47"/>
      <c r="F794" s="47"/>
      <c r="G794" s="47"/>
      <c r="H794" s="47"/>
    </row>
    <row r="795" spans="3:8" ht="12.5" x14ac:dyDescent="0.25">
      <c r="C795" s="47"/>
      <c r="D795" s="47"/>
      <c r="E795" s="47"/>
      <c r="F795" s="47"/>
      <c r="G795" s="47"/>
      <c r="H795" s="47"/>
    </row>
    <row r="796" spans="3:8" ht="12.5" x14ac:dyDescent="0.25">
      <c r="C796" s="47"/>
      <c r="D796" s="47"/>
      <c r="E796" s="47"/>
      <c r="F796" s="47"/>
      <c r="G796" s="47"/>
      <c r="H796" s="47"/>
    </row>
    <row r="797" spans="3:8" ht="12.5" x14ac:dyDescent="0.25">
      <c r="C797" s="47"/>
      <c r="D797" s="47"/>
      <c r="E797" s="47"/>
      <c r="F797" s="47"/>
      <c r="G797" s="47"/>
      <c r="H797" s="47"/>
    </row>
    <row r="798" spans="3:8" ht="12.5" x14ac:dyDescent="0.25">
      <c r="C798" s="47"/>
      <c r="D798" s="47"/>
      <c r="E798" s="47"/>
      <c r="F798" s="47"/>
      <c r="G798" s="47"/>
      <c r="H798" s="47"/>
    </row>
    <row r="799" spans="3:8" ht="12.5" x14ac:dyDescent="0.25">
      <c r="C799" s="47"/>
      <c r="D799" s="47"/>
      <c r="E799" s="47"/>
      <c r="F799" s="47"/>
      <c r="G799" s="47"/>
      <c r="H799" s="47"/>
    </row>
    <row r="800" spans="3:8" ht="12.5" x14ac:dyDescent="0.25">
      <c r="C800" s="47"/>
      <c r="D800" s="47"/>
      <c r="E800" s="47"/>
      <c r="F800" s="47"/>
      <c r="G800" s="47"/>
      <c r="H800" s="47"/>
    </row>
    <row r="801" spans="3:8" ht="12.5" x14ac:dyDescent="0.25">
      <c r="C801" s="47"/>
      <c r="D801" s="47"/>
      <c r="E801" s="47"/>
      <c r="F801" s="47"/>
      <c r="G801" s="47"/>
      <c r="H801" s="47"/>
    </row>
    <row r="802" spans="3:8" ht="12.5" x14ac:dyDescent="0.25">
      <c r="C802" s="47"/>
      <c r="D802" s="47"/>
      <c r="E802" s="47"/>
      <c r="F802" s="47"/>
      <c r="G802" s="47"/>
      <c r="H802" s="47"/>
    </row>
    <row r="803" spans="3:8" ht="12.5" x14ac:dyDescent="0.25">
      <c r="C803" s="47"/>
      <c r="D803" s="47"/>
      <c r="E803" s="47"/>
      <c r="F803" s="47"/>
      <c r="G803" s="47"/>
      <c r="H803" s="47"/>
    </row>
    <row r="804" spans="3:8" ht="12.5" x14ac:dyDescent="0.25">
      <c r="C804" s="47"/>
      <c r="D804" s="47"/>
      <c r="E804" s="47"/>
      <c r="F804" s="47"/>
      <c r="G804" s="47"/>
      <c r="H804" s="47"/>
    </row>
    <row r="805" spans="3:8" ht="12.5" x14ac:dyDescent="0.25">
      <c r="C805" s="47"/>
      <c r="D805" s="47"/>
      <c r="E805" s="47"/>
      <c r="F805" s="47"/>
      <c r="G805" s="47"/>
      <c r="H805" s="47"/>
    </row>
    <row r="806" spans="3:8" ht="12.5" x14ac:dyDescent="0.25">
      <c r="C806" s="47"/>
      <c r="D806" s="47"/>
      <c r="E806" s="47"/>
      <c r="F806" s="47"/>
      <c r="G806" s="47"/>
      <c r="H806" s="47"/>
    </row>
    <row r="807" spans="3:8" ht="12.5" x14ac:dyDescent="0.25">
      <c r="C807" s="47"/>
      <c r="D807" s="47"/>
      <c r="E807" s="47"/>
      <c r="F807" s="47"/>
      <c r="G807" s="47"/>
      <c r="H807" s="47"/>
    </row>
    <row r="808" spans="3:8" ht="12.5" x14ac:dyDescent="0.25">
      <c r="C808" s="47"/>
      <c r="D808" s="47"/>
      <c r="E808" s="47"/>
      <c r="F808" s="47"/>
      <c r="G808" s="47"/>
      <c r="H808" s="47"/>
    </row>
    <row r="809" spans="3:8" ht="12.5" x14ac:dyDescent="0.25">
      <c r="C809" s="47"/>
      <c r="D809" s="47"/>
      <c r="E809" s="47"/>
      <c r="F809" s="47"/>
      <c r="G809" s="47"/>
      <c r="H809" s="47"/>
    </row>
    <row r="810" spans="3:8" ht="12.5" x14ac:dyDescent="0.25">
      <c r="C810" s="47"/>
      <c r="D810" s="47"/>
      <c r="E810" s="47"/>
      <c r="F810" s="47"/>
      <c r="G810" s="47"/>
      <c r="H810" s="47"/>
    </row>
    <row r="811" spans="3:8" ht="12.5" x14ac:dyDescent="0.25">
      <c r="C811" s="47"/>
      <c r="D811" s="47"/>
      <c r="E811" s="47"/>
      <c r="F811" s="47"/>
      <c r="G811" s="47"/>
      <c r="H811" s="47"/>
    </row>
    <row r="812" spans="3:8" ht="12.5" x14ac:dyDescent="0.25">
      <c r="C812" s="47"/>
      <c r="D812" s="47"/>
      <c r="E812" s="47"/>
      <c r="F812" s="47"/>
      <c r="G812" s="47"/>
      <c r="H812" s="47"/>
    </row>
    <row r="813" spans="3:8" ht="12.5" x14ac:dyDescent="0.25">
      <c r="C813" s="47"/>
      <c r="D813" s="47"/>
      <c r="E813" s="47"/>
      <c r="F813" s="47"/>
      <c r="G813" s="47"/>
      <c r="H813" s="47"/>
    </row>
    <row r="814" spans="3:8" ht="12.5" x14ac:dyDescent="0.25">
      <c r="C814" s="47"/>
      <c r="D814" s="47"/>
      <c r="E814" s="47"/>
      <c r="F814" s="47"/>
      <c r="G814" s="47"/>
      <c r="H814" s="47"/>
    </row>
    <row r="815" spans="3:8" ht="12.5" x14ac:dyDescent="0.25">
      <c r="C815" s="47"/>
      <c r="D815" s="47"/>
      <c r="E815" s="47"/>
      <c r="F815" s="47"/>
      <c r="G815" s="47"/>
      <c r="H815" s="47"/>
    </row>
    <row r="816" spans="3:8" ht="12.5" x14ac:dyDescent="0.25">
      <c r="C816" s="47"/>
      <c r="D816" s="47"/>
      <c r="E816" s="47"/>
      <c r="F816" s="47"/>
      <c r="G816" s="47"/>
      <c r="H816" s="47"/>
    </row>
    <row r="817" spans="3:8" ht="12.5" x14ac:dyDescent="0.25">
      <c r="C817" s="47"/>
      <c r="D817" s="47"/>
      <c r="E817" s="47"/>
      <c r="F817" s="47"/>
      <c r="G817" s="47"/>
      <c r="H817" s="47"/>
    </row>
    <row r="818" spans="3:8" ht="12.5" x14ac:dyDescent="0.25">
      <c r="C818" s="47"/>
      <c r="D818" s="47"/>
      <c r="E818" s="47"/>
      <c r="F818" s="47"/>
      <c r="G818" s="47"/>
      <c r="H818" s="47"/>
    </row>
    <row r="819" spans="3:8" ht="12.5" x14ac:dyDescent="0.25">
      <c r="C819" s="47"/>
      <c r="D819" s="47"/>
      <c r="E819" s="47"/>
      <c r="F819" s="47"/>
      <c r="G819" s="47"/>
      <c r="H819" s="47"/>
    </row>
    <row r="820" spans="3:8" ht="12.5" x14ac:dyDescent="0.25">
      <c r="C820" s="47"/>
      <c r="D820" s="47"/>
      <c r="E820" s="47"/>
      <c r="F820" s="47"/>
      <c r="G820" s="47"/>
      <c r="H820" s="47"/>
    </row>
    <row r="821" spans="3:8" ht="12.5" x14ac:dyDescent="0.25">
      <c r="C821" s="47"/>
      <c r="D821" s="47"/>
      <c r="E821" s="47"/>
      <c r="F821" s="47"/>
      <c r="G821" s="47"/>
      <c r="H821" s="47"/>
    </row>
    <row r="822" spans="3:8" ht="12.5" x14ac:dyDescent="0.25">
      <c r="C822" s="47"/>
      <c r="D822" s="47"/>
      <c r="E822" s="47"/>
      <c r="F822" s="47"/>
      <c r="G822" s="47"/>
      <c r="H822" s="47"/>
    </row>
    <row r="823" spans="3:8" ht="12.5" x14ac:dyDescent="0.25">
      <c r="C823" s="47"/>
      <c r="D823" s="47"/>
      <c r="E823" s="47"/>
      <c r="F823" s="47"/>
      <c r="G823" s="47"/>
      <c r="H823" s="47"/>
    </row>
    <row r="824" spans="3:8" ht="12.5" x14ac:dyDescent="0.25">
      <c r="C824" s="47"/>
      <c r="D824" s="47"/>
      <c r="E824" s="47"/>
      <c r="F824" s="47"/>
      <c r="G824" s="47"/>
      <c r="H824" s="47"/>
    </row>
    <row r="825" spans="3:8" ht="12.5" x14ac:dyDescent="0.25">
      <c r="C825" s="47"/>
      <c r="D825" s="47"/>
      <c r="E825" s="47"/>
      <c r="F825" s="47"/>
      <c r="G825" s="47"/>
      <c r="H825" s="47"/>
    </row>
    <row r="826" spans="3:8" ht="12.5" x14ac:dyDescent="0.25">
      <c r="C826" s="47"/>
      <c r="D826" s="47"/>
      <c r="E826" s="47"/>
      <c r="F826" s="47"/>
      <c r="G826" s="47"/>
      <c r="H826" s="47"/>
    </row>
    <row r="827" spans="3:8" ht="12.5" x14ac:dyDescent="0.25">
      <c r="C827" s="47"/>
      <c r="D827" s="47"/>
      <c r="E827" s="47"/>
      <c r="F827" s="47"/>
      <c r="G827" s="47"/>
      <c r="H827" s="47"/>
    </row>
    <row r="828" spans="3:8" ht="12.5" x14ac:dyDescent="0.25">
      <c r="C828" s="47"/>
      <c r="D828" s="47"/>
      <c r="E828" s="47"/>
      <c r="F828" s="47"/>
      <c r="G828" s="47"/>
      <c r="H828" s="47"/>
    </row>
    <row r="829" spans="3:8" ht="12.5" x14ac:dyDescent="0.25">
      <c r="C829" s="47"/>
      <c r="D829" s="47"/>
      <c r="E829" s="47"/>
      <c r="F829" s="47"/>
      <c r="G829" s="47"/>
      <c r="H829" s="47"/>
    </row>
    <row r="830" spans="3:8" ht="12.5" x14ac:dyDescent="0.25">
      <c r="C830" s="47"/>
      <c r="D830" s="47"/>
      <c r="E830" s="47"/>
      <c r="F830" s="47"/>
      <c r="G830" s="47"/>
      <c r="H830" s="47"/>
    </row>
    <row r="831" spans="3:8" ht="12.5" x14ac:dyDescent="0.25">
      <c r="C831" s="47"/>
      <c r="D831" s="47"/>
      <c r="E831" s="47"/>
      <c r="F831" s="47"/>
      <c r="G831" s="47"/>
      <c r="H831" s="47"/>
    </row>
    <row r="832" spans="3:8" ht="12.5" x14ac:dyDescent="0.25">
      <c r="C832" s="47"/>
      <c r="D832" s="47"/>
      <c r="E832" s="47"/>
      <c r="F832" s="47"/>
      <c r="G832" s="47"/>
      <c r="H832" s="47"/>
    </row>
    <row r="833" spans="3:8" ht="12.5" x14ac:dyDescent="0.25">
      <c r="C833" s="47"/>
      <c r="D833" s="47"/>
      <c r="E833" s="47"/>
      <c r="F833" s="47"/>
      <c r="G833" s="47"/>
      <c r="H833" s="47"/>
    </row>
    <row r="834" spans="3:8" ht="12.5" x14ac:dyDescent="0.25">
      <c r="C834" s="47"/>
      <c r="D834" s="47"/>
      <c r="E834" s="47"/>
      <c r="F834" s="47"/>
      <c r="G834" s="47"/>
      <c r="H834" s="47"/>
    </row>
    <row r="835" spans="3:8" ht="12.5" x14ac:dyDescent="0.25">
      <c r="C835" s="47"/>
      <c r="D835" s="47"/>
      <c r="E835" s="47"/>
      <c r="F835" s="47"/>
      <c r="G835" s="47"/>
      <c r="H835" s="47"/>
    </row>
    <row r="836" spans="3:8" ht="12.5" x14ac:dyDescent="0.25">
      <c r="C836" s="47"/>
      <c r="D836" s="47"/>
      <c r="E836" s="47"/>
      <c r="F836" s="47"/>
      <c r="G836" s="47"/>
      <c r="H836" s="47"/>
    </row>
    <row r="837" spans="3:8" ht="12.5" x14ac:dyDescent="0.25">
      <c r="C837" s="47"/>
      <c r="D837" s="47"/>
      <c r="E837" s="47"/>
      <c r="F837" s="47"/>
      <c r="G837" s="47"/>
      <c r="H837" s="47"/>
    </row>
    <row r="838" spans="3:8" ht="12.5" x14ac:dyDescent="0.25">
      <c r="C838" s="47"/>
      <c r="D838" s="47"/>
      <c r="E838" s="47"/>
      <c r="F838" s="47"/>
      <c r="G838" s="47"/>
      <c r="H838" s="47"/>
    </row>
    <row r="839" spans="3:8" ht="12.5" x14ac:dyDescent="0.25">
      <c r="C839" s="47"/>
      <c r="D839" s="47"/>
      <c r="E839" s="47"/>
      <c r="F839" s="47"/>
      <c r="G839" s="47"/>
      <c r="H839" s="47"/>
    </row>
    <row r="840" spans="3:8" ht="12.5" x14ac:dyDescent="0.25">
      <c r="C840" s="47"/>
      <c r="D840" s="47"/>
      <c r="E840" s="47"/>
      <c r="F840" s="47"/>
      <c r="G840" s="47"/>
      <c r="H840" s="47"/>
    </row>
    <row r="841" spans="3:8" ht="12.5" x14ac:dyDescent="0.25">
      <c r="C841" s="47"/>
      <c r="D841" s="47"/>
      <c r="E841" s="47"/>
      <c r="F841" s="47"/>
      <c r="G841" s="47"/>
      <c r="H841" s="47"/>
    </row>
    <row r="842" spans="3:8" ht="12.5" x14ac:dyDescent="0.25">
      <c r="C842" s="47"/>
      <c r="D842" s="47"/>
      <c r="E842" s="47"/>
      <c r="F842" s="47"/>
      <c r="G842" s="47"/>
      <c r="H842" s="47"/>
    </row>
    <row r="843" spans="3:8" ht="12.5" x14ac:dyDescent="0.25">
      <c r="C843" s="47"/>
      <c r="D843" s="47"/>
      <c r="E843" s="47"/>
      <c r="F843" s="47"/>
      <c r="G843" s="47"/>
      <c r="H843" s="47"/>
    </row>
    <row r="844" spans="3:8" ht="12.5" x14ac:dyDescent="0.25">
      <c r="C844" s="47"/>
      <c r="D844" s="47"/>
      <c r="E844" s="47"/>
      <c r="F844" s="47"/>
      <c r="G844" s="47"/>
      <c r="H844" s="47"/>
    </row>
    <row r="845" spans="3:8" ht="12.5" x14ac:dyDescent="0.25">
      <c r="C845" s="47"/>
      <c r="D845" s="47"/>
      <c r="E845" s="47"/>
      <c r="F845" s="47"/>
      <c r="G845" s="47"/>
      <c r="H845" s="47"/>
    </row>
    <row r="846" spans="3:8" ht="12.5" x14ac:dyDescent="0.25">
      <c r="C846" s="47"/>
      <c r="D846" s="47"/>
      <c r="E846" s="47"/>
      <c r="F846" s="47"/>
      <c r="G846" s="47"/>
      <c r="H846" s="47"/>
    </row>
    <row r="847" spans="3:8" ht="12.5" x14ac:dyDescent="0.25">
      <c r="C847" s="47"/>
      <c r="D847" s="47"/>
      <c r="E847" s="47"/>
      <c r="F847" s="47"/>
      <c r="G847" s="47"/>
      <c r="H847" s="47"/>
    </row>
    <row r="848" spans="3:8" ht="12.5" x14ac:dyDescent="0.25">
      <c r="C848" s="47"/>
      <c r="D848" s="47"/>
      <c r="E848" s="47"/>
      <c r="F848" s="47"/>
      <c r="G848" s="47"/>
      <c r="H848" s="47"/>
    </row>
    <row r="849" spans="3:8" ht="12.5" x14ac:dyDescent="0.25">
      <c r="C849" s="47"/>
      <c r="D849" s="47"/>
      <c r="E849" s="47"/>
      <c r="F849" s="47"/>
      <c r="G849" s="47"/>
      <c r="H849" s="47"/>
    </row>
    <row r="850" spans="3:8" ht="12.5" x14ac:dyDescent="0.25">
      <c r="C850" s="47"/>
      <c r="D850" s="47"/>
      <c r="E850" s="47"/>
      <c r="F850" s="47"/>
      <c r="G850" s="47"/>
      <c r="H850" s="47"/>
    </row>
    <row r="851" spans="3:8" ht="12.5" x14ac:dyDescent="0.25">
      <c r="C851" s="47"/>
      <c r="D851" s="47"/>
      <c r="E851" s="47"/>
      <c r="F851" s="47"/>
      <c r="G851" s="47"/>
      <c r="H851" s="47"/>
    </row>
    <row r="852" spans="3:8" ht="12.5" x14ac:dyDescent="0.25">
      <c r="C852" s="47"/>
      <c r="D852" s="47"/>
      <c r="E852" s="47"/>
      <c r="F852" s="47"/>
      <c r="G852" s="47"/>
      <c r="H852" s="47"/>
    </row>
    <row r="853" spans="3:8" ht="12.5" x14ac:dyDescent="0.25">
      <c r="C853" s="47"/>
      <c r="D853" s="47"/>
      <c r="E853" s="47"/>
      <c r="F853" s="47"/>
      <c r="G853" s="47"/>
      <c r="H853" s="47"/>
    </row>
    <row r="854" spans="3:8" ht="12.5" x14ac:dyDescent="0.25">
      <c r="C854" s="47"/>
      <c r="D854" s="47"/>
      <c r="E854" s="47"/>
      <c r="F854" s="47"/>
      <c r="G854" s="47"/>
      <c r="H854" s="47"/>
    </row>
    <row r="855" spans="3:8" ht="12.5" x14ac:dyDescent="0.25">
      <c r="C855" s="47"/>
      <c r="D855" s="47"/>
      <c r="E855" s="47"/>
      <c r="F855" s="47"/>
      <c r="G855" s="47"/>
      <c r="H855" s="47"/>
    </row>
    <row r="856" spans="3:8" ht="12.5" x14ac:dyDescent="0.25">
      <c r="C856" s="47"/>
      <c r="D856" s="47"/>
      <c r="E856" s="47"/>
      <c r="F856" s="47"/>
      <c r="G856" s="47"/>
      <c r="H856" s="47"/>
    </row>
    <row r="857" spans="3:8" ht="12.5" x14ac:dyDescent="0.25">
      <c r="C857" s="47"/>
      <c r="D857" s="47"/>
      <c r="E857" s="47"/>
      <c r="F857" s="47"/>
      <c r="G857" s="47"/>
      <c r="H857" s="47"/>
    </row>
    <row r="858" spans="3:8" ht="12.5" x14ac:dyDescent="0.25">
      <c r="C858" s="47"/>
      <c r="D858" s="47"/>
      <c r="E858" s="47"/>
      <c r="F858" s="47"/>
      <c r="G858" s="47"/>
      <c r="H858" s="47"/>
    </row>
    <row r="859" spans="3:8" ht="12.5" x14ac:dyDescent="0.25">
      <c r="C859" s="47"/>
      <c r="D859" s="47"/>
      <c r="E859" s="47"/>
      <c r="F859" s="47"/>
      <c r="G859" s="47"/>
      <c r="H859" s="47"/>
    </row>
    <row r="860" spans="3:8" ht="12.5" x14ac:dyDescent="0.25">
      <c r="C860" s="47"/>
      <c r="D860" s="47"/>
      <c r="E860" s="47"/>
      <c r="F860" s="47"/>
      <c r="G860" s="47"/>
      <c r="H860" s="47"/>
    </row>
    <row r="861" spans="3:8" ht="12.5" x14ac:dyDescent="0.25">
      <c r="C861" s="47"/>
      <c r="D861" s="47"/>
      <c r="E861" s="47"/>
      <c r="F861" s="47"/>
      <c r="G861" s="47"/>
      <c r="H861" s="47"/>
    </row>
    <row r="862" spans="3:8" ht="12.5" x14ac:dyDescent="0.25">
      <c r="C862" s="47"/>
      <c r="D862" s="47"/>
      <c r="E862" s="47"/>
      <c r="F862" s="47"/>
      <c r="G862" s="47"/>
      <c r="H862" s="47"/>
    </row>
    <row r="863" spans="3:8" ht="12.5" x14ac:dyDescent="0.25">
      <c r="C863" s="47"/>
      <c r="D863" s="47"/>
      <c r="E863" s="47"/>
      <c r="F863" s="47"/>
      <c r="G863" s="47"/>
      <c r="H863" s="47"/>
    </row>
    <row r="864" spans="3:8" ht="12.5" x14ac:dyDescent="0.25">
      <c r="C864" s="47"/>
      <c r="D864" s="47"/>
      <c r="E864" s="47"/>
      <c r="F864" s="47"/>
      <c r="G864" s="47"/>
      <c r="H864" s="47"/>
    </row>
    <row r="865" spans="3:8" ht="12.5" x14ac:dyDescent="0.25">
      <c r="C865" s="47"/>
      <c r="D865" s="47"/>
      <c r="E865" s="47"/>
      <c r="F865" s="47"/>
      <c r="G865" s="47"/>
      <c r="H865" s="47"/>
    </row>
    <row r="866" spans="3:8" ht="12.5" x14ac:dyDescent="0.25">
      <c r="C866" s="47"/>
      <c r="D866" s="47"/>
      <c r="E866" s="47"/>
      <c r="F866" s="47"/>
      <c r="G866" s="47"/>
      <c r="H866" s="47"/>
    </row>
    <row r="867" spans="3:8" ht="12.5" x14ac:dyDescent="0.25">
      <c r="C867" s="47"/>
      <c r="D867" s="47"/>
      <c r="E867" s="47"/>
      <c r="F867" s="47"/>
      <c r="G867" s="47"/>
      <c r="H867" s="47"/>
    </row>
    <row r="868" spans="3:8" ht="12.5" x14ac:dyDescent="0.25">
      <c r="C868" s="47"/>
      <c r="D868" s="47"/>
      <c r="E868" s="47"/>
      <c r="F868" s="47"/>
      <c r="G868" s="47"/>
      <c r="H868" s="47"/>
    </row>
    <row r="869" spans="3:8" ht="12.5" x14ac:dyDescent="0.25">
      <c r="C869" s="47"/>
      <c r="D869" s="47"/>
      <c r="E869" s="47"/>
      <c r="F869" s="47"/>
      <c r="G869" s="47"/>
      <c r="H869" s="47"/>
    </row>
    <row r="870" spans="3:8" ht="12.5" x14ac:dyDescent="0.25">
      <c r="C870" s="47"/>
      <c r="D870" s="47"/>
      <c r="E870" s="47"/>
      <c r="F870" s="47"/>
      <c r="G870" s="47"/>
      <c r="H870" s="47"/>
    </row>
    <row r="871" spans="3:8" ht="12.5" x14ac:dyDescent="0.25">
      <c r="C871" s="47"/>
      <c r="D871" s="47"/>
      <c r="E871" s="47"/>
      <c r="F871" s="47"/>
      <c r="G871" s="47"/>
      <c r="H871" s="47"/>
    </row>
    <row r="872" spans="3:8" ht="12.5" x14ac:dyDescent="0.25">
      <c r="C872" s="47"/>
      <c r="D872" s="47"/>
      <c r="E872" s="47"/>
      <c r="F872" s="47"/>
      <c r="G872" s="47"/>
      <c r="H872" s="47"/>
    </row>
    <row r="873" spans="3:8" ht="12.5" x14ac:dyDescent="0.25">
      <c r="C873" s="47"/>
      <c r="D873" s="47"/>
      <c r="E873" s="47"/>
      <c r="F873" s="47"/>
      <c r="G873" s="47"/>
      <c r="H873" s="47"/>
    </row>
    <row r="874" spans="3:8" ht="12.5" x14ac:dyDescent="0.25">
      <c r="C874" s="47"/>
      <c r="D874" s="47"/>
      <c r="E874" s="47"/>
      <c r="F874" s="47"/>
      <c r="G874" s="47"/>
      <c r="H874" s="47"/>
    </row>
    <row r="875" spans="3:8" ht="12.5" x14ac:dyDescent="0.25">
      <c r="C875" s="47"/>
      <c r="D875" s="47"/>
      <c r="E875" s="47"/>
      <c r="F875" s="47"/>
      <c r="G875" s="47"/>
      <c r="H875" s="47"/>
    </row>
    <row r="876" spans="3:8" ht="12.5" x14ac:dyDescent="0.25">
      <c r="C876" s="47"/>
      <c r="D876" s="47"/>
      <c r="E876" s="47"/>
      <c r="F876" s="47"/>
      <c r="G876" s="47"/>
      <c r="H876" s="47"/>
    </row>
    <row r="877" spans="3:8" ht="12.5" x14ac:dyDescent="0.25">
      <c r="C877" s="47"/>
      <c r="D877" s="47"/>
      <c r="E877" s="47"/>
      <c r="F877" s="47"/>
      <c r="G877" s="47"/>
      <c r="H877" s="47"/>
    </row>
    <row r="878" spans="3:8" ht="12.5" x14ac:dyDescent="0.25">
      <c r="C878" s="47"/>
      <c r="D878" s="47"/>
      <c r="E878" s="47"/>
      <c r="F878" s="47"/>
      <c r="G878" s="47"/>
      <c r="H878" s="47"/>
    </row>
    <row r="879" spans="3:8" ht="12.5" x14ac:dyDescent="0.25">
      <c r="C879" s="47"/>
      <c r="D879" s="47"/>
      <c r="E879" s="47"/>
      <c r="F879" s="47"/>
      <c r="G879" s="47"/>
      <c r="H879" s="47"/>
    </row>
    <row r="880" spans="3:8" ht="12.5" x14ac:dyDescent="0.25">
      <c r="C880" s="47"/>
      <c r="D880" s="47"/>
      <c r="E880" s="47"/>
      <c r="F880" s="47"/>
      <c r="G880" s="47"/>
      <c r="H880" s="47"/>
    </row>
    <row r="881" spans="3:8" ht="12.5" x14ac:dyDescent="0.25">
      <c r="C881" s="47"/>
      <c r="D881" s="47"/>
      <c r="E881" s="47"/>
      <c r="F881" s="47"/>
      <c r="G881" s="47"/>
      <c r="H881" s="47"/>
    </row>
    <row r="882" spans="3:8" ht="12.5" x14ac:dyDescent="0.25">
      <c r="C882" s="47"/>
      <c r="D882" s="47"/>
      <c r="E882" s="47"/>
      <c r="F882" s="47"/>
      <c r="G882" s="47"/>
      <c r="H882" s="47"/>
    </row>
    <row r="883" spans="3:8" ht="12.5" x14ac:dyDescent="0.25">
      <c r="C883" s="47"/>
      <c r="D883" s="47"/>
      <c r="E883" s="47"/>
      <c r="F883" s="47"/>
      <c r="G883" s="47"/>
      <c r="H883" s="47"/>
    </row>
    <row r="884" spans="3:8" ht="12.5" x14ac:dyDescent="0.25">
      <c r="C884" s="47"/>
      <c r="D884" s="47"/>
      <c r="E884" s="47"/>
      <c r="F884" s="47"/>
      <c r="G884" s="47"/>
      <c r="H884" s="47"/>
    </row>
    <row r="885" spans="3:8" ht="12.5" x14ac:dyDescent="0.25">
      <c r="C885" s="47"/>
      <c r="D885" s="47"/>
      <c r="E885" s="47"/>
      <c r="F885" s="47"/>
      <c r="G885" s="47"/>
      <c r="H885" s="47"/>
    </row>
    <row r="886" spans="3:8" ht="12.5" x14ac:dyDescent="0.25">
      <c r="C886" s="47"/>
      <c r="D886" s="47"/>
      <c r="E886" s="47"/>
      <c r="F886" s="47"/>
      <c r="G886" s="47"/>
      <c r="H886" s="47"/>
    </row>
    <row r="887" spans="3:8" ht="12.5" x14ac:dyDescent="0.25">
      <c r="C887" s="47"/>
      <c r="D887" s="47"/>
      <c r="E887" s="47"/>
      <c r="F887" s="47"/>
      <c r="G887" s="47"/>
      <c r="H887" s="47"/>
    </row>
    <row r="888" spans="3:8" ht="12.5" x14ac:dyDescent="0.25">
      <c r="C888" s="47"/>
      <c r="D888" s="47"/>
      <c r="E888" s="47"/>
      <c r="F888" s="47"/>
      <c r="G888" s="47"/>
      <c r="H888" s="47"/>
    </row>
    <row r="889" spans="3:8" ht="12.5" x14ac:dyDescent="0.25">
      <c r="C889" s="47"/>
      <c r="D889" s="47"/>
      <c r="E889" s="47"/>
      <c r="F889" s="47"/>
      <c r="G889" s="47"/>
      <c r="H889" s="47"/>
    </row>
    <row r="890" spans="3:8" ht="12.5" x14ac:dyDescent="0.25">
      <c r="C890" s="47"/>
      <c r="D890" s="47"/>
      <c r="E890" s="47"/>
      <c r="F890" s="47"/>
      <c r="G890" s="47"/>
      <c r="H890" s="47"/>
    </row>
    <row r="891" spans="3:8" ht="12.5" x14ac:dyDescent="0.25">
      <c r="C891" s="47"/>
      <c r="D891" s="47"/>
      <c r="E891" s="47"/>
      <c r="F891" s="47"/>
      <c r="G891" s="47"/>
      <c r="H891" s="47"/>
    </row>
    <row r="892" spans="3:8" ht="12.5" x14ac:dyDescent="0.25">
      <c r="C892" s="47"/>
      <c r="D892" s="47"/>
      <c r="E892" s="47"/>
      <c r="F892" s="47"/>
      <c r="G892" s="47"/>
      <c r="H892" s="47"/>
    </row>
    <row r="893" spans="3:8" ht="12.5" x14ac:dyDescent="0.25">
      <c r="C893" s="47"/>
      <c r="D893" s="47"/>
      <c r="E893" s="47"/>
      <c r="F893" s="47"/>
      <c r="G893" s="47"/>
      <c r="H893" s="47"/>
    </row>
    <row r="894" spans="3:8" ht="12.5" x14ac:dyDescent="0.25">
      <c r="C894" s="47"/>
      <c r="D894" s="47"/>
      <c r="E894" s="47"/>
      <c r="F894" s="47"/>
      <c r="G894" s="47"/>
      <c r="H894" s="47"/>
    </row>
    <row r="895" spans="3:8" ht="12.5" x14ac:dyDescent="0.25">
      <c r="C895" s="47"/>
      <c r="D895" s="47"/>
      <c r="E895" s="47"/>
      <c r="F895" s="47"/>
      <c r="G895" s="47"/>
      <c r="H895" s="47"/>
    </row>
    <row r="896" spans="3:8" ht="12.5" x14ac:dyDescent="0.25">
      <c r="C896" s="47"/>
      <c r="D896" s="47"/>
      <c r="E896" s="47"/>
      <c r="F896" s="47"/>
      <c r="G896" s="47"/>
      <c r="H896" s="47"/>
    </row>
    <row r="897" spans="3:8" ht="12.5" x14ac:dyDescent="0.25">
      <c r="C897" s="47"/>
      <c r="D897" s="47"/>
      <c r="E897" s="47"/>
      <c r="F897" s="47"/>
      <c r="G897" s="47"/>
      <c r="H897" s="47"/>
    </row>
    <row r="898" spans="3:8" ht="12.5" x14ac:dyDescent="0.25">
      <c r="C898" s="47"/>
      <c r="D898" s="47"/>
      <c r="E898" s="47"/>
      <c r="F898" s="47"/>
      <c r="G898" s="47"/>
      <c r="H898" s="47"/>
    </row>
    <row r="899" spans="3:8" ht="12.5" x14ac:dyDescent="0.25">
      <c r="C899" s="47"/>
      <c r="D899" s="47"/>
      <c r="E899" s="47"/>
      <c r="F899" s="47"/>
      <c r="G899" s="47"/>
      <c r="H899" s="47"/>
    </row>
    <row r="900" spans="3:8" ht="12.5" x14ac:dyDescent="0.25">
      <c r="C900" s="47"/>
      <c r="D900" s="47"/>
      <c r="E900" s="47"/>
      <c r="F900" s="47"/>
      <c r="G900" s="47"/>
      <c r="H900" s="47"/>
    </row>
    <row r="901" spans="3:8" ht="12.5" x14ac:dyDescent="0.25">
      <c r="C901" s="47"/>
      <c r="D901" s="47"/>
      <c r="E901" s="47"/>
      <c r="F901" s="47"/>
      <c r="G901" s="47"/>
      <c r="H901" s="47"/>
    </row>
    <row r="902" spans="3:8" ht="12.5" x14ac:dyDescent="0.25">
      <c r="C902" s="47"/>
      <c r="D902" s="47"/>
      <c r="E902" s="47"/>
      <c r="F902" s="47"/>
      <c r="G902" s="47"/>
      <c r="H902" s="47"/>
    </row>
    <row r="903" spans="3:8" ht="12.5" x14ac:dyDescent="0.25">
      <c r="C903" s="47"/>
      <c r="D903" s="47"/>
      <c r="E903" s="47"/>
      <c r="F903" s="47"/>
      <c r="G903" s="47"/>
      <c r="H903" s="47"/>
    </row>
    <row r="904" spans="3:8" ht="12.5" x14ac:dyDescent="0.25">
      <c r="C904" s="47"/>
      <c r="D904" s="47"/>
      <c r="E904" s="47"/>
      <c r="F904" s="47"/>
      <c r="G904" s="47"/>
      <c r="H904" s="47"/>
    </row>
    <row r="905" spans="3:8" ht="12.5" x14ac:dyDescent="0.25">
      <c r="C905" s="47"/>
      <c r="D905" s="47"/>
      <c r="E905" s="47"/>
      <c r="F905" s="47"/>
      <c r="G905" s="47"/>
      <c r="H905" s="47"/>
    </row>
    <row r="906" spans="3:8" ht="12.5" x14ac:dyDescent="0.25">
      <c r="C906" s="47"/>
      <c r="D906" s="47"/>
      <c r="E906" s="47"/>
      <c r="F906" s="47"/>
      <c r="G906" s="47"/>
      <c r="H906" s="47"/>
    </row>
    <row r="907" spans="3:8" ht="12.5" x14ac:dyDescent="0.25">
      <c r="C907" s="47"/>
      <c r="D907" s="47"/>
      <c r="E907" s="47"/>
      <c r="F907" s="47"/>
      <c r="G907" s="47"/>
      <c r="H907" s="47"/>
    </row>
    <row r="908" spans="3:8" ht="12.5" x14ac:dyDescent="0.25">
      <c r="C908" s="47"/>
      <c r="D908" s="47"/>
      <c r="E908" s="47"/>
      <c r="F908" s="47"/>
      <c r="G908" s="47"/>
      <c r="H908" s="47"/>
    </row>
    <row r="909" spans="3:8" ht="12.5" x14ac:dyDescent="0.25">
      <c r="C909" s="47"/>
      <c r="D909" s="47"/>
      <c r="E909" s="47"/>
      <c r="F909" s="47"/>
      <c r="G909" s="47"/>
      <c r="H909" s="47"/>
    </row>
    <row r="910" spans="3:8" ht="12.5" x14ac:dyDescent="0.25">
      <c r="C910" s="47"/>
      <c r="D910" s="47"/>
      <c r="E910" s="47"/>
      <c r="F910" s="47"/>
      <c r="G910" s="47"/>
      <c r="H910" s="47"/>
    </row>
    <row r="911" spans="3:8" ht="12.5" x14ac:dyDescent="0.25">
      <c r="C911" s="47"/>
      <c r="D911" s="47"/>
      <c r="E911" s="47"/>
      <c r="F911" s="47"/>
      <c r="G911" s="47"/>
      <c r="H911" s="47"/>
    </row>
    <row r="912" spans="3:8" ht="12.5" x14ac:dyDescent="0.25">
      <c r="C912" s="47"/>
      <c r="D912" s="47"/>
      <c r="E912" s="47"/>
      <c r="F912" s="47"/>
      <c r="G912" s="47"/>
      <c r="H912" s="47"/>
    </row>
    <row r="913" spans="3:8" ht="12.5" x14ac:dyDescent="0.25">
      <c r="C913" s="47"/>
      <c r="D913" s="47"/>
      <c r="E913" s="47"/>
      <c r="F913" s="47"/>
      <c r="G913" s="47"/>
      <c r="H913" s="47"/>
    </row>
    <row r="914" spans="3:8" ht="12.5" x14ac:dyDescent="0.25">
      <c r="C914" s="47"/>
      <c r="D914" s="47"/>
      <c r="E914" s="47"/>
      <c r="F914" s="47"/>
      <c r="G914" s="47"/>
      <c r="H914" s="47"/>
    </row>
    <row r="915" spans="3:8" ht="12.5" x14ac:dyDescent="0.25">
      <c r="C915" s="47"/>
      <c r="D915" s="47"/>
      <c r="E915" s="47"/>
      <c r="F915" s="47"/>
      <c r="G915" s="47"/>
      <c r="H915" s="47"/>
    </row>
    <row r="916" spans="3:8" ht="12.5" x14ac:dyDescent="0.25">
      <c r="C916" s="47"/>
      <c r="D916" s="47"/>
      <c r="E916" s="47"/>
      <c r="F916" s="47"/>
      <c r="G916" s="47"/>
      <c r="H916" s="47"/>
    </row>
    <row r="917" spans="3:8" ht="12.5" x14ac:dyDescent="0.25">
      <c r="C917" s="47"/>
      <c r="D917" s="47"/>
      <c r="E917" s="47"/>
      <c r="F917" s="47"/>
      <c r="G917" s="47"/>
      <c r="H917" s="47"/>
    </row>
    <row r="918" spans="3:8" ht="12.5" x14ac:dyDescent="0.25">
      <c r="C918" s="47"/>
      <c r="D918" s="47"/>
      <c r="E918" s="47"/>
      <c r="F918" s="47"/>
      <c r="G918" s="47"/>
      <c r="H918" s="47"/>
    </row>
    <row r="919" spans="3:8" ht="12.5" x14ac:dyDescent="0.25">
      <c r="C919" s="47"/>
      <c r="D919" s="47"/>
      <c r="E919" s="47"/>
      <c r="F919" s="47"/>
      <c r="G919" s="47"/>
      <c r="H919" s="47"/>
    </row>
    <row r="920" spans="3:8" ht="12.5" x14ac:dyDescent="0.25">
      <c r="C920" s="47"/>
      <c r="D920" s="47"/>
      <c r="E920" s="47"/>
      <c r="F920" s="47"/>
      <c r="G920" s="47"/>
      <c r="H920" s="47"/>
    </row>
    <row r="921" spans="3:8" ht="12.5" x14ac:dyDescent="0.25">
      <c r="C921" s="47"/>
      <c r="D921" s="47"/>
      <c r="E921" s="47"/>
      <c r="F921" s="47"/>
      <c r="G921" s="47"/>
      <c r="H921" s="47"/>
    </row>
    <row r="922" spans="3:8" ht="12.5" x14ac:dyDescent="0.25">
      <c r="C922" s="47"/>
      <c r="D922" s="47"/>
      <c r="E922" s="47"/>
      <c r="F922" s="47"/>
      <c r="G922" s="47"/>
      <c r="H922" s="47"/>
    </row>
    <row r="923" spans="3:8" ht="12.5" x14ac:dyDescent="0.25">
      <c r="C923" s="47"/>
      <c r="D923" s="47"/>
      <c r="E923" s="47"/>
      <c r="F923" s="47"/>
      <c r="G923" s="47"/>
      <c r="H923" s="47"/>
    </row>
    <row r="924" spans="3:8" ht="12.5" x14ac:dyDescent="0.25">
      <c r="C924" s="47"/>
      <c r="D924" s="47"/>
      <c r="E924" s="47"/>
      <c r="F924" s="47"/>
      <c r="G924" s="47"/>
      <c r="H924" s="47"/>
    </row>
    <row r="925" spans="3:8" ht="12.5" x14ac:dyDescent="0.25">
      <c r="C925" s="47"/>
      <c r="D925" s="47"/>
      <c r="E925" s="47"/>
      <c r="F925" s="47"/>
      <c r="G925" s="47"/>
      <c r="H925" s="47"/>
    </row>
    <row r="926" spans="3:8" ht="12.5" x14ac:dyDescent="0.25">
      <c r="C926" s="47"/>
      <c r="D926" s="47"/>
      <c r="E926" s="47"/>
      <c r="F926" s="47"/>
      <c r="G926" s="47"/>
      <c r="H926" s="47"/>
    </row>
    <row r="927" spans="3:8" ht="12.5" x14ac:dyDescent="0.25">
      <c r="C927" s="47"/>
      <c r="D927" s="47"/>
      <c r="E927" s="47"/>
      <c r="F927" s="47"/>
      <c r="G927" s="47"/>
      <c r="H927" s="47"/>
    </row>
    <row r="928" spans="3:8" ht="12.5" x14ac:dyDescent="0.25">
      <c r="C928" s="47"/>
      <c r="D928" s="47"/>
      <c r="E928" s="47"/>
      <c r="F928" s="47"/>
      <c r="G928" s="47"/>
      <c r="H928" s="47"/>
    </row>
    <row r="929" spans="3:8" ht="12.5" x14ac:dyDescent="0.25">
      <c r="C929" s="47"/>
      <c r="D929" s="47"/>
      <c r="E929" s="47"/>
      <c r="F929" s="47"/>
      <c r="G929" s="47"/>
      <c r="H929" s="47"/>
    </row>
    <row r="930" spans="3:8" ht="12.5" x14ac:dyDescent="0.25">
      <c r="C930" s="47"/>
      <c r="D930" s="47"/>
      <c r="E930" s="47"/>
      <c r="F930" s="47"/>
      <c r="G930" s="47"/>
      <c r="H930" s="47"/>
    </row>
    <row r="931" spans="3:8" ht="12.5" x14ac:dyDescent="0.25">
      <c r="C931" s="47"/>
      <c r="D931" s="47"/>
      <c r="E931" s="47"/>
      <c r="F931" s="47"/>
      <c r="G931" s="47"/>
      <c r="H931" s="47"/>
    </row>
    <row r="932" spans="3:8" ht="12.5" x14ac:dyDescent="0.25">
      <c r="C932" s="47"/>
      <c r="D932" s="47"/>
      <c r="E932" s="47"/>
      <c r="F932" s="47"/>
      <c r="G932" s="47"/>
      <c r="H932" s="47"/>
    </row>
    <row r="933" spans="3:8" ht="12.5" x14ac:dyDescent="0.25">
      <c r="C933" s="47"/>
      <c r="D933" s="47"/>
      <c r="E933" s="47"/>
      <c r="F933" s="47"/>
      <c r="G933" s="47"/>
      <c r="H933" s="47"/>
    </row>
    <row r="934" spans="3:8" ht="12.5" x14ac:dyDescent="0.25">
      <c r="C934" s="47"/>
      <c r="D934" s="47"/>
      <c r="E934" s="47"/>
      <c r="F934" s="47"/>
      <c r="G934" s="47"/>
      <c r="H934" s="47"/>
    </row>
    <row r="935" spans="3:8" ht="12.5" x14ac:dyDescent="0.25">
      <c r="C935" s="47"/>
      <c r="D935" s="47"/>
      <c r="E935" s="47"/>
      <c r="F935" s="47"/>
      <c r="G935" s="47"/>
      <c r="H935" s="47"/>
    </row>
    <row r="936" spans="3:8" ht="12.5" x14ac:dyDescent="0.25">
      <c r="C936" s="47"/>
      <c r="D936" s="47"/>
      <c r="E936" s="47"/>
      <c r="F936" s="47"/>
      <c r="G936" s="47"/>
      <c r="H936" s="47"/>
    </row>
    <row r="937" spans="3:8" ht="12.5" x14ac:dyDescent="0.25">
      <c r="C937" s="47"/>
      <c r="D937" s="47"/>
      <c r="E937" s="47"/>
      <c r="F937" s="47"/>
      <c r="G937" s="47"/>
      <c r="H937" s="47"/>
    </row>
    <row r="938" spans="3:8" ht="12.5" x14ac:dyDescent="0.25">
      <c r="C938" s="47"/>
      <c r="D938" s="47"/>
      <c r="E938" s="47"/>
      <c r="F938" s="47"/>
      <c r="G938" s="47"/>
      <c r="H938" s="47"/>
    </row>
    <row r="939" spans="3:8" ht="12.5" x14ac:dyDescent="0.25">
      <c r="C939" s="47"/>
      <c r="D939" s="47"/>
      <c r="E939" s="47"/>
      <c r="F939" s="47"/>
      <c r="G939" s="47"/>
      <c r="H939" s="47"/>
    </row>
    <row r="940" spans="3:8" ht="12.5" x14ac:dyDescent="0.25">
      <c r="C940" s="47"/>
      <c r="D940" s="47"/>
      <c r="E940" s="47"/>
      <c r="F940" s="47"/>
      <c r="G940" s="47"/>
      <c r="H940" s="47"/>
    </row>
    <row r="941" spans="3:8" ht="12.5" x14ac:dyDescent="0.25">
      <c r="C941" s="47"/>
      <c r="D941" s="47"/>
      <c r="E941" s="47"/>
      <c r="F941" s="47"/>
      <c r="G941" s="47"/>
      <c r="H941" s="47"/>
    </row>
    <row r="942" spans="3:8" ht="12.5" x14ac:dyDescent="0.25">
      <c r="C942" s="47"/>
      <c r="D942" s="47"/>
      <c r="E942" s="47"/>
      <c r="F942" s="47"/>
      <c r="G942" s="47"/>
      <c r="H942" s="47"/>
    </row>
    <row r="943" spans="3:8" ht="12.5" x14ac:dyDescent="0.25">
      <c r="C943" s="47"/>
      <c r="D943" s="47"/>
      <c r="E943" s="47"/>
      <c r="F943" s="47"/>
      <c r="G943" s="47"/>
      <c r="H943" s="47"/>
    </row>
    <row r="944" spans="3:8" ht="12.5" x14ac:dyDescent="0.25">
      <c r="C944" s="47"/>
      <c r="D944" s="47"/>
      <c r="E944" s="47"/>
      <c r="F944" s="47"/>
      <c r="G944" s="47"/>
      <c r="H944" s="47"/>
    </row>
    <row r="945" spans="3:8" ht="12.5" x14ac:dyDescent="0.25">
      <c r="C945" s="47"/>
      <c r="D945" s="47"/>
      <c r="E945" s="47"/>
      <c r="F945" s="47"/>
      <c r="G945" s="47"/>
      <c r="H945" s="47"/>
    </row>
    <row r="946" spans="3:8" ht="12.5" x14ac:dyDescent="0.25">
      <c r="C946" s="47"/>
      <c r="D946" s="47"/>
      <c r="E946" s="47"/>
      <c r="F946" s="47"/>
      <c r="G946" s="47"/>
      <c r="H946" s="47"/>
    </row>
    <row r="947" spans="3:8" ht="12.5" x14ac:dyDescent="0.25">
      <c r="C947" s="47"/>
      <c r="D947" s="47"/>
      <c r="E947" s="47"/>
      <c r="F947" s="47"/>
      <c r="G947" s="47"/>
      <c r="H947" s="47"/>
    </row>
    <row r="948" spans="3:8" ht="12.5" x14ac:dyDescent="0.25">
      <c r="C948" s="47"/>
      <c r="D948" s="47"/>
      <c r="E948" s="47"/>
      <c r="F948" s="47"/>
      <c r="G948" s="47"/>
      <c r="H948" s="47"/>
    </row>
    <row r="949" spans="3:8" ht="12.5" x14ac:dyDescent="0.25">
      <c r="C949" s="47"/>
      <c r="D949" s="47"/>
      <c r="E949" s="47"/>
      <c r="F949" s="47"/>
      <c r="G949" s="47"/>
      <c r="H949" s="47"/>
    </row>
    <row r="950" spans="3:8" ht="12.5" x14ac:dyDescent="0.25">
      <c r="C950" s="47"/>
      <c r="D950" s="47"/>
      <c r="E950" s="47"/>
      <c r="F950" s="47"/>
      <c r="G950" s="47"/>
      <c r="H950" s="47"/>
    </row>
    <row r="951" spans="3:8" ht="12.5" x14ac:dyDescent="0.25">
      <c r="C951" s="47"/>
      <c r="D951" s="47"/>
      <c r="E951" s="47"/>
      <c r="F951" s="47"/>
      <c r="G951" s="47"/>
      <c r="H951" s="47"/>
    </row>
    <row r="952" spans="3:8" ht="12.5" x14ac:dyDescent="0.25">
      <c r="C952" s="47"/>
      <c r="D952" s="47"/>
      <c r="E952" s="47"/>
      <c r="F952" s="47"/>
      <c r="G952" s="47"/>
      <c r="H952" s="47"/>
    </row>
    <row r="953" spans="3:8" ht="12.5" x14ac:dyDescent="0.25">
      <c r="C953" s="47"/>
      <c r="D953" s="47"/>
      <c r="E953" s="47"/>
      <c r="F953" s="47"/>
      <c r="G953" s="47"/>
      <c r="H953" s="47"/>
    </row>
    <row r="954" spans="3:8" ht="12.5" x14ac:dyDescent="0.25">
      <c r="C954" s="47"/>
      <c r="D954" s="47"/>
      <c r="E954" s="47"/>
      <c r="F954" s="47"/>
      <c r="G954" s="47"/>
      <c r="H954" s="47"/>
    </row>
    <row r="955" spans="3:8" ht="12.5" x14ac:dyDescent="0.25">
      <c r="C955" s="47"/>
      <c r="D955" s="47"/>
      <c r="E955" s="47"/>
      <c r="F955" s="47"/>
      <c r="G955" s="47"/>
      <c r="H955" s="47"/>
    </row>
    <row r="956" spans="3:8" ht="12.5" x14ac:dyDescent="0.25">
      <c r="C956" s="47"/>
      <c r="D956" s="47"/>
      <c r="E956" s="47"/>
      <c r="F956" s="47"/>
      <c r="G956" s="47"/>
      <c r="H956" s="47"/>
    </row>
    <row r="957" spans="3:8" ht="12.5" x14ac:dyDescent="0.25">
      <c r="C957" s="47"/>
      <c r="D957" s="47"/>
      <c r="E957" s="47"/>
      <c r="F957" s="47"/>
      <c r="G957" s="47"/>
      <c r="H957" s="47"/>
    </row>
    <row r="958" spans="3:8" ht="12.5" x14ac:dyDescent="0.25">
      <c r="C958" s="47"/>
      <c r="D958" s="47"/>
      <c r="E958" s="47"/>
      <c r="F958" s="47"/>
      <c r="G958" s="47"/>
      <c r="H958" s="47"/>
    </row>
    <row r="959" spans="3:8" ht="12.5" x14ac:dyDescent="0.25">
      <c r="C959" s="47"/>
      <c r="D959" s="47"/>
      <c r="E959" s="47"/>
      <c r="F959" s="47"/>
      <c r="G959" s="47"/>
      <c r="H959" s="47"/>
    </row>
    <row r="960" spans="3:8" ht="12.5" x14ac:dyDescent="0.25">
      <c r="C960" s="47"/>
      <c r="D960" s="47"/>
      <c r="E960" s="47"/>
      <c r="F960" s="47"/>
      <c r="G960" s="47"/>
      <c r="H960" s="47"/>
    </row>
    <row r="961" spans="3:8" ht="12.5" x14ac:dyDescent="0.25">
      <c r="C961" s="47"/>
      <c r="D961" s="47"/>
      <c r="E961" s="47"/>
      <c r="F961" s="47"/>
      <c r="G961" s="47"/>
      <c r="H961" s="47"/>
    </row>
    <row r="962" spans="3:8" ht="12.5" x14ac:dyDescent="0.25">
      <c r="C962" s="47"/>
      <c r="D962" s="47"/>
      <c r="E962" s="47"/>
      <c r="F962" s="47"/>
      <c r="G962" s="47"/>
      <c r="H962" s="47"/>
    </row>
    <row r="963" spans="3:8" ht="12.5" x14ac:dyDescent="0.25">
      <c r="C963" s="47"/>
      <c r="D963" s="47"/>
      <c r="E963" s="47"/>
      <c r="F963" s="47"/>
      <c r="G963" s="47"/>
      <c r="H963" s="47"/>
    </row>
    <row r="964" spans="3:8" ht="12.5" x14ac:dyDescent="0.25">
      <c r="C964" s="47"/>
      <c r="D964" s="47"/>
      <c r="E964" s="47"/>
      <c r="F964" s="47"/>
      <c r="G964" s="47"/>
      <c r="H964" s="47"/>
    </row>
    <row r="965" spans="3:8" ht="12.5" x14ac:dyDescent="0.25">
      <c r="C965" s="47"/>
      <c r="D965" s="47"/>
      <c r="E965" s="47"/>
      <c r="F965" s="47"/>
      <c r="G965" s="47"/>
      <c r="H965" s="47"/>
    </row>
    <row r="966" spans="3:8" ht="12.5" x14ac:dyDescent="0.25">
      <c r="C966" s="47"/>
      <c r="D966" s="47"/>
      <c r="E966" s="47"/>
      <c r="F966" s="47"/>
      <c r="G966" s="47"/>
      <c r="H966" s="47"/>
    </row>
    <row r="967" spans="3:8" ht="12.5" x14ac:dyDescent="0.25">
      <c r="C967" s="47"/>
      <c r="D967" s="47"/>
      <c r="E967" s="47"/>
      <c r="F967" s="47"/>
      <c r="G967" s="47"/>
      <c r="H967" s="47"/>
    </row>
    <row r="968" spans="3:8" ht="12.5" x14ac:dyDescent="0.25">
      <c r="C968" s="47"/>
      <c r="D968" s="47"/>
      <c r="E968" s="47"/>
      <c r="F968" s="47"/>
      <c r="G968" s="47"/>
      <c r="H968" s="47"/>
    </row>
    <row r="969" spans="3:8" ht="12.5" x14ac:dyDescent="0.25">
      <c r="C969" s="47"/>
      <c r="D969" s="47"/>
      <c r="E969" s="47"/>
      <c r="F969" s="47"/>
      <c r="G969" s="47"/>
      <c r="H969" s="47"/>
    </row>
    <row r="970" spans="3:8" ht="12.5" x14ac:dyDescent="0.25">
      <c r="C970" s="47"/>
      <c r="D970" s="47"/>
      <c r="E970" s="47"/>
      <c r="F970" s="47"/>
      <c r="G970" s="47"/>
      <c r="H970" s="47"/>
    </row>
    <row r="971" spans="3:8" ht="12.5" x14ac:dyDescent="0.25">
      <c r="C971" s="47"/>
      <c r="D971" s="47"/>
      <c r="E971" s="47"/>
      <c r="F971" s="47"/>
      <c r="G971" s="47"/>
      <c r="H971" s="47"/>
    </row>
    <row r="972" spans="3:8" ht="12.5" x14ac:dyDescent="0.25">
      <c r="C972" s="47"/>
      <c r="D972" s="47"/>
      <c r="E972" s="47"/>
      <c r="F972" s="47"/>
      <c r="G972" s="47"/>
      <c r="H972" s="47"/>
    </row>
    <row r="973" spans="3:8" ht="12.5" x14ac:dyDescent="0.25">
      <c r="C973" s="47"/>
      <c r="D973" s="47"/>
      <c r="E973" s="47"/>
      <c r="F973" s="47"/>
      <c r="G973" s="47"/>
      <c r="H973" s="47"/>
    </row>
    <row r="974" spans="3:8" ht="12.5" x14ac:dyDescent="0.25">
      <c r="C974" s="47"/>
      <c r="D974" s="47"/>
      <c r="E974" s="47"/>
      <c r="F974" s="47"/>
      <c r="G974" s="47"/>
      <c r="H974" s="47"/>
    </row>
    <row r="975" spans="3:8" ht="12.5" x14ac:dyDescent="0.25">
      <c r="C975" s="47"/>
      <c r="D975" s="47"/>
      <c r="E975" s="47"/>
      <c r="F975" s="47"/>
      <c r="G975" s="47"/>
      <c r="H975" s="47"/>
    </row>
    <row r="976" spans="3:8" ht="12.5" x14ac:dyDescent="0.25">
      <c r="C976" s="47"/>
      <c r="D976" s="47"/>
      <c r="E976" s="47"/>
      <c r="F976" s="47"/>
      <c r="G976" s="47"/>
      <c r="H976" s="47"/>
    </row>
    <row r="977" spans="3:8" ht="12.5" x14ac:dyDescent="0.25">
      <c r="C977" s="47"/>
      <c r="D977" s="47"/>
      <c r="E977" s="47"/>
      <c r="F977" s="47"/>
      <c r="G977" s="47"/>
      <c r="H977" s="47"/>
    </row>
    <row r="978" spans="3:8" ht="12.5" x14ac:dyDescent="0.25">
      <c r="C978" s="47"/>
      <c r="D978" s="47"/>
      <c r="E978" s="47"/>
      <c r="F978" s="47"/>
      <c r="G978" s="47"/>
      <c r="H978" s="47"/>
    </row>
    <row r="979" spans="3:8" ht="12.5" x14ac:dyDescent="0.25">
      <c r="C979" s="47"/>
      <c r="D979" s="47"/>
      <c r="E979" s="47"/>
      <c r="F979" s="47"/>
      <c r="G979" s="47"/>
      <c r="H979" s="47"/>
    </row>
    <row r="980" spans="3:8" ht="12.5" x14ac:dyDescent="0.25">
      <c r="C980" s="47"/>
      <c r="D980" s="47"/>
      <c r="E980" s="47"/>
      <c r="F980" s="47"/>
      <c r="G980" s="47"/>
      <c r="H980" s="47"/>
    </row>
    <row r="981" spans="3:8" ht="12.5" x14ac:dyDescent="0.25">
      <c r="C981" s="47"/>
      <c r="D981" s="47"/>
      <c r="E981" s="47"/>
      <c r="F981" s="47"/>
      <c r="G981" s="47"/>
      <c r="H981" s="47"/>
    </row>
    <row r="982" spans="3:8" ht="12.5" x14ac:dyDescent="0.25">
      <c r="C982" s="47"/>
      <c r="D982" s="47"/>
      <c r="E982" s="47"/>
      <c r="F982" s="47"/>
      <c r="G982" s="47"/>
      <c r="H982" s="47"/>
    </row>
    <row r="983" spans="3:8" ht="12.5" x14ac:dyDescent="0.25">
      <c r="C983" s="47"/>
      <c r="D983" s="47"/>
      <c r="E983" s="47"/>
      <c r="F983" s="47"/>
      <c r="G983" s="47"/>
      <c r="H983" s="47"/>
    </row>
    <row r="984" spans="3:8" ht="12.5" x14ac:dyDescent="0.25">
      <c r="C984" s="47"/>
      <c r="D984" s="47"/>
      <c r="E984" s="47"/>
      <c r="F984" s="47"/>
      <c r="G984" s="47"/>
      <c r="H984" s="47"/>
    </row>
    <row r="985" spans="3:8" ht="12.5" x14ac:dyDescent="0.25">
      <c r="C985" s="47"/>
      <c r="D985" s="47"/>
      <c r="E985" s="47"/>
      <c r="F985" s="47"/>
      <c r="G985" s="47"/>
      <c r="H985" s="47"/>
    </row>
    <row r="986" spans="3:8" ht="12.5" x14ac:dyDescent="0.25">
      <c r="C986" s="47"/>
      <c r="D986" s="47"/>
      <c r="E986" s="47"/>
      <c r="F986" s="47"/>
      <c r="G986" s="47"/>
      <c r="H986" s="47"/>
    </row>
    <row r="987" spans="3:8" ht="12.5" x14ac:dyDescent="0.25">
      <c r="C987" s="47"/>
      <c r="D987" s="47"/>
      <c r="E987" s="47"/>
      <c r="F987" s="47"/>
      <c r="G987" s="47"/>
      <c r="H987" s="47"/>
    </row>
    <row r="988" spans="3:8" ht="12.5" x14ac:dyDescent="0.25">
      <c r="C988" s="47"/>
      <c r="D988" s="47"/>
      <c r="E988" s="47"/>
      <c r="F988" s="47"/>
      <c r="G988" s="47"/>
      <c r="H988" s="47"/>
    </row>
    <row r="989" spans="3:8" ht="12.5" x14ac:dyDescent="0.25">
      <c r="C989" s="47"/>
      <c r="D989" s="47"/>
      <c r="E989" s="47"/>
      <c r="F989" s="47"/>
      <c r="G989" s="47"/>
      <c r="H989" s="47"/>
    </row>
    <row r="990" spans="3:8" ht="12.5" x14ac:dyDescent="0.25">
      <c r="C990" s="47"/>
      <c r="D990" s="47"/>
      <c r="E990" s="47"/>
      <c r="F990" s="47"/>
      <c r="G990" s="47"/>
      <c r="H990" s="47"/>
    </row>
    <row r="991" spans="3:8" ht="12.5" x14ac:dyDescent="0.25">
      <c r="C991" s="47"/>
      <c r="D991" s="47"/>
      <c r="E991" s="47"/>
      <c r="F991" s="47"/>
      <c r="G991" s="47"/>
      <c r="H991" s="47"/>
    </row>
    <row r="992" spans="3:8" ht="12.5" x14ac:dyDescent="0.25">
      <c r="C992" s="47"/>
      <c r="D992" s="47"/>
      <c r="E992" s="47"/>
      <c r="F992" s="47"/>
      <c r="G992" s="47"/>
      <c r="H992" s="47"/>
    </row>
    <row r="993" spans="3:8" ht="12.5" x14ac:dyDescent="0.25">
      <c r="C993" s="47"/>
      <c r="D993" s="47"/>
      <c r="E993" s="47"/>
      <c r="F993" s="47"/>
      <c r="G993" s="47"/>
      <c r="H993" s="47"/>
    </row>
    <row r="994" spans="3:8" ht="12.5" x14ac:dyDescent="0.25">
      <c r="C994" s="47"/>
      <c r="D994" s="47"/>
      <c r="E994" s="47"/>
      <c r="F994" s="47"/>
      <c r="G994" s="47"/>
      <c r="H994" s="47"/>
    </row>
    <row r="995" spans="3:8" ht="12.5" x14ac:dyDescent="0.25">
      <c r="C995" s="47"/>
      <c r="D995" s="47"/>
      <c r="E995" s="47"/>
      <c r="F995" s="47"/>
      <c r="G995" s="47"/>
      <c r="H995" s="47"/>
    </row>
    <row r="996" spans="3:8" ht="12.5" x14ac:dyDescent="0.25">
      <c r="C996" s="47"/>
      <c r="D996" s="47"/>
      <c r="E996" s="47"/>
      <c r="F996" s="47"/>
      <c r="G996" s="47"/>
      <c r="H996" s="47"/>
    </row>
    <row r="997" spans="3:8" ht="12.5" x14ac:dyDescent="0.25">
      <c r="C997" s="47"/>
      <c r="D997" s="47"/>
      <c r="E997" s="47"/>
      <c r="F997" s="47"/>
      <c r="G997" s="47"/>
      <c r="H997" s="47"/>
    </row>
    <row r="998" spans="3:8" ht="12.5" x14ac:dyDescent="0.25">
      <c r="C998" s="47"/>
      <c r="D998" s="47"/>
      <c r="E998" s="47"/>
      <c r="F998" s="47"/>
      <c r="G998" s="47"/>
      <c r="H998" s="47"/>
    </row>
    <row r="999" spans="3:8" ht="12.5" x14ac:dyDescent="0.25">
      <c r="C999" s="47"/>
      <c r="D999" s="47"/>
      <c r="E999" s="47"/>
      <c r="F999" s="47"/>
      <c r="G999" s="47"/>
      <c r="H999" s="47"/>
    </row>
    <row r="1000" spans="3:8" ht="12.5" x14ac:dyDescent="0.25">
      <c r="C1000" s="47"/>
      <c r="D1000" s="47"/>
      <c r="E1000" s="47"/>
      <c r="F1000" s="47"/>
      <c r="G1000" s="47"/>
      <c r="H1000" s="47"/>
    </row>
    <row r="1001" spans="3:8" ht="12.5" x14ac:dyDescent="0.25">
      <c r="C1001" s="47"/>
      <c r="D1001" s="47"/>
      <c r="E1001" s="47"/>
      <c r="F1001" s="47"/>
      <c r="G1001" s="47"/>
      <c r="H1001" s="47"/>
    </row>
    <row r="1002" spans="3:8" ht="12.5" x14ac:dyDescent="0.25">
      <c r="C1002" s="47"/>
      <c r="D1002" s="47"/>
      <c r="E1002" s="47"/>
      <c r="F1002" s="47"/>
      <c r="G1002" s="47"/>
      <c r="H1002" s="47"/>
    </row>
    <row r="1003" spans="3:8" ht="12.5" x14ac:dyDescent="0.25">
      <c r="C1003" s="47"/>
      <c r="D1003" s="47"/>
      <c r="E1003" s="47"/>
      <c r="F1003" s="47"/>
      <c r="G1003" s="47"/>
      <c r="H1003" s="47"/>
    </row>
    <row r="1004" spans="3:8" ht="12.5" x14ac:dyDescent="0.25">
      <c r="C1004" s="47"/>
      <c r="D1004" s="47"/>
      <c r="E1004" s="47"/>
      <c r="F1004" s="47"/>
      <c r="G1004" s="47"/>
      <c r="H1004" s="47"/>
    </row>
    <row r="1005" spans="3:8" ht="12.5" x14ac:dyDescent="0.25">
      <c r="C1005" s="47"/>
      <c r="D1005" s="47"/>
      <c r="E1005" s="47"/>
      <c r="F1005" s="47"/>
      <c r="G1005" s="47"/>
      <c r="H1005" s="47"/>
    </row>
    <row r="1006" spans="3:8" ht="12.5" x14ac:dyDescent="0.25">
      <c r="C1006" s="47"/>
      <c r="D1006" s="47"/>
      <c r="E1006" s="47"/>
      <c r="F1006" s="47"/>
      <c r="G1006" s="47"/>
      <c r="H1006" s="47"/>
    </row>
    <row r="1007" spans="3:8" ht="12.5" x14ac:dyDescent="0.25">
      <c r="C1007" s="47"/>
      <c r="D1007" s="47"/>
      <c r="E1007" s="47"/>
      <c r="F1007" s="47"/>
      <c r="G1007" s="47"/>
      <c r="H1007" s="47"/>
    </row>
    <row r="1008" spans="3:8" ht="12.5" x14ac:dyDescent="0.25">
      <c r="C1008" s="47"/>
      <c r="D1008" s="47"/>
      <c r="E1008" s="47"/>
      <c r="F1008" s="47"/>
      <c r="G1008" s="47"/>
      <c r="H1008" s="47"/>
    </row>
    <row r="1009" spans="3:8" ht="12.5" x14ac:dyDescent="0.25">
      <c r="C1009" s="47"/>
      <c r="D1009" s="47"/>
      <c r="E1009" s="47"/>
      <c r="F1009" s="47"/>
      <c r="G1009" s="47"/>
      <c r="H1009" s="47"/>
    </row>
    <row r="1010" spans="3:8" ht="12.5" x14ac:dyDescent="0.25">
      <c r="C1010" s="47"/>
      <c r="D1010" s="47"/>
      <c r="E1010" s="47"/>
      <c r="F1010" s="47"/>
      <c r="G1010" s="47"/>
      <c r="H1010" s="47"/>
    </row>
    <row r="1011" spans="3:8" ht="12.5" x14ac:dyDescent="0.25">
      <c r="C1011" s="47"/>
      <c r="D1011" s="47"/>
      <c r="E1011" s="47"/>
      <c r="F1011" s="47"/>
      <c r="G1011" s="47"/>
      <c r="H1011" s="47"/>
    </row>
    <row r="1012" spans="3:8" ht="12.5" x14ac:dyDescent="0.25">
      <c r="C1012" s="47"/>
      <c r="D1012" s="47"/>
      <c r="E1012" s="47"/>
      <c r="F1012" s="47"/>
      <c r="G1012" s="47"/>
      <c r="H1012" s="47"/>
    </row>
    <row r="1013" spans="3:8" ht="12.5" x14ac:dyDescent="0.25">
      <c r="C1013" s="47"/>
      <c r="D1013" s="47"/>
      <c r="E1013" s="47"/>
      <c r="F1013" s="47"/>
      <c r="G1013" s="47"/>
      <c r="H1013" s="47"/>
    </row>
    <row r="1014" spans="3:8" ht="12.5" x14ac:dyDescent="0.25">
      <c r="C1014" s="47"/>
      <c r="D1014" s="47"/>
      <c r="E1014" s="47"/>
      <c r="F1014" s="47"/>
      <c r="G1014" s="47"/>
      <c r="H1014" s="47"/>
    </row>
    <row r="1015" spans="3:8" ht="12.5" x14ac:dyDescent="0.25">
      <c r="C1015" s="47"/>
      <c r="D1015" s="47"/>
      <c r="E1015" s="47"/>
      <c r="F1015" s="47"/>
      <c r="G1015" s="47"/>
      <c r="H1015" s="47"/>
    </row>
    <row r="1016" spans="3:8" ht="12.5" x14ac:dyDescent="0.25">
      <c r="C1016" s="47"/>
      <c r="D1016" s="47"/>
      <c r="E1016" s="47"/>
      <c r="F1016" s="47"/>
      <c r="G1016" s="47"/>
      <c r="H1016" s="47"/>
    </row>
    <row r="1017" spans="3:8" ht="12.5" x14ac:dyDescent="0.25">
      <c r="C1017" s="47"/>
      <c r="D1017" s="47"/>
      <c r="E1017" s="47"/>
      <c r="F1017" s="47"/>
      <c r="G1017" s="47"/>
      <c r="H1017" s="47"/>
    </row>
    <row r="1018" spans="3:8" ht="12.5" x14ac:dyDescent="0.25">
      <c r="C1018" s="47"/>
      <c r="D1018" s="47"/>
      <c r="E1018" s="47"/>
      <c r="F1018" s="47"/>
      <c r="G1018" s="47"/>
      <c r="H1018" s="47"/>
    </row>
    <row r="1019" spans="3:8" ht="12.5" x14ac:dyDescent="0.25">
      <c r="C1019" s="47"/>
      <c r="D1019" s="47"/>
      <c r="E1019" s="47"/>
      <c r="F1019" s="47"/>
      <c r="G1019" s="47"/>
      <c r="H1019" s="47"/>
    </row>
    <row r="1020" spans="3:8" ht="12.5" x14ac:dyDescent="0.25">
      <c r="C1020" s="47"/>
      <c r="D1020" s="47"/>
      <c r="E1020" s="47"/>
      <c r="F1020" s="47"/>
      <c r="G1020" s="47"/>
      <c r="H1020" s="47"/>
    </row>
    <row r="1021" spans="3:8" ht="12.5" x14ac:dyDescent="0.25">
      <c r="C1021" s="47"/>
      <c r="D1021" s="47"/>
      <c r="E1021" s="47"/>
      <c r="F1021" s="47"/>
      <c r="G1021" s="47"/>
      <c r="H1021" s="47"/>
    </row>
    <row r="1022" spans="3:8" ht="12.5" x14ac:dyDescent="0.25">
      <c r="C1022" s="47"/>
      <c r="D1022" s="47"/>
      <c r="E1022" s="47"/>
      <c r="F1022" s="47"/>
      <c r="G1022" s="47"/>
      <c r="H1022" s="47"/>
    </row>
    <row r="1023" spans="3:8" ht="12.5" x14ac:dyDescent="0.25">
      <c r="C1023" s="47"/>
      <c r="D1023" s="47"/>
      <c r="E1023" s="47"/>
      <c r="F1023" s="47"/>
      <c r="G1023" s="47"/>
      <c r="H1023" s="47"/>
    </row>
    <row r="1024" spans="3:8" ht="12.5" x14ac:dyDescent="0.25">
      <c r="C1024" s="47"/>
      <c r="D1024" s="47"/>
      <c r="E1024" s="47"/>
      <c r="F1024" s="47"/>
      <c r="G1024" s="47"/>
      <c r="H1024" s="47"/>
    </row>
    <row r="1025" spans="3:8" ht="12.5" x14ac:dyDescent="0.25">
      <c r="C1025" s="47"/>
      <c r="D1025" s="47"/>
      <c r="E1025" s="47"/>
      <c r="F1025" s="47"/>
      <c r="G1025" s="47"/>
      <c r="H1025" s="47"/>
    </row>
    <row r="1026" spans="3:8" ht="12.5" x14ac:dyDescent="0.25">
      <c r="C1026" s="47"/>
      <c r="D1026" s="47"/>
      <c r="E1026" s="47"/>
      <c r="F1026" s="47"/>
      <c r="G1026" s="47"/>
      <c r="H1026" s="47"/>
    </row>
    <row r="1027" spans="3:8" ht="12.5" x14ac:dyDescent="0.25">
      <c r="C1027" s="47"/>
      <c r="D1027" s="47"/>
      <c r="E1027" s="47"/>
      <c r="F1027" s="47"/>
      <c r="G1027" s="47"/>
      <c r="H1027" s="47"/>
    </row>
    <row r="1028" spans="3:8" ht="12.5" x14ac:dyDescent="0.25">
      <c r="C1028" s="47"/>
      <c r="D1028" s="47"/>
      <c r="E1028" s="47"/>
      <c r="F1028" s="47"/>
      <c r="G1028" s="47"/>
      <c r="H1028" s="47"/>
    </row>
    <row r="1029" spans="3:8" ht="12.5" x14ac:dyDescent="0.25">
      <c r="C1029" s="47"/>
      <c r="D1029" s="47"/>
      <c r="E1029" s="47"/>
      <c r="F1029" s="47"/>
      <c r="G1029" s="47"/>
      <c r="H1029" s="47"/>
    </row>
    <row r="1030" spans="3:8" ht="12.5" x14ac:dyDescent="0.25">
      <c r="C1030" s="47"/>
      <c r="D1030" s="47"/>
      <c r="E1030" s="47"/>
      <c r="F1030" s="47"/>
      <c r="G1030" s="47"/>
      <c r="H1030" s="47"/>
    </row>
    <row r="1031" spans="3:8" ht="12.5" x14ac:dyDescent="0.25">
      <c r="C1031" s="47"/>
      <c r="D1031" s="47"/>
      <c r="E1031" s="47"/>
      <c r="F1031" s="47"/>
      <c r="G1031" s="47"/>
      <c r="H1031" s="47"/>
    </row>
    <row r="1032" spans="3:8" ht="12.5" x14ac:dyDescent="0.25">
      <c r="C1032" s="47"/>
      <c r="D1032" s="47"/>
      <c r="E1032" s="47"/>
      <c r="F1032" s="47"/>
      <c r="G1032" s="47"/>
      <c r="H1032" s="47"/>
    </row>
    <row r="1033" spans="3:8" ht="12.5" x14ac:dyDescent="0.25">
      <c r="C1033" s="47"/>
      <c r="D1033" s="47"/>
      <c r="E1033" s="47"/>
      <c r="F1033" s="47"/>
      <c r="G1033" s="47"/>
      <c r="H1033" s="47"/>
    </row>
    <row r="1034" spans="3:8" ht="12.5" x14ac:dyDescent="0.25">
      <c r="C1034" s="47"/>
      <c r="D1034" s="47"/>
      <c r="E1034" s="47"/>
      <c r="F1034" s="47"/>
      <c r="G1034" s="47"/>
      <c r="H1034" s="47"/>
    </row>
    <row r="1035" spans="3:8" ht="12.5" x14ac:dyDescent="0.25">
      <c r="C1035" s="47"/>
      <c r="D1035" s="47"/>
      <c r="E1035" s="47"/>
      <c r="F1035" s="47"/>
      <c r="G1035" s="47"/>
      <c r="H1035" s="47"/>
    </row>
    <row r="1036" spans="3:8" ht="12.5" x14ac:dyDescent="0.25">
      <c r="C1036" s="47"/>
      <c r="D1036" s="47"/>
      <c r="E1036" s="47"/>
      <c r="F1036" s="47"/>
      <c r="G1036" s="47"/>
      <c r="H1036" s="47"/>
    </row>
    <row r="1037" spans="3:8" ht="12.5" x14ac:dyDescent="0.25">
      <c r="C1037" s="47"/>
      <c r="D1037" s="47"/>
      <c r="E1037" s="47"/>
      <c r="F1037" s="47"/>
      <c r="G1037" s="47"/>
      <c r="H1037" s="47"/>
    </row>
    <row r="1038" spans="3:8" ht="12.5" x14ac:dyDescent="0.25">
      <c r="C1038" s="47"/>
      <c r="D1038" s="47"/>
      <c r="E1038" s="47"/>
      <c r="F1038" s="47"/>
      <c r="G1038" s="47"/>
      <c r="H1038" s="47"/>
    </row>
    <row r="1039" spans="3:8" ht="12.5" x14ac:dyDescent="0.25">
      <c r="C1039" s="47"/>
      <c r="D1039" s="47"/>
      <c r="E1039" s="47"/>
      <c r="F1039" s="47"/>
      <c r="G1039" s="47"/>
      <c r="H1039" s="47"/>
    </row>
    <row r="1040" spans="3:8" ht="12.5" x14ac:dyDescent="0.25">
      <c r="C1040" s="47"/>
      <c r="D1040" s="47"/>
      <c r="E1040" s="47"/>
      <c r="F1040" s="47"/>
      <c r="G1040" s="47"/>
      <c r="H1040" s="47"/>
    </row>
    <row r="1041" spans="3:8" ht="12.5" x14ac:dyDescent="0.25">
      <c r="C1041" s="47"/>
      <c r="D1041" s="47"/>
      <c r="E1041" s="47"/>
      <c r="F1041" s="47"/>
      <c r="G1041" s="47"/>
      <c r="H1041" s="47"/>
    </row>
    <row r="1042" spans="3:8" ht="12.5" x14ac:dyDescent="0.25">
      <c r="C1042" s="47"/>
      <c r="D1042" s="47"/>
      <c r="E1042" s="47"/>
      <c r="F1042" s="47"/>
      <c r="G1042" s="47"/>
      <c r="H1042" s="47"/>
    </row>
    <row r="1043" spans="3:8" ht="12.5" x14ac:dyDescent="0.25">
      <c r="C1043" s="47"/>
      <c r="D1043" s="47"/>
      <c r="E1043" s="47"/>
      <c r="F1043" s="47"/>
      <c r="G1043" s="47"/>
      <c r="H1043" s="47"/>
    </row>
    <row r="1044" spans="3:8" ht="12.5" x14ac:dyDescent="0.25">
      <c r="C1044" s="47"/>
      <c r="D1044" s="47"/>
      <c r="E1044" s="47"/>
      <c r="F1044" s="47"/>
      <c r="G1044" s="47"/>
      <c r="H1044" s="47"/>
    </row>
    <row r="1045" spans="3:8" ht="12.5" x14ac:dyDescent="0.25">
      <c r="C1045" s="47"/>
      <c r="D1045" s="47"/>
      <c r="E1045" s="47"/>
      <c r="F1045" s="47"/>
      <c r="G1045" s="47"/>
      <c r="H1045" s="47"/>
    </row>
    <row r="1046" spans="3:8" ht="12.5" x14ac:dyDescent="0.25">
      <c r="C1046" s="47"/>
      <c r="D1046" s="47"/>
      <c r="E1046" s="47"/>
      <c r="F1046" s="47"/>
      <c r="G1046" s="47"/>
      <c r="H1046" s="47"/>
    </row>
    <row r="1047" spans="3:8" ht="12.5" x14ac:dyDescent="0.25">
      <c r="C1047" s="47"/>
      <c r="D1047" s="47"/>
      <c r="E1047" s="47"/>
      <c r="F1047" s="47"/>
      <c r="G1047" s="47"/>
      <c r="H1047" s="47"/>
    </row>
    <row r="1048" spans="3:8" ht="12.5" x14ac:dyDescent="0.25">
      <c r="C1048" s="47"/>
      <c r="D1048" s="47"/>
      <c r="E1048" s="47"/>
      <c r="F1048" s="47"/>
      <c r="G1048" s="47"/>
      <c r="H1048" s="47"/>
    </row>
    <row r="1049" spans="3:8" ht="12.5" x14ac:dyDescent="0.25">
      <c r="C1049" s="47"/>
      <c r="D1049" s="47"/>
      <c r="E1049" s="47"/>
      <c r="F1049" s="47"/>
      <c r="G1049" s="47"/>
      <c r="H1049" s="47"/>
    </row>
    <row r="1050" spans="3:8" ht="12.5" x14ac:dyDescent="0.25">
      <c r="C1050" s="47"/>
      <c r="D1050" s="47"/>
      <c r="E1050" s="47"/>
      <c r="F1050" s="47"/>
      <c r="G1050" s="47"/>
      <c r="H1050" s="47"/>
    </row>
    <row r="1051" spans="3:8" ht="12.5" x14ac:dyDescent="0.25">
      <c r="C1051" s="47"/>
      <c r="D1051" s="47"/>
      <c r="E1051" s="47"/>
      <c r="F1051" s="47"/>
      <c r="G1051" s="47"/>
      <c r="H1051" s="47"/>
    </row>
    <row r="1052" spans="3:8" ht="12.5" x14ac:dyDescent="0.25">
      <c r="C1052" s="47"/>
      <c r="D1052" s="47"/>
      <c r="E1052" s="47"/>
      <c r="F1052" s="47"/>
      <c r="G1052" s="47"/>
      <c r="H1052" s="47"/>
    </row>
    <row r="1053" spans="3:8" ht="12.5" x14ac:dyDescent="0.25">
      <c r="C1053" s="47"/>
      <c r="D1053" s="47"/>
      <c r="E1053" s="47"/>
      <c r="F1053" s="47"/>
      <c r="G1053" s="47"/>
      <c r="H1053" s="47"/>
    </row>
    <row r="1054" spans="3:8" ht="12.5" x14ac:dyDescent="0.25">
      <c r="C1054" s="47"/>
      <c r="D1054" s="47"/>
      <c r="E1054" s="47"/>
      <c r="F1054" s="47"/>
      <c r="G1054" s="47"/>
      <c r="H1054" s="47"/>
    </row>
    <row r="1055" spans="3:8" ht="12.5" x14ac:dyDescent="0.25">
      <c r="C1055" s="47"/>
      <c r="D1055" s="47"/>
      <c r="E1055" s="47"/>
      <c r="F1055" s="47"/>
      <c r="G1055" s="47"/>
      <c r="H1055" s="47"/>
    </row>
    <row r="1056" spans="3:8" ht="12.5" x14ac:dyDescent="0.25">
      <c r="C1056" s="47"/>
      <c r="D1056" s="47"/>
      <c r="E1056" s="47"/>
      <c r="F1056" s="47"/>
      <c r="G1056" s="47"/>
      <c r="H1056" s="47"/>
    </row>
    <row r="1057" spans="3:8" ht="12.5" x14ac:dyDescent="0.25">
      <c r="C1057" s="47"/>
      <c r="D1057" s="47"/>
      <c r="E1057" s="47"/>
      <c r="F1057" s="47"/>
      <c r="G1057" s="47"/>
      <c r="H1057" s="47"/>
    </row>
    <row r="1058" spans="3:8" ht="12.5" x14ac:dyDescent="0.25">
      <c r="C1058" s="47"/>
      <c r="D1058" s="47"/>
      <c r="E1058" s="47"/>
      <c r="F1058" s="47"/>
      <c r="G1058" s="47"/>
      <c r="H1058" s="47"/>
    </row>
    <row r="1059" spans="3:8" ht="12.5" x14ac:dyDescent="0.25">
      <c r="C1059" s="47"/>
      <c r="D1059" s="47"/>
      <c r="E1059" s="47"/>
      <c r="F1059" s="47"/>
      <c r="G1059" s="47"/>
      <c r="H1059" s="47"/>
    </row>
    <row r="1060" spans="3:8" ht="12.5" x14ac:dyDescent="0.25">
      <c r="C1060" s="47"/>
      <c r="D1060" s="47"/>
      <c r="E1060" s="47"/>
      <c r="F1060" s="47"/>
      <c r="G1060" s="47"/>
      <c r="H1060" s="47"/>
    </row>
    <row r="1061" spans="3:8" ht="12.5" x14ac:dyDescent="0.25">
      <c r="C1061" s="47"/>
      <c r="D1061" s="47"/>
      <c r="E1061" s="47"/>
      <c r="F1061" s="47"/>
      <c r="G1061" s="47"/>
      <c r="H1061" s="47"/>
    </row>
    <row r="1062" spans="3:8" ht="12.5" x14ac:dyDescent="0.25">
      <c r="C1062" s="47"/>
      <c r="D1062" s="47"/>
      <c r="E1062" s="47"/>
      <c r="F1062" s="47"/>
      <c r="G1062" s="47"/>
      <c r="H1062" s="47"/>
    </row>
    <row r="1063" spans="3:8" ht="12.5" x14ac:dyDescent="0.25">
      <c r="C1063" s="47"/>
      <c r="D1063" s="47"/>
      <c r="E1063" s="47"/>
      <c r="F1063" s="47"/>
      <c r="G1063" s="47"/>
      <c r="H1063" s="47"/>
    </row>
    <row r="1064" spans="3:8" ht="12.5" x14ac:dyDescent="0.25">
      <c r="C1064" s="47"/>
      <c r="D1064" s="47"/>
      <c r="E1064" s="47"/>
      <c r="F1064" s="47"/>
      <c r="G1064" s="47"/>
      <c r="H1064" s="47"/>
    </row>
    <row r="1065" spans="3:8" ht="12.5" x14ac:dyDescent="0.25">
      <c r="C1065" s="47"/>
      <c r="D1065" s="47"/>
      <c r="E1065" s="47"/>
      <c r="F1065" s="47"/>
      <c r="G1065" s="47"/>
      <c r="H1065" s="47"/>
    </row>
    <row r="1066" spans="3:8" ht="12.5" x14ac:dyDescent="0.25">
      <c r="C1066" s="47"/>
      <c r="D1066" s="47"/>
      <c r="E1066" s="47"/>
      <c r="F1066" s="47"/>
      <c r="G1066" s="47"/>
      <c r="H1066" s="47"/>
    </row>
    <row r="1067" spans="3:8" ht="12.5" x14ac:dyDescent="0.25">
      <c r="C1067" s="47"/>
      <c r="D1067" s="47"/>
      <c r="E1067" s="47"/>
      <c r="F1067" s="47"/>
      <c r="G1067" s="47"/>
      <c r="H1067" s="47"/>
    </row>
    <row r="1068" spans="3:8" ht="12.5" x14ac:dyDescent="0.25">
      <c r="C1068" s="47"/>
      <c r="D1068" s="47"/>
      <c r="E1068" s="47"/>
      <c r="F1068" s="47"/>
      <c r="G1068" s="47"/>
      <c r="H1068" s="47"/>
    </row>
    <row r="1069" spans="3:8" ht="12.5" x14ac:dyDescent="0.25">
      <c r="C1069" s="47"/>
      <c r="D1069" s="47"/>
      <c r="E1069" s="47"/>
      <c r="F1069" s="47"/>
      <c r="G1069" s="47"/>
      <c r="H1069" s="47"/>
    </row>
    <row r="1070" spans="3:8" ht="12.5" x14ac:dyDescent="0.25">
      <c r="C1070" s="47"/>
      <c r="D1070" s="47"/>
      <c r="E1070" s="47"/>
      <c r="F1070" s="47"/>
      <c r="G1070" s="47"/>
      <c r="H1070" s="47"/>
    </row>
    <row r="1071" spans="3:8" ht="12.5" x14ac:dyDescent="0.25">
      <c r="C1071" s="47"/>
      <c r="D1071" s="47"/>
      <c r="E1071" s="47"/>
      <c r="F1071" s="47"/>
      <c r="G1071" s="47"/>
      <c r="H1071" s="47"/>
    </row>
    <row r="1072" spans="3:8" ht="12.5" x14ac:dyDescent="0.25">
      <c r="C1072" s="47"/>
      <c r="D1072" s="47"/>
      <c r="E1072" s="47"/>
      <c r="F1072" s="47"/>
      <c r="G1072" s="47"/>
      <c r="H1072" s="47"/>
    </row>
    <row r="1073" spans="3:8" ht="12.5" x14ac:dyDescent="0.25">
      <c r="C1073" s="47"/>
      <c r="D1073" s="47"/>
      <c r="E1073" s="47"/>
      <c r="F1073" s="47"/>
      <c r="G1073" s="47"/>
      <c r="H1073" s="47"/>
    </row>
    <row r="1074" spans="3:8" ht="12.5" x14ac:dyDescent="0.25">
      <c r="C1074" s="47"/>
      <c r="D1074" s="47"/>
      <c r="E1074" s="47"/>
      <c r="F1074" s="47"/>
      <c r="G1074" s="47"/>
      <c r="H1074" s="47"/>
    </row>
    <row r="1075" spans="3:8" ht="12.5" x14ac:dyDescent="0.25">
      <c r="C1075" s="47"/>
      <c r="D1075" s="47"/>
      <c r="E1075" s="47"/>
      <c r="F1075" s="47"/>
      <c r="G1075" s="47"/>
      <c r="H1075" s="47"/>
    </row>
    <row r="1076" spans="3:8" ht="12.5" x14ac:dyDescent="0.25">
      <c r="C1076" s="47"/>
      <c r="D1076" s="47"/>
      <c r="E1076" s="47"/>
      <c r="F1076" s="47"/>
      <c r="G1076" s="47"/>
      <c r="H1076" s="47"/>
    </row>
    <row r="1077" spans="3:8" ht="12.5" x14ac:dyDescent="0.25">
      <c r="C1077" s="47"/>
      <c r="D1077" s="47"/>
      <c r="E1077" s="47"/>
      <c r="F1077" s="47"/>
      <c r="G1077" s="47"/>
      <c r="H1077" s="47"/>
    </row>
    <row r="1078" spans="3:8" ht="12.5" x14ac:dyDescent="0.25">
      <c r="C1078" s="47"/>
      <c r="D1078" s="47"/>
      <c r="E1078" s="47"/>
      <c r="F1078" s="47"/>
      <c r="G1078" s="47"/>
      <c r="H1078" s="47"/>
    </row>
    <row r="1079" spans="3:8" ht="12.5" x14ac:dyDescent="0.25">
      <c r="C1079" s="47"/>
      <c r="D1079" s="47"/>
      <c r="E1079" s="47"/>
      <c r="F1079" s="47"/>
      <c r="G1079" s="47"/>
      <c r="H1079" s="47"/>
    </row>
    <row r="1080" spans="3:8" ht="12.5" x14ac:dyDescent="0.25">
      <c r="C1080" s="47"/>
      <c r="D1080" s="47"/>
      <c r="E1080" s="47"/>
      <c r="F1080" s="47"/>
      <c r="G1080" s="47"/>
      <c r="H1080" s="47"/>
    </row>
  </sheetData>
  <phoneticPr fontId="27" type="noConversion"/>
  <conditionalFormatting sqref="C1:C1048576">
    <cfRule type="duplicateValues" dxfId="0"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4"/>
  <sheetViews>
    <sheetView workbookViewId="0">
      <selection activeCell="B14" sqref="B14"/>
    </sheetView>
  </sheetViews>
  <sheetFormatPr defaultColWidth="12.81640625" defaultRowHeight="15.75" customHeight="1" x14ac:dyDescent="0.25"/>
  <cols>
    <col min="1" max="1" width="12.81640625" customWidth="1"/>
    <col min="2" max="2" width="71" customWidth="1"/>
  </cols>
  <sheetData>
    <row r="1" spans="1:2" ht="13" x14ac:dyDescent="0.3">
      <c r="A1" s="67"/>
      <c r="B1" s="68" t="s">
        <v>1071</v>
      </c>
    </row>
    <row r="2" spans="1:2" ht="52" x14ac:dyDescent="0.25">
      <c r="A2" s="69" t="s">
        <v>53</v>
      </c>
      <c r="B2" s="31" t="s">
        <v>1072</v>
      </c>
    </row>
    <row r="3" spans="1:2" ht="84" customHeight="1" x14ac:dyDescent="0.25">
      <c r="A3" s="70" t="s">
        <v>132</v>
      </c>
      <c r="B3" s="58" t="s">
        <v>1073</v>
      </c>
    </row>
    <row r="4" spans="1:2" ht="12.5" x14ac:dyDescent="0.25">
      <c r="A4" s="66"/>
      <c r="B4" s="35"/>
    </row>
    <row r="5" spans="1:2" ht="12.5" x14ac:dyDescent="0.25">
      <c r="A5" s="66"/>
      <c r="B5" s="35"/>
    </row>
    <row r="6" spans="1:2" ht="12.5" x14ac:dyDescent="0.25">
      <c r="A6" s="66"/>
      <c r="B6" s="35"/>
    </row>
    <row r="7" spans="1:2" ht="12.5" x14ac:dyDescent="0.25">
      <c r="A7" s="66"/>
      <c r="B7" s="35"/>
    </row>
    <row r="8" spans="1:2" ht="12.5" x14ac:dyDescent="0.25">
      <c r="A8" s="66"/>
      <c r="B8" s="35"/>
    </row>
    <row r="9" spans="1:2" ht="12.5" x14ac:dyDescent="0.25">
      <c r="A9" s="66"/>
      <c r="B9" s="35"/>
    </row>
    <row r="10" spans="1:2" ht="12.5" x14ac:dyDescent="0.25">
      <c r="A10" s="66"/>
      <c r="B10" s="35"/>
    </row>
    <row r="11" spans="1:2" ht="12.5" x14ac:dyDescent="0.25">
      <c r="A11" s="66"/>
      <c r="B11" s="35"/>
    </row>
    <row r="12" spans="1:2" ht="12.5" x14ac:dyDescent="0.25">
      <c r="A12" s="66"/>
      <c r="B12" s="35"/>
    </row>
    <row r="13" spans="1:2" ht="12.5" x14ac:dyDescent="0.25">
      <c r="A13" s="66"/>
      <c r="B13" s="35"/>
    </row>
    <row r="14" spans="1:2" ht="12.5" x14ac:dyDescent="0.25">
      <c r="A14" s="71"/>
      <c r="B14" s="4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d3b83bf-c2a6-412f-8522-afb59794329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523AE21641C1B48AC419CA2771323DA" ma:contentTypeVersion="13" ma:contentTypeDescription="Create a new document." ma:contentTypeScope="" ma:versionID="3cb997f98f24166c334b8cf8fb3e4283">
  <xsd:schema xmlns:xsd="http://www.w3.org/2001/XMLSchema" xmlns:xs="http://www.w3.org/2001/XMLSchema" xmlns:p="http://schemas.microsoft.com/office/2006/metadata/properties" xmlns:ns3="bd3b83bf-c2a6-412f-8522-afb597943294" xmlns:ns4="1c6a9bfa-11f9-4fb2-ad82-34c965b08268" targetNamespace="http://schemas.microsoft.com/office/2006/metadata/properties" ma:root="true" ma:fieldsID="449f2c7d74beb12e2db22ddce638a066" ns3:_="" ns4:_="">
    <xsd:import namespace="bd3b83bf-c2a6-412f-8522-afb597943294"/>
    <xsd:import namespace="1c6a9bfa-11f9-4fb2-ad82-34c965b0826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4:MigrationSourceID"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_activity"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3b83bf-c2a6-412f-8522-afb59794329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_activity" ma:index="19" nillable="true" ma:displayName="_activity" ma:hidden="true" ma:internalName="_activity">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6a9bfa-11f9-4fb2-ad82-34c965b08268" elementFormDefault="qualified">
    <xsd:import namespace="http://schemas.microsoft.com/office/2006/documentManagement/types"/>
    <xsd:import namespace="http://schemas.microsoft.com/office/infopath/2007/PartnerControls"/>
    <xsd:element name="MigrationSourceID" ma:index="13"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953D71-576B-4C9A-B7A4-8145718FE27F}">
  <ds:schemaRefs>
    <ds:schemaRef ds:uri="http://schemas.microsoft.com/office/2006/metadata/properties"/>
    <ds:schemaRef ds:uri="http://schemas.microsoft.com/office/infopath/2007/PartnerControls"/>
    <ds:schemaRef ds:uri="bd3b83bf-c2a6-412f-8522-afb597943294"/>
  </ds:schemaRefs>
</ds:datastoreItem>
</file>

<file path=customXml/itemProps2.xml><?xml version="1.0" encoding="utf-8"?>
<ds:datastoreItem xmlns:ds="http://schemas.openxmlformats.org/officeDocument/2006/customXml" ds:itemID="{311EF109-C0CC-4B41-B393-FCABCE9067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3b83bf-c2a6-412f-8522-afb597943294"/>
    <ds:schemaRef ds:uri="1c6a9bfa-11f9-4fb2-ad82-34c965b082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1BD7C9-249D-43C4-B907-BA2AD936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Programme Profile</vt:lpstr>
      <vt:lpstr>Situation Analysis</vt:lpstr>
      <vt:lpstr>Stakeholder Analysis</vt:lpstr>
      <vt:lpstr>Focus &amp; Goals</vt:lpstr>
      <vt:lpstr>Narrative TOC</vt:lpstr>
      <vt:lpstr>Result Chain</vt:lpstr>
      <vt:lpstr>Program M&amp;E Plan</vt:lpstr>
      <vt:lpstr>Programme Implementation Plan</vt:lpstr>
      <vt:lpstr>Learning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Ntongho</dc:creator>
  <cp:keywords/>
  <dc:description/>
  <cp:lastModifiedBy>Anne Ntongho</cp:lastModifiedBy>
  <cp:revision/>
  <dcterms:created xsi:type="dcterms:W3CDTF">2025-04-30T11:31:45Z</dcterms:created>
  <dcterms:modified xsi:type="dcterms:W3CDTF">2026-04-14T14:39:35Z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0x0101006523AE21641C1B48AC419CA2771323DA</vt:lpwstr>
  </property>
</Properties>
</file>