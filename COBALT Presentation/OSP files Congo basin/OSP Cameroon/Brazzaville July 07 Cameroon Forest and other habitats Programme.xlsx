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wfint-my.sharepoint.com/personal/pkahuho_wwfint_org/Documents/1. CB OSP Workshop/1. Cameroon OSP Files/Cameroon OSP Files/"/>
    </mc:Choice>
  </mc:AlternateContent>
  <xr:revisionPtr revIDLastSave="1050" documentId="13_ncr:1_{88A6B84C-CAFC-45EB-8FB6-32C8677D3EB0}" xr6:coauthVersionLast="47" xr6:coauthVersionMax="47" xr10:uidLastSave="{85509FDB-131F-41C6-B8A5-4BD8FF22029F}"/>
  <bookViews>
    <workbookView minimized="1" xWindow="-21030" yWindow="3030" windowWidth="17250" windowHeight="9945" tabRatio="616" firstSheet="6" activeTab="6" xr2:uid="{00000000-000D-0000-FFFF-FFFF00000000}"/>
  </bookViews>
  <sheets>
    <sheet name="Programme Profile" sheetId="1" r:id="rId1"/>
    <sheet name="Situation Analysis" sheetId="2" r:id="rId2"/>
    <sheet name="Stakeholder Analysis" sheetId="3" r:id="rId3"/>
    <sheet name="Focus &amp; Goals" sheetId="4" r:id="rId4"/>
    <sheet name="Narrative TOC" sheetId="5" r:id="rId5"/>
    <sheet name="Result Chain" sheetId="6" r:id="rId6"/>
    <sheet name="Program M&amp;E Plan" sheetId="7" r:id="rId7"/>
    <sheet name="Programme Implementation Plan" sheetId="8" r:id="rId8"/>
    <sheet name="Learning Questions" sheetId="9" r:id="rId9"/>
  </sheets>
  <externalReferences>
    <externalReference r:id="rId10"/>
  </externalReferences>
  <definedNames>
    <definedName name="_xlnm._FilterDatabase" localSheetId="6" hidden="1">'Program M&amp;E Plan'!$A$1:$V$85</definedName>
    <definedName name="_xlnm._FilterDatabase" localSheetId="5"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8" l="1"/>
  <c r="F70" i="8"/>
  <c r="G70" i="8"/>
  <c r="H70" i="8"/>
  <c r="D70" i="8"/>
  <c r="E68" i="8"/>
  <c r="F68" i="8"/>
  <c r="G68" i="8"/>
  <c r="H68" i="8"/>
  <c r="D68" i="8"/>
  <c r="E58" i="8"/>
  <c r="F58" i="8"/>
  <c r="G58" i="8"/>
  <c r="H58" i="8"/>
  <c r="D58" i="8"/>
  <c r="E49" i="8"/>
  <c r="F49" i="8"/>
  <c r="G49" i="8"/>
  <c r="H49" i="8"/>
  <c r="D49" i="8"/>
  <c r="E41" i="8"/>
  <c r="F41" i="8"/>
  <c r="G41" i="8"/>
  <c r="H41" i="8"/>
  <c r="D41" i="8"/>
  <c r="E13" i="8"/>
  <c r="F13" i="8"/>
  <c r="G13" i="8"/>
  <c r="H13" i="8"/>
  <c r="D13" i="8"/>
  <c r="E33" i="8"/>
  <c r="F33" i="8"/>
  <c r="G33" i="8"/>
  <c r="H33" i="8"/>
  <c r="D33" i="8"/>
  <c r="O24" i="7"/>
  <c r="O26" i="7"/>
  <c r="O28" i="7"/>
  <c r="I51" i="8"/>
  <c r="I52" i="8"/>
  <c r="I53" i="8"/>
  <c r="I54" i="8"/>
  <c r="I55" i="8"/>
  <c r="I56" i="8"/>
  <c r="I57" i="8"/>
  <c r="I59" i="8"/>
  <c r="I60" i="8"/>
  <c r="I61" i="8"/>
  <c r="I62" i="8"/>
  <c r="I63" i="8"/>
  <c r="I64" i="8"/>
  <c r="I65" i="8"/>
  <c r="I66" i="8"/>
  <c r="I67" i="8"/>
  <c r="I6" i="8"/>
  <c r="I7" i="8"/>
  <c r="I8" i="8"/>
  <c r="I9" i="8"/>
  <c r="I10" i="8"/>
  <c r="I11" i="8"/>
  <c r="I12" i="8"/>
  <c r="I14" i="8"/>
  <c r="I15" i="8"/>
  <c r="I16" i="8"/>
  <c r="I17" i="8"/>
  <c r="I18" i="8"/>
  <c r="I19" i="8"/>
  <c r="I20" i="8"/>
  <c r="I21" i="8"/>
  <c r="I22" i="8"/>
  <c r="I23" i="8"/>
  <c r="I24" i="8"/>
  <c r="I25" i="8"/>
  <c r="I26" i="8"/>
  <c r="I27" i="8"/>
  <c r="I28" i="8"/>
  <c r="I29" i="8"/>
  <c r="I30" i="8"/>
  <c r="I31" i="8"/>
  <c r="I32" i="8"/>
  <c r="I34" i="8"/>
  <c r="I35" i="8"/>
  <c r="I36" i="8"/>
  <c r="I37" i="8"/>
  <c r="I38" i="8"/>
  <c r="I39" i="8"/>
  <c r="I40" i="8"/>
  <c r="I42" i="8"/>
  <c r="I43" i="8"/>
  <c r="I44" i="8"/>
  <c r="I45" i="8"/>
  <c r="I46" i="8"/>
  <c r="I47" i="8"/>
  <c r="I48" i="8"/>
  <c r="I50" i="8"/>
  <c r="I5" i="8"/>
  <c r="I4" i="8"/>
  <c r="I3" i="8"/>
  <c r="H71" i="8" l="1"/>
  <c r="I13" i="8"/>
  <c r="D71" i="8"/>
  <c r="G71" i="8"/>
  <c r="I41" i="8"/>
  <c r="F71" i="8"/>
  <c r="I68" i="8"/>
  <c r="I58" i="8"/>
  <c r="E71" i="8"/>
  <c r="I49" i="8"/>
  <c r="I33" i="8"/>
  <c r="I70" i="8" l="1"/>
  <c r="I7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tc={04D42E58-6922-4787-8ED1-2E187217ADCE}</author>
  </authors>
  <commentList>
    <comment ref="N1" authorId="0" shapeId="0" xr:uid="{04D42E58-6922-4787-8ED1-2E187217ADC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@Anne Ntongho OSP risk assessment yet to be completed before the finalisation of the OSP </t>
      </text>
    </comment>
  </commentList>
</comments>
</file>

<file path=xl/sharedStrings.xml><?xml version="1.0" encoding="utf-8"?>
<sst xmlns="http://schemas.openxmlformats.org/spreadsheetml/2006/main" count="1036" uniqueCount="780">
  <si>
    <t>Read Me First</t>
  </si>
  <si>
    <t xml:space="preserve">Programme Name
</t>
  </si>
  <si>
    <t>Please enter the Name of the Programme (Max 20 words)
See the guidance on the approach to the Programme and Project Planning</t>
  </si>
  <si>
    <t>Forest and other habitats program</t>
  </si>
  <si>
    <t>Program Lead</t>
  </si>
  <si>
    <t>Please enter the Name of the Program Lead</t>
  </si>
  <si>
    <t>Conservation Director</t>
  </si>
  <si>
    <t>Program Team Member</t>
  </si>
  <si>
    <t xml:space="preserve">Please list the name of Program Staff. 
This will be the list of staff who will have access to the Program information in the new PMEL system. </t>
  </si>
  <si>
    <t>Forest &amp; Climate Coordinator
Food &amp; Agriculture Expert
B&amp;I Coordinator</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</si>
  <si>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</si>
  <si>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</si>
  <si>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</si>
  <si>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</si>
  <si>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</si>
  <si>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</si>
  <si>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</si>
  <si>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</si>
  <si>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t xml:space="preserve">The Forest and Other Habitats Programme aims to conserve vital forest ecosystems in the Congo Basin, safeguarding biodiversity, regulating climate, and supporting the wellbeing and resilience of forest-dependent communities. By 2035, it envisions that most High Conservation Value (HCV) forests, dense forests, and mangroves in key landscapes will remain intact or be ecologically restored.
Forest loss in the region is driven by agricultural expansion, unsustainable concessions, poor land-use planning, and weak governance. The programme addresses these interconnected pressures through an integrated strategy combining protection, sustainable use, ecological restoration, and policy reform to deliver long-term impact.
To halt HCV forest conversion, the programme enforces zero-deforestation commitments and works to improve private sector compliance through targeted incentives and strengthened accountability mechanisms. Dense forests are protected by promoting sustainable agriculture—such as agroforestry, climate-smart practices, and sustainable intensification—and by rehabilitating degraded forest and mangrove ecosystems through community and private sector collaboration.
Community wellbeing is also central. By supporting conservation-compatible livelihoods, improving access to essential services like education and healthcare, and fostering inclusive development, the programme reduces pressure on forests. It actively promotes the rights of Indigenous Peoples and Local Communities (IPLCs) and works to address and reduce conservation-related complaints through more equitable, participatory approaches.
Finally, to ensure sustainability, WWF and its partners support the development and implementation of national policies that embed conservation priorities across sectors and promote coherent, cross-scale environmental governance.
</t>
  </si>
  <si>
    <t>Program Focus / Focal Area</t>
  </si>
  <si>
    <t xml:space="preserve">Please select one or more Conservation and/or Human well being Focus areas that your program will be focusing on. 
Please make sure this is a subset of what's selected in the OSP. 
</t>
  </si>
  <si>
    <r>
      <rPr>
        <b/>
        <sz val="10"/>
        <color rgb="FF000000"/>
        <rFont val="Arial"/>
        <family val="2"/>
        <scheme val="minor"/>
      </rPr>
      <t xml:space="preserve">Selected Conservation and Human Wellbeing Focus Areas:
</t>
    </r>
    <r>
      <rPr>
        <sz val="10"/>
        <color rgb="FF000000"/>
        <rFont val="Arial"/>
        <family val="2"/>
        <scheme val="minor"/>
      </rPr>
      <t xml:space="preserve">
Forest protection
Habitat restoration
IPLC income
ILPC access to materials of a good life
These focal areas capture the programme’s primary goals of conserving critical forest ecosystems and strengthening the wellbeing of Indigenous Peoples and Local Communities in the Congo Basin.</t>
    </r>
  </si>
  <si>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</si>
  <si>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</si>
  <si>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</si>
  <si>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</si>
  <si>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TRIDOM</t>
  </si>
  <si>
    <t xml:space="preserve">The Tri-National Dja-Odzala-Minkebe (TRIDOM) Landscape covers nearly 10% of the Congo Basin rainforests (178,000 km²) in Cameroon, Gabon, and Congo-Brazzaville, and currently includes 11 protected areas (in total 42,319 km² or 24% of TRIDOM ). TRIDOM holds the largest elephant population in the Congo Basin (estimated at up to 40,000, though rapidly declining) and harbours most of the biodiversity typically found in central Africa’s rainforests, including both western gorillas and central chimpanzees (great apes: estimated at up to 140,000). Most of TRIDOM has a human population density of 1-2 inhabitants per km², with people living in small towns and villages along the sparse road network. An estimated 10,000 Baka indigenous people inhabit TRIDOM. Most inhabitants are traditional Bantou shifting cultivators and small-scale cocoa farmers. Artisanal gold mining has also become a significant source of income for many families. Outside the towns, most people live below the poverty line and educational levels in general are low, but official data are lacking. With a forest cover of 97% and a deforestation rate of 0.2% per decennium (1990-2010) it is one of the most intact forest blocks in the Congo Basin. TRIDOM has low road density and few easily navigable rivers. However, the development of a growing logging road network and public road improvement have led to a big increase in bushmeat trade while the tenfold increase in ivory prices (2005-2012) has led to TRIDOM being one of Africa’s ivory poaching hotspots. </t>
  </si>
  <si>
    <t>TNS</t>
  </si>
  <si>
    <t xml:space="preserve">-Geographic Location:  
The TNS is made up of three contiguous national parks: Nouabalé-Ndoki (Congo), Lobeke (Cameroon) and Dzanga -Sangha (CAR) and their surroundings. The landscape covers an area of 44 000 km2 (see Figure 1). The climate is generally humid with an average recorded rainfall between 1500 and 2000 mm from April to December, and a short dry season from January to March. 
-Institutional and legal context: 
The TNS is a trans-border conservation area for the shared management of contiguous protected areas, which fall under the territorial jurisdiction of the three separate states concerned. The contracting parties have committed to develop common management objectives and regulations in line with the cooperation agreement signed on 7 December 2000. 
-Population    
The total population in the TNS is 191,000 inhabitants, who are relatively unevenly distributed across the TNS, with an urbanisation rate considerably higher than the national average (in industrial towns and villages). Administrative centres are situated exactly at the periphery of the TNS. The economic activities of the communities are essentially a function of their needs in terms of food, bush meat and non-timber forest products (NTFP). In this context, revenue originates mostly from the harvesting of forest products and the use of animal resources. These centres are an important TNS component for land use planning. 
-Biodiversity: 
The forest landscape in the TNS includes a large portion of low Guineo-Congolese forest, which is richly populated with African mahogany and great mammals. The three parks mentioned in the introduction constitute the main protected areas in the TNS. More than 95 percent of the landscape is covered by forest, which ranges from semi-deciduous in the northwest to swampy in the southeast, with many natural glades inside and outside protected areas and Forest Management Units (FMUs). The landscape is home to major populations of some of the most threatened animal species on the continent. Great mammals such as forest elephants, great primates (lowland gorillas, chimpanzees), antelopes (Bongo, sitatunga), small mammals (colobus, Cercopithecus etc.), carnivores (leopards, golden cats, mongoose) and rodents. Wild birds are also abundant with several residents and migratory bird species. The TNS is unusual in that it is irrigated from North to South by the Sangha River, the main river in the region which has a varied and partly undiscovered piscifauna, with many fish families such as Lates niloticus (Nile perch), Malapterudae  (electric fish), Mormyridae (Kpété) etc. </t>
  </si>
  <si>
    <t>Coastal forest</t>
  </si>
  <si>
    <t>Location: Located in the Lower Guinian-congolian stretch of Cameroon, the coastal forests programme area falls north of River Sanaga and expands to the Cross River stretching to the Bakassi peninsula, covering a surface area of around 2.5 million hectares. The landscape is divided into functional units called technical operations units, based on geographical, ecological infrastructural functions. It hosts over 25 different categories of protected areas, based on IUCN and Cameroon standards. With Head Office in Limbe in the South West Region of Cameroon, the Coastal Forests Programme (CFP) cuts across the South West and Littoral Regions of Cameroon. The programme provides technical and administrative support to the Ministry of Forestry and Wildlife (MINFOF) at the regional, divisional, and protected areas’ levels. Technical scope: Its key protected areas of intervention include: the Bakossi, Korup and Mount Cameroon National Parks and the Banyang-Mbo Wildlife Sanctuary. This will be achieved through civil society capacity strengthening to enhance their influence in political decision-making and policy dialogue, promoting rights to resources and generating benefits for IP&amp;LCs through sustainable management of NRs, promotion of compliance with environmental and social standards and best practices to achieve sustainability in the agro-industry, involving IP&amp;LCs in co-management of protected areas, and reducing poverty around protected areas through sustainable management of NRs. The programme also
promotes promising models of sustainable natural resource management which are currently being upscaled in other landscapes within Cameroon. The landscape includes the following Technical Operations Units (TOU) with different resource regimes, land-use management units and stakeholders with different land-use interests and motivations (Chia and Sufo, 2015). The TOUs are: 1. The Mount Cameroon TOU cuts across Fako, Meme and Ndian divisions, covering 248 000 ha., and includes the Mount Cameroon National Park, Limbe Botanic Garden, the Limbe wildlife centre, and four Forest reserves: Remnants of the Bomboko Forest Reserve, Buea fuelwood plantation; Forest Management Units (FMU): FMU 11-008B2 (16,823 ha); Community forests: Etinde (4,976 ha), Bakingili (905 ha) and Woteva (1,865 ha); Cameroon Development Corporation (CDC) plantations and leasehold (40,000 ha); Communal land. The landscape harbors one of the most densely populated areas in Cameroon due to its rich volcanic soil that attracts agricultural activities both peasant and industrial, including the presence of the seascape, composed of the Atlantic Ocean (Wouri, Rio de Ray estuaries) attracting fishermen from far and wide. 2. The Bakossi-Banyang Mbo Mweh Mundani (BMBMM) TOU cuts across two regions – South West and Littoral and lies in the centre of the lower guinea congolian ecosystem called the heartland. It covers a total surface area of over 521,500 ha., with seven protected areas (Bakossi National Park, Banyang Mbo Wildlife Sanctuary, Tofala Hill Wildlife Sanctuary, Mount Muanenguba Herpeto-Ornithological Sanctuary, Loum Forest Reserve, Mahenas Forest Reserve, Mungo Forest Reserve, and Bakossi Forest Reserve), three proposed protected areas (Mak-Betchou Wildlife Sanctuary, Mount Nlonako Goliath Frog Sanctuary, and Mount Kupe Integral Ecological Reserve) and many community (including Muaku Community Forest) and council forests. 3. Korup-Ndongere TOU covers 1,217,880 ha and includes the Korup-Oban Transboundary biosphere reserve which is in the South West Region (Korup Rain Forest Biosphere Reserve) of Cameroon and the Cross River state of Nigeria (Oban Division of Cross River Park) and making the two parks an ecological continuum. Korup-Oban transboundary biosphere reserve (UNESCO) is under creation to ease the collaboration in the management of this biodiversity hotspot, which is part of the last Pleistocene refugia. It covers a proposed area of about 600.000 ha, hosting a number of protected areas (Korup National Park, Rumpi and Rata hills reserves –under upgrading into a national park, FMUs 11-001, 11-003, 11-005, 11-007, 11-008, Barombi Mbo lake reserve, …). 4. The Rio Del Rey and The Cameroon estuary blocks, covering approximately 188,000 hectares, situated in the South West and Littoral Regions. This area constitutes the largest mangrove bloc, accounting for more than half of Cameroon's mangroves and over 10% of West Africa's mangroves. The Cameroon estuary block, spanning around 88,000 hectares, stretching from the mouth of the Sanaga River to Bimbia. It includes mangroves along the Rivers Wouri and Dibamba, encompassing parts of the Littoral Region and the South West Region. Ecological and Biophysical characteristics Located in the Cameroon Highlands Forests Ecoregion (one of WWF’s G200), Gulf of Guinea and Highlands known in continental Africa for its biodiversity richness, endemism, presence of critically endangered species and coastal forests (IUCN, 1999). The CFP landscape is a biodiversity hotspot. It represents an important assemblage of wildlife corridors, most of which need to be studied and well managed to guarantee connectivity and reduce conflicts, such as the Human Wildlife and Land Use Conflicts. The landscape holds the highest density of plant species on the African continent (Cheek et al., 2004). The fauna is rich and diversified, including mammals (e.g. the critically endangered Cross River Gorilla, the Nigeria-Cameroon Chimpanzee, forest elephants, Preuss monkeys, the highly endangered Drill, the Leopard, buffalos, etc.); amphibians (the goliath frog – one of the biggest global frog species and endemic in the area); reptiles (Dwarf Crocodile), and Birds (over 329 species, including so many endemics like the Mount Kupe bush-shrike (Dowsett-Lemaire &amp; Dowsett, 2000).
The habitats of the landscape can be classified into the following 5 types: lowland forest, premontane forest, submontane forest, montane forest, and montane grassland. The climate is of the Guineo-Congolian type, characterized largely by two seasons: the dry season, which runs from November to March, with the driest months being January and February. The rainy season runs from April to October, with the wettest months being July and August. The mean annual temperature ranges from 22-25˚C and rainfall of 4891 mm (Suchel, 1972, Gartlan, 1989). The landscape (MC) is home to Cameroon’s most important volcanic epicenter and the lone active volcano in West and Central Africa. The Cameroon Volcanic Line which also includes lake Nyos, with the last eruption recorded on 3rd February 2000. Also, the landscape (BMBMM) is one of Cameroon’s most important hydrological epicenters and catchments where prominent rivers, such as of the Cross River, that flows right to Calabar-Nigeria, and the Mungo that supplies many towns, including Douala with drinking water and sand for building, take their rise. It also feeds the north-western watershed of the Wouri River, which reaches the coast at Douala, constituting the largest river basin in Cameroon (Wild &amp; Ekobo, 2003). The landscape has a population of about 4,000,000 inhabitants dominated by the Bantu ethnic groups (Bakweri/Bomboko, Balong, Oroko, Bafaw, Bakossi, Mbo, Manehas, Bakem, Baneka, Banyangi, Bassossi, Balong, Bangwa, Mundani, etc.) and immigrant groups, mostly from the West and North West Regions of the country, and also from Nigeria. There is also an important population of indigenous Mbororo cattle herders around the Mount Muanenguba Herpeto-Ornithological Sanctuary. Over 70% of the population of the landscape is involved in farming. The soil in most parts of the landscape is volcanic in nature and has favoured the farming of 5 key cash crops, cocoa, rubber, banana, palm and coffee, and some food crops, such as plantain, cassava, maize, cocoyams, and yams, by most households in the landscape. The traditional farming of animals, such as goats, pigs, chicken, etc., is also common. Other income-generating activities include the gathering of Non-Timber Forest Products (NTFPs), such as Njansang, bush mango and bush pepper are also very important in sustaining the livelihoods of the local populations. For example, Njansang sometime fetches up to 200,000 CFA francs per harvest season per household (800 XAF/kg =1.6$ US). Bee farming is fast becoming a popular activity in the landscape. Hunting, including poaching and, to an extent, fishing, are being practiced in the landscape. Generally, it is, perhaps, one of the poorest places in Cameroon, with most people living below the poverty line (less than 1 USD per day). Agro-industrial interest is gaining grounds in the landscape. Plantations of different crops, including Banana by Cameroon Development Corporation (CDC), Société Banane de Mbanga, and Plantations du Haut Penja (PHP); Oil palm by SG-SOC; and Rubber by CDC are found in the area. Smallholders’ schemes involved in the cultivation of pineapple and pawpaw and palms, are found in the landscape. The landscape is gaining ground as the hotspot for plantains production and has recently been lunched as a center for plantain production in the country by the government of Cameroon.</t>
  </si>
  <si>
    <t>Campo Ma'an</t>
  </si>
  <si>
    <t>Located within the Atlantic Equatorial Coastal Forest Ecoregion, the Rio-Campo-Ma’an Landscape (930,406 ha) comprises the Campo Ma’an National Park (264,064 ha), Rio Campo Nature Reserve (33,500 ha), other land use options (506,936 ha) and the proposed marine park (125,906 ha) is a miniature reflection of the biodiversity of the Central Africa rainforests. The Campo Ma’an component is habitat to 1500 plants (of which 45 are endemic), 390 invertebrates, 249 of fish, 122 reptiles, 302 bird species (the CMNP is a designated Important Bird Area) and 80 medium and big size mammal species (MINFOF, 2014). A recent study (Nzooh, et al. 2015) provides estimates for elephant (Loxodonta africana cyclotis, 544 [425-695] individuals), and western lowland gorillas and chimpanzees, (Gorilla gorilla gorilla and Pan troglodytes troglodytes combined 2,199 [1736 – 2786] individuals). The coastal fringes of the area are important for the conservation of four marine turtle species; the Hawksbill turtle (Eretmochelys imbricata), the green turtle (Chelonia mydas), the leatherback turtle (Dermochelys coriacea) and the Olive Ridley turtle (Lepidochelys olivacea) (Angoni et Fretey 2002). The Campo Ma’an NP and the neighbouring Rio-Campo reserve (397,564 ha) in Equatorial Guinea (EQ) have been identified as one of the 18 priority landscapes for the conservation of the western lowland gorilla and the central chimpanzees and high-level meetings held in 2010 and 2011 have supported the creation of the “Río-Campo-Ma’an Binational” conservation initiative between the two countries (IUCN 2014). 
The Campo Ma’an TOU constitute five logging concessions and multiple use zones where community agro-forestry and agro-industrial activities (oil palm and rubber plantations) are found (see below, location and zoning map). The area is home to five native ethnic groups with typical livelihoods strategies; the Yasa (sea fishermen), the Mvae and the Ntumu (slash-and-burn agriculturalist), the Mabea (river fishermen) and the indigenous Bagyéli people (hunter-gatherers) (Annaud et Carrière 2000). Over the last couple of decades, forest exploitation and agro-industries have been the epicenter of the local economy and have brought about an important flux of immigrants. Since the early year 2000, the multiple use zones are increasingly solicited for the country’s major infrastructure projects such as the Memve’ele hydroelectric dam, the Kribi deep sea port and the Kribi-Lolabé highway projects. With these new economic investments coming to the area, the population has nearly doubled between 2002 and 2014, increasing from 60,338 to 111,038 inhabitants. All these populations, for their living, depend in varying degrees on natural resources (land, wildlife, timber, non-timber forest products) which for some are under unbearable pressure</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</si>
  <si>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</si>
  <si>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</si>
  <si>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</si>
  <si>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</si>
  <si>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</si>
  <si>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 xml:space="preserve">Cameroon's political situation in 2025 and the past years is relatively stable guaranteeing some level of security.  This has enabled the development of agriculture, roads, and railways, as well as a petroleum industry. Cameroon is officially bilingual (French and English), with about 80% of the population Francophones and 20% Anglophones. The socio-political crisis in the English-speaking regions since 2016 has led to violence, displacement, and human rights concerns. This is coupled with ongoing conflicts in the Far North (Boko Haram insurgency), and spillover from the Central African Republic thus hosting about over 400,000 refugees putting pressure on host IP&amp;LCs and resources in general. Cameroon is planning a presidential election by the end of 2025, which might shape and orientate its socio-economic and biodiversity governance ideals. 
Cameroon's political situation in 2025 reflects a complex interplay between governance, biodiversity conservation, and environmental challenges. While there are positive developments in policy and community engagement, significant threats to biodiversity remain. The government's commitment to international treaties and initiatives like BIODEV2030 indicates a recognition of the importance of integrating biodiversity considerations into development planning. Furthermore, Cameroon has demonstrated political will and commitment to environmental sustainability through her adherence to multilateral environmental initiatives and political institutions. The country ratified; the Convention on Biodiversity (CBD) in 1995; the Sustainable Development Goals (SDGs) in 2015; the Paris Climate Change Accord, in 2016; Climate Change-Kyoto Protocol in 2002; Convention on the Prohibition of Military or Any Other Hostile Use of Environmental Modification Techniques (ENMOD) in 1977; Bamako Convention on the Ban of the Import into Africa and the Control of Transboundary Movement and Management of Hazardous Wastes within Africa in 1995; International Tropical Timber Agreement (ITTA) in 1995; and the Sendai Framework for Disaster Risk Reduction (Yaoundé Declaration, 2015). Cameroon also ratified the Convention on the Conservation of Migratory Species in 1981); RAMSAR in 2006); CITES in 1981); UNCCD in 1997); UNCCC   in 1995) and VPA FLEGT since 2011. However, the effectiveness of these efforts will depend on sustained political will, adequate funding, and active participation from all stakeholders.). These commitments demonstrate Cameroon's dedication to aligning with global efforts in biodiversity conservation and environmental protection. </t>
  </si>
  <si>
    <t>Social</t>
  </si>
  <si>
    <t>Cameroon’s social context is a nexus of culturally rich diversity, strong foundation in education, regional differences, linguistic contrast, demographic pressures, youth dynamics, and ongoing socio-political challenges linked to inequality, governance, and security. Cameroon is often referred to as "Africa in miniature" because of its remarkable cultural and ecological variety. Cameroon has over 250 ethnic groups and more than 200 languages, categorized into three main linguistic groups: Bantu, Semi-Bantu, and Sudano-Sahelian. Despite this diversity, ethnic identity remains strong, often influencing local politics, land ownership, and social cohesion. 
Cameroon has a population over 29 million (2024 est.) with more than 60% of the population under 25 years old, creating both potential for growth and pressure on education, jobs, and services. High youth unemployment and underemployment contribute to social tension and emigration. Cameroon has relatively high school enrolment rates compared to other Central African countries, but rural-urban and gender disparities persist. The quality of education is also an issue, particularly in conflict-affected regions. Cameroon still faces challenges with access to healthcare, maternal and child mortality, malaria, and more recently, the impacts of COVID-19. The health system is under-resourced and unevenly distributed. Rapid urban growth has outpaced infrastructure development leading to the growth of informal settlements, lack of access to clean water and sanitation, and increased vulnerability to disease and climate impacts.
Gender inequality remains significant in terms of access to education, political participation, and economic opportunities. Women and girls are more vulnerable to violence, early marriage, and limited healthcare access, particularly in rural areas. Civil society organizations (CSOs) play an active role, particularly in education, health, and advocacy including advocating for environmental justice, indigenous rights, and sustainable development. However, freedoms of expression, assembly, and the press are often restricted. Social media has become a major tool for youth engagement, activism, and news dissemination.
The social context of Cameroon in relation to natural resources and biodiversity is deeply knotted with issues of cultural identity, livelihoods, governance, conflict, and sustainability. More than 40% of Cameroon’s population in rural areas depends on natural resources use (forests, fishing, non-timber forest products (NTFPs) and agriculture, for survival. Forests provide food, medicinal plants, fuelwood, and materials for shelter and crafts. In regions like the East, South, and Southwest, forests are central to daily life. Biodiversity is not just environmental—it is economic and cultural capital for millions of Cameroonians. IPs such as the Baka, Bakola, and Bedzang (pygmy groups) have intimate knowledge of forest ecosystems. For these groups, biodiversity is tied to identity, traditional medicine, and spiritual practices.
However, they often face exclusion from decision-making about conservation areas and are vulnerable to displacement from protected zones (e.g., national parks).</t>
  </si>
  <si>
    <t>Economic</t>
  </si>
  <si>
    <t xml:space="preserve">Cameroon's economy is depicted by moderate growth, ongoing fiscal reforms, and significant structural challenges amidst endowed natural resources. Real GDP growth reduced to 3.3% in 2023, from 3.6% in 2022. This could be attributed to lower-than-expected public investment, rising prices, and ongoing internal conflicts .World Bank+1World Bank+1. The economy is expected to grow by 4.0% in 2024, driven by improved energy supply and stronger public investment .World Bank and growth is projected to average 4.5% over 2025–2027, supported by increased non-oil exports and investment inflows .IMF eLibrary+3World Bank+3Fitch Solutions+3. Principal economic crops include banana, cocoa, coffee, rubber, tobacco, and cotton. Petroleum products contribute to about 50% of the Cameroon’s export earnings. Cameroon's National Development Strategy 2020–2030 (NDS30) is a focus on transforming the nation into an emerging economy by 2035. Building upon the previous Growth and Employment Strategy Paper (GESP), NDS30 focuses on structural transformation, inclusive development, and sustainable growth. (http://bibliotheque.pssfp.net/livres/NATIONAL_DEVELOPMENT_STRATEGY_2020_2030.pdf) . With NDS30, there is a strong drive towards large scale infrastructure development (hydro-power dams, roads, and railway) and extractive investment (mining, large scale agriculture), agro-industry, and services to increase productivity and competitiveness, to power the economic growth. It aims to increase the manufacturing sector's contribution to GDP from 12.9% in 2016 to 25% by 2030.Business in Cameroon+1nds30.cm+1. It also takes into consideration strengthening climate change adaptation and mitigation efforts.nds30.cm and ensuring environmental management that supports inclusive economic growth and social development, dicf.develop.unepgrid.ch+1nds30.cm+1 an opportunity for influencing green growth. 
The stagnating economic growth has grown poverty showing that approximately 23% of Cameroon’s population lived below the international poverty line of $2.15 per day in 2023 .World Bank. As of 2022, Cameroon's UNDP Human Development Index (HDI) stands at 0.587, ranking it 151st globally. This marks a slight improvement from the 2021 HDI of 0.576. The unemployment rate was estimated at 3.7% in 2023, with higher rates among youth and graduates .Groupe Crédit Agricole International. Agriculture remains a key sector, employing a significant portion of the labour force while the forestry sector contributes 3.8% to GDP and provides 45,000 jobs. However, it has not reached its full potential, and fiscal reforms are needed to enhance revenue from this sector .World Bank. As of the 2024 Corruption Perceptions Index (CPI) released by Transparency International, Cameroon ranks 140th out of 180 countries, with a score of 26 out of 100. This marks a slight decline from its 2023 score of 27, indicating a worsening perception of public sector corruption in the country. Transparency International corruption perceptions index. Inflation rose to 7.4% in 2023, driven by high food prices and transportation costs.World Bank+1African Development Bank Group+1. The fiscal deficit improved to 0.9% of GDP in 2023, down from 1.1% in 2022, due to greater rationalization of public spending and policies aimed at broadening the tax base .African Development Bank Group. Public debt decreased from 45.3% of GDP in 2022 to 41.8% in 2023, though the country remains at high risk of debt distress .African Development Bank Group.
Poverty is an underlying cause of the major threats to Cameroons rich biodiversity as the poor inevitably become both the victims and willing agents of environmental degradation, and disproportionately affects women, youth and Indigenous People (IPs). Women and young girls dominate the workforce mostly in the informal sector that employs 90.5% of the active population. They cultivate land and collect firewood and NTFPs for subsistence and/or basic income. Poverty is the denial of rights, including rights to resources, protection and participation, especially depriving people of possibilities to act and voice their choices to make positive change.  Traditional structures overseeing customary and local rules reinforce poverty through age- and gender-based discrimination. Cameroon is a young country as 70.5% of the population is under the age of 35, with about 20.6% in the 15 to 24 age bracket https://www.cia.gov/library/publications/the-world-factbook/geos/cm.html. Youth voices are very weak. Customary and local rules are complex and difficult to change and provide a strong barrier to development. Building a strong civil society and strengthening affected peoples’ voices to claim their rights is an absolute necessity, hence the rational for CCPO shift in focus towards people-centred conservation. </t>
  </si>
  <si>
    <t>Climate &amp; Environmental</t>
  </si>
  <si>
    <t xml:space="preserve">Cameroon is a country of some 475,000 square kilometres and is fondly called “Africa in miniature” as it hosts over 90% of Africa’s ecological systems. The country ranks 5th in fauna and 4th in flora diversity in Africa. It harbours 409 species of mammals, 183 species of reptiles, 849 species of birds, 190 species of amphibians and over 9000 plant species. Nine ecoregions host this rich biodiversity: Atlantic Equatorial Coastal Forest (also contains Lower Guinea forests); Central Africa Mangroves; Northern Congolian forest – savannah mosaic; North Western Congolian lowland Forest; Eastern Sudanian Savannah; and Sub-Sahelian Grassland Savannah. The Cross-Sanaga-Bioko Coastal Forest; Mt. Cameroon and Bioko Montane Forest and Cameroon Highlands Forest are part of the West Africa biodiversity hotspots. Besides DRC and Congo, Cameroon host the largest portion of the Congo Basin, which contains over 15% of the world’s remaining tropical forests. The country has a significant population of flagship and threatened species such as elephants and great apes, pangolins, big cats (lions, leopards), … 
The Cameroon land cover (Figure 1) is characterised by mangroves, forests mosaics, dense rainforests, degraded forests, woodlands and wooded savannahs. Cameroon's net forest estate refers to the total area of land designated for forest use, encompassing both permanent and non-permanent forest estates. The Permanent Forest Estate (Domaine Forestier Permanent - DFP) is dedicated to sustainable forest management and conservation, while the Non-Permanent Forest Estate (Domaine Forestier Non-Permanent - DFNP) is allocated for development purposes, including agriculture and infrastructure.8xbet+1Timber Trade Portal+1. The Total Forest Area is approximately 20.34 million hectares (or 203,400 square kilometers) of Cameroon's land area, representing about 43% of the total land area. Wikipedia. The permanent Forest Estate constitutes about 80% of the total forest area, primarily comprising production forests and protected areas. 8xbet. The remaining 20% is designated for development activities and can be converted for other land uses, such as agriculture and this is referred to as the Non-Permanent Forest Estate. From a floristic point of view, Cameroon has: 7,000 species of Phanerogams (flowering plants) including 700 woody species (for wood use), many species of Mushrooms, Pteridophytes Bryophytes (Mosses), Algae and Lichens (FAO, op. cit.)
The country hosts significant population of flagship, threatened and endangered species such as Elephants, Great Apes (chimpanzees, gorillas), Pangolins, big cats (lions, leopards), … The forest elephant population in three Cameroon segments of WWF-supported landscapes (TNS, TRIDOM, Campo Ma’an) is estimated at 6,500 representing a decline of up to 60%  in 10 years . The forests are also home to two sub-species of chimpanzees (Central chimpanzees - Pan troglodytes troglodytes and Nigeria-Cameroon chimpanzee - Pan troglodytes vellerosus) and two sub-species of gorillas – western lowland gorilla - Gorilla gorilla gorilla and Cross River gorilla – Gorilla gorilla diehli (Africa's rarest ape). Wildlife population decline is mostly linked to illegal killing and/or collecting for non-commercial use (i.e. poaching for subsistence) and for illegal domestic and international trade (i.e. illegal wildlife trade). These threats are worsened by the militarized aspect of commercial poaching and by retaliatory killings ensuing from recurrent human-wildlife conflicts. 
Cameroon is climate-vulnerable but committed to action. It has signed all major climate agreements and developed national strategies, but effective implementation is hindered by limited resources, institutional weaknesses, and governance gaps. Strengthening coordination, financing, and community-based adaptation will be crucial for building climate resilience. CCO is committed to support government’s emission reduction objective through its adaptation and mitigation practices. The Government is committed through her National Adaptation Plan to reduce vulnerability and reinforce resilience capabilities within zones and across sectors with accent on measures to address age- and gender disparities. The priorities for emission reduction and adaptation for CCO is focused on facilitating the integration of climate change adaptation into policies, programmes, relevant new and on-going works, especially the development planning processes and strategies, in all sectors and at different levels where appropriate. Improve access and mobilization of climate finance for the achievement of Cameroon's conservation goals and objectives. Through participation in the Climate-Informed Conservation Strategies and National Adaptation Plans (CLICSNAP), Alliances for Climate Action (ACA) the One Planet Cities Critical Contribution Cluster of the Climate and Energy Practice and the African Adaptation Initiative, CCO will accompany government to achieve the country’s adaptation objectives. Key actions are engaging actions to support state  and non-state  actors to integrate climate change resilience and adaptation guidelines into council development plans and promoting climate-smart agriculture and enhancing forest-based livelihood to reduce community vulnerability to climate change. </t>
  </si>
  <si>
    <t>Institutional</t>
  </si>
  <si>
    <t>Cameroon’s institutional framework related to natural resources and biodiversity involves interdependency of government ministries, legal frameworks, decentralization policies, and international commitments. However, it is also marked by fragmentation, limited enforcement, and capacity constraints, which significantly affect governance outcomes. Related government institutions are Ministry of Forestry and Wildlife (MINFOF) manages forest resources, wildlife conservation, and protected areas as well as oversees logging permits, hunting regulations, and forest monitoring. Ministry of Environment, Nature Protection and Sustainable Development (MINEPDED) leading environmental policy, biodiversity conservation, and climate change adaptation/mitigation. MINEPDED also coordinates international environmental agreements and reporting (e.g., CBD, UNFCCC, REDD+). Ministry of Mines, Industry and Technological Development (MINMIDT), which regulates mining activities, including artisanal mining, which often overlaps with protected biodiversity areas. Ministry of Agriculture and Rural Development (MINADER), which influences land use policies and expansion of agriculture, which affects forest cover and biodiversity. The Ministry of Social Affairs (Ministère des Affaires Sociales, (MINAS) tasked with developing and implementing policies aimed at preventing and addressing social vulnerabilities and the protection and empowerment of socially disadvantaged groups. The Ministry of External Relations (MINREX) of Cameroon that is the central government agency responsible for managing the country’s foreign affairs and diplomatic relations, which provided the rights for WWF to operate in Cameroon. There is also the National Anti-Corruption Commission (CONAC), which has a jurisdiction over governance in natural resource sectors but has limited enforcement power.
The Legal and Regulatory Framework focuses on 1994 Forestry and Wildlife Law which establishes forest classification, logging concessions, and community forestry, which has recently revised in 2024 to capture emerging issues. However, it is still poorly enforced. There is the Environmental Management Law (1996) focusing on Environmental Impact Assessments (EIAs) for major development projects. The Mining Code (updated in 2016), which seeks to balance resource extraction with environmental concerns, but enforcement remains weak. The Land Tenure Laws, which is often unclear, leading to conflicts over land ownership and usage between local communities and investors. 
With regards to decentralization and local governance, Cameroon has adopted a decentralized framework, giving regional and municipal councils some say over natural resource use. Community forests (CF) and decentralized forest revenues are examples of local-level governance mechanisms. However, true devolution of power is limited, and decision-making remains highly centralized in Yaoundé. Local governments often lack technical capacity, funds, and legal clarity to manage biodiversity effectively. 
The Cameroon government is part of the global biodiversity and environmental initiatives. It aligns its work to the GBF 30X30 and has committed to several conventions as mentioned above, thus contributing to the overall WWF’s 2030 roadmap. Implementation of these commitments is often hampered by weak institutions, overlapping mandates, and lack of coordination. This is further exacerbated with governance challenges such as institutional overlaps (multiple ministries with overlapping mandates causing inefficiency and competition); corruption and elite capture like awarding concessions for logging and mining without transparency and  undermining conservation; weak enforcement of laws protecting forests and biodiversity due to inadequate resources and political interference; IP&amp;LC exclusion from decision-making, especially around PAs and extractive projects; human rights concerns (abuse by eco-guards and violations against IP&amp;LC in conservation areas raise accountability issues).
CCO is working with the Government of Cameroon, through former agreements/MoUs that range from WWF’s presence and operations in the country. WWF CCO has MoUs with MINREX, MINFOF, MINEPDED and MINAS, to achieve its conservation goals and objectives. Cameroon is also a member to several sub-regional initiatives such as COMIFAC, CBFP, REPAR, OCFSA, the Regional Climate Working Group-RCWG and the NEPAD-led Africa and West Africa Regional Environmental Action Plans. These multilateral initiatives have informed CCO’s choices for mainstreaming biodiversity and climate consideration into national policies and the practices of state and non-state actors at the national and sub-national levels. CCO also works with some civil society platforms with significant influence on environmental and natural resource sector namely: Cercle de Concertation des Partenaires du MINFOF et MINEPDED (CCPM), Comite Multi-Partenaires d’Agriculture (CMP-Agriculture), International Humanitarian NGO forum, Réseau Recherche Action Concertées Pygmée (RACOPY), etc. 
Some institutional innovations and opportunities influencing CCO works are: i) Community Forestry: A promising model that allows communities to manage and benefit from forests, though it faces challenges in implementation and commercialization; ii) Public-Private Partnerships (PPPs) in biodiversity conservation and ecotourism in line with PA management iii) Decentralized Forest Revenues with municipalities receiving a share of forest taxes, though actual disbursement and use remain opaque and iv) Green Economy Initiatives with increasing efforts to integrate biodiversity and ecosystem services into national planning (via NDS30 and SDGs).</t>
  </si>
  <si>
    <t>Stakeholder Name</t>
  </si>
  <si>
    <t>Stakeholder Description</t>
  </si>
  <si>
    <t>Stakeholder Type</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</si>
  <si>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</si>
  <si>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</si>
  <si>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</si>
  <si>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</si>
  <si>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</si>
  <si>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</si>
  <si>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</si>
  <si>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</si>
  <si>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</si>
  <si>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</si>
  <si>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Ministry of Environment, Nature Protection and Sustainable Development (MINEPDED)</t>
  </si>
  <si>
    <t xml:space="preserve">
The Ministry of the Environment, Nature Protection, and Sustainable Development (MINEPDED) is a central government body in Cameroon responsible for formulating, implementing, and monitoring policies related to environmental protection, nature conservation, and sustainable development. Key collaboration focuses on environmental policy, biodiversity conservation, and climate change adaptation/mitigation, coordination of international environmental agreements and reporting (e.g., CBD, UNFCCC, REDD+) and promotion of waste management campaigns.</t>
  </si>
  <si>
    <t>Government institution</t>
  </si>
  <si>
    <t>Planning, implementation &amp; M&amp;E</t>
  </si>
  <si>
    <t>•	Information sharing 
•	Dialogue
•	Advocacy 
•	Planning
•	Implementation 
•	M&amp;E
•	Consultation/Involvement
•	Collaboration
•	Empowerment</t>
  </si>
  <si>
    <t>Y</t>
  </si>
  <si>
    <t>Ministry of Forests and Wildlife (MINFOF)</t>
  </si>
  <si>
    <t>Engaging with the Ministry of Forestry and Wildlife (MINFOF) is critical due to its administrative and legal mandate over forest and wildlife management in Cameroon. As the government authority responsible for protected areas, MINFOF’s involvement ensures legitimacy, alignment with national conservation policies, and smooth implementation of project activities.
Effective engagement with MINFOF is expected to support efforts to combat poaching, illegal logging, and the bushmeat trade, as well as strengthen wildlife monitoring and law enforcement in key conservation zones such as forest clearings. MINFOF also plays a vital role in improving protected area governance and creating an enabling environment for inclusive natural resource management. This includes facilitating the active participation of Indigenous Peoples and Local Communities (IPLCs) in conservation efforts, which is essential for long-term sustainability.</t>
  </si>
  <si>
    <t>Ministry of Agriculture and Rural Development of Cameroon (MINADER</t>
  </si>
  <si>
    <t>Engaging with MINADER is important due to its mandate in elaborating, implementing, and monitoring agricultural and rural development policies in Cameroon. As a key government body, MINADER plays a central role in shaping land use and farming practices across the country. Their involvement is crucial for ensuring that conservation initiatives align with national agricultural strategies and legal frameworks.
Effective engagement with MINADER is expected to support the integration of sustainable agricultural practices within target landscapes, promote collaboration between conservation and agricultural sectors, and enhance policy coherence. By working closely with MINADER, the project can secure institutional support, access technical expertise, and foster joint efforts that contribute to both biodiversity conservation and improved rural livelihoods. This collaboration also increases the legitimacy and long-term impact of conservation actions in areas where agriculture is a dominant land use.</t>
  </si>
  <si>
    <t>Implemetation</t>
  </si>
  <si>
    <t>•	Information sharing 
•	Dialogue
•	Advocacy 
••	Implementation 
•	Consultation/Involvement
•	Collaboration</t>
  </si>
  <si>
    <t>Ministry of Social Affairs (MINAS)</t>
  </si>
  <si>
    <t xml:space="preserve">MINAS plays a crucial role in protecting the rights of indigenous and vulnerable groups, including women. Engaging with MINAS ensures the project aligns with social and gender inclusion policies, promotes protection of rights, and addresses the needs of marginalized populations. Their involvement helps the project gain legitimacy, support, and ensures that vulnerable groups are adequately represented and protected.
Effective engagement with MINAS should result in collaboration to integrate social safeguards, receive guidance on gender and vulnerable group inclusion, obtain timely feedback, and foster joint ownership of project outcomes that promote social equity and rights protection.
</t>
  </si>
  <si>
    <t>Ministry of Decentralization and Local Development (MINDDEVEL)</t>
  </si>
  <si>
    <t xml:space="preserve">MINDDEVEL, responsible for administering local councils, is a critical stakeholder because local councils manage and oversee the distribution of forest and wildlife royalties. Engaging MINDDEVEL ensures the project gains institutional support and legitimacy at the local governance level, which is vital for transparency efforts. Through effective collaboration with MINDDEVEL, especially in Yokadouma and Salapombe, the project expects to foster transparent and accountable sharing of royalties. MINDDEVEL’s involvement will help facilitate equitable benefit-sharing to Indigenous Peoples and Local Communities (IP&amp;LC), promote good governance, and enhance trust among stakeholders.
</t>
  </si>
  <si>
    <t>Implementation</t>
  </si>
  <si>
    <t>•	Information sharing 
•	Dialogue
•	Advocacy 
•	Implementation 
•	Consultation/Involvement
•	Collaboration</t>
  </si>
  <si>
    <t>Ministry of Tourism and Leisure (MINTOUL),</t>
  </si>
  <si>
    <t>The Ministry of Tourism (MINTOUL) plays a key role in promoting sustainable tourism initiatives that align with national development goals. Engaging with the Ministry is important to ensure that eco-tourism activities are developed in line with policy frameworks, contribute to local economic growth, and respect environmental and cultural values. Their involvement supports planning, regulation, and the integration of tourism with conservation and community interests, which is vital for long-term success.
Through effective engagement, the Ministry is expected to provide strategic guidance, support capacity building, and help identify opportunities for community-based tourism. Their participation can enhance visibility, attract responsible investment, and ensure that tourism initiatives are inclusive and beneficial to Indigenous Peoples and Local Communities. This contributes to creating sustainable livelihoods while protecting biodiversity and cultural heritage.</t>
  </si>
  <si>
    <t xml:space="preserve">Ministry of Territorial Administration (MINAT), </t>
  </si>
  <si>
    <t>MINAT, through the DPC, is responsible for preventing and managing risks related to natural disasters, including those that impact biodiversity and the environment. This involves organizing emergency responses to environmental crises such as floods, landslides, and other natural hazards that can affect ecosystems and communities. MINAT oversees regional and local authorities, ensuring that environmental laws and regulations are implemented at the local level. This includes facilitating the participation of local communities in environmental governance and ensuring that local administrative units comply with national environmental policies. In cases of human-wildlife conflicts, MINAT leads and coordinates a valuation commission to assess damages and facilitate compensation processes. MINAT supports community-based biodiversity conservation efforts by working with local authorities to promote sustainable land use practices and resolve conflicts related to land and resource use. This includes facilitating the establishment of local governance structures that support conservation objectives and ensuring that community rights are respected in conservation areas. MINAT plays a role in land use planning and resource management by overseeing land consultation boards and commissions that address agro-pastoral conflicts. These bodies help mediate disputes over land use, which can have implications for biodiversity conservation and environmental sustainability</t>
  </si>
  <si>
    <t>Ministry of Defence (MINDEF),</t>
  </si>
  <si>
    <t>In 2016, MINDEF and MINFOF signed a MoU to enhance cooperation in wildlife protection. This partnership formalized the support of MINDEF in safeguarding endangered species within protected areas. MINDEF's contributions include: cameroonintelligencereport.com: Surveillance and security by assisting in monitoring and securing protected areas to prevent illegal activities such as poaching and deforestation. Training Eco-Guards to strengthen their capacity in wildlife conservation efforts. Assisting in the construction and maintenance of infrastructure within protected areas to facilitate conservation activities.</t>
  </si>
  <si>
    <t xml:space="preserve">Ministry of Justice (MINJUSTICE), </t>
  </si>
  <si>
    <t xml:space="preserve">MINJUSTICE plays a critical role in the administration of justice concerning biodiversity and environmental issues in Cameroon. Through the enforcement of environmental laws, capacity building for the judiciary, collaboration with other ministries and stakeholders, and public advocacy, MINJUSTICE ensures that environmental protection is upheld within the legal framework of the country and collaborates in judiciary actions against arrested poachers and other related wildlife and forest crimes </t>
  </si>
  <si>
    <t xml:space="preserve">Ministry of decentralization and local development (MINDDEVEL) </t>
  </si>
  <si>
    <t xml:space="preserve">MINDDEVEL's role in biodiversity and environmental issues is centred on integrating environmental sustainability into local governance and development processes. Through policy development, resource allocation, strategic planning, and stakeholder engagement, MINDDEVEL contributes significantly to the conservation of biodiversity and the promotion of sustainable environmental practices at the local level in Cameroon. MINDDEVEL is responsible for the administration of local councils and the promotion of transparency in sharing of forest and wildlife royalties for which IP&amp;LC are beneficiaries </t>
  </si>
  <si>
    <t>Councils</t>
  </si>
  <si>
    <t>Councils hold critical ownership, administrative, and legal responsibilities within their jurisdictions. Engaging with them is essential to ensure local governance structures support the project and that activities comply with legal and administrative requirements. Their involvement helps secure community buy-in, facilitates local decision-making, and ensures the project aligns with customary and statutory rules.
Effective engagement with councils is expected to result in smoother approvals, enhanced local coordination, and stronger enforcement of project agreements. Their support can promote transparency, conflict resolution, and sustainability, making sure the project respects local governance and benefits the community.</t>
  </si>
  <si>
    <t>NA</t>
  </si>
  <si>
    <t>SDO/DO</t>
  </si>
  <si>
    <t>Senior Divisional Officers (SDOs) and Divisional Officers (DOs) hold key administrative responsibilities within their divisions, acting as the government’s local representatives. Engaging with them is vital to ensure that project activities are aligned with government policies and local regulations. Their authority facilitates coordination among various stakeholders and helps navigate bureaucratic processes efficiently.
Effective engagement with SDOs and DOs is expected to secure necessary permissions, enhance communication between the project and local institutions, and support conflict resolution. Their involvement helps strengthen governance, ensures compliance, and promotes smooth implementation of project activities at the local level.</t>
  </si>
  <si>
    <t>CSOs/CBOs/CPN
(CAD, GDA, FORUDEF, EGI, PERAD, REPALEAC, CEFAID, ROSE, ASBABUK and AAFEBEN…)</t>
  </si>
  <si>
    <t>CSOs, CBOs, and CPNs play a vital role in advocating for the wellbeing of Indigenous Peoples and Local Communities (IPLC). They influence policy and decision-making processes related to natural resource governance, ensuring that community voices are heard and rights protected. Engaging with these groups is essential to foster inclusive, participatory approaches that reflect local priorities and knowledge.
Effective engagement is expected to enhance community empowerment, improve transparency, and facilitate collaboration between the project and IPLC. Their involvement can help shape policies, monitor social and environmental impacts, and ensure that benefits are equitably shared among community members.</t>
  </si>
  <si>
    <t>Civil Society Organizations, networks, coalitions.</t>
  </si>
  <si>
    <t>IP&amp;LC</t>
  </si>
  <si>
    <t>Indigenous Peoples and Local Communities (IP&amp;LCs) are key stakeholders whose meaningful consultation and active participation are crucial for the success of any initiative affecting their lands and resources. Engaging IP&amp;LCs ensures that their rights, knowledge, and priorities are respected and integrated into decision-making and implementation processes. Their involvement supports equitable benefit sharing and strengthens local governance systems.
Effective engagement with IP&amp;LCs is expected to enhance their capacity for resource monitoring, governance participation, and management of sustainable livelihood activities. This empowers communities to take a leading role in conserving their environment while improving socio-economic wellbeing. Recognizing and supporting IP&amp;LCs’ institutional and cultural frameworks fosters inclusiveness, sustainability, and long-term positive outcomes.</t>
  </si>
  <si>
    <t>Indigenous People &amp; Local Communities</t>
  </si>
  <si>
    <t>Cooperative/ Association</t>
  </si>
  <si>
    <t>Cooperatives and associations are important stakeholders focused on enhancing profit generation and improving livelihoods for their members. Engaging with these groups is essential to leverage their organizational capacity, collective resources, and local knowledge in project activities. Their participation helps ensure that economic benefits are distributed fairly and that initiatives support sustainable income opportunities.
Effective engagement with cooperatives and associations is expected to strengthen community-based enterprise development, promote collaboration among members, and enhance market access. Their involvement contributes to building resilient livelihoods and fosters local economic growth aligned with community priorities.</t>
  </si>
  <si>
    <t xml:space="preserve">Private Sector - Logging companies, agro-industries, etc (SEBC, SEFAC, Groupe Thanry, Alpicam-Grumcam, STBK, CIM, OLAM), STM, MTN,  </t>
  </si>
  <si>
    <t xml:space="preserve">Logging companies are key actors in forest resource use and management. Engaging them is important to ensure that timber harvesting aligns with environmental regulations, sustainable forest management practices, and community interests. Their cooperation is crucial for reducing negative environmental impacts and promoting legal and responsible operations.
Effective engagement with logging companies is expected to improve compliance with sustainability standards, foster transparency, and support mechanisms for benefit sharing with local communities. Their participation can also contribute to forest conservation and responsible land-use planning.
</t>
  </si>
  <si>
    <t xml:space="preserve">Private sector
</t>
  </si>
  <si>
    <t xml:space="preserve">•	Information sharing 
•	Dialogue
•	Advocacy 
•	M&amp;E
•	Consultation/Involvement
•	Collaboration
</t>
  </si>
  <si>
    <t xml:space="preserve">National /international research institutions (national institute of agronomic research (IRAD) and the national observatory on climate change (ONACC)). </t>
  </si>
  <si>
    <t xml:space="preserve">National and international research institutions contribute valuable scientific knowledge, technical expertise, and evidence-based insights that can inform project design, implementation, and evaluation. Engaging with these institutions ensures that interventions are grounded in research, guided by best practices, and adapted to local ecological and social contexts.
Effective engagement with research institutions is expected to enhance data collection, support innovation, and strengthen monitoring and evaluation systems. Their involvement can improve the quality and credibility of project outcomes, foster learning, and support adaptive management for long-term impact.
</t>
  </si>
  <si>
    <t>Universities/research</t>
  </si>
  <si>
    <t>•	Information sharing 
•	Dialogue
•	Advocacy 
•	Planning
•	Implementation 
•	M&amp;E
•	Consultation/Involvement
•	Collaboration</t>
  </si>
  <si>
    <t xml:space="preserve">Academia
Universities of Yaoundé, Buea and Dschang </t>
  </si>
  <si>
    <t xml:space="preserve">Universities and other national higher institutes of learning such as Universities of Yaoundé, Buea and Dschang will contribute to project objectives through various research studies in applied forestry, wildlife and social sciences. The studies will provide incredible scientific data and information to improve natural resource and biodiversity management of BBNP. Foreign universities are also expected to contribute research and science based knowledge forest ecosystems and social domains </t>
  </si>
  <si>
    <t xml:space="preserve">•	Information sharing 
•	Dialogue
•	Advocacy 
•	Planning
•	Implementation 
•	M&amp;E
•	Consultation/Involvement
•	Collaboration
</t>
  </si>
  <si>
    <t>ZSL (BLF UK), GLOBAL CONSERVATION, AWF, WCS, NOE, GiZ, Nature Africa, …</t>
  </si>
  <si>
    <t>International NGOs are important partners with experience in project implementation, advocacy, capacity building, and technical support. Engaging them brings added value through access to global networks, funding opportunities, and best practices. Their involvement helps ensure that interventions are inclusive, rights-based, and aligned with international standards.
Effective engagement with international NGOs is expected to strengthen coordination, enhance the quality of interventions, and support policy dialogue. Their participation can also promote innovation, leverage additional resources, and reinforce accountability and sustainability across project activities.</t>
  </si>
  <si>
    <t>International NGOs</t>
  </si>
  <si>
    <t xml:space="preserve">WWF National Offices (NOs) – Sweden, Canada,Netherlands, UK, US, France, Germany, Finland, Denmark, Italy, Belgium, Japan
</t>
  </si>
  <si>
    <t>WWF Cameroon operates within the broader WWF network, which includes national offices, regional hubs, and global initiatives. These entities collaborate to support and enhance the conservation efforts of WWF Cameroon, ensuring alignment with both local priorities and global conservation goals. NOs are providing strategic and operational support; help in resource mobilization and donor engagement ensuring the financial sustainability of conservation initiatives in Cameroon; build capacity and support knowledge exchange to enhance the skills and knowledge of local teams, enabling them to effectively implement conservation programs and engage with communities. NOs also engage in advocacy and policy influencing with policy briefs, engaging with policymakers, and participating in international forums to influence conservation policies and practices. NOs are also supporting monitoring and evaluation frameworks that assess the impact of conservation programs. In summary, WWF Cameroon benefits from the support of national offices through strategic guidance, resource mobilization, capacity building, advocacy, and monitoring. This collaborative approach enhances the effectiveness and sustainability of conservation initiatives in Cameroon.</t>
  </si>
  <si>
    <t>Donor</t>
  </si>
  <si>
    <t>Regular reporting, progress meetings, and review workshops,strategic dialogue and consultations</t>
  </si>
  <si>
    <t xml:space="preserve">International Bilateral &amp; Multilateral Donors (GEF, BMZ, USFWS, EU, AFD, BMZ, KFW, SIDA, DANISH, KOICA, DFID,  JAICA, BMZ,  DGIS, FINNIDA, GiZ, NORAD, ODA, FAO, UNDP, UNESCO, UNEP…)  </t>
  </si>
  <si>
    <t>Donors play a central role in providing financial resources, strategic guidance, and oversight to ensure effective and accountable implementation of initiatives. Engaging them is crucial to align project objectives with funding priorities, ensure transparency, and build mutual trust. Donors often influence project direction and scope through their policies, reporting requirements, and results-based frameworks.
Effective engagement with donors is expected to foster long-term support, facilitate adaptive planning, and ensure compliance with international standards. Their involvement also encourages learning, innovation, and knowledge sharing, contributing to stronger impact and sustainability.</t>
  </si>
  <si>
    <t>•	Information sharing 
•	Dialogue
•	Advocacy 
•	Planning
•	Implementation 
•	M&amp;E
•	Consultation/Involvement
•	Collaboration
•	Reporting</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</si>
  <si>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</si>
  <si>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</si>
  <si>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</si>
  <si>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</si>
  <si>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</si>
  <si>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</si>
  <si>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</si>
  <si>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</si>
  <si>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</si>
  <si>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</si>
  <si>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HCV forest (Saltflats, forest clearings, baïs)</t>
  </si>
  <si>
    <t>By 2035, at least 90% of the targeted HCV forest surface area in priority landscapes are maintained intact relative to the 2025 baseline</t>
  </si>
  <si>
    <t>1. No sudden environmental disturbances that could lead to additional clearance of HCV forest surface</t>
  </si>
  <si>
    <t>Dense Forest</t>
  </si>
  <si>
    <t>By 2035, the number of ha of dense forests in the targeted landscapes is maintained 100% intact in the targeted PAs and at least 95% in the non-PAs compared to 2020</t>
  </si>
  <si>
    <t>1. No sudden environmental disturbances that could lead to additional clearance of dense forest surface</t>
  </si>
  <si>
    <t>Mangroove forest</t>
  </si>
  <si>
    <t xml:space="preserve">By 2035, at least 190000 ha  of mangrove forests in priority landscapes are intact, relative to 2020 baseline
</t>
  </si>
  <si>
    <t>1. No sudden environmental disturbances that could lead to additional clearance of mangrove forest surface</t>
  </si>
  <si>
    <t>Human wellbeing</t>
  </si>
  <si>
    <t>By 2035, the wellbeing of targeted communities in supported landscapes is improved by 20% relative to 2025 baseline.</t>
  </si>
  <si>
    <t>1. Access to pre-existing basic services at least remains available and functional through public or partner support.
2. The landscapes remain free from major conflict, displacement, or political interference that would disrupt livelihoods, services, or community cohesion.</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</si>
  <si>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</si>
  <si>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</si>
  <si>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t xml:space="preserve">The Forest and Other Habitats Programme aims to conserve forest ecosystems vital for biodiversity, climate regulation, and community wellbeing. By 2035, it envisions most High Conservation Value (HCV) forests, dense forests, and mangroves in its focus areas will remain intact or be restored.
Forest loss is driven by agricultural expansion, unsustainable concessions, weak governance, and poor law enforcement. The programme addresses these through a comprehensive strategy combining protection, sustainable use, restoration, and policy reform to tackle both direct threats and systemic drivers.
For HCV forests, the goal is to halt land-use conversion by enforcing zero-deforestation commitments and improving private sector compliance through incentives. By 2030, no HCV forests in targeted areas should be converted, and 80% of forestry, mining, and agriculture companies are expected to meet legal forest protection standards, enabled by transparent enforcement and company engagement.
To protect dense forests, the programme focuses on sustainable agricultural practices and enhancing ILPC forest stewardship. Sustainable agriculture is promoted through agroforestry, sustainable intensification and climate-smart methods, aiming to cut forest clearance for farming by 30% by 2030. At least 80% of targeted farmers will receive support to adopt these practices. Simultaneously, 75% of community forests will be sustainably managed through technical support and improved governance by 2030.
The programme also targets degraded forests and mangroves. By 2030, it aims to expand restored habitats by at least 25% from 2025 levels, often with private sector collaboration. This supports the goal of maintaining 190,000 hectares of intact mangroves in priority areas by 2035, enhancing biodiversity and coastal resilience.
Community wellbeing is central to the long-term success of forest conservation. As such, the programme directly integrates outcomes that enhance the material, social, and institutional wellbeing of Indigenous Peoples and Local Communities (IPLCs). Increasing household income through conservation-compatible livelihoods—such as agroecological farming, value chain support, or employment in restoration and monitoring—reduces pressure to clear forests for short-term economic gain. Similarly, improved access to materials of a good life, including water, healthcare, education, and food, fosters stability and reduces reliance on unsustainable resource use. By supporting at least 50% of targeted students to complete primary education and 20% to complete secondary education, the programme contributes to long-term capacity building within IPLC communities, indirectly strengthening forest governance and stewardship. Policy outcomes that safeguard traditional IPLC rights further embed conservation within a framework of justice and equity, while a 90% reduction in conservation-related complaints tied to WWF-supported activities will reflect progress in rights-based and inclusive approaches to forest protection. 
To secure long-term impact, the programme prioritizes systemic change through policy advocacy. By 2030, WWF and partners aim to help develop or enact at least two national policies or strategies on biodiversity and environmental management, institutionalizing conservation and aligning cross-sectoral planning.
The success of this Theory of Change rests on several assumptions: stable environmental conditions, continued best practices by farmers and IPLC managers post-support, and ongoing government and private sector engagement. Political or economic shifts must not incentivize unsustainable land use or extraction. </t>
  </si>
  <si>
    <t>Opportunities for Innovation</t>
  </si>
  <si>
    <t>Please articulate priority areas of innovation and research where needed. Innovation and Research activities must be included in the Programme Implementation Plan, 
Max. 500 words</t>
  </si>
  <si>
    <t>•	Multilateral policy/process particularly the climate change: Cameroon is a carbon sink and therefore classified among non-emitter countries. The country’s forests, which cover approximately 46.3% of the national territory and account for 11 % of Congo Basin  forests provide opportunities for climate change mitigation through programmes such as Reduced Emissions from Deforestation and Forest Degradation (REDD+). The National REDD+ Strategy that will guide REDD+ investments in Cameroon has been completed in Cameroon with input from WWF CCO. The Emission Reduction Project Idea Note of Cameroon has been validated since November 2016. At the same time Cameroon has finalised its Forest Investment Plan  and committed through its Nationally Determined Contribution (NDC) to reduce emissions by 32% (11% unconditionally and 21% conditional on international support) by 2035 from its projected baseline of 2010 emissions and is developing an emission reduction programme document (ERPD). 
•	Pursuing new funding sources: The Global Environment Facility (GEF) with WWF CCO leading the GEF 7 and soon to lead also the GEF 8 project. The Green Climate Funds (GCF), the Nationally Appropriate Mitigation Action (NAMA) and the Central Africa Forest Initiative (CAFI) offer financial opportunity to accelerate forest reforms in Central Africa to fight against climate change, protect forests, reduce poverty and contribute to sustainable development. MINFOF has developed an 80-million GCF project under the lead of IUCN to support sustainable management of permanent forest estate.  WWF is an implementation partner of the project. 
•	The presence of several decision-making platforms and coalitions at national (parliament, CSOs &amp; sectoral ministries – inter-ministerial platforms) and sub national (municipalities, CSOs) levels for engagement in inter-sectoral processes and policies.  
•	The ongoing national integrated land use planning process offers the opportunity to secure high conservation value forests areas and minimise land use conflicts.
•	The functionality of a Community-Based Forest Management (CBFM) approach that empowers IP&amp;LCs legal recognition and access to natural resources with rights to effectively manage. This has led to some innovative monitoring approaches such as using digital monitoring tools for Forest Management Units (FMUs) and Community Forests checking and supervision. There are also mobile apps for reporting illegal activities (e.g. ForestLink by Rainforest Foundation UK); tools like Global Forest Watch, Satelligence, and Terrascope for near-real-time forest cover tracking and AI-powered drones for patrolling forests and detecting changes in canopy health, which are strong monitoring and tracking tools that are coming up very strongly.
•	The conservation of biodiversity using the landscape approaches, which helps to protect habitats beyond PAs giving a holistically management of the landscape. This has enabled effective connectivity of ecological corridors with PAs (e.g., Dja, Lobéké, Campo-Ma’an) even beyond national boundaries giving rise to transboundary collaboration and synergy in interventions with border countries. Currenting there is the use of integrated land-use planning platforms using GIS and remote sensing.
•	Sustainable Financing and Carbon Markets that leverage global climate finance for forest conservation and restoration with REDD+ projects (e.g., TRIDOM Landscape Programme) to fund emissions reductions via forest conservation. There is also the opportunity of access to voluntary carbon markets using verified carbon credits.
•	The existence of digital tools for forest governance with increase transparency and reduce corruption in forest concessions and permits facilitated with open timber portal to track legality of timber production and blockchain for traceability in timber supply chains.
•	Agroforestry and Sustainable Livelihoods, which helps to reduce pressure on forests while improving food security and income. Current approach of deforestation-free production interwoven with agroforestry systems (e.g., cocoa and coffee intercropped with native trees). The se of biochar, composting, and climate-resilient crops in forest-edge communities is also demonstrating efficiency.
•	Strengthening legal and institutional frameworks which helps to improve enforcement of forestry and biodiversity laws through digitization of forest permitting processes and the use of AI legal analytics to identify gaps in enforcement and policy compliance.
•	Public-Private Partnerships (PPPs) has helped to leverage private sector engagement in conservation and sustainable forestry fostering ecotourism and sustainable forest product value chains and certifications (e.g., FSC, Rainforest Alliance) for sustainable timber and non-timber forest products (NTFPs).
•	Environmental Education for sustainable development (ESD), which has gone beyond environmental education to incorporate the aspects of development and livelihood even in youth-led conservation and green businesses and school forest clubs.</t>
  </si>
  <si>
    <t> </t>
  </si>
  <si>
    <t xml:space="preserve">Conservation Focus of the Programme
</t>
  </si>
  <si>
    <t xml:space="preserve">Priority Threats / Other Factors </t>
  </si>
  <si>
    <t>Result ID</t>
  </si>
  <si>
    <t>Program Outcomes</t>
  </si>
  <si>
    <t>Relevant Geographic Scope</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</si>
  <si>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</si>
  <si>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</si>
  <si>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</si>
  <si>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</si>
  <si>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</si>
  <si>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</si>
  <si>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</si>
  <si>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</si>
  <si>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</si>
  <si>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</si>
  <si>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Please Describe the desired reduction of threats (or changes to the identified factors). Please make sure the statement is SMART.
Fill this in</t>
  </si>
  <si>
    <t>Please indicate the relevant Geographic Scope for each Outcome statement. 
Ensure to use one of the Geographic scope identified in the Scope tab of OSP Design Template. 
Leave this one open
The local team needs to fill this one in</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</si>
  <si>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</si>
  <si>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</si>
  <si>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</si>
  <si>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</si>
  <si>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</si>
  <si>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</si>
  <si>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</si>
  <si>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</si>
  <si>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</si>
  <si>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</si>
  <si>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</si>
  <si>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</si>
  <si>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</si>
  <si>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</si>
  <si>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</si>
  <si>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</si>
  <si>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</si>
  <si>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</si>
  <si>
    <t xml:space="preserve">WWF CCO works on both inclusive conservation and socio-economic themes with strong field presence and direct interactions with IP&amp;LCs and other related stakeholders. Reflecting on a sustainability and exit plan requires a well-structured, participatory, and phased-out approach that ensures long-term sustainability, local ownership, and resilience of the systems left behind. This sustainability and exit plan focus on the following: 
•	Evaluating the interventions of WWF CCO and the local institutions and stakeholders fully owning and driving the initiatives. This will enable a better appreciation of measures in place for continuity of biodiversity protection and monitoring; institutional sustainability of community and government partners; the long-term economic resilience of supported livelihoods and enterprises and the ongoing financing of the initiatives through diverse funding sources. 
•	Carry out a comprehensive sustainability assessment to evaluate the capacity of local institutions (communities, councils, CBOs); effectiveness of existing governance structures (e.g., COVAREFs, forest committees…); sustainability of income-generating activities (e.g., agroforestry, ecotourism), environmental impact trends (e.g., forest cover, wildlife populations); policy environment and enabling conditions…. Tools like SWOT analysis, stakeholder mapping, risk analysis, sustainability scorecards would be used during this assessment.
•	While working, there is always an intervention on strengthening local institutions and governance structures which is a strong approach to ensuring that IP&amp;LCs, cooperatives, councils and other local stakeholders are empowered to function with little or no support. A formal recognition (legal status, by-laws, charters) are also strong ways of empowering IP&amp;LCs and local institutions. IP&amp;LCs could also be equipped with tools (mobile apps, etc), equipment, and databases (e.g., GIS systems, monitoring data) for effective continuity. The support to development and implementation of the Local Conservation and Development Plans (LCDPs) with councils and local institutions fundraising for this is an added benefit to sustainability. 
•	It is important to ensure economic and livelihood sustainability by strengthening cooperatives and green enterprises (e.g., NTFP processing, ecotourism); facilitate access to markets and certifications (e.g., Fair Trade, FSC, Rainforest Alliance); support linkages with microfinance and credit institutions and promote climate-smart agriculture and sustainable forest use. This will enable IP&amp;LCs to 
demonstrate capacity to maintain income levels independently. 
•	WWF CCO in its sustainability plan should ensure that long-term financing mechanisms are in place through its interventions and policies influencing. CCO could facilitate access to EDD+ and carbon finance schemes, conservation trust funds (e.g., Cameroon Biodiversity Fund) and Payment for Ecosystem Services (PES) schemes. WWF should support local governments in budgeting for conservation in council plans and partner with private sector for ecotourism or biodiversity offsets.
•	Sustainability of interventions also go with policies reforms, which are more permanent. Institutionalize policies and legal frameworks help with resilience of interventions and ensures long-term sustainability.  
•	Build monitoring, evaluation, and adaptive management systems and ensure stakeholders have the tools and expertise to effectively use these systems. This might involve some training of local PMEL champions in the use of the tools and ensure that the data/information is linked to national and international platforms. Ensure a participatory monitoring framework is in place e.g. joint  (IP&amp;LCs, gov’t &amp; other relevant stakeholders) and functional. 
•	Promote Knowledge Transfer and Communication by creating a digital knowledge hub with manuals, toolkits, lessons learned; holding stakeholder exit forums to communicate exit plans and timelines and train media, youth, and CSOs/CBOs to continue advocacy for conservation
•	There is always need to draft an implementation phased-out and participatory exit timeline plan to be prepared to transition, exit and do a post-exit assessment. This will require gradual handover of responsibilities and assets, delegative support and joint decision-making and light-touch technical backstopping and periodic evaluations. This will also require setting of exit targets and benchmarks. </t>
  </si>
  <si>
    <t>Programme M&amp;E plan</t>
  </si>
  <si>
    <t>Programes</t>
  </si>
  <si>
    <t>Program ID (#)</t>
  </si>
  <si>
    <t>Focus</t>
  </si>
  <si>
    <t>Priority threats/ other factors</t>
  </si>
  <si>
    <t>Result ID (#)</t>
  </si>
  <si>
    <t>Goal, Outcome and Output Statement</t>
  </si>
  <si>
    <t>Indicator</t>
  </si>
  <si>
    <t>Description</t>
  </si>
  <si>
    <t>Means of Verification (Source of Data)</t>
  </si>
  <si>
    <t>Data Collection &amp; Analysis Methodology</t>
  </si>
  <si>
    <t>Frequency of Measurement</t>
  </si>
  <si>
    <t>Key assumptions &amp; Risks</t>
  </si>
  <si>
    <t>Baseline</t>
  </si>
  <si>
    <t>Year 1
Target</t>
  </si>
  <si>
    <t>Year 2
Target</t>
  </si>
  <si>
    <t>Year 3
Target</t>
  </si>
  <si>
    <t>Year 4
Target</t>
  </si>
  <si>
    <t xml:space="preserve">End-line Target </t>
  </si>
  <si>
    <t>Location</t>
  </si>
  <si>
    <t>Responsible</t>
  </si>
  <si>
    <t>Forest and other habitats programme</t>
  </si>
  <si>
    <t>TRIDOM, TNS, Coastal Forest and Campo Ma'an</t>
  </si>
  <si>
    <t>% of HCV forest that is kept intact</t>
  </si>
  <si>
    <t>Forest intactness refers to the state of a forest that is largely free from significant human disturbance and fragmentation, retaining its natural structure and function 
(Targeted forest include Saltflats, forest clearings, baïs)</t>
  </si>
  <si>
    <t>Clearing and other FHCVs monitoring database</t>
  </si>
  <si>
    <t>Data collection through camera traps and permanent presence  of biomonitoring teams: Records on the size of the sites, the species present, the number of individuals visiting per species, the period of visit of species, etc. 
Rate of use: Average number of visits per species / day over one year</t>
  </si>
  <si>
    <t>Annually</t>
  </si>
  <si>
    <t>LNP: 300 ha
CFP: 4000 ha</t>
  </si>
  <si>
    <t>At least 90% of the targeted HCV forest surface area in priority landscapes are maintained intact</t>
  </si>
  <si>
    <t>LNP: 
PN Boumba Bek: 
PN Nki : 
MCNP:
BNP:</t>
  </si>
  <si>
    <t>Programme Managers in collaboration with MINFOF and CSOs</t>
  </si>
  <si>
    <t>Rate of use of HCV forest clearings of wildlife</t>
  </si>
  <si>
    <t>Relates to the viability of the forest (Targeted forest include Saltflats, forest clearings, baïs)</t>
  </si>
  <si>
    <t>TNS:6 forest clearings frequently used by wildlife monitored 
MCNP:0
BNP:0
KNP:0
BMWS: 0</t>
  </si>
  <si>
    <t xml:space="preserve">At least 50% of the forest clearings are frequently used by wildlife monitored </t>
  </si>
  <si>
    <t xml:space="preserve">At least 60% of the forest clearings are frequently used by wildlife monitored </t>
  </si>
  <si>
    <t xml:space="preserve">At least 70% of the forest clearings are frequently used by wildlife monitored </t>
  </si>
  <si>
    <t xml:space="preserve">At least 80% of the forest clearings are frequently used by wildlife monitored </t>
  </si>
  <si>
    <t xml:space="preserve">At least 90% of the forest clearings are frequently used by wildlife monitored </t>
  </si>
  <si>
    <t>LNP: 
PN Boumba Bek: 
PN Nki : 
 MCNP:
BNP:</t>
  </si>
  <si>
    <t xml:space="preserve">TRIDOM, TNS, Coastal Forest and Campo Ma'an
</t>
  </si>
  <si>
    <t>Number of ha of targeted forests maintained intact in Non-PAs</t>
  </si>
  <si>
    <t xml:space="preserve">relative to 2015 baseline for Jengi -TRIDOM, 2018 baseline for Jengi -TNS , 2020 for Campo and 2013 for Mount Cameroon </t>
  </si>
  <si>
    <t>Landcover monitoring data (with linked database)</t>
  </si>
  <si>
    <t>Remote sensing</t>
  </si>
  <si>
    <t xml:space="preserve">Endline </t>
  </si>
  <si>
    <t>TNS: &gt;300000Ha
Bakingili CF:0
Woteva CF:0
Etinde CF:0</t>
  </si>
  <si>
    <t>Baseline data for all targeted landscapes and CFs collected</t>
  </si>
  <si>
    <t>At least 95% of the total ha of targeted forests maintained intact in Non-PAs</t>
  </si>
  <si>
    <t xml:space="preserve">Number of ha of targeted forests maintained intact in PAs </t>
  </si>
  <si>
    <r>
      <t xml:space="preserve">TNS: &gt;200000Ha
MCNP:58,128ha
BNP:29,300ha
KNP:126,000ha
BMWS:68,322ha
</t>
    </r>
    <r>
      <rPr>
        <b/>
        <sz val="11"/>
        <color theme="1"/>
        <rFont val="Calibri"/>
        <family val="2"/>
      </rPr>
      <t>TOTAL: 1611527 Ha</t>
    </r>
  </si>
  <si>
    <t>Number of tons of the above ground Carbon Dioxide (CO2) stocked</t>
  </si>
  <si>
    <t>Carbon stock in above ground biomass of targeted landscapes</t>
  </si>
  <si>
    <t>Carbon stock data (with linked database and validated report)</t>
  </si>
  <si>
    <t>Field-based study combined with remote sensing data though a modelling process.</t>
  </si>
  <si>
    <t>Endline  (only measured at the end)</t>
  </si>
  <si>
    <t xml:space="preserve">Establishe baseline data </t>
  </si>
  <si>
    <t>Baeline value tons of the ground Carbon Dioxide (CO2) stocked maintained</t>
  </si>
  <si>
    <t xml:space="preserve">Number of ha of targeted mangrove forests maintained intact </t>
  </si>
  <si>
    <t>(Rio Del Rey bloc - 100000 ha, Cameroon estuary block -  88000 ha and the Ntem estuary block - 2000 ha)</t>
  </si>
  <si>
    <t>Endline</t>
  </si>
  <si>
    <t>Rio Del Rey bloc: 100000 ha,
Cameroon estuary block: 88000 ha Estuary</t>
  </si>
  <si>
    <t>Rio Del Rey bloc: 100000 ha, and Cameroon estuary block: 88000 ha Estuary are maintained intact</t>
  </si>
  <si>
    <t>Campo Ma'an NP:
CFP</t>
  </si>
  <si>
    <t>Wellbeing</t>
  </si>
  <si>
    <t>1, 2</t>
  </si>
  <si>
    <t>Improved wellbeing</t>
  </si>
  <si>
    <t>Wellbeing score</t>
  </si>
  <si>
    <t>Wellbeing includes materials for good life, social cohesion, rights, access to natural resources/5 categories of wellbeing</t>
  </si>
  <si>
    <t>Wellbeing survey data (with linked database)</t>
  </si>
  <si>
    <t>Socioeconomic survey related on supported wellbeing aspects</t>
  </si>
  <si>
    <t>TNS: 35% 
TRIDOM: 51.26%
BNP:
KNP:
MCNP:
BMWS:</t>
  </si>
  <si>
    <t>Baseline value established</t>
  </si>
  <si>
    <t>The wellbeing of targeted communities in supported landscapes is improved by 5%</t>
  </si>
  <si>
    <t>The wellbeing of targeted communities in supported landscapes is improved by 10%</t>
  </si>
  <si>
    <t>The wellbeing of targeted communities in supported landscapes is improved by 15%</t>
  </si>
  <si>
    <t>The wellbeing of targeted communities in supported landscapes is improved by 20%</t>
  </si>
  <si>
    <t xml:space="preserve">LNP: 
BB NP: 
Nki NP:
BNP: 
KNP: 
MCNP: 
BMWS: </t>
  </si>
  <si>
    <t>Programme Managers in collaboration with MINFOF</t>
  </si>
  <si>
    <t>HCV Forest protection</t>
  </si>
  <si>
    <t>Forest loss</t>
  </si>
  <si>
    <t>2.1.1</t>
  </si>
  <si>
    <t>By 2030, zero Ha of HCV forests converted to other land uses in targeted landscapes</t>
  </si>
  <si>
    <t>Number of Ha of HCV forests converted to other land uses</t>
  </si>
  <si>
    <t>Landcover monitoring data (with linked database) and field verification</t>
  </si>
  <si>
    <t>Remote sensing and field verification</t>
  </si>
  <si>
    <t>Endline (only measured half way and at the end)</t>
  </si>
  <si>
    <t>1. Weak regulations or poor enforcement could allow illegal or legal-but-unsustainable conversions.
2. Conflicting interests in conservation versus development intrests</t>
  </si>
  <si>
    <t>0 ha</t>
  </si>
  <si>
    <t>Forest protection</t>
  </si>
  <si>
    <t>Forest loss due to agriculture</t>
  </si>
  <si>
    <t>2.2.1</t>
  </si>
  <si>
    <t xml:space="preserve">By 2030, areas of forest cleared for agriculture in targeted landscapes is reduced by at least 30% relative to 2025 baseline </t>
  </si>
  <si>
    <t>Annual surface area (ha) of forest converted for agricultural use</t>
  </si>
  <si>
    <t>(especially cocoa)</t>
  </si>
  <si>
    <t>1. Farmers practice sustainable yield-boosting methods that reduce the need to clear new land.
2. Farmers will not see increased yield as an incentive to expand their lands
3. Climate, economic and market situations remain stable</t>
  </si>
  <si>
    <t>0 Ha</t>
  </si>
  <si>
    <t>Agricultural production</t>
  </si>
  <si>
    <t>poor agricultural management</t>
  </si>
  <si>
    <t>2.2.2.</t>
  </si>
  <si>
    <t>By 2030, at least 80% of targeted famers in the CCO supported landscapes implement nature-positive agricultural practices relative to 2025 baseline</t>
  </si>
  <si>
    <t xml:space="preserve">% of farmers who implement nature-positive agricultural practices                     
</t>
  </si>
  <si>
    <t>Focus group is mainly cocoa farmers. Nature-positive Agricultural Practises follow Deforestation and Carbon Free -DCF program and nature positve practices. Implementation describes the effective operationalising as how it was intended.</t>
  </si>
  <si>
    <t>Farm survey database (With validated analyses and report)</t>
  </si>
  <si>
    <t xml:space="preserve">Farm survey </t>
  </si>
  <si>
    <t>Anually</t>
  </si>
  <si>
    <t>1. The farmers will apply best management practices in managing their agricultural lands, even after the end of the support</t>
  </si>
  <si>
    <t>At least 50% of targeted famers in the CCO supported landscapes implement nature-positive agricultural practices</t>
  </si>
  <si>
    <t>At least 60% of targeted famers in the CCO supported landscapes implement nature-positive agricultural practices</t>
  </si>
  <si>
    <t>At least 70% of targeted famers in the CCO supported landscapes implement nature-positive agricultural practices</t>
  </si>
  <si>
    <t>At least 750% of targeted famers in the CCO supported landscapes implement nature-positive agricultural practices</t>
  </si>
  <si>
    <t>At least 80% of targeted famers in the CCO supported landscapes implement nature-positive agricultural practices</t>
  </si>
  <si>
    <t>Number of hectares  of nature-positive practices implemented</t>
  </si>
  <si>
    <t>Focus group is mainly cocoa farmers. Best Agricultural Practises follow Deforestation and Carbon Free -DCF program and nature positve practices. Implementation describes the effective operationalising as how it was intended.</t>
  </si>
  <si>
    <t>934 Ha</t>
  </si>
  <si>
    <t>At least 10% increase in hectares  of nature-positive practices implemented</t>
  </si>
  <si>
    <t>At least 20% increase in hectares  of nature-positive practices implemented</t>
  </si>
  <si>
    <t>At least 30% increase in hectares  of nature-positive practices implemented</t>
  </si>
  <si>
    <t>At least 40% increase in hectares  of nature-positive practices implemented</t>
  </si>
  <si>
    <t>At least 50% increase in hectares  of nature-positive practices implemented</t>
  </si>
  <si>
    <t>Species Conservation Programme, Forest and other habitats programme</t>
  </si>
  <si>
    <t xml:space="preserve">1, 2 </t>
  </si>
  <si>
    <t>Communtiy forests</t>
  </si>
  <si>
    <t>Poor community managed forest</t>
  </si>
  <si>
    <t>2.2.3</t>
  </si>
  <si>
    <t xml:space="preserve">By 2030, at least 75% of supported community forest are managed using best practices, relative to 2025 baseline </t>
  </si>
  <si>
    <t>% of community forest areas that are managed according to approved best practices</t>
  </si>
  <si>
    <r>
      <rPr>
        <sz val="11"/>
        <color rgb="FF000000"/>
        <rFont val="Calibri"/>
        <family val="2"/>
      </rPr>
      <t xml:space="preserve">Best practices include (PSG, in compliance with national legal procedures).  </t>
    </r>
    <r>
      <rPr>
        <b/>
        <sz val="11"/>
        <color rgb="FF000000"/>
        <rFont val="Calibri"/>
        <family val="2"/>
      </rPr>
      <t>Numerator</t>
    </r>
    <r>
      <rPr>
        <sz val="11"/>
        <color rgb="FF000000"/>
        <rFont val="Calibri"/>
        <family val="2"/>
      </rPr>
      <t xml:space="preserve">: Hacteres of community forest managed according to approved best practices
Divided by:
</t>
    </r>
    <r>
      <rPr>
        <b/>
        <sz val="11"/>
        <color rgb="FF000000"/>
        <rFont val="Calibri"/>
        <family val="2"/>
      </rPr>
      <t>Denominator</t>
    </r>
    <r>
      <rPr>
        <sz val="11"/>
        <color rgb="FF000000"/>
        <rFont val="Calibri"/>
        <family val="2"/>
      </rPr>
      <t xml:space="preserve">: Hacteres of community forest </t>
    </r>
  </si>
  <si>
    <t>Community forest database (With validated analyses and report)</t>
  </si>
  <si>
    <t>Forest area implementation survey</t>
  </si>
  <si>
    <t>1. IPLC apply best management practices in managing their community forest, even after the end of the support</t>
  </si>
  <si>
    <t>50% (300000ha)</t>
  </si>
  <si>
    <t>At least 55% of the targeted CF areas  are managed according to approved best practices</t>
  </si>
  <si>
    <t>At least 60% of the targeted CF areas  are managed according to approved best practices</t>
  </si>
  <si>
    <t>At least 65% of the targeted CF areas  are managed according to approved best practices</t>
  </si>
  <si>
    <t>At least 70% of the targeted CF areas  are managed according to approved best practices</t>
  </si>
  <si>
    <t>At least 75% of the targeted CF areas  are managed according to approved best practices</t>
  </si>
  <si>
    <t>Poor enforcement of the law by forestry, mining and agricultural companies</t>
  </si>
  <si>
    <t>2.1.2</t>
  </si>
  <si>
    <t>By 2030, at least 80% of the legal requirements and operating rules for forest protection are met with forestry, mining and agricultural companies in targeted landscapes compared to the 2025 baseline</t>
  </si>
  <si>
    <t>% compliance with legal and operating regulations for forest protection (by type of company)</t>
  </si>
  <si>
    <t>The indicator mesures the average compliance percentage by category of forest, mining and agriculture.</t>
  </si>
  <si>
    <t>Forest protection compliance database (With validated analyses and report)</t>
  </si>
  <si>
    <t>Forest protection compliance checks</t>
  </si>
  <si>
    <t>1. Forestry, mining and agricultural companies are willing to implement the legal requirements and operating rules for forest protection.
2. Law enforcement authorities are transparant in enforcing the law</t>
  </si>
  <si>
    <t>30% (1500000 ha)</t>
  </si>
  <si>
    <t>At least 35% compliance with legal and operating regulations for forest protection (by type of company)</t>
  </si>
  <si>
    <t>At least 45% compliance with legal and operating regulations for forest protection (by type of company)</t>
  </si>
  <si>
    <t>At least 55% compliance with legal and operating regulations for forest protection (by type of company)</t>
  </si>
  <si>
    <t>At least 65% compliance with legal and operating regulations for forest protection (by type of company)</t>
  </si>
  <si>
    <t>At least 80% compliance with legal and operating regulations for forest protection (by type of company)</t>
  </si>
  <si>
    <t>Habitat restoration</t>
  </si>
  <si>
    <t>Habitat degradation</t>
  </si>
  <si>
    <t>2.3.1, 2.2.4</t>
  </si>
  <si>
    <t xml:space="preserve">By 2030, the area of targeted   habitat restored is increased by at least 25% (from 187000 ha to 500000 ha) compared to the 2025 baseline.
</t>
  </si>
  <si>
    <t>Area (in hectares) of habitat restored</t>
  </si>
  <si>
    <t>Restored zones are in community forests, municipal forests, and fallow lands, and mangroves</t>
  </si>
  <si>
    <t>Restoration database (With validated analyses and report)</t>
  </si>
  <si>
    <t>Monitoring of restoration activities: recording of restored area size</t>
  </si>
  <si>
    <t>1. The private sector is willing to carry out restoration in their concessions, with the government/ law enforcement effectively monitoring</t>
  </si>
  <si>
    <t xml:space="preserve">187000 ha </t>
  </si>
  <si>
    <t>250000 Ha</t>
  </si>
  <si>
    <t>300000 Ha</t>
  </si>
  <si>
    <t>350000 Ha</t>
  </si>
  <si>
    <t>400000 Ha</t>
  </si>
  <si>
    <t>500000 Ha</t>
  </si>
  <si>
    <t>Policy interventions</t>
  </si>
  <si>
    <t>Poor law enforcement guidance on biodiversity and environmental management</t>
  </si>
  <si>
    <t>By 2030, at least two national policies/ strategies or decrees of applications on biodiversity and environmental management are enacted or reviewed with support of WWF</t>
  </si>
  <si>
    <t xml:space="preserve">Number of decrees enacted or reviewed with support of WWF
</t>
  </si>
  <si>
    <t>enacted and review is about getting a decree that supports the operationalisation of the law.</t>
  </si>
  <si>
    <t>Policy and advocacy database (With validated analyses and report)</t>
  </si>
  <si>
    <t>Policy and advocacy activities</t>
  </si>
  <si>
    <t xml:space="preserve">1. The government is willing to engage WWF and partners in the propositions, enacting and reviewing process
</t>
  </si>
  <si>
    <t>At least 02 national policies/ strategies or decrees of applications on biodiversity and environmental management are enacted or reviewed with support of WWF</t>
  </si>
  <si>
    <t>At least 03 national policies/ strategies or decrees of applications on biodiversity and environmental management are enacted or reviewed with support of WWF</t>
  </si>
  <si>
    <t>At least 04 national policies/ strategies or decrees of applications on biodiversity and environmental management are enacted or reviewed with support of WWF</t>
  </si>
  <si>
    <t>At least 05 national policies/ strategies or decrees of applications on biodiversity and environmental management are enacted or reviewed with support of WWF</t>
  </si>
  <si>
    <t>Conservation Director, Programme Managers in collaboration with MINFOF and CSOs</t>
  </si>
  <si>
    <t>Number of national policies, strategies enacted or reviewed with support of WWF</t>
  </si>
  <si>
    <t>This also includes international conventions (COPs) and national laws/decrees (NBSAP, NDC, CBD30x30).</t>
  </si>
  <si>
    <t>At least 01 national policies/ strategies or decrees of applications on biodiversity and environmental management are enacted or reviewed with support of WWF</t>
  </si>
  <si>
    <r>
      <rPr>
        <b/>
        <sz val="11"/>
        <color rgb="FF000000"/>
        <rFont val="Calibri, Arial"/>
      </rPr>
      <t xml:space="preserve">Programme Outputs
(High level)
</t>
    </r>
    <r>
      <rPr>
        <b/>
        <i/>
        <sz val="11"/>
        <color rgb="FF000000"/>
        <rFont val="Calibri, Arial"/>
      </rPr>
      <t>Refers to the non-negotiable outputs that are critical for the success of the programme, based on the Theory of Change</t>
    </r>
  </si>
  <si>
    <t>2.1.1.1</t>
  </si>
  <si>
    <t xml:space="preserve">All HCV forests in CCO targeted landscapes identified, mapped, and classified </t>
  </si>
  <si>
    <t>% of total landscape area mapped as HCV</t>
  </si>
  <si>
    <t>Extent and diversity of HCV forests recognized</t>
  </si>
  <si>
    <t>GIS maps; community workshop reports; satellite imagery</t>
  </si>
  <si>
    <t>Remote sensing analyses; participatory mapping with communities; classification per HCV categories</t>
  </si>
  <si>
    <t>Baseline + annually updates</t>
  </si>
  <si>
    <t>Assumes accurate community input; risks of misclassification, poor satellite resolution</t>
  </si>
  <si>
    <t>Number of HCVs identified per category</t>
  </si>
  <si>
    <t>2.1.1.2</t>
  </si>
  <si>
    <t xml:space="preserve">Community-validated HCV forest boundaries documented and integrated into land use plans </t>
  </si>
  <si>
    <t># of HCV forest boundaries validated</t>
  </si>
  <si>
    <t>Formal community agreement on mapped boundaries</t>
  </si>
  <si>
    <t>Signed maps</t>
  </si>
  <si>
    <t>Community workshops</t>
  </si>
  <si>
    <t>Semi-annual updates</t>
  </si>
  <si>
    <t>Assumes local government cooperation; risk of political delay or boundary disputes</t>
  </si>
  <si>
    <t xml:space="preserve"> % integrated HCV forests into municipal land-use plans</t>
  </si>
  <si>
    <t>municipal plan documents</t>
  </si>
  <si>
    <t>review of land-use plans; stakeholder interviews</t>
  </si>
  <si>
    <t>2.1.1.3</t>
  </si>
  <si>
    <t>Support is provided for all identified HCV forests to be officially gazetted or assigned protective status through titling or conservation agreements (e.g., national park, community forest, conservation concession).</t>
  </si>
  <si>
    <t># of HCV forests gazetted or in process of being gazzeted</t>
  </si>
  <si>
    <t>Movement toward formal protection</t>
  </si>
  <si>
    <t>Legal gazette notices; signed agreements; government records</t>
  </si>
  <si>
    <t>Monitoring via legal tracking; documentation review</t>
  </si>
  <si>
    <t>Quarterly; annual verification</t>
  </si>
  <si>
    <t>Assumes political will; risks include bureaucratic delays or landowner opposition</t>
  </si>
  <si>
    <r>
      <rPr>
        <sz val="11"/>
        <color rgb="FFC00000"/>
        <rFont val="Calibri"/>
        <family val="2"/>
      </rPr>
      <t>Advocacy for prioritising HCV forests in CCO targeted landscapes in municipal/regional dev't strategies done and enforced through local governance by June 2027</t>
    </r>
    <r>
      <rPr>
        <sz val="11"/>
        <color theme="1"/>
        <rFont val="Calibri"/>
        <family val="2"/>
      </rPr>
      <t xml:space="preserve">
HCV forest advocacy integrated into local dev't strategies and enforced through governance by June 2027.</t>
    </r>
  </si>
  <si>
    <t>Presence of HCV language in strategies; # of local government units endorsing</t>
  </si>
  <si>
    <t>Success in embedding HCV priorities</t>
  </si>
  <si>
    <t>Copies of strategies; meeting minutes; resolutions</t>
  </si>
  <si>
    <t>Advocacy tracking; content analysis; stakeholder interviews</t>
  </si>
  <si>
    <t>Annual review per plan update</t>
  </si>
  <si>
    <t>Assumes receptive authorities; risk of strategy being ignored or unenforced</t>
  </si>
  <si>
    <t>Functionality of community-based forest protection observatory structures supported by June 2027</t>
  </si>
  <si>
    <t># of observatories established; # active observers</t>
  </si>
  <si>
    <t>Strength and activity of community monitoring structures</t>
  </si>
  <si>
    <t>Meeting logs; observer rosters; activity reports</t>
  </si>
  <si>
    <t>Field visit verification; interview; log collection and analysis</t>
  </si>
  <si>
    <t>Biannual</t>
  </si>
  <si>
    <t>Assumes sustained community interest; risks: lack of funding, leadership, capacity</t>
  </si>
  <si>
    <t>IP&amp;LC are engaged in surveillance, reporting, and co-management with CCO support annually.</t>
  </si>
  <si>
    <t># of patrols; number of incident reports; % of incidents acted on</t>
  </si>
  <si>
    <t>Level of local engagement and effectiveness</t>
  </si>
  <si>
    <t>Patrol logs; incident database; enforcement records</t>
  </si>
  <si>
    <t>Routine data checks; qualitative interviews; performance assessments</t>
  </si>
  <si>
    <t>Monthly for patrols; Quarterly for analysis</t>
  </si>
  <si>
    <t>Assumes reliable record-keeping; risks: under-reporting, lack of response</t>
  </si>
  <si>
    <t>Sustainable IGAs, (NTFPs, ecotourism...) are functional for IP&amp;LC around HCV forests by June 2028.</t>
  </si>
  <si>
    <t># of initiatives launched; income change per household; revenue from NTFPs/tourism</t>
  </si>
  <si>
    <t>Degree of economic sustainability</t>
  </si>
  <si>
    <t>Activity reports; financial records; household surveys</t>
  </si>
  <si>
    <t>Project monitoring; household income surveys; market assessments</t>
  </si>
  <si>
    <t>Quarterly; annual income impact analysis</t>
  </si>
  <si>
    <t>Assumes market access; risks: market collapse, overharvesting, inequity</t>
  </si>
  <si>
    <t xml:space="preserve">Training and tools provided to local councils, forest officers, and judiciary on HCV protection and enforcement by June 2026 .
</t>
  </si>
  <si>
    <t># people trained; pre/post-test knowledge change; enforcement actions following training</t>
  </si>
  <si>
    <t>Quality and impact of capacity building</t>
  </si>
  <si>
    <t>Attendance sheets; test results; case records</t>
  </si>
  <si>
    <t>Training evaluations; document review; interviews</t>
  </si>
  <si>
    <t>Per training session; annual follow-up</t>
  </si>
  <si>
    <t>Assumes trained staff remain in post; risk of high turnover, insufficient resources</t>
  </si>
  <si>
    <t xml:space="preserve">Support provided to carry out annual independent audits and verification of zero conversion status and reports shared to enhance transparency and accountability
Annual independent audits and verification of zero conversion status done &amp; reports shared </t>
  </si>
  <si>
    <t># of audits completed; audit findings; public audit availability</t>
  </si>
  <si>
    <t>Transparency and compliance in HCV protection</t>
  </si>
  <si>
    <t>Audit reports; public disclosures</t>
  </si>
  <si>
    <t>Contract independent auditors; review satellite &amp; field data; publish results</t>
  </si>
  <si>
    <t>Assumes audits are unbiased; risks: insufficient audit scope, data manipulation, unread results</t>
  </si>
  <si>
    <t>1.1.2</t>
  </si>
  <si>
    <t xml:space="preserve">Spatial and statistical baseline for forest loss due to agriculture by June 2026 </t>
  </si>
  <si>
    <t xml:space="preserve">Baseline hectares of forest lost to agriculture per landscape    </t>
  </si>
  <si>
    <t>Provides a geospatial and community-validated reference for future monitoring of deforestation due to agriculture</t>
  </si>
  <si>
    <t>Satellite imagery (e.g., Sentinel, Landsat), field reports, community mapping outputs</t>
  </si>
  <si>
    <t>Remote sensing analysis cross-checked with field GPS transects and participatory rural appraisals (PRA)</t>
  </si>
  <si>
    <t>Once at start (baseline), update every 2–3 years</t>
  </si>
  <si>
    <t>Assumes access to quality satellite imagery and community engagement; risk of poor imagery/cloud cover or limited ground-truthing capacity</t>
  </si>
  <si>
    <t xml:space="preserve">Land use plans defined in CCO landscapes showing different used zones by (agricultural…) by June 2027 </t>
  </si>
  <si>
    <t xml:space="preserve">Validated landuse plans </t>
  </si>
  <si>
    <t>Resulting plan maps conservation, agriculture, and buffer zones based on consensus</t>
  </si>
  <si>
    <t>Validated land use plans; maps; minutes of validation meetings</t>
  </si>
  <si>
    <t>Participatory planning workshops, spatial mapping, stakeholder interviews, GIS digitization</t>
  </si>
  <si>
    <t>Once per landscape (plan cycle), reviewed every 3–5 years</t>
  </si>
  <si>
    <t>Assumes stakeholder buy-in; risks include conflicting land claims, lack of government recognition of plans</t>
  </si>
  <si>
    <t>Climate-smart farming promoted via training on agroforestry, composting, soil mgt by June 2027</t>
  </si>
  <si>
    <t xml:space="preserve"> # of farmers trained (sex disaggregated)   </t>
  </si>
  <si>
    <t>Builds capacity for sustainable agriculture to reduce pressure on forests</t>
  </si>
  <si>
    <t>Training attendance records; demo plot reports; farmer follow-up surveys</t>
  </si>
  <si>
    <t>Training logs; follow-up visits; adoption surveys; yield comparisons</t>
  </si>
  <si>
    <t>Quarterly reporting; annual outcome survey</t>
  </si>
  <si>
    <t>Assumes interest from farmers; risks: low adoption due to cost/labor, weak extension support</t>
  </si>
  <si>
    <t>CFP: 01 community (IP) I supported in organic crop farming</t>
  </si>
  <si>
    <t>Livelihood diversification programs supported (beekeeping, fish farming, NTFPs) by June 2027.</t>
  </si>
  <si>
    <t xml:space="preserve"># and type of functional programs </t>
  </si>
  <si>
    <t>Alternative income sources reduce reliance on forest conversion</t>
  </si>
  <si>
    <t>Program records; household income surveys; market access reports</t>
  </si>
  <si>
    <t>Household interviews, income tracking, beneficiary focus groups</t>
  </si>
  <si>
    <t>Bi-annually; full outcome assessment annually</t>
  </si>
  <si>
    <t>Assumes viable markets and climate-resilient value chains; risks: market failure, unsustainable resource use</t>
  </si>
  <si>
    <t xml:space="preserve">CFP: 02 honey production groups (Mborors and TOCODEC)supported
01 NTFP cooperative supported </t>
  </si>
  <si>
    <t>Coordination among sectors (agric, environment, IP&amp;LC…) improved annually through MSP in CCO landscapes</t>
  </si>
  <si>
    <t xml:space="preserve"># of joint decisions/actions carried out   </t>
  </si>
  <si>
    <t>Facilitates integrated decision-making and enforcement across sectors</t>
  </si>
  <si>
    <t>MSP meeting minutes; MOUs; joint action reports</t>
  </si>
  <si>
    <t>Stakeholder analysis, meeting documentation review, interviews</t>
  </si>
  <si>
    <t>Quarterly meetings; annual coordination assessment</t>
  </si>
  <si>
    <t>Assumes consistent participation and alignment of interests; risk of institutional silos or competing mandates</t>
  </si>
  <si>
    <t>Support provided to real-time monitoring of forest clearance for agriculture in CCO targeted landscapes through local forest surveillance groups</t>
  </si>
  <si>
    <t># of monitoring actions done</t>
  </si>
  <si>
    <t>Community surveillance detects and reports illegal agricultural expansion</t>
  </si>
  <si>
    <t>Alert logs; verification and enforcement records; GPS-tagged incident reports</t>
  </si>
  <si>
    <t>Use of mobile reporting tools; verification by field agents; incident mapping</t>
  </si>
  <si>
    <t>Continuous collection; monthly consolidation</t>
  </si>
  <si>
    <t>Assumes strong local motivation; risks include poor connectivity, fear of reprisal, or lack of enforcement</t>
  </si>
  <si>
    <t>Independent verification of forest cover change and tracking of hectares cleared vs. 2025 baseline and adaptive planning adjustments.</t>
  </si>
  <si>
    <t xml:space="preserve">Annual forest loss (ha)   </t>
  </si>
  <si>
    <t>Ensures objective tracking and allows for data-informed response</t>
  </si>
  <si>
    <t>Independent satellite analysis reports; planning revision documents</t>
  </si>
  <si>
    <t>Use external audit firms or academic institutions for satellite change detection; compare to baseline</t>
  </si>
  <si>
    <t>Assumes timely access to quality data; risks: bias in verification, limited uptake of recommendations in planning</t>
  </si>
  <si>
    <t>By 2030, at least 80% of targeted famers in the CCO supported landscapes implement  nature-positive agricultural practices  relative to 2025 baseline</t>
  </si>
  <si>
    <t>A detailed survey conducted to document existing agricultural practices &amp; challenges by June 2026.</t>
  </si>
  <si>
    <t xml:space="preserve">Baseline survey, completed </t>
  </si>
  <si>
    <t>Proportion of farmers participating</t>
  </si>
  <si>
    <t>Completed survey forms, attendance lists</t>
  </si>
  <si>
    <t>Administer structured questionnaires; hire enumerators/trainers; analyze data in Excel/SPSS</t>
  </si>
  <si>
    <t>One-time (baseline), repeat midline if needed</t>
  </si>
  <si>
    <t>Assumes honest participation, accurate recall; risk of low response rate or sampling bias</t>
  </si>
  <si>
    <t>Annual training provided on best agricultural practices (e.g., agroforestry, soil conservation, composting, water efficiency).</t>
  </si>
  <si>
    <t xml:space="preserve"> # of farmers trained who are using the acquired skills</t>
  </si>
  <si>
    <t>Tracks training reach</t>
  </si>
  <si>
    <t>Attendance sheets, training reports, photos</t>
  </si>
  <si>
    <t>Monitor sessions, pre/post tests to assess learning; summary reports</t>
  </si>
  <si>
    <t>Quarterly or bi‑monthly (depending on program schedule)</t>
  </si>
  <si>
    <t>Assumes attendance equals engagement; risk that training quality varies</t>
  </si>
  <si>
    <t>Demo plots established to show practical application of improved practices and encourage peer-to-peer learning by June 2027.</t>
  </si>
  <si>
    <t># of demo plots showing expected benefits</t>
  </si>
  <si>
    <t>Tracks establishment and performance</t>
  </si>
  <si>
    <t>Field visit logs, geo-tags/photos, yield measurements</t>
  </si>
  <si>
    <t>Technical staff record locations, take photos, collect baseline/endline data; yield comparison vs. control</t>
  </si>
  <si>
    <t>Ongoing field visits; yield comparison at end of season</t>
  </si>
  <si>
    <t>Assumes consistency in plot management; risks: weather variability, plot mismanagement</t>
  </si>
  <si>
    <t xml:space="preserve">A network of local trainers, “model farmers,” or community facilitators trained by June 2027 to mentor others.
</t>
  </si>
  <si>
    <t># of local facilitators trained and are actively mentoring others</t>
  </si>
  <si>
    <t>Tracks capacity building</t>
  </si>
  <si>
    <t>Training attendance records; facilitator activity logs/yearly reports</t>
  </si>
  <si>
    <t>Training records + mentoring activity forms; maybe spot audits of facilitated sessions</t>
  </si>
  <si>
    <t>Training session end; quarterly for mentoring activity</t>
  </si>
  <si>
    <t>Assumes mentors are willing and available; risk of attrition or inadequate support</t>
  </si>
  <si>
    <t>Farmers are supported annually with distribution or subsidized access to quality materials &amp; tools</t>
  </si>
  <si>
    <t># of farmers who received inputs and are using them correctly</t>
  </si>
  <si>
    <t>Measures distribution &amp; usage</t>
  </si>
  <si>
    <t>Distribution receipts, farmer self-report, field checks</t>
  </si>
  <si>
    <t>Maintain stock &amp; distribution logs; conduct follow-up visits; spot checks; sample crop quality</t>
  </si>
  <si>
    <t>Per distribution cycle (seasonally)</t>
  </si>
  <si>
    <t>Assumes supply chain integrity; risk of misallocation or misuse</t>
  </si>
  <si>
    <t>Facilitate links between suppliers and farmer cooperatives annually.</t>
  </si>
  <si>
    <t xml:space="preserve"># of formal supplier–cooperative agreements; </t>
  </si>
  <si>
    <t>Tracks linkage success</t>
  </si>
  <si>
    <t>Signed MOUs, transaction receipts, invoices</t>
  </si>
  <si>
    <t>Record agreements; collect transaction data; interview cooperatives</t>
  </si>
  <si>
    <t>Bi‑annual</t>
  </si>
  <si>
    <t>Assumes supplier reliability; risk of contracts not honored or low demand</t>
  </si>
  <si>
    <t>Awareness and behaviour change campaigns conducted annually with use of community radio, posters, mobile messaging, and exchange visits to promote adoption of best practices.</t>
  </si>
  <si>
    <t># of target audience reached with campaigns/messages d</t>
  </si>
  <si>
    <t>Measures communication effectiveness</t>
  </si>
  <si>
    <t>Radio logs, poster distribution records, SMS logs; KAP survey results</t>
  </si>
  <si>
    <t>Monitor radio airtime, poster distribution; conduct pre/post awareness surveys</t>
  </si>
  <si>
    <t>Per campaign cycle</t>
  </si>
  <si>
    <t>Assumes media reaches target; risk of message misinterpretation or limited reach in remote areas</t>
  </si>
  <si>
    <t>A tracking system to monitor which farmers have adopted which practices jointly adopted &amp; used annually</t>
  </si>
  <si>
    <t>Functional tracking system</t>
  </si>
  <si>
    <t>Tracks uptake</t>
  </si>
  <si>
    <t>Digital entries, field forms, system logs</t>
  </si>
  <si>
    <t>Use mobile forms/apps or paper system collated digitally; analyze by practice by region</t>
  </si>
  <si>
    <t>Monthly or quarterly</t>
  </si>
  <si>
    <t>Assumes tech functionality and farmer honesty; risks: data gaps, system downtime, staff capacity issues</t>
  </si>
  <si>
    <t>Farmers’ uptake and impact reviewed to facilitate re-training or adaptation of approaches based on farmer feedback and observed challenges</t>
  </si>
  <si>
    <t># farms showing improved yields/practices</t>
  </si>
  <si>
    <t>Evaluates effectiveness and impact</t>
  </si>
  <si>
    <t>Annual review reports, yield records, farmer testimonies, photos</t>
  </si>
  <si>
    <t>Analyze tracking system + yield data + qualitative interviews; compute improvements over baseline</t>
  </si>
  <si>
    <t>Annual</t>
  </si>
  <si>
    <t>Assumes consistent capture of baseline data; risk of external factors influencing yield</t>
  </si>
  <si>
    <t>Yearly reviews to assess farmers’ uptake and impact carried out to facilitate re-training or adaptation of approaches based on farmer feedback and observed challenges</t>
  </si>
  <si>
    <t>Local Agricultural Platforms and Cooperatives strengthened annually through support to farmers to organize themselves in cooperatives or local platforms for shared learning and access to inputs/markets.</t>
  </si>
  <si>
    <t># of farmers engaged in cooperatives/platforms revenue</t>
  </si>
  <si>
    <t>Measures organizational resilience</t>
  </si>
  <si>
    <t>Registration documents, meeting minutes, financial statements</t>
  </si>
  <si>
    <t>Monitor membership lists + meeting attendance; review financial records; conduct qualitative assessments</t>
  </si>
  <si>
    <t>Bi‑annual or annual</t>
  </si>
  <si>
    <t>Assumes record keeping; risk of poor governance or external competitiveness</t>
  </si>
  <si>
    <t>Baseline established for all supported community forests, assessing current governance, harvesting practices, and forest condition and benchmarks set for measuring improvement over time by June 2025</t>
  </si>
  <si>
    <t># of supported community forests with completed baseline assessments</t>
  </si>
  <si>
    <t>Measures whether all targeted forests have a baseline capturing governance, harvesting, and forest condition</t>
  </si>
  <si>
    <t>Baseline reports, field assessment forms, GIS maps, meeting minutes</t>
  </si>
  <si>
    <t>Field surveys, remote sensing, stakeholder interviews, participatory rural appraisals</t>
  </si>
  <si>
    <t>One-time in 2025</t>
  </si>
  <si>
    <t>Assumes access to all sites and collaboration from communities; risk of logistical delays due to remoteness or seasonal constraints</t>
  </si>
  <si>
    <t>All CCO supported CFs have up-to-date, legally approved SMPs aligned with national forest regulations and sustainable use standards and in its implementation by Dec 2027</t>
  </si>
  <si>
    <t># of community forests with SMPs legally approved and under active implementation</t>
  </si>
  <si>
    <t>Tracks legal and operational compliance with sustainable forest management plans</t>
  </si>
  <si>
    <t>Approved SMPs, implementation reports, regulatory authority records, community reports</t>
  </si>
  <si>
    <t>Review of SMP documents, interviews with stakeholders, site visits to verify implementation</t>
  </si>
  <si>
    <t>Assumes legal frameworks are clear and approvals are timely; risk of bureaucratic delays or limited implementation capacity</t>
  </si>
  <si>
    <t>Annual training &amp; tailored guides provided to CF management committees on best practices including legal compliance; reduced-impact logging; monitoring and reporting and financial management and benefit sharing.</t>
  </si>
  <si>
    <t># of committee members trained who are demonstrating knowledge/skills acquired</t>
  </si>
  <si>
    <t>Measures training effectiveness in legal compliance, logging, monitoring, and benefit-sharing</t>
  </si>
  <si>
    <t>Training reports, attendance sheets, pre/post-training test results</t>
  </si>
  <si>
    <t>Pre/post knowledge tests, feedback forms, trainer debriefs</t>
  </si>
  <si>
    <t>After each training session; summary semi-annually</t>
  </si>
  <si>
    <t>Assumes regular participation of committee members; risk of staff turnover or low literacy levels</t>
  </si>
  <si>
    <t>An independent and transparent monitoring system implemented by June 2026 to assess compliance with management plans; forest health indicators; and community satisfaction and revenue distribution</t>
  </si>
  <si>
    <t># of forests monitored with compliant/SMPs</t>
  </si>
  <si>
    <t>Assesses compliance with plans, forest health, revenue distribution, and satisfaction</t>
  </si>
  <si>
    <t>Independent audit reports, biodiversity survey results, community satisfaction data</t>
  </si>
  <si>
    <t>Field audits, satellite monitoring, surveys, analysis of financial and ecological indicators</t>
  </si>
  <si>
    <t>Semi-annually or annually</t>
  </si>
  <si>
    <t>Assumes independence of monitoring system; risk of manipulation or lack of community trust in process</t>
  </si>
  <si>
    <t>Revenue management and benefit-sharing systems operational by June 2026</t>
  </si>
  <si>
    <t xml:space="preserve">Number of  benefit-sharing mechanisms being operationalised. </t>
  </si>
  <si>
    <t>Measures functionality and equity of benefit-sharing arrangements</t>
  </si>
  <si>
    <t>Financial ledgers, payment records, distribution agreements, community meeting notes</t>
  </si>
  <si>
    <t>Document review, community validation meetings, participatory budget tracking tools</t>
  </si>
  <si>
    <t>Quarterly or biannually depending on revenue cycle</t>
  </si>
  <si>
    <t>Assumes transparent and inclusive financial management; risk of elite capture or misuse of funds</t>
  </si>
  <si>
    <t>Supported CFs members participate in annual exchange events to learn from one another and replicate good practices</t>
  </si>
  <si>
    <t># of CFs members represented in exchange events</t>
  </si>
  <si>
    <t>Measures peer learning and replication of good forest management practices</t>
  </si>
  <si>
    <t>Event reports, participant lists, post-event surveys, documentation of adoption</t>
  </si>
  <si>
    <t>Surveys and interviews with participants, case study documentation</t>
  </si>
  <si>
    <t>Assumes funding and interest for participation; risk of limited follow-through or low adoption rate of new practices</t>
  </si>
  <si>
    <t>Forest Protection</t>
  </si>
  <si>
    <t>Baseline compliance assessment completed for targeted companies operating around CCO landscapes with a thorough multi-sector audit of current legal compliance by companies operating in forestry, mining, and agriculture by end of June 2026</t>
  </si>
  <si>
    <t># of companies assessed and baseline established</t>
  </si>
  <si>
    <t>Establishes baseline legal compliance and gaps across sectors</t>
  </si>
  <si>
    <t>Baseline audit reports, site visit logs, company documentation</t>
  </si>
  <si>
    <t>Field audits, legal document review, stakeholder interviews, GIS checks</t>
  </si>
  <si>
    <t>One-time at start of program</t>
  </si>
  <si>
    <t>Assumes company and agency cooperation; risk of data withholding or limited access to sites</t>
  </si>
  <si>
    <t xml:space="preserve">Targeted training and capacity building for private sector companies conducted by June 2026 (Environmental law, REDD+ safeguards, forestry and wildlife regulations, permit and reporting obligations) </t>
  </si>
  <si>
    <t># of companies/individuals trained</t>
  </si>
  <si>
    <t>Evaluates private sector understanding of legal responsibilities</t>
  </si>
  <si>
    <t>Training attendance lists, pre/post assessments, feedback forms</t>
  </si>
  <si>
    <t>Training evaluations, knowledge tests, qualitative feedback</t>
  </si>
  <si>
    <t>Per training cycle (semi-annually or quarterly)</t>
  </si>
  <si>
    <t>Assumes trainee availability and engagement; risk of high staff turnover in companies</t>
  </si>
  <si>
    <t>Support provided for annual independent compliance audits to be conducted for targeted companies of CCO supported landscapes</t>
  </si>
  <si>
    <t xml:space="preserve"># of companies audited with compliance standards </t>
  </si>
  <si>
    <t>Tracks annual legal compliance of targeted companies</t>
  </si>
  <si>
    <t>Independent audit reports, legal review findings, stakeholder testimonies</t>
  </si>
  <si>
    <t>Desk and field audits, document review, third-party verification</t>
  </si>
  <si>
    <t>Assumes availability of qualified auditors; risk of biased findings or non-cooperation</t>
  </si>
  <si>
    <t>Grievance Redress Mechanisms (GRM) and Whistleblower are operational to track violations or illegal activities of the private sector companies by December 2027</t>
  </si>
  <si>
    <t>Mechanism functional with information</t>
  </si>
  <si>
    <t>Monitors accountability through citizen and employee reporting channels</t>
  </si>
  <si>
    <t>Grievance logs, resolution reports, hotline/email records</t>
  </si>
  <si>
    <t>Grievance database analysis, resolution time tracking, trend analysis</t>
  </si>
  <si>
    <t>Continuous, with reports compiled quarterly or annually</t>
  </si>
  <si>
    <t>Assumes mechanism is trusted and accessible; risk of retaliation, underreporting, or false claims</t>
  </si>
  <si>
    <t>MSPs are functional for dialogue between companies, government agencies, and IP&amp;LC as well as for shared understanding of laws, conflict resolution, and accountability by June 2030</t>
  </si>
  <si>
    <t># of MSP meetings held with representativeness</t>
  </si>
  <si>
    <t>Assesses level of engagement and effectiveness of multi-stakeholder platforms (MSPs)</t>
  </si>
  <si>
    <t>MSP meeting minutes, action plans, attendance records, conflict resolution logs</t>
  </si>
  <si>
    <t>Observation, qualitative evaluation of meeting outcomes, stakeholder surveys</t>
  </si>
  <si>
    <t>Quarterly or biannually</t>
  </si>
  <si>
    <t>Assumes willingness to participate; risk of dominance by powerful actors, lack of consensus</t>
  </si>
  <si>
    <t>WWF partner CSOs are working with the private sector to  operationalise a compliance monitoring and reporting system annually</t>
  </si>
  <si>
    <t># of systems developed and operational</t>
  </si>
  <si>
    <t>Measures CSO engagement in holding companies accountable</t>
  </si>
  <si>
    <t>Support agreements, system documentation, reporting logs</t>
  </si>
  <si>
    <t>Review of reporting tools, interviews with CSOs and companies, progress tracking</t>
  </si>
  <si>
    <t>Biannually or annually</t>
  </si>
  <si>
    <t>Assumes CSOs have technical capacity and trust; risk of conflict with companies, underfunding</t>
  </si>
  <si>
    <t>By 2030, the area of targeted   habitat restored is increased by at least 25% compared to the 2025 baseline.</t>
  </si>
  <si>
    <t>Degraded areas in CCO landscapes  are identified, classified, and georeferenced by June 2026 and baseline restoration area defined for monitoring future gains for all targeted CCO landscapes</t>
  </si>
  <si>
    <t># of landscapes with georeferenced baseline on degraded areas</t>
  </si>
  <si>
    <t>Establishes the baseline for future monitoring of restoration progress</t>
  </si>
  <si>
    <t>GIS maps, remote sensing data, field survey reports, classification records</t>
  </si>
  <si>
    <t>Participatory mapping, GPS tagging, habitat condition assessments, satellite imagery analysis</t>
  </si>
  <si>
    <t>One-time baseline, with updates every 3–5 years</t>
  </si>
  <si>
    <t>Assumes access to full landscape and skilled GIS staff; risk of data inaccuracy due to poor imagery or seasonal visibility</t>
  </si>
  <si>
    <t>Site-specific ecological restoration plans are participatorily developed by June 2026 in consultation with communities and technical experts to ensure they include native species selection, planting design, soil stabilization, and fire prevention strategies</t>
  </si>
  <si>
    <t># of site-specific plans developed and approved</t>
  </si>
  <si>
    <t>Ensures restoration plans reflect ecological needs and community priorities</t>
  </si>
  <si>
    <t>Approved plans, meeting minutes, expert reviews, community validation reports</t>
  </si>
  <si>
    <t>Joint planning workshops, ecological assessments, stakeholder consultations</t>
  </si>
  <si>
    <t>Per site/landscape, once before restoration begins</t>
  </si>
  <si>
    <t>Assumes stakeholder availability and alignment of priorities; risk of delays due to lack of consensus</t>
  </si>
  <si>
    <t>Annual support provided for the creation and use of community tree nurseries and seed banks</t>
  </si>
  <si>
    <t># of nurseries and seed banks with diverse native species established</t>
  </si>
  <si>
    <t>Tracks infrastructure and access to native planting materials</t>
  </si>
  <si>
    <t>Nursery establishment records, inventory logs, seedling survival data</t>
  </si>
  <si>
    <t>Field inspections, seed stock documentation, germination and viability tests</t>
  </si>
  <si>
    <t>Biannually</t>
  </si>
  <si>
    <t>Assumes access to native seeds and technical support; risk of low seed viability or climate-related nursery failures</t>
  </si>
  <si>
    <t>Annual FLR activities implemented by local actors in all CCO targeted landscapes</t>
  </si>
  <si>
    <t xml:space="preserve"># of hectares restored in targeted degraded areas. </t>
  </si>
  <si>
    <t>Monitors actual restoration work on the ground by communities</t>
  </si>
  <si>
    <t>Field activity reports, planting logs, site photos, contracts with local actors</t>
  </si>
  <si>
    <t>GPS mapping, field observations, community reporting, time-series photo documentation</t>
  </si>
  <si>
    <t>Quarterly or seasonal (aligned with planting cycles)</t>
  </si>
  <si>
    <t>Assumes suitable planting seasons and community engagement; risks include fire, drought, or seedling mortality</t>
  </si>
  <si>
    <t xml:space="preserve">Training and technical support provided to IP&amp;LC and targeted stakeholders on FLR by Dec 2026 </t>
  </si>
  <si>
    <t># of people trained; % reporting increased capacity</t>
  </si>
  <si>
    <t>Measures capacity-building in restoration, monitoring, and fire management</t>
  </si>
  <si>
    <t>Training attendance records, pre/post-training assessments, feedback surveys</t>
  </si>
  <si>
    <t>Training evaluations, follow-up surveys, qualitative feedback</t>
  </si>
  <si>
    <t>Per training session; results aggregated semi-annually</t>
  </si>
  <si>
    <t>Assumes literacy levels allow training absorption; risk of low retention or lack of access to tools for implementation</t>
  </si>
  <si>
    <t>Annual joint monitoring system for restored habitats operational to track survival rates, species diversity, canopy cover, and soil quality.</t>
  </si>
  <si>
    <t xml:space="preserve"> % of restored areas tracked for key indicators (e.g., survival rate, soil quality)</t>
  </si>
  <si>
    <t>Ensures systematic tracking of ecological recovery</t>
  </si>
  <si>
    <t>Monitoring reports, field data sheets, biodiversity assessments, soil and canopy measurements</t>
  </si>
  <si>
    <t>Standardized data collection protocols (transects, quadrats), soil testing, photographic monitoring</t>
  </si>
  <si>
    <t>Assumes sustained community involvement and data reliability; risk of tool breakdown, data loss or inconsistent methodologies</t>
  </si>
  <si>
    <t xml:space="preserve">Annual exchange visits, policy dialogues, and documentation of lessons learned supported in all targeted CCO landscapes to replicate and scale successful models </t>
  </si>
  <si>
    <t># of exchange visits/events held</t>
  </si>
  <si>
    <t>Promotes peer learning, policy engagement, and replication of successful models</t>
  </si>
  <si>
    <t>Event reports, participant feedback, documentation of practices, policy briefs</t>
  </si>
  <si>
    <t>Participant surveys, documentation review, qualitative case studies</t>
  </si>
  <si>
    <t>Assumes interest and funding for participation; risk of low implementation of shared practices or lack of policy uptake</t>
  </si>
  <si>
    <t>Comprehensive review of existing environmental and biodiversity policies, laws, and decrees carried out annually with priority areas for reform, alignment with international commitments (e.g. CBD, Paris Agreement), and implementation bottlenecks flagged out.</t>
  </si>
  <si>
    <t xml:space="preserve"># of policy/law reviews completed; </t>
  </si>
  <si>
    <t>Assesses legal frameworks’ alignment with international standards (CBD, Paris Agreement) and flags reform priorities</t>
  </si>
  <si>
    <t>Policy review report, stakeholder consultation minutes, comparative legal analysis</t>
  </si>
  <si>
    <t>Desk review, stakeholder interviews, comparative legal analysis matrix</t>
  </si>
  <si>
    <t>One-time (with periodic updates every 3–5 years)</t>
  </si>
  <si>
    <t>Assumes access to all relevant legal documents; risk of political sensitivity or reluctance to disclose gaps</t>
  </si>
  <si>
    <t>CCO is fully engaged annually in all policies making platforms to table concerns related inclusive conservation.</t>
  </si>
  <si>
    <t># of policy platforms CCO participated in</t>
  </si>
  <si>
    <t>Measures CCO’s presence and influence in key national and sub-national policy processes</t>
  </si>
  <si>
    <t>Meeting records, policy platform rosters, adopted input records</t>
  </si>
  <si>
    <t>Participation tracking, feedback from policy actors, outcome mapping</t>
  </si>
  <si>
    <t>Quarterly or per meeting cycle</t>
  </si>
  <si>
    <t>Assumes consistent invitations and active engagement space; risk of tokenistic participation or political exclusion</t>
  </si>
  <si>
    <t>CCO partners annually with CSOs, networks and  related partners  for a  coalition and synergy in policy influencing.</t>
  </si>
  <si>
    <t># of CSO coalitions formed/engaged with joint actions undertaken</t>
  </si>
  <si>
    <t>Assesses level of collaboration and joint advocacy with CSOs</t>
  </si>
  <si>
    <t>Partnership MOUs, joint advocacy statements, coalition meeting minutes</t>
  </si>
  <si>
    <t>Stakeholder mapping, qualitative assessments of coalition effectiveness</t>
  </si>
  <si>
    <t>Assumes aligned agendas among CSOs; risk of fragmentation or competition within the coalition</t>
  </si>
  <si>
    <t>Support provided to draft or revise at least two legal/policy instruments annually (e.g., National Biodiversity Strategy, Forest Law Decree of Application).</t>
  </si>
  <si>
    <t># of draft or revised instruments submitted</t>
  </si>
  <si>
    <t>Measures direct technical contribution to legal reform (e.g., forest laws, biodiversity strategies)</t>
  </si>
  <si>
    <t>Draft policies, legal briefs, technical submissions, correspondence with ministries</t>
  </si>
  <si>
    <t>Document review, technical quality assessment, tracking from draft to approval</t>
  </si>
  <si>
    <t>Milestone-based (as each legal instrument progresses)</t>
  </si>
  <si>
    <t>Assumes political will and technical openness to external input; risk of delays in legislative processes</t>
  </si>
  <si>
    <t>High-level advocacy and policy dialogue facilitated through engagement with related ministries, parliament... annually, inter-ministerial commissions, the Prime Minister’s Office to secure buy-in and support for approval/enactment of related conservation policies .</t>
  </si>
  <si>
    <t># of high-level meetings/dialogues held</t>
  </si>
  <si>
    <t>Measures engagement with decision-makers and influence on approval of conservation policies</t>
  </si>
  <si>
    <t>Meeting agendas, commitment letters, policy statements</t>
  </si>
  <si>
    <t>Event documentation, policy outcome tracing, participant interviews</t>
  </si>
  <si>
    <t>Quarterly or as per advocacy campaign calendar</t>
  </si>
  <si>
    <t>Assumes access to high-level stakeholders; risk of shifting political priorities or leadership changes</t>
  </si>
  <si>
    <t>Technical briefs, policy notes, and strategic documents produced annually to serve as lobbying and advocacy documents.</t>
  </si>
  <si>
    <t># of documents produced and disseminated</t>
  </si>
  <si>
    <t>Tracks evidence-based advocacy outputs supporting policy reform</t>
  </si>
  <si>
    <t>Technical/policy documents, dissemination logs, citation tracking</t>
  </si>
  <si>
    <t>Quality assurance review, document usage interviews, digital metrics</t>
  </si>
  <si>
    <t>Per document; aggregated annually</t>
  </si>
  <si>
    <t>Assumes documents are accessible and influential; risk of low uptake or overly technical content</t>
  </si>
  <si>
    <t>Communication and awareness campaign on policy reform annually carried out to inform the public, stakeholders, and media about the policy reform process and goals.</t>
  </si>
  <si>
    <t># of communication materials/events produced and shared</t>
  </si>
  <si>
    <t>Measures public and stakeholder awareness of reform processes and objectives</t>
  </si>
  <si>
    <t>Campaign media (radio, TV, social media), event reports, media tracking</t>
  </si>
  <si>
    <t>Media analytics, public surveys, feedback forms</t>
  </si>
  <si>
    <t>Ongoing during campaign period; reported quarterly</t>
  </si>
  <si>
    <t>Assumes media reach and public interest; risk of misinformation or low stakeholder engagement</t>
  </si>
  <si>
    <t>Tools and indicators developed to track post-enactment implementation, enforcement, and alignment with biodiversity and climate goals by June 2027 .</t>
  </si>
  <si>
    <t xml:space="preserve"># of monitoring tools/indicators developed and piloted; </t>
  </si>
  <si>
    <t>Measures post-policy enactment tracking of implementation and compliance</t>
  </si>
  <si>
    <t>Monitoring tools, user training records, institutional reports</t>
  </si>
  <si>
    <t>Tool validation workshops, institutional interviews, pilot results</t>
  </si>
  <si>
    <t>After policy enactment; updated annually or biannually</t>
  </si>
  <si>
    <t>Assumes institutional capacity and willingness to adopt tools; risk of non-use due to lack of enforcement mechanisms</t>
  </si>
  <si>
    <t>Output number</t>
  </si>
  <si>
    <t>Output Statement</t>
  </si>
  <si>
    <t>FY26 Cost</t>
  </si>
  <si>
    <t>FY27 Cost</t>
  </si>
  <si>
    <t>FY28 Cost</t>
  </si>
  <si>
    <t>FY29 Cost</t>
  </si>
  <si>
    <t>FY30 Cost</t>
  </si>
  <si>
    <t>Total Output Cost + Management fee</t>
  </si>
  <si>
    <t>Current Project (CPM Project #)</t>
  </si>
  <si>
    <t xml:space="preserve">Target Funding Source </t>
  </si>
  <si>
    <t>Please enter the FY of planned Annual Results. It should capture the full length of the OSP.</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</si>
  <si>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programme outputs can be estimated, which will be used to estimate the cost of total OSP implementation and the development of the financial plan.  
Please make sure to include activities related to M&amp;E, ESSF and other risk mitigation, etc. 
"Please indicate the type of activities:
- Programmatic
- Innovation (ideation &amp; prototyping &amp; scale up)
- M&amp;E and Research
- Risk mitigation/management (including ESSF)
</t>
  </si>
  <si>
    <t xml:space="preserve">If the activity is already funded, please indicate the relevant CPM number(s). </t>
  </si>
  <si>
    <t xml:space="preserve">If there is a funding gap and have prospective funding sources, please indicate the source. </t>
  </si>
  <si>
    <t>All HCV forests in CCO targeted landscapes identified, mapped, and classified by June 2026</t>
  </si>
  <si>
    <t>Community-validated HCV forest boundaries documented and integrated into land use plans by June 2027</t>
  </si>
  <si>
    <t>Support provided for all identified HCV forests to be officially gazetted or assigned protective status through titling or conservation agreements (e.g., national park, community forest, conservation concession).</t>
  </si>
  <si>
    <t>Advocacy for prioritising HCV forests in CCO targeted landscapes in municipal/regional dev't strategies done and enforced through local governance by June 2027
HCV forest advocacy integrated into local dev't strategies and enforced through governance by June 2027.</t>
  </si>
  <si>
    <t>TOTAL ANNUAL BUDGET FOR HCV FOREST MANAGEMENT</t>
  </si>
  <si>
    <t>Demo plots established by June 2027 to show practical application of improved practices and encourage peer-to-peer learning.</t>
  </si>
  <si>
    <t>ANNUAL TOTAL BUDGET FOR NATURE POSITIVE AGRICULTURAL PRACTICES</t>
  </si>
  <si>
    <t>ANNUAL TOTAL BUDGET FOR CF MANAGEMENT</t>
  </si>
  <si>
    <t>Baseline compliance assessment completed for targeted companies operating around CCO landscapes with a thorough multi-sector audit of current legal compliance by companies operating in forestry, mining, and agriculture by June 2026</t>
  </si>
  <si>
    <t>ANNUAL TOTAL BUDGET FOR LOGGING COMPANIES AND BIG INVESTMENT PROJECT COMPLIANCE</t>
  </si>
  <si>
    <t>Training and technical support provided to IP&amp;LC and targeted stakeholders on FLR by Dec 2026 (habitat restoration techniques, biodiversity monitoring, fire management, and maintenance of restored areas).</t>
  </si>
  <si>
    <t>ANNUAL TOTAL BUDGET FOR FLR</t>
  </si>
  <si>
    <t>ANNUAL TOTAL BUDGET FOR  POLICIES AND ADVOCACY</t>
  </si>
  <si>
    <t>Total Annual Cost + Management Fee</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</si>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</sst>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47">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b/>
      <sz val="11"/>
      <color rgb="FFFFFFFF"/>
      <name val="Calibri"/>
      <family val="2"/>
    </font>
    <font>
      <sz val="11"/>
      <color theme="1"/>
      <name val="Calibri"/>
      <family val="2"/>
    </font>
    <font>
      <b/>
      <sz val="11"/>
      <color theme="1"/>
      <name val="Calibri"/>
      <family val="2"/>
    </font>
    <font>
      <b/>
      <sz val="11"/>
      <color rgb="FF000000"/>
      <name val="Calibri"/>
      <family val="2"/>
    </font>
    <font>
      <b/>
      <i/>
      <sz val="10"/>
      <color rgb="FF980000"/>
      <name val="Arial"/>
      <family val="2"/>
    </font>
    <font>
      <i/>
      <u/>
      <sz val="10"/>
      <color rgb="FF1155CC"/>
      <name val="Arial"/>
      <family val="2"/>
    </font>
    <font>
      <b/>
      <sz val="10"/>
      <color rgb="FFFF0000"/>
      <name val="Arial"/>
      <family val="2"/>
    </font>
    <font>
      <i/>
      <sz val="10"/>
      <color rgb="FFFF0000"/>
      <name val="Arial"/>
      <family val="2"/>
    </font>
    <font>
      <b/>
      <sz val="11"/>
      <color rgb="FF000000"/>
      <name val="Calibri, Arial"/>
    </font>
    <font>
      <b/>
      <i/>
      <sz val="11"/>
      <color rgb="FF000000"/>
      <name val="Calibri, Arial"/>
    </font>
    <font>
      <sz val="10"/>
      <color rgb="FF000000"/>
      <name val="Arial"/>
      <family val="2"/>
      <scheme val="minor"/>
    </font>
    <font>
      <sz val="8"/>
      <name val="Arial"/>
      <family val="2"/>
      <scheme val="minor"/>
    </font>
    <font>
      <sz val="11"/>
      <color rgb="FF000000"/>
      <name val="Calibri"/>
      <family val="2"/>
    </font>
    <font>
      <b/>
      <sz val="10"/>
      <name val="Arial"/>
      <family val="2"/>
    </font>
    <font>
      <sz val="10"/>
      <color rgb="FF000000"/>
      <name val="Arial"/>
      <family val="2"/>
    </font>
    <font>
      <sz val="11"/>
      <color rgb="FF000000"/>
      <name val="Calibri"/>
      <family val="2"/>
      <charset val="1"/>
    </font>
    <font>
      <b/>
      <sz val="10"/>
      <color rgb="FFFF0000"/>
      <name val="Arial"/>
      <family val="2"/>
      <scheme val="minor"/>
    </font>
    <font>
      <sz val="10"/>
      <name val="Arial"/>
      <family val="2"/>
      <scheme val="minor"/>
    </font>
    <font>
      <sz val="10"/>
      <color rgb="FFC00000"/>
      <name val="Arial"/>
      <family val="2"/>
    </font>
    <font>
      <b/>
      <sz val="11"/>
      <color rgb="FFC00000"/>
      <name val="Calibri"/>
      <family val="2"/>
    </font>
    <font>
      <sz val="11"/>
      <color rgb="FFC00000"/>
      <name val="Calibri"/>
      <family val="2"/>
    </font>
    <font>
      <sz val="10"/>
      <color rgb="FFC00000"/>
      <name val="Arial"/>
      <family val="2"/>
      <scheme val="minor"/>
    </font>
    <font>
      <b/>
      <sz val="11"/>
      <name val="Calibri"/>
      <family val="2"/>
    </font>
    <font>
      <sz val="11"/>
      <name val="Calibri"/>
      <family val="2"/>
    </font>
    <font>
      <b/>
      <sz val="11"/>
      <color rgb="FFC00000"/>
      <name val="Arial"/>
      <family val="2"/>
      <scheme val="minor"/>
    </font>
    <font>
      <b/>
      <sz val="12"/>
      <color rgb="FF00B050"/>
      <name val="Arial"/>
      <family val="2"/>
      <scheme val="minor"/>
    </font>
    <font>
      <b/>
      <sz val="10"/>
      <name val="Arial"/>
      <family val="2"/>
      <scheme val="minor"/>
    </font>
    <font>
      <sz val="10"/>
      <color theme="1"/>
      <name val="Arial"/>
      <family val="2"/>
      <scheme val="minor"/>
    </font>
    <font>
      <sz val="11"/>
      <color rgb="FFFF0000"/>
      <name val="Calibri"/>
      <family val="2"/>
    </font>
  </fonts>
  <fills count="14">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59999389629810485"/>
        <bgColor rgb="FFFFC000"/>
      </patternFill>
    </fill>
  </fills>
  <borders count="55">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style="medium">
        <color rgb="FF000000"/>
      </right>
      <top/>
      <bottom style="thin">
        <color rgb="FF000000"/>
      </bottom>
      <diagonal/>
    </border>
    <border>
      <left style="medium">
        <color rgb="FF000000"/>
      </left>
      <right/>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top/>
      <bottom style="hair">
        <color rgb="FF000000"/>
      </bottom>
      <diagonal/>
    </border>
    <border>
      <left/>
      <right style="thin">
        <color rgb="FF000000"/>
      </right>
      <top style="hair">
        <color rgb="FF000000"/>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hair">
        <color rgb="FF000000"/>
      </left>
      <right/>
      <top style="hair">
        <color rgb="FF000000"/>
      </top>
      <bottom/>
      <diagonal/>
    </border>
  </borders>
  <cellStyleXfs count="2">
    <xf numFmtId="0" fontId="0" fillId="0" borderId="0"/>
    <xf numFmtId="43" fontId="28" fillId="0" borderId="0" applyFont="0" applyFill="0" applyBorder="0" applyAlignment="0" applyProtection="0"/>
  </cellStyleXfs>
  <cellXfs count="378">
    <xf numFmtId="0" fontId="0" fillId="0" borderId="0" xfId="0"/>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8" fillId="0" borderId="9" xfId="0" applyFont="1" applyBorder="1" applyAlignment="1">
      <alignment horizontal="right" vertical="top"/>
    </xf>
    <xf numFmtId="0" fontId="8" fillId="0" borderId="10" xfId="0" applyFont="1" applyBorder="1" applyAlignment="1">
      <alignment vertical="top"/>
    </xf>
    <xf numFmtId="0" fontId="8" fillId="0" borderId="0" xfId="0" applyFont="1"/>
    <xf numFmtId="0" fontId="8" fillId="0" borderId="13" xfId="0" applyFont="1" applyBorder="1" applyAlignment="1">
      <alignment horizontal="right" vertical="top"/>
    </xf>
    <xf numFmtId="0" fontId="8" fillId="0" borderId="14" xfId="0" applyFont="1" applyBorder="1" applyAlignment="1">
      <alignment vertical="top"/>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8" fillId="0" borderId="12" xfId="0" applyFont="1" applyBorder="1" applyAlignment="1">
      <alignment vertical="top"/>
    </xf>
    <xf numFmtId="0" fontId="8" fillId="0" borderId="17" xfId="0" applyFont="1" applyBorder="1" applyAlignment="1">
      <alignment vertical="top"/>
    </xf>
    <xf numFmtId="0" fontId="8" fillId="0" borderId="16" xfId="0" applyFont="1" applyBorder="1" applyAlignment="1">
      <alignment vertical="top"/>
    </xf>
    <xf numFmtId="0" fontId="8" fillId="0" borderId="13" xfId="0" applyFont="1" applyBorder="1" applyAlignment="1">
      <alignment vertical="top"/>
    </xf>
    <xf numFmtId="0" fontId="4" fillId="3" borderId="0" xfId="0" applyFont="1" applyFill="1" applyAlignment="1">
      <alignment horizontal="left" vertical="center" wrapText="1"/>
    </xf>
    <xf numFmtId="0" fontId="5"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xf>
    <xf numFmtId="0" fontId="2" fillId="2" borderId="2" xfId="0" applyFont="1" applyFill="1" applyBorder="1" applyAlignment="1">
      <alignment horizontal="center" vertical="top" wrapText="1"/>
    </xf>
    <xf numFmtId="0" fontId="1" fillId="0" borderId="20" xfId="0" applyFont="1" applyBorder="1"/>
    <xf numFmtId="0" fontId="4" fillId="3" borderId="24" xfId="0" applyFont="1" applyFill="1" applyBorder="1" applyAlignment="1">
      <alignment horizontal="left" vertical="center" wrapText="1"/>
    </xf>
    <xf numFmtId="0" fontId="11" fillId="0" borderId="0" xfId="0" applyFont="1" applyAlignment="1">
      <alignment horizontal="left" vertical="top" wrapText="1"/>
    </xf>
    <xf numFmtId="0" fontId="1" fillId="0" borderId="0" xfId="0" applyFont="1" applyAlignment="1">
      <alignment vertical="top"/>
    </xf>
    <xf numFmtId="0" fontId="12" fillId="0" borderId="0" xfId="0" applyFont="1" applyAlignment="1">
      <alignment horizontal="center" vertical="top" wrapText="1"/>
    </xf>
    <xf numFmtId="0" fontId="8" fillId="0" borderId="1" xfId="0" applyFont="1" applyBorder="1" applyAlignment="1">
      <alignment vertical="center"/>
    </xf>
    <xf numFmtId="0" fontId="6" fillId="3" borderId="27" xfId="0" applyFont="1" applyFill="1" applyBorder="1" applyAlignment="1">
      <alignment vertical="top"/>
    </xf>
    <xf numFmtId="0" fontId="13" fillId="3" borderId="27" xfId="0" applyFont="1" applyFill="1" applyBorder="1" applyAlignment="1">
      <alignment vertical="top" wrapText="1"/>
    </xf>
    <xf numFmtId="0" fontId="6" fillId="3" borderId="28" xfId="0" applyFont="1" applyFill="1" applyBorder="1" applyAlignment="1">
      <alignment vertical="top"/>
    </xf>
    <xf numFmtId="0" fontId="8" fillId="0" borderId="0" xfId="0" applyFont="1" applyAlignment="1">
      <alignment vertical="top"/>
    </xf>
    <xf numFmtId="0" fontId="2" fillId="2" borderId="5" xfId="0" applyFont="1" applyFill="1" applyBorder="1" applyAlignment="1">
      <alignment vertical="center" wrapText="1"/>
    </xf>
    <xf numFmtId="0" fontId="7" fillId="2" borderId="9" xfId="0" applyFont="1" applyFill="1" applyBorder="1" applyAlignment="1">
      <alignment vertical="top" wrapText="1"/>
    </xf>
    <xf numFmtId="0" fontId="5" fillId="2" borderId="29" xfId="0" applyFont="1" applyFill="1" applyBorder="1" applyAlignment="1">
      <alignment horizontal="left" vertical="top" wrapText="1"/>
    </xf>
    <xf numFmtId="0" fontId="5" fillId="2" borderId="29" xfId="0" applyFont="1" applyFill="1" applyBorder="1" applyAlignment="1">
      <alignment vertical="top" wrapText="1"/>
    </xf>
    <xf numFmtId="0" fontId="5" fillId="0" borderId="0" xfId="0" applyFont="1"/>
    <xf numFmtId="0" fontId="1" fillId="0" borderId="5" xfId="0" applyFont="1" applyBorder="1" applyAlignment="1">
      <alignment vertical="top"/>
    </xf>
    <xf numFmtId="0" fontId="1" fillId="0" borderId="29" xfId="0" applyFont="1" applyBorder="1" applyAlignment="1">
      <alignment vertical="top"/>
    </xf>
    <xf numFmtId="0" fontId="1" fillId="0" borderId="29" xfId="0" applyFont="1" applyBorder="1"/>
    <xf numFmtId="0" fontId="1" fillId="0" borderId="24" xfId="0" applyFont="1" applyBorder="1" applyAlignment="1">
      <alignment vertical="top"/>
    </xf>
    <xf numFmtId="0" fontId="14" fillId="0" borderId="12" xfId="0" applyFont="1" applyBorder="1" applyAlignment="1">
      <alignment vertical="center" wrapText="1"/>
    </xf>
    <xf numFmtId="0" fontId="4" fillId="3" borderId="31" xfId="0" applyFont="1" applyFill="1" applyBorder="1" applyAlignment="1">
      <alignment vertical="center" wrapText="1"/>
    </xf>
    <xf numFmtId="0" fontId="4" fillId="3" borderId="31" xfId="0" applyFont="1" applyFill="1" applyBorder="1" applyAlignment="1">
      <alignment horizontal="center" vertical="top" wrapText="1"/>
    </xf>
    <xf numFmtId="0" fontId="15" fillId="0" borderId="0" xfId="0" applyFont="1" applyAlignment="1">
      <alignment vertical="center" wrapText="1"/>
    </xf>
    <xf numFmtId="0" fontId="2" fillId="2" borderId="9" xfId="0" applyFont="1" applyFill="1" applyBorder="1" applyAlignment="1">
      <alignment vertical="top" wrapText="1"/>
    </xf>
    <xf numFmtId="0" fontId="16" fillId="0" borderId="0" xfId="0" applyFont="1" applyAlignment="1">
      <alignment vertical="top"/>
    </xf>
    <xf numFmtId="0" fontId="5" fillId="2" borderId="29" xfId="0" applyFont="1" applyFill="1" applyBorder="1" applyAlignment="1">
      <alignment vertical="top"/>
    </xf>
    <xf numFmtId="0" fontId="1" fillId="0" borderId="9" xfId="0" applyFont="1" applyBorder="1" applyAlignment="1">
      <alignment wrapText="1"/>
    </xf>
    <xf numFmtId="0" fontId="1" fillId="0" borderId="8" xfId="0" applyFont="1" applyBorder="1" applyAlignment="1">
      <alignment wrapText="1"/>
    </xf>
    <xf numFmtId="0" fontId="1" fillId="0" borderId="21" xfId="0" applyFont="1" applyBorder="1"/>
    <xf numFmtId="0" fontId="1" fillId="0" borderId="0" xfId="0" applyFont="1" applyAlignment="1">
      <alignment wrapText="1"/>
    </xf>
    <xf numFmtId="0" fontId="1" fillId="0" borderId="1" xfId="0" applyFont="1" applyBorder="1" applyAlignment="1">
      <alignment horizontal="center" vertical="top"/>
    </xf>
    <xf numFmtId="0" fontId="4" fillId="3" borderId="5" xfId="0" applyFont="1" applyFill="1" applyBorder="1" applyAlignment="1">
      <alignment horizontal="center" vertical="top"/>
    </xf>
    <xf numFmtId="0" fontId="14" fillId="0" borderId="12" xfId="0" applyFont="1" applyBorder="1" applyAlignment="1">
      <alignment horizontal="center" vertical="center" wrapText="1"/>
    </xf>
    <xf numFmtId="0" fontId="6" fillId="3" borderId="31" xfId="0" applyFont="1" applyFill="1" applyBorder="1" applyAlignment="1">
      <alignment horizontal="center" vertical="top" wrapText="1"/>
    </xf>
    <xf numFmtId="0" fontId="6" fillId="3" borderId="12" xfId="0" applyFont="1" applyFill="1" applyBorder="1" applyAlignment="1">
      <alignment horizontal="center" vertical="top" wrapText="1"/>
    </xf>
    <xf numFmtId="0" fontId="4" fillId="3" borderId="0" xfId="0" applyFont="1" applyFill="1" applyAlignment="1">
      <alignment horizontal="center" vertical="top" wrapText="1"/>
    </xf>
    <xf numFmtId="0" fontId="15" fillId="0" borderId="0" xfId="0" applyFont="1" applyAlignment="1">
      <alignment horizontal="center" vertical="top" wrapText="1"/>
    </xf>
    <xf numFmtId="0" fontId="2" fillId="2" borderId="9" xfId="0" applyFont="1" applyFill="1" applyBorder="1" applyAlignment="1">
      <alignment vertical="center" wrapText="1"/>
    </xf>
    <xf numFmtId="0" fontId="7" fillId="2" borderId="31" xfId="0" applyFont="1" applyFill="1" applyBorder="1" applyAlignment="1">
      <alignment vertical="top" wrapText="1"/>
    </xf>
    <xf numFmtId="0" fontId="7" fillId="2" borderId="12" xfId="0" applyFont="1" applyFill="1" applyBorder="1" applyAlignment="1">
      <alignment vertical="top" wrapText="1"/>
    </xf>
    <xf numFmtId="0" fontId="11" fillId="2" borderId="29" xfId="0" applyFont="1" applyFill="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9" fillId="0" borderId="0" xfId="0" applyFont="1"/>
    <xf numFmtId="0" fontId="14" fillId="3" borderId="12" xfId="0" applyFont="1" applyFill="1" applyBorder="1" applyAlignment="1">
      <alignment vertical="center" wrapText="1"/>
    </xf>
    <xf numFmtId="0" fontId="4" fillId="3" borderId="0" xfId="0" applyFont="1" applyFill="1" applyAlignment="1">
      <alignment vertical="center" wrapText="1"/>
    </xf>
    <xf numFmtId="0" fontId="15" fillId="0" borderId="0" xfId="0" applyFont="1" applyAlignment="1">
      <alignment wrapText="1"/>
    </xf>
    <xf numFmtId="0" fontId="22" fillId="2" borderId="9" xfId="0" applyFont="1" applyFill="1" applyBorder="1" applyAlignment="1">
      <alignment vertical="top"/>
    </xf>
    <xf numFmtId="0" fontId="1" fillId="0" borderId="9" xfId="0" applyFont="1" applyBorder="1"/>
    <xf numFmtId="0" fontId="14" fillId="0" borderId="12" xfId="0" applyFont="1" applyBorder="1" applyAlignment="1">
      <alignment wrapText="1"/>
    </xf>
    <xf numFmtId="0" fontId="4" fillId="3" borderId="31" xfId="0" applyFont="1" applyFill="1" applyBorder="1" applyAlignment="1">
      <alignment wrapText="1"/>
    </xf>
    <xf numFmtId="0" fontId="2" fillId="2" borderId="9" xfId="0" applyFont="1" applyFill="1" applyBorder="1" applyAlignment="1">
      <alignment vertical="top"/>
    </xf>
    <xf numFmtId="0" fontId="12" fillId="2" borderId="9" xfId="0" applyFont="1" applyFill="1" applyBorder="1" applyAlignment="1">
      <alignment vertical="center"/>
    </xf>
    <xf numFmtId="0" fontId="1" fillId="0" borderId="8" xfId="0" applyFont="1" applyBorder="1"/>
    <xf numFmtId="3" fontId="1" fillId="0" borderId="29" xfId="0" applyNumberFormat="1" applyFont="1" applyBorder="1" applyAlignment="1">
      <alignment wrapText="1"/>
    </xf>
    <xf numFmtId="3" fontId="15" fillId="0" borderId="29" xfId="1" applyNumberFormat="1" applyFont="1" applyBorder="1"/>
    <xf numFmtId="0" fontId="18" fillId="4" borderId="33" xfId="0" applyFont="1" applyFill="1" applyBorder="1" applyAlignment="1">
      <alignment horizontal="center" vertical="center"/>
    </xf>
    <xf numFmtId="0" fontId="19" fillId="0" borderId="0" xfId="0" applyFont="1" applyAlignment="1">
      <alignment vertical="center"/>
    </xf>
    <xf numFmtId="0" fontId="0" fillId="0" borderId="0" xfId="0" applyAlignment="1">
      <alignment vertical="center"/>
    </xf>
    <xf numFmtId="0" fontId="9" fillId="2" borderId="29" xfId="0" applyFont="1" applyFill="1" applyBorder="1" applyAlignment="1">
      <alignment vertical="top" wrapText="1"/>
    </xf>
    <xf numFmtId="0" fontId="9" fillId="2" borderId="22" xfId="0" applyFont="1" applyFill="1" applyBorder="1" applyAlignment="1">
      <alignment vertical="top" wrapText="1"/>
    </xf>
    <xf numFmtId="0" fontId="9" fillId="2" borderId="29" xfId="0" applyFont="1" applyFill="1" applyBorder="1" applyAlignment="1">
      <alignment horizontal="left" vertical="top" wrapText="1"/>
    </xf>
    <xf numFmtId="0" fontId="9" fillId="2" borderId="9" xfId="0" applyFont="1" applyFill="1" applyBorder="1" applyAlignment="1">
      <alignment vertical="top" wrapText="1"/>
    </xf>
    <xf numFmtId="0" fontId="9" fillId="2" borderId="0" xfId="0" applyFont="1" applyFill="1" applyAlignment="1">
      <alignment vertical="top" wrapText="1"/>
    </xf>
    <xf numFmtId="0" fontId="18" fillId="4" borderId="36" xfId="0" applyFont="1" applyFill="1" applyBorder="1" applyAlignment="1">
      <alignment horizontal="center" vertical="center"/>
    </xf>
    <xf numFmtId="0" fontId="18" fillId="4" borderId="36" xfId="0" applyFont="1" applyFill="1" applyBorder="1" applyAlignment="1">
      <alignment horizontal="center" vertical="center" wrapText="1"/>
    </xf>
    <xf numFmtId="0" fontId="18" fillId="4" borderId="39" xfId="0" applyFont="1" applyFill="1" applyBorder="1" applyAlignment="1">
      <alignment horizontal="center" vertical="center" wrapText="1"/>
    </xf>
    <xf numFmtId="0" fontId="19" fillId="9" borderId="37" xfId="0" applyFont="1" applyFill="1" applyBorder="1" applyAlignment="1">
      <alignment horizontal="center" vertical="center" wrapText="1"/>
    </xf>
    <xf numFmtId="0" fontId="3" fillId="11" borderId="37" xfId="0" applyFont="1" applyFill="1" applyBorder="1"/>
    <xf numFmtId="0" fontId="19" fillId="7" borderId="37" xfId="0" applyFont="1" applyFill="1" applyBorder="1" applyAlignment="1">
      <alignment vertical="top" wrapText="1"/>
    </xf>
    <xf numFmtId="0" fontId="19" fillId="7" borderId="37" xfId="0" quotePrefix="1" applyFont="1" applyFill="1" applyBorder="1" applyAlignment="1">
      <alignment vertical="top" wrapText="1"/>
    </xf>
    <xf numFmtId="0" fontId="3" fillId="10" borderId="37" xfId="0" applyFont="1" applyFill="1" applyBorder="1" applyAlignment="1">
      <alignment horizontal="center" vertical="center" wrapText="1"/>
    </xf>
    <xf numFmtId="0" fontId="3" fillId="11" borderId="38" xfId="0" applyFont="1" applyFill="1" applyBorder="1"/>
    <xf numFmtId="0" fontId="3" fillId="11" borderId="44" xfId="0" applyFont="1" applyFill="1" applyBorder="1"/>
    <xf numFmtId="0" fontId="19" fillId="7" borderId="37" xfId="0" applyFont="1" applyFill="1" applyBorder="1" applyAlignment="1">
      <alignment horizontal="center" vertical="center" wrapText="1"/>
    </xf>
    <xf numFmtId="0" fontId="19" fillId="9" borderId="41" xfId="0" applyFont="1" applyFill="1" applyBorder="1" applyAlignment="1">
      <alignment horizontal="center" vertical="center" wrapText="1"/>
    </xf>
    <xf numFmtId="0" fontId="20" fillId="9" borderId="37" xfId="0" applyFont="1" applyFill="1" applyBorder="1" applyAlignment="1">
      <alignment vertical="center"/>
    </xf>
    <xf numFmtId="0" fontId="3" fillId="10" borderId="37" xfId="0" applyFont="1" applyFill="1" applyBorder="1" applyAlignment="1">
      <alignment vertical="center" wrapText="1"/>
    </xf>
    <xf numFmtId="0" fontId="31" fillId="10" borderId="37" xfId="0" applyFont="1" applyFill="1" applyBorder="1" applyAlignment="1">
      <alignment vertical="center" wrapText="1"/>
    </xf>
    <xf numFmtId="0" fontId="20" fillId="9" borderId="41" xfId="0" applyFont="1" applyFill="1" applyBorder="1" applyAlignment="1">
      <alignment horizontal="center" vertical="center" wrapText="1"/>
    </xf>
    <xf numFmtId="0" fontId="19" fillId="9" borderId="37" xfId="0" applyFont="1" applyFill="1" applyBorder="1" applyAlignment="1">
      <alignment horizontal="left" vertical="center" wrapText="1"/>
    </xf>
    <xf numFmtId="0" fontId="19" fillId="11" borderId="41" xfId="0" applyFont="1" applyFill="1" applyBorder="1" applyAlignment="1">
      <alignment vertical="top" wrapText="1"/>
    </xf>
    <xf numFmtId="0" fontId="19" fillId="9" borderId="37" xfId="0" applyFont="1" applyFill="1" applyBorder="1" applyAlignment="1">
      <alignment horizontal="center" vertical="center"/>
    </xf>
    <xf numFmtId="0" fontId="11" fillId="2" borderId="21" xfId="0" applyFont="1" applyFill="1" applyBorder="1" applyAlignment="1">
      <alignment vertical="center" wrapText="1"/>
    </xf>
    <xf numFmtId="0" fontId="19" fillId="9" borderId="38" xfId="0" applyFont="1" applyFill="1" applyBorder="1" applyAlignment="1">
      <alignment horizontal="left" vertical="center" wrapText="1"/>
    </xf>
    <xf numFmtId="0" fontId="19" fillId="9" borderId="40" xfId="0" applyFont="1" applyFill="1" applyBorder="1" applyAlignment="1">
      <alignment horizontal="left" vertical="center" wrapText="1"/>
    </xf>
    <xf numFmtId="0" fontId="30" fillId="9" borderId="45" xfId="0" applyFont="1" applyFill="1" applyBorder="1" applyAlignment="1">
      <alignment horizontal="left" vertical="top" wrapText="1"/>
    </xf>
    <xf numFmtId="0" fontId="30" fillId="9" borderId="37" xfId="0" applyFont="1" applyFill="1" applyBorder="1" applyAlignment="1">
      <alignment horizontal="left" vertical="center" wrapText="1"/>
    </xf>
    <xf numFmtId="0" fontId="30" fillId="9" borderId="40" xfId="0" applyFont="1" applyFill="1" applyBorder="1" applyAlignment="1">
      <alignment horizontal="left" vertical="center" wrapText="1"/>
    </xf>
    <xf numFmtId="0" fontId="19" fillId="7" borderId="37" xfId="0" applyFont="1" applyFill="1" applyBorder="1" applyAlignment="1">
      <alignment horizontal="left" vertical="top" wrapText="1"/>
    </xf>
    <xf numFmtId="0" fontId="19" fillId="7" borderId="40" xfId="0" applyFont="1" applyFill="1" applyBorder="1" applyAlignment="1">
      <alignment horizontal="left" vertical="top" wrapText="1"/>
    </xf>
    <xf numFmtId="0" fontId="19" fillId="7" borderId="38" xfId="0" applyFont="1" applyFill="1" applyBorder="1" applyAlignment="1">
      <alignment horizontal="left" vertical="top" wrapText="1"/>
    </xf>
    <xf numFmtId="0" fontId="19" fillId="7" borderId="45" xfId="0" applyFont="1" applyFill="1" applyBorder="1" applyAlignment="1">
      <alignment horizontal="left" vertical="top" wrapText="1"/>
    </xf>
    <xf numFmtId="0" fontId="19" fillId="7" borderId="42" xfId="0" applyFont="1" applyFill="1" applyBorder="1" applyAlignment="1">
      <alignment horizontal="left" vertical="top" wrapText="1"/>
    </xf>
    <xf numFmtId="0" fontId="19" fillId="7" borderId="4" xfId="0" applyFont="1" applyFill="1" applyBorder="1" applyAlignment="1">
      <alignment horizontal="left" vertical="top" wrapText="1"/>
    </xf>
    <xf numFmtId="0" fontId="3" fillId="0" borderId="31" xfId="0" applyFont="1" applyBorder="1"/>
    <xf numFmtId="0" fontId="21" fillId="11" borderId="37" xfId="0" applyFont="1" applyFill="1" applyBorder="1" applyAlignment="1">
      <alignment vertical="center" wrapText="1"/>
    </xf>
    <xf numFmtId="0" fontId="20" fillId="9" borderId="44" xfId="0" applyFont="1" applyFill="1" applyBorder="1" applyAlignment="1">
      <alignment vertical="center"/>
    </xf>
    <xf numFmtId="0" fontId="3" fillId="10" borderId="38" xfId="0" applyFont="1" applyFill="1" applyBorder="1" applyAlignment="1">
      <alignment vertical="center" wrapText="1"/>
    </xf>
    <xf numFmtId="0" fontId="19" fillId="9" borderId="4" xfId="0" applyFont="1" applyFill="1" applyBorder="1" applyAlignment="1">
      <alignment horizontal="left" vertical="center" wrapText="1"/>
    </xf>
    <xf numFmtId="0" fontId="19" fillId="7" borderId="45" xfId="0" applyFont="1" applyFill="1" applyBorder="1" applyAlignment="1">
      <alignment horizontal="left" vertical="center" wrapText="1"/>
    </xf>
    <xf numFmtId="0" fontId="21" fillId="11" borderId="45" xfId="0" applyFont="1" applyFill="1" applyBorder="1" applyAlignment="1">
      <alignment vertical="center" wrapText="1"/>
    </xf>
    <xf numFmtId="0" fontId="19" fillId="11" borderId="37" xfId="0" applyFont="1" applyFill="1" applyBorder="1" applyAlignment="1">
      <alignment horizontal="center"/>
    </xf>
    <xf numFmtId="0" fontId="19" fillId="11" borderId="14" xfId="0" applyFont="1" applyFill="1" applyBorder="1"/>
    <xf numFmtId="0" fontId="19" fillId="11" borderId="34" xfId="0" applyFont="1" applyFill="1" applyBorder="1"/>
    <xf numFmtId="2" fontId="19" fillId="11" borderId="37" xfId="0" applyNumberFormat="1" applyFont="1" applyFill="1" applyBorder="1" applyAlignment="1">
      <alignment horizontal="center"/>
    </xf>
    <xf numFmtId="0" fontId="31" fillId="10" borderId="37" xfId="0" applyFont="1" applyFill="1" applyBorder="1" applyAlignment="1">
      <alignment horizontal="center" vertical="center" wrapText="1"/>
    </xf>
    <xf numFmtId="0" fontId="20" fillId="9" borderId="37" xfId="0" applyFont="1" applyFill="1" applyBorder="1" applyAlignment="1">
      <alignment vertical="center" wrapText="1"/>
    </xf>
    <xf numFmtId="0" fontId="19" fillId="9" borderId="42" xfId="0" applyFont="1" applyFill="1" applyBorder="1" applyAlignment="1">
      <alignment horizontal="left" vertical="top" wrapText="1"/>
    </xf>
    <xf numFmtId="0" fontId="19" fillId="9" borderId="45" xfId="0" applyFont="1" applyFill="1" applyBorder="1" applyAlignment="1">
      <alignment horizontal="center" vertical="center" wrapText="1"/>
    </xf>
    <xf numFmtId="0" fontId="30" fillId="7" borderId="37" xfId="0" applyFont="1" applyFill="1" applyBorder="1" applyAlignment="1">
      <alignment horizontal="left" vertical="top" wrapText="1"/>
    </xf>
    <xf numFmtId="0" fontId="30" fillId="10" borderId="0" xfId="0" applyFont="1" applyFill="1" applyAlignment="1">
      <alignment horizontal="left" vertical="top" wrapText="1"/>
    </xf>
    <xf numFmtId="0" fontId="30" fillId="10" borderId="40" xfId="0" applyFont="1" applyFill="1" applyBorder="1" applyAlignment="1">
      <alignment horizontal="left" vertical="top" wrapText="1"/>
    </xf>
    <xf numFmtId="0" fontId="33" fillId="0" borderId="0" xfId="0" applyFont="1"/>
    <xf numFmtId="0" fontId="0" fillId="0" borderId="0" xfId="0" applyAlignment="1">
      <alignment horizontal="left" vertical="top" wrapText="1"/>
    </xf>
    <xf numFmtId="0" fontId="34" fillId="0" borderId="0" xfId="0" applyFont="1" applyAlignment="1">
      <alignment horizontal="left" vertical="top" wrapText="1"/>
    </xf>
    <xf numFmtId="0" fontId="8" fillId="0" borderId="48" xfId="0" applyFont="1" applyBorder="1" applyAlignment="1">
      <alignment vertical="top"/>
    </xf>
    <xf numFmtId="0" fontId="10" fillId="0" borderId="49" xfId="0" applyFont="1" applyBorder="1" applyAlignment="1">
      <alignment horizontal="center" vertical="top"/>
    </xf>
    <xf numFmtId="0" fontId="8" fillId="0" borderId="17" xfId="0" applyFont="1" applyBorder="1" applyAlignment="1">
      <alignment vertical="top" wrapText="1"/>
    </xf>
    <xf numFmtId="0" fontId="8" fillId="0" borderId="18" xfId="0" applyFont="1" applyBorder="1" applyAlignment="1">
      <alignment vertical="top" wrapText="1"/>
    </xf>
    <xf numFmtId="0" fontId="19" fillId="11" borderId="14" xfId="0" applyFont="1" applyFill="1" applyBorder="1" applyAlignment="1">
      <alignment vertical="top" wrapText="1"/>
    </xf>
    <xf numFmtId="0" fontId="19" fillId="11" borderId="14" xfId="0" applyFont="1" applyFill="1" applyBorder="1" applyAlignment="1">
      <alignment wrapText="1"/>
    </xf>
    <xf numFmtId="0" fontId="0" fillId="0" borderId="0" xfId="0" applyAlignment="1">
      <alignment wrapText="1"/>
    </xf>
    <xf numFmtId="0" fontId="21" fillId="11" borderId="41" xfId="0" applyFont="1" applyFill="1" applyBorder="1" applyAlignment="1">
      <alignment vertical="center" wrapText="1"/>
    </xf>
    <xf numFmtId="0" fontId="21" fillId="11" borderId="44" xfId="0" applyFont="1" applyFill="1" applyBorder="1" applyAlignment="1">
      <alignment vertical="center" wrapText="1"/>
    </xf>
    <xf numFmtId="0" fontId="21" fillId="11" borderId="38" xfId="0" applyFont="1" applyFill="1" applyBorder="1" applyAlignment="1">
      <alignment vertical="center" wrapText="1"/>
    </xf>
    <xf numFmtId="0" fontId="19" fillId="11" borderId="18" xfId="0" applyFont="1" applyFill="1" applyBorder="1"/>
    <xf numFmtId="0" fontId="19" fillId="11" borderId="51" xfId="0" applyFont="1" applyFill="1" applyBorder="1"/>
    <xf numFmtId="0" fontId="21" fillId="11" borderId="14" xfId="0" applyFont="1" applyFill="1" applyBorder="1" applyAlignment="1">
      <alignment vertical="center" wrapText="1"/>
    </xf>
    <xf numFmtId="0" fontId="21" fillId="11" borderId="52" xfId="0" applyFont="1" applyFill="1" applyBorder="1" applyAlignment="1">
      <alignment horizontal="center" vertical="center" wrapText="1"/>
    </xf>
    <xf numFmtId="0" fontId="3" fillId="12" borderId="37" xfId="0" applyFont="1" applyFill="1" applyBorder="1"/>
    <xf numFmtId="0" fontId="21" fillId="12" borderId="38" xfId="0" applyFont="1" applyFill="1" applyBorder="1" applyAlignment="1">
      <alignment vertical="center" wrapText="1"/>
    </xf>
    <xf numFmtId="0" fontId="21" fillId="12" borderId="45" xfId="0" applyFont="1" applyFill="1" applyBorder="1" applyAlignment="1">
      <alignment vertical="center" wrapText="1"/>
    </xf>
    <xf numFmtId="0" fontId="21" fillId="12" borderId="37" xfId="0" applyFont="1" applyFill="1" applyBorder="1" applyAlignment="1">
      <alignment vertical="center" wrapText="1"/>
    </xf>
    <xf numFmtId="0" fontId="19" fillId="12" borderId="37" xfId="0" applyFont="1" applyFill="1" applyBorder="1" applyAlignment="1">
      <alignment horizontal="center"/>
    </xf>
    <xf numFmtId="0" fontId="19" fillId="12" borderId="14" xfId="0" applyFont="1" applyFill="1" applyBorder="1" applyAlignment="1">
      <alignment vertical="top" wrapText="1"/>
    </xf>
    <xf numFmtId="0" fontId="19" fillId="12" borderId="14" xfId="0" applyFont="1" applyFill="1" applyBorder="1"/>
    <xf numFmtId="0" fontId="19" fillId="12" borderId="34" xfId="0" applyFont="1" applyFill="1" applyBorder="1"/>
    <xf numFmtId="0" fontId="19" fillId="12" borderId="0" xfId="0" applyFont="1" applyFill="1"/>
    <xf numFmtId="0" fontId="0" fillId="12" borderId="0" xfId="0" applyFill="1"/>
    <xf numFmtId="0" fontId="20" fillId="13" borderId="35" xfId="0" applyFont="1" applyFill="1" applyBorder="1" applyAlignment="1">
      <alignment horizontal="center" vertical="center" wrapText="1"/>
    </xf>
    <xf numFmtId="0" fontId="19" fillId="12" borderId="41" xfId="0" applyFont="1" applyFill="1" applyBorder="1" applyAlignment="1">
      <alignment vertical="top" wrapText="1"/>
    </xf>
    <xf numFmtId="0" fontId="21" fillId="12" borderId="50" xfId="0" applyFont="1" applyFill="1" applyBorder="1" applyAlignment="1">
      <alignment horizontal="center" vertical="center" wrapText="1"/>
    </xf>
    <xf numFmtId="0" fontId="3" fillId="11" borderId="43" xfId="0" applyFont="1" applyFill="1" applyBorder="1"/>
    <xf numFmtId="0" fontId="21" fillId="11" borderId="43" xfId="0" applyFont="1" applyFill="1" applyBorder="1" applyAlignment="1">
      <alignment vertical="center" wrapText="1"/>
    </xf>
    <xf numFmtId="0" fontId="21" fillId="11" borderId="4" xfId="0" applyFont="1" applyFill="1" applyBorder="1" applyAlignment="1">
      <alignment vertical="center" wrapText="1"/>
    </xf>
    <xf numFmtId="0" fontId="21" fillId="11" borderId="40" xfId="0" applyFont="1" applyFill="1" applyBorder="1" applyAlignment="1">
      <alignment vertical="center" wrapText="1"/>
    </xf>
    <xf numFmtId="2" fontId="19" fillId="11" borderId="40" xfId="0" applyNumberFormat="1" applyFont="1" applyFill="1" applyBorder="1" applyAlignment="1">
      <alignment horizontal="center"/>
    </xf>
    <xf numFmtId="2" fontId="19" fillId="11" borderId="41" xfId="0" applyNumberFormat="1" applyFont="1" applyFill="1" applyBorder="1" applyAlignment="1">
      <alignment horizontal="center"/>
    </xf>
    <xf numFmtId="0" fontId="3" fillId="12" borderId="50" xfId="0" applyFont="1" applyFill="1" applyBorder="1"/>
    <xf numFmtId="0" fontId="21" fillId="12" borderId="50" xfId="0" applyFont="1" applyFill="1" applyBorder="1" applyAlignment="1">
      <alignment vertical="center" wrapText="1"/>
    </xf>
    <xf numFmtId="2" fontId="19" fillId="12" borderId="50" xfId="0" applyNumberFormat="1" applyFont="1" applyFill="1" applyBorder="1" applyAlignment="1">
      <alignment horizontal="center"/>
    </xf>
    <xf numFmtId="0" fontId="19" fillId="12" borderId="50" xfId="0" applyFont="1" applyFill="1" applyBorder="1" applyAlignment="1">
      <alignment vertical="top"/>
    </xf>
    <xf numFmtId="0" fontId="19" fillId="12" borderId="50" xfId="0" applyFont="1" applyFill="1" applyBorder="1"/>
    <xf numFmtId="0" fontId="0" fillId="12" borderId="50" xfId="0" applyFill="1" applyBorder="1"/>
    <xf numFmtId="0" fontId="21" fillId="11" borderId="46" xfId="0" applyFont="1" applyFill="1" applyBorder="1" applyAlignment="1">
      <alignment vertical="center" wrapText="1"/>
    </xf>
    <xf numFmtId="0" fontId="20" fillId="12" borderId="14" xfId="0" applyFont="1" applyFill="1" applyBorder="1" applyAlignment="1">
      <alignment wrapText="1"/>
    </xf>
    <xf numFmtId="0" fontId="1" fillId="0" borderId="29" xfId="0" applyFont="1" applyBorder="1" applyAlignment="1">
      <alignment vertical="top" wrapText="1"/>
    </xf>
    <xf numFmtId="0" fontId="1" fillId="0" borderId="29" xfId="0" applyFont="1" applyBorder="1" applyAlignment="1">
      <alignment vertical="center" wrapText="1"/>
    </xf>
    <xf numFmtId="0" fontId="11" fillId="0" borderId="29" xfId="0" applyFont="1" applyBorder="1" applyAlignment="1">
      <alignment horizontal="left" vertical="center" wrapText="1"/>
    </xf>
    <xf numFmtId="0" fontId="1" fillId="0" borderId="22" xfId="0" applyFont="1" applyBorder="1" applyAlignment="1">
      <alignment vertical="center"/>
    </xf>
    <xf numFmtId="0" fontId="1" fillId="0" borderId="29" xfId="0" applyFont="1" applyBorder="1" applyAlignment="1">
      <alignment vertical="center"/>
    </xf>
    <xf numFmtId="0" fontId="1" fillId="0" borderId="7" xfId="0" applyFont="1" applyBorder="1" applyAlignment="1">
      <alignment vertical="top"/>
    </xf>
    <xf numFmtId="0" fontId="1" fillId="0" borderId="21" xfId="0" applyFont="1" applyBorder="1" applyAlignment="1">
      <alignment vertical="top" wrapText="1"/>
    </xf>
    <xf numFmtId="0" fontId="1" fillId="0" borderId="21" xfId="0" applyFont="1" applyBorder="1" applyAlignment="1">
      <alignment vertical="center" wrapText="1"/>
    </xf>
    <xf numFmtId="0" fontId="1" fillId="0" borderId="54" xfId="0" applyFont="1" applyBorder="1" applyAlignment="1">
      <alignment vertical="center"/>
    </xf>
    <xf numFmtId="0" fontId="1" fillId="0" borderId="30" xfId="0" applyFont="1" applyBorder="1" applyAlignment="1">
      <alignment vertical="top" wrapText="1"/>
    </xf>
    <xf numFmtId="0" fontId="1" fillId="0" borderId="30" xfId="0" applyFont="1" applyBorder="1" applyAlignment="1">
      <alignment vertical="center" wrapText="1"/>
    </xf>
    <xf numFmtId="0" fontId="1" fillId="0" borderId="30" xfId="0" applyFont="1" applyBorder="1" applyAlignment="1">
      <alignment vertical="center"/>
    </xf>
    <xf numFmtId="0" fontId="1" fillId="0" borderId="23" xfId="0" applyFont="1" applyBorder="1" applyAlignment="1">
      <alignment vertical="top" wrapText="1"/>
    </xf>
    <xf numFmtId="0" fontId="1" fillId="0" borderId="21" xfId="0" applyFont="1" applyBorder="1" applyAlignment="1">
      <alignment vertical="center"/>
    </xf>
    <xf numFmtId="0" fontId="1" fillId="0" borderId="50" xfId="0" applyFont="1" applyBorder="1" applyAlignment="1">
      <alignment vertical="top"/>
    </xf>
    <xf numFmtId="0" fontId="1" fillId="0" borderId="50" xfId="0" applyFont="1" applyBorder="1" applyAlignment="1">
      <alignment vertical="top" wrapText="1"/>
    </xf>
    <xf numFmtId="0" fontId="1" fillId="0" borderId="50" xfId="0" applyFont="1" applyBorder="1" applyAlignment="1">
      <alignment vertical="center" wrapText="1"/>
    </xf>
    <xf numFmtId="0" fontId="1" fillId="0" borderId="50" xfId="0" applyFont="1" applyBorder="1" applyAlignment="1">
      <alignment vertical="center"/>
    </xf>
    <xf numFmtId="0" fontId="0" fillId="0" borderId="50" xfId="0" applyBorder="1"/>
    <xf numFmtId="0" fontId="1" fillId="0" borderId="22" xfId="0" applyFont="1" applyBorder="1" applyAlignment="1">
      <alignment vertical="top" wrapText="1"/>
    </xf>
    <xf numFmtId="0" fontId="1" fillId="0" borderId="26" xfId="0" applyFont="1" applyBorder="1" applyAlignment="1">
      <alignment vertical="top" wrapText="1"/>
    </xf>
    <xf numFmtId="0" fontId="0" fillId="0" borderId="0" xfId="0" applyAlignment="1">
      <alignment vertical="top"/>
    </xf>
    <xf numFmtId="0" fontId="28" fillId="0" borderId="0" xfId="0" applyFont="1" applyAlignment="1">
      <alignment wrapText="1"/>
    </xf>
    <xf numFmtId="0" fontId="19" fillId="11" borderId="14" xfId="0" applyFont="1" applyFill="1" applyBorder="1" applyAlignment="1">
      <alignment horizontal="left" vertical="top" wrapText="1"/>
    </xf>
    <xf numFmtId="0" fontId="19" fillId="11" borderId="18" xfId="0" applyFont="1" applyFill="1" applyBorder="1" applyAlignment="1">
      <alignment horizontal="left" vertical="top" wrapText="1"/>
    </xf>
    <xf numFmtId="0" fontId="19" fillId="11" borderId="18" xfId="0" applyFont="1" applyFill="1" applyBorder="1" applyAlignment="1">
      <alignment vertical="top" wrapText="1"/>
    </xf>
    <xf numFmtId="0" fontId="19" fillId="11" borderId="14" xfId="0" applyFont="1" applyFill="1" applyBorder="1" applyAlignment="1">
      <alignment vertical="center" wrapText="1"/>
    </xf>
    <xf numFmtId="0" fontId="20" fillId="12" borderId="14" xfId="0" applyFont="1" applyFill="1" applyBorder="1" applyAlignment="1">
      <alignment vertical="center" wrapText="1"/>
    </xf>
    <xf numFmtId="0" fontId="19" fillId="11" borderId="18" xfId="0" applyFont="1" applyFill="1" applyBorder="1" applyAlignment="1">
      <alignment vertical="center" wrapText="1"/>
    </xf>
    <xf numFmtId="0" fontId="20" fillId="12" borderId="50" xfId="0" applyFont="1" applyFill="1" applyBorder="1" applyAlignment="1">
      <alignment vertical="center" wrapText="1"/>
    </xf>
    <xf numFmtId="0" fontId="35" fillId="0" borderId="0" xfId="0" applyFont="1" applyAlignment="1">
      <alignment horizontal="left" vertical="top" wrapText="1"/>
    </xf>
    <xf numFmtId="0" fontId="28" fillId="0" borderId="0" xfId="0" applyFont="1" applyAlignment="1">
      <alignment horizontal="left" vertical="top" wrapText="1"/>
    </xf>
    <xf numFmtId="0" fontId="36" fillId="11" borderId="37" xfId="0" applyFont="1" applyFill="1" applyBorder="1"/>
    <xf numFmtId="0" fontId="37" fillId="11" borderId="37" xfId="0" applyFont="1" applyFill="1" applyBorder="1" applyAlignment="1">
      <alignment vertical="center" wrapText="1"/>
    </xf>
    <xf numFmtId="0" fontId="37" fillId="11" borderId="45" xfId="0" applyFont="1" applyFill="1" applyBorder="1" applyAlignment="1">
      <alignment vertical="center" wrapText="1"/>
    </xf>
    <xf numFmtId="0" fontId="38" fillId="11" borderId="37" xfId="0" applyFont="1" applyFill="1" applyBorder="1" applyAlignment="1">
      <alignment horizontal="center"/>
    </xf>
    <xf numFmtId="0" fontId="38" fillId="11" borderId="14" xfId="0" applyFont="1" applyFill="1" applyBorder="1" applyAlignment="1">
      <alignment vertical="center" wrapText="1"/>
    </xf>
    <xf numFmtId="0" fontId="38" fillId="11" borderId="14" xfId="0" applyFont="1" applyFill="1" applyBorder="1" applyAlignment="1">
      <alignment vertical="top" wrapText="1"/>
    </xf>
    <xf numFmtId="0" fontId="38" fillId="11" borderId="14" xfId="0" applyFont="1" applyFill="1" applyBorder="1"/>
    <xf numFmtId="0" fontId="38" fillId="11" borderId="34" xfId="0" applyFont="1" applyFill="1" applyBorder="1"/>
    <xf numFmtId="0" fontId="38" fillId="0" borderId="0" xfId="0" applyFont="1"/>
    <xf numFmtId="0" fontId="39" fillId="0" borderId="0" xfId="0" applyFont="1"/>
    <xf numFmtId="0" fontId="40" fillId="11" borderId="44" xfId="0" applyFont="1" applyFill="1" applyBorder="1" applyAlignment="1">
      <alignment vertical="center" wrapText="1"/>
    </xf>
    <xf numFmtId="0" fontId="40" fillId="11" borderId="45" xfId="0" applyFont="1" applyFill="1" applyBorder="1" applyAlignment="1">
      <alignment vertical="center" wrapText="1"/>
    </xf>
    <xf numFmtId="0" fontId="40" fillId="11" borderId="37" xfId="0" applyFont="1" applyFill="1" applyBorder="1" applyAlignment="1">
      <alignment vertical="center" wrapText="1"/>
    </xf>
    <xf numFmtId="2" fontId="41" fillId="11" borderId="37" xfId="0" applyNumberFormat="1" applyFont="1" applyFill="1" applyBorder="1" applyAlignment="1">
      <alignment horizontal="center"/>
    </xf>
    <xf numFmtId="0" fontId="41" fillId="11" borderId="14" xfId="0" applyFont="1" applyFill="1" applyBorder="1" applyAlignment="1">
      <alignment vertical="center" wrapText="1"/>
    </xf>
    <xf numFmtId="0" fontId="41" fillId="11" borderId="14" xfId="0" applyFont="1" applyFill="1" applyBorder="1" applyAlignment="1">
      <alignment horizontal="left" vertical="top" wrapText="1"/>
    </xf>
    <xf numFmtId="0" fontId="41" fillId="11" borderId="14" xfId="0" applyFont="1" applyFill="1" applyBorder="1"/>
    <xf numFmtId="0" fontId="41" fillId="11" borderId="34" xfId="0" applyFont="1" applyFill="1" applyBorder="1"/>
    <xf numFmtId="0" fontId="41" fillId="0" borderId="0" xfId="0" applyFont="1"/>
    <xf numFmtId="0" fontId="35" fillId="0" borderId="0" xfId="0" applyFont="1"/>
    <xf numFmtId="0" fontId="19" fillId="9" borderId="40" xfId="0" applyFont="1" applyFill="1" applyBorder="1" applyAlignment="1">
      <alignment horizontal="left" vertical="top" wrapText="1"/>
    </xf>
    <xf numFmtId="0" fontId="21" fillId="0" borderId="37" xfId="0" applyFont="1" applyBorder="1" applyAlignment="1">
      <alignment horizontal="left" vertical="top" wrapText="1"/>
    </xf>
    <xf numFmtId="0" fontId="41" fillId="9" borderId="41" xfId="0" applyFont="1" applyFill="1" applyBorder="1" applyAlignment="1">
      <alignment horizontal="left" vertical="top" wrapText="1"/>
    </xf>
    <xf numFmtId="0" fontId="19" fillId="9" borderId="37" xfId="0" applyFont="1" applyFill="1" applyBorder="1" applyAlignment="1">
      <alignment horizontal="left" vertical="top" wrapText="1"/>
    </xf>
    <xf numFmtId="0" fontId="19" fillId="9" borderId="45" xfId="0" applyFont="1" applyFill="1" applyBorder="1" applyAlignment="1">
      <alignment horizontal="left" vertical="center" wrapText="1"/>
    </xf>
    <xf numFmtId="9" fontId="19" fillId="7" borderId="37" xfId="0" applyNumberFormat="1" applyFont="1" applyFill="1" applyBorder="1" applyAlignment="1">
      <alignment horizontal="left" vertical="top" wrapText="1"/>
    </xf>
    <xf numFmtId="0" fontId="28" fillId="0" borderId="0" xfId="0" applyFont="1"/>
    <xf numFmtId="0" fontId="1" fillId="0" borderId="6" xfId="0" applyFont="1" applyBorder="1"/>
    <xf numFmtId="3" fontId="1" fillId="0" borderId="31" xfId="0" applyNumberFormat="1" applyFont="1" applyBorder="1" applyAlignment="1">
      <alignment wrapText="1"/>
    </xf>
    <xf numFmtId="3" fontId="15" fillId="0" borderId="31" xfId="1" applyNumberFormat="1" applyFont="1" applyBorder="1"/>
    <xf numFmtId="0" fontId="2" fillId="2" borderId="29" xfId="0" applyFont="1" applyFill="1" applyBorder="1" applyAlignment="1">
      <alignment vertical="top" wrapText="1"/>
    </xf>
    <xf numFmtId="0" fontId="14" fillId="0" borderId="0" xfId="0" applyFont="1"/>
    <xf numFmtId="3" fontId="1" fillId="0" borderId="9" xfId="0" applyNumberFormat="1" applyFont="1" applyBorder="1" applyAlignment="1">
      <alignment vertical="center"/>
    </xf>
    <xf numFmtId="3" fontId="15" fillId="0" borderId="9" xfId="0" applyNumberFormat="1" applyFont="1" applyBorder="1" applyAlignment="1">
      <alignment vertical="center"/>
    </xf>
    <xf numFmtId="0" fontId="5" fillId="2" borderId="29" xfId="0" applyFont="1" applyFill="1" applyBorder="1" applyAlignment="1">
      <alignment vertical="center" wrapText="1"/>
    </xf>
    <xf numFmtId="0" fontId="15" fillId="0" borderId="9" xfId="0" applyFont="1" applyBorder="1" applyAlignment="1">
      <alignment vertical="center" wrapText="1"/>
    </xf>
    <xf numFmtId="0" fontId="1" fillId="0" borderId="31" xfId="0" applyFont="1" applyBorder="1" applyAlignment="1">
      <alignment vertical="center" wrapText="1"/>
    </xf>
    <xf numFmtId="0" fontId="28" fillId="0" borderId="0" xfId="0" applyFont="1" applyAlignment="1">
      <alignment vertical="center" wrapText="1"/>
    </xf>
    <xf numFmtId="0" fontId="42" fillId="0" borderId="9" xfId="0" applyFont="1" applyBorder="1"/>
    <xf numFmtId="0" fontId="42" fillId="0" borderId="9" xfId="0" applyFont="1" applyBorder="1" applyAlignment="1">
      <alignment vertical="center" wrapText="1"/>
    </xf>
    <xf numFmtId="3" fontId="42" fillId="0" borderId="9" xfId="0" applyNumberFormat="1" applyFont="1" applyBorder="1" applyAlignment="1">
      <alignment vertical="center"/>
    </xf>
    <xf numFmtId="0" fontId="42" fillId="0" borderId="0" xfId="0" applyFont="1"/>
    <xf numFmtId="0" fontId="43" fillId="0" borderId="9" xfId="0" applyFont="1" applyBorder="1"/>
    <xf numFmtId="0" fontId="43" fillId="0" borderId="6" xfId="0" applyFont="1" applyBorder="1"/>
    <xf numFmtId="0" fontId="43" fillId="0" borderId="31" xfId="0" applyFont="1" applyBorder="1" applyAlignment="1">
      <alignment vertical="center" wrapText="1"/>
    </xf>
    <xf numFmtId="3" fontId="43" fillId="0" borderId="9" xfId="0" applyNumberFormat="1" applyFont="1" applyBorder="1" applyAlignment="1">
      <alignment vertical="center"/>
    </xf>
    <xf numFmtId="0" fontId="43" fillId="0" borderId="0" xfId="0" applyFont="1"/>
    <xf numFmtId="0" fontId="35" fillId="0" borderId="9" xfId="0" applyFont="1" applyBorder="1"/>
    <xf numFmtId="0" fontId="35" fillId="0" borderId="9" xfId="0" applyFont="1" applyBorder="1" applyAlignment="1">
      <alignment vertical="center" wrapText="1"/>
    </xf>
    <xf numFmtId="3" fontId="35" fillId="0" borderId="9" xfId="0" applyNumberFormat="1" applyFont="1" applyBorder="1" applyAlignment="1">
      <alignment vertical="center"/>
    </xf>
    <xf numFmtId="3" fontId="44" fillId="0" borderId="9" xfId="0" applyNumberFormat="1" applyFont="1" applyBorder="1" applyAlignment="1">
      <alignment vertical="center"/>
    </xf>
    <xf numFmtId="0" fontId="1" fillId="0" borderId="0" xfId="0" applyFont="1"/>
    <xf numFmtId="0" fontId="8" fillId="11" borderId="44" xfId="0" applyFont="1" applyFill="1" applyBorder="1"/>
    <xf numFmtId="0" fontId="20" fillId="11" borderId="41" xfId="0" applyFont="1" applyFill="1" applyBorder="1" applyAlignment="1">
      <alignment vertical="center" wrapText="1"/>
    </xf>
    <xf numFmtId="0" fontId="20" fillId="11" borderId="45" xfId="0" applyFont="1" applyFill="1" applyBorder="1" applyAlignment="1">
      <alignment vertical="center" wrapText="1"/>
    </xf>
    <xf numFmtId="0" fontId="20" fillId="11" borderId="37" xfId="0" applyFont="1" applyFill="1" applyBorder="1" applyAlignment="1">
      <alignment vertical="center" wrapText="1"/>
    </xf>
    <xf numFmtId="0" fontId="45" fillId="0" borderId="0" xfId="0" applyFont="1"/>
    <xf numFmtId="0" fontId="19" fillId="11" borderId="50" xfId="0" applyFont="1" applyFill="1" applyBorder="1" applyAlignment="1">
      <alignment horizontal="left" vertical="top" wrapText="1"/>
    </xf>
    <xf numFmtId="0" fontId="19" fillId="11" borderId="50" xfId="0" applyFont="1" applyFill="1" applyBorder="1"/>
    <xf numFmtId="0" fontId="21" fillId="11" borderId="18" xfId="0" applyFont="1" applyFill="1" applyBorder="1" applyAlignment="1">
      <alignment vertical="center" wrapText="1"/>
    </xf>
    <xf numFmtId="2" fontId="19" fillId="11" borderId="46" xfId="0" applyNumberFormat="1" applyFont="1" applyFill="1" applyBorder="1" applyAlignment="1">
      <alignment horizontal="center"/>
    </xf>
    <xf numFmtId="0" fontId="21" fillId="11" borderId="50" xfId="0" applyFont="1" applyFill="1" applyBorder="1" applyAlignment="1">
      <alignment vertical="center" wrapText="1"/>
    </xf>
    <xf numFmtId="2" fontId="19" fillId="11" borderId="50" xfId="0" applyNumberFormat="1" applyFont="1" applyFill="1" applyBorder="1" applyAlignment="1">
      <alignment horizontal="center"/>
    </xf>
    <xf numFmtId="0" fontId="19" fillId="11" borderId="50" xfId="0" applyFont="1" applyFill="1" applyBorder="1" applyAlignment="1">
      <alignment vertical="center" wrapText="1"/>
    </xf>
    <xf numFmtId="0" fontId="19" fillId="7" borderId="40" xfId="0" applyFont="1" applyFill="1" applyBorder="1" applyAlignment="1">
      <alignment horizontal="left" vertical="top" wrapText="1"/>
    </xf>
    <xf numFmtId="0" fontId="19" fillId="7" borderId="41" xfId="0" applyFont="1" applyFill="1" applyBorder="1" applyAlignment="1">
      <alignment horizontal="left" vertical="top" wrapText="1"/>
    </xf>
    <xf numFmtId="0" fontId="31" fillId="10" borderId="40" xfId="0" applyFont="1" applyFill="1" applyBorder="1" applyAlignment="1">
      <alignment vertical="center" wrapText="1"/>
    </xf>
    <xf numFmtId="0" fontId="31" fillId="10" borderId="41" xfId="0" applyFont="1" applyFill="1" applyBorder="1" applyAlignment="1">
      <alignment vertical="center" wrapText="1"/>
    </xf>
    <xf numFmtId="0" fontId="3" fillId="10" borderId="40" xfId="0" applyFont="1" applyFill="1" applyBorder="1" applyAlignment="1">
      <alignment vertical="center" wrapText="1"/>
    </xf>
    <xf numFmtId="0" fontId="3" fillId="10" borderId="41" xfId="0" applyFont="1" applyFill="1" applyBorder="1" applyAlignment="1">
      <alignment vertical="center" wrapText="1"/>
    </xf>
    <xf numFmtId="0" fontId="19" fillId="7" borderId="4" xfId="0" applyFont="1" applyFill="1" applyBorder="1" applyAlignment="1">
      <alignment horizontal="left" vertical="center" wrapText="1"/>
    </xf>
    <xf numFmtId="0" fontId="19" fillId="7" borderId="14" xfId="0" applyFont="1" applyFill="1" applyBorder="1" applyAlignment="1">
      <alignment horizontal="left" vertical="center" wrapText="1"/>
    </xf>
    <xf numFmtId="0" fontId="19" fillId="7" borderId="37" xfId="0" applyFont="1" applyFill="1" applyBorder="1" applyAlignment="1">
      <alignment horizontal="center" vertical="center" wrapText="1"/>
    </xf>
    <xf numFmtId="0" fontId="3" fillId="10" borderId="42" xfId="0" applyFont="1" applyFill="1" applyBorder="1" applyAlignment="1">
      <alignment vertical="center" wrapText="1"/>
    </xf>
    <xf numFmtId="0" fontId="3" fillId="10" borderId="44" xfId="0" applyFont="1" applyFill="1" applyBorder="1" applyAlignment="1">
      <alignment vertical="center" wrapText="1"/>
    </xf>
    <xf numFmtId="0" fontId="3" fillId="10" borderId="40" xfId="0" applyFont="1" applyFill="1" applyBorder="1" applyAlignment="1">
      <alignment horizontal="center" vertical="center" wrapText="1"/>
    </xf>
    <xf numFmtId="0" fontId="3" fillId="10" borderId="41" xfId="0" applyFont="1" applyFill="1" applyBorder="1" applyAlignment="1">
      <alignment horizontal="center" vertical="center" wrapText="1"/>
    </xf>
    <xf numFmtId="0" fontId="32" fillId="10" borderId="40" xfId="0" applyFont="1" applyFill="1" applyBorder="1" applyAlignment="1">
      <alignment vertical="center" wrapText="1"/>
    </xf>
    <xf numFmtId="0" fontId="19" fillId="9" borderId="40" xfId="0" applyFont="1" applyFill="1" applyBorder="1" applyAlignment="1">
      <alignment horizontal="left" vertical="center" wrapText="1"/>
    </xf>
    <xf numFmtId="0" fontId="19" fillId="9" borderId="41" xfId="0" applyFont="1" applyFill="1" applyBorder="1" applyAlignment="1">
      <alignment horizontal="left" vertical="center" wrapText="1"/>
    </xf>
    <xf numFmtId="0" fontId="19" fillId="9" borderId="42" xfId="0" applyFont="1" applyFill="1" applyBorder="1" applyAlignment="1">
      <alignment horizontal="left" vertical="center" wrapText="1"/>
    </xf>
    <xf numFmtId="0" fontId="19" fillId="9" borderId="44" xfId="0" applyFont="1" applyFill="1" applyBorder="1" applyAlignment="1">
      <alignment horizontal="left" vertical="center" wrapText="1"/>
    </xf>
    <xf numFmtId="0" fontId="19" fillId="9" borderId="40" xfId="0" applyFont="1" applyFill="1" applyBorder="1" applyAlignment="1">
      <alignment horizontal="left" vertical="top" wrapText="1"/>
    </xf>
    <xf numFmtId="0" fontId="19" fillId="9" borderId="41" xfId="0" applyFont="1" applyFill="1" applyBorder="1" applyAlignment="1">
      <alignment horizontal="left" vertical="top" wrapText="1"/>
    </xf>
    <xf numFmtId="0" fontId="46" fillId="9" borderId="40" xfId="0" applyFont="1" applyFill="1" applyBorder="1" applyAlignment="1">
      <alignment horizontal="left" vertical="top" wrapText="1"/>
    </xf>
    <xf numFmtId="0" fontId="46" fillId="9" borderId="41" xfId="0" applyFont="1" applyFill="1" applyBorder="1" applyAlignment="1">
      <alignment horizontal="left" vertical="top" wrapText="1"/>
    </xf>
    <xf numFmtId="0" fontId="46" fillId="9" borderId="40" xfId="0" applyFont="1" applyFill="1" applyBorder="1" applyAlignment="1">
      <alignment horizontal="left" vertical="center" wrapText="1"/>
    </xf>
    <xf numFmtId="0" fontId="46" fillId="9" borderId="41" xfId="0" applyFont="1" applyFill="1" applyBorder="1" applyAlignment="1">
      <alignment horizontal="left" vertical="center" wrapText="1"/>
    </xf>
    <xf numFmtId="0" fontId="19" fillId="9" borderId="40" xfId="0" applyFont="1" applyFill="1" applyBorder="1" applyAlignment="1">
      <alignment horizontal="center" vertical="center" wrapText="1"/>
    </xf>
    <xf numFmtId="0" fontId="19" fillId="9" borderId="41" xfId="0" applyFont="1" applyFill="1" applyBorder="1" applyAlignment="1">
      <alignment horizontal="center" vertical="center" wrapText="1"/>
    </xf>
    <xf numFmtId="0" fontId="31" fillId="10" borderId="46" xfId="0" applyFont="1" applyFill="1" applyBorder="1" applyAlignment="1">
      <alignment vertical="center" wrapText="1"/>
    </xf>
    <xf numFmtId="0" fontId="3" fillId="10" borderId="46" xfId="0" applyFont="1" applyFill="1" applyBorder="1" applyAlignment="1">
      <alignment horizontal="center" vertical="center" wrapText="1"/>
    </xf>
    <xf numFmtId="0" fontId="3" fillId="10" borderId="43" xfId="0" applyFont="1" applyFill="1" applyBorder="1" applyAlignment="1">
      <alignment vertical="center" wrapText="1"/>
    </xf>
    <xf numFmtId="0" fontId="20" fillId="9" borderId="40" xfId="0" applyFont="1" applyFill="1" applyBorder="1" applyAlignment="1">
      <alignment horizontal="center" vertical="center" wrapText="1"/>
    </xf>
    <xf numFmtId="0" fontId="20" fillId="9" borderId="41" xfId="0" applyFont="1" applyFill="1" applyBorder="1" applyAlignment="1">
      <alignment horizontal="center" vertical="center" wrapText="1"/>
    </xf>
    <xf numFmtId="0" fontId="20" fillId="9" borderId="46" xfId="0" applyFont="1" applyFill="1" applyBorder="1" applyAlignment="1">
      <alignment horizontal="center" vertical="center" wrapText="1"/>
    </xf>
    <xf numFmtId="0" fontId="19" fillId="9" borderId="46" xfId="0" applyFont="1" applyFill="1" applyBorder="1" applyAlignment="1">
      <alignment horizontal="center" vertical="center" wrapText="1"/>
    </xf>
    <xf numFmtId="0" fontId="20" fillId="9" borderId="42" xfId="0" applyFont="1" applyFill="1" applyBorder="1" applyAlignment="1">
      <alignment vertical="center"/>
    </xf>
    <xf numFmtId="0" fontId="20" fillId="9" borderId="43" xfId="0" applyFont="1" applyFill="1" applyBorder="1" applyAlignment="1">
      <alignment vertical="center"/>
    </xf>
    <xf numFmtId="0" fontId="20" fillId="9" borderId="44" xfId="0" applyFont="1" applyFill="1" applyBorder="1" applyAlignment="1">
      <alignment vertical="center"/>
    </xf>
    <xf numFmtId="0" fontId="30" fillId="7" borderId="40" xfId="0" applyFont="1" applyFill="1" applyBorder="1" applyAlignment="1">
      <alignment horizontal="left" vertical="top" wrapText="1"/>
    </xf>
    <xf numFmtId="0" fontId="19" fillId="7" borderId="40" xfId="0" applyFont="1" applyFill="1" applyBorder="1" applyAlignment="1">
      <alignment vertical="top" wrapText="1"/>
    </xf>
    <xf numFmtId="0" fontId="19" fillId="7" borderId="41" xfId="0" applyFont="1" applyFill="1" applyBorder="1" applyAlignment="1">
      <alignment vertical="top" wrapText="1"/>
    </xf>
    <xf numFmtId="0" fontId="21" fillId="8" borderId="35" xfId="0" applyFont="1" applyFill="1" applyBorder="1" applyAlignment="1">
      <alignment vertical="center" wrapText="1"/>
    </xf>
    <xf numFmtId="0" fontId="3" fillId="0" borderId="35" xfId="0" applyFont="1" applyBorder="1"/>
    <xf numFmtId="0" fontId="20" fillId="5" borderId="35" xfId="0" applyFont="1" applyFill="1" applyBorder="1" applyAlignment="1">
      <alignment vertical="center"/>
    </xf>
    <xf numFmtId="0" fontId="19" fillId="9" borderId="37" xfId="0" applyFont="1" applyFill="1" applyBorder="1" applyAlignment="1">
      <alignment horizontal="center" vertical="center"/>
    </xf>
    <xf numFmtId="0" fontId="19" fillId="9" borderId="4" xfId="0" applyFont="1" applyFill="1" applyBorder="1" applyAlignment="1">
      <alignment horizontal="left" vertical="center" wrapText="1"/>
    </xf>
    <xf numFmtId="0" fontId="19" fillId="9" borderId="18" xfId="0" applyFont="1" applyFill="1" applyBorder="1" applyAlignment="1">
      <alignment horizontal="left" vertical="center" wrapText="1"/>
    </xf>
    <xf numFmtId="0" fontId="19" fillId="9" borderId="14" xfId="0" applyFont="1" applyFill="1" applyBorder="1" applyAlignment="1">
      <alignment horizontal="left" vertical="center" wrapText="1"/>
    </xf>
    <xf numFmtId="0" fontId="20" fillId="6" borderId="47" xfId="0" applyFont="1" applyFill="1" applyBorder="1" applyAlignment="1">
      <alignment horizontal="center" vertical="center" wrapText="1"/>
    </xf>
    <xf numFmtId="0" fontId="20" fillId="9" borderId="37" xfId="0" applyFont="1" applyFill="1" applyBorder="1" applyAlignment="1">
      <alignment vertical="center"/>
    </xf>
    <xf numFmtId="0" fontId="20" fillId="9" borderId="40" xfId="0" applyFont="1" applyFill="1" applyBorder="1" applyAlignment="1">
      <alignment vertical="center"/>
    </xf>
    <xf numFmtId="0" fontId="20" fillId="9" borderId="41" xfId="0" applyFont="1" applyFill="1" applyBorder="1" applyAlignment="1">
      <alignment vertical="center"/>
    </xf>
    <xf numFmtId="0" fontId="20" fillId="9" borderId="40" xfId="0" applyFont="1" applyFill="1" applyBorder="1" applyAlignment="1">
      <alignment vertical="center" wrapText="1"/>
    </xf>
    <xf numFmtId="0" fontId="20" fillId="9" borderId="41" xfId="0" applyFont="1" applyFill="1" applyBorder="1" applyAlignment="1">
      <alignment vertical="center" wrapText="1"/>
    </xf>
    <xf numFmtId="0" fontId="21" fillId="11" borderId="46" xfId="0" applyFont="1" applyFill="1" applyBorder="1" applyAlignment="1">
      <alignment horizontal="center" vertical="center" wrapText="1"/>
    </xf>
    <xf numFmtId="0" fontId="21" fillId="11" borderId="50" xfId="0" applyFont="1" applyFill="1" applyBorder="1" applyAlignment="1">
      <alignment horizontal="center" vertical="center" wrapText="1"/>
    </xf>
    <xf numFmtId="0" fontId="21" fillId="11" borderId="53" xfId="0" applyFont="1" applyFill="1" applyBorder="1" applyAlignment="1">
      <alignment horizontal="center" vertical="center" wrapText="1"/>
    </xf>
    <xf numFmtId="0" fontId="21" fillId="11" borderId="41" xfId="0" applyFont="1" applyFill="1" applyBorder="1" applyAlignment="1">
      <alignment horizontal="center" vertical="center" wrapText="1"/>
    </xf>
    <xf numFmtId="0" fontId="19" fillId="7" borderId="18" xfId="0" applyFont="1" applyFill="1" applyBorder="1" applyAlignment="1">
      <alignment horizontal="left" vertical="center" wrapText="1"/>
    </xf>
    <xf numFmtId="0" fontId="19" fillId="7" borderId="40" xfId="0" quotePrefix="1" applyFont="1" applyFill="1" applyBorder="1" applyAlignment="1">
      <alignment vertical="top" wrapText="1"/>
    </xf>
    <xf numFmtId="0" fontId="19" fillId="7" borderId="41" xfId="0" quotePrefix="1" applyFont="1" applyFill="1" applyBorder="1" applyAlignment="1">
      <alignment vertical="top" wrapText="1"/>
    </xf>
    <xf numFmtId="0" fontId="30" fillId="9" borderId="40" xfId="0" applyFont="1" applyFill="1" applyBorder="1" applyAlignment="1">
      <alignment horizontal="left" vertical="center" wrapText="1"/>
    </xf>
    <xf numFmtId="0" fontId="30" fillId="9" borderId="41" xfId="0" applyFont="1" applyFill="1" applyBorder="1" applyAlignment="1">
      <alignment horizontal="left" vertical="center" wrapText="1"/>
    </xf>
    <xf numFmtId="0" fontId="19" fillId="9" borderId="46" xfId="0" applyFont="1" applyFill="1" applyBorder="1" applyAlignment="1">
      <alignment horizontal="left" vertical="top" wrapText="1"/>
    </xf>
    <xf numFmtId="0" fontId="20" fillId="9" borderId="46" xfId="0" applyFont="1" applyFill="1" applyBorder="1" applyAlignment="1">
      <alignment vertical="center" wrapText="1"/>
    </xf>
    <xf numFmtId="0" fontId="20" fillId="9" borderId="46" xfId="0" applyFont="1" applyFill="1" applyBorder="1" applyAlignment="1">
      <alignment vertical="center"/>
    </xf>
    <xf numFmtId="0" fontId="30" fillId="9" borderId="40" xfId="0" applyFont="1" applyFill="1" applyBorder="1" applyAlignment="1">
      <alignment horizontal="left" vertical="top" wrapText="1"/>
    </xf>
    <xf numFmtId="0" fontId="30" fillId="9" borderId="41" xfId="0" applyFont="1" applyFill="1" applyBorder="1" applyAlignment="1">
      <alignment horizontal="left" vertical="top" wrapText="1"/>
    </xf>
    <xf numFmtId="0" fontId="19" fillId="11" borderId="40" xfId="0" applyFont="1" applyFill="1" applyBorder="1" applyAlignment="1">
      <alignment horizontal="left" vertical="center" wrapText="1"/>
    </xf>
    <xf numFmtId="0" fontId="19" fillId="11" borderId="41" xfId="0" applyFont="1" applyFill="1" applyBorder="1" applyAlignment="1">
      <alignment horizontal="left" vertical="center" wrapText="1"/>
    </xf>
    <xf numFmtId="0" fontId="19" fillId="11" borderId="40" xfId="0" applyFont="1" applyFill="1" applyBorder="1" applyAlignment="1">
      <alignment horizontal="center" vertical="center"/>
    </xf>
    <xf numFmtId="0" fontId="19" fillId="11" borderId="41" xfId="0" applyFont="1" applyFill="1" applyBorder="1" applyAlignment="1">
      <alignment horizontal="center" vertical="center"/>
    </xf>
    <xf numFmtId="0" fontId="19" fillId="11" borderId="40" xfId="0" applyFont="1" applyFill="1" applyBorder="1" applyAlignment="1">
      <alignment horizontal="center"/>
    </xf>
    <xf numFmtId="0" fontId="19" fillId="11" borderId="41" xfId="0" applyFont="1" applyFill="1" applyBorder="1" applyAlignment="1">
      <alignment horizontal="center"/>
    </xf>
    <xf numFmtId="0" fontId="6" fillId="3" borderId="7" xfId="0" applyFont="1" applyFill="1" applyBorder="1" applyAlignment="1">
      <alignment horizontal="left" vertical="top" wrapText="1"/>
    </xf>
    <xf numFmtId="0" fontId="3" fillId="0" borderId="11" xfId="0" applyFont="1" applyBorder="1"/>
    <xf numFmtId="0" fontId="3" fillId="0" borderId="15" xfId="0" applyFont="1" applyBorder="1"/>
    <xf numFmtId="0" fontId="9" fillId="2" borderId="8" xfId="0" applyFont="1" applyFill="1" applyBorder="1" applyAlignment="1">
      <alignment vertical="top" wrapText="1"/>
    </xf>
    <xf numFmtId="0" fontId="3" fillId="0" borderId="16" xfId="0" applyFont="1" applyBorder="1"/>
    <xf numFmtId="0" fontId="3" fillId="0" borderId="12" xfId="0" applyFont="1" applyBorder="1"/>
    <xf numFmtId="0" fontId="3" fillId="0" borderId="19" xfId="0" applyFont="1" applyBorder="1"/>
    <xf numFmtId="0" fontId="3" fillId="0" borderId="13" xfId="0" applyFont="1" applyBorder="1"/>
    <xf numFmtId="0" fontId="7" fillId="2" borderId="8" xfId="0" applyFont="1" applyFill="1" applyBorder="1" applyAlignment="1">
      <alignment vertical="top" wrapText="1"/>
    </xf>
    <xf numFmtId="0" fontId="1" fillId="0" borderId="3" xfId="0" applyFont="1" applyBorder="1"/>
    <xf numFmtId="0" fontId="3" fillId="0" borderId="4" xfId="0" applyFont="1" applyBorder="1"/>
    <xf numFmtId="0" fontId="1" fillId="0" borderId="3" xfId="0" applyFont="1" applyBorder="1" applyAlignment="1">
      <alignment vertical="top"/>
    </xf>
    <xf numFmtId="0" fontId="3" fillId="0" borderId="4" xfId="0" applyFont="1" applyBorder="1" applyAlignment="1">
      <alignment vertical="top"/>
    </xf>
    <xf numFmtId="0" fontId="1" fillId="0" borderId="3" xfId="0" applyFont="1" applyBorder="1" applyAlignment="1">
      <alignment wrapText="1"/>
    </xf>
    <xf numFmtId="0" fontId="1" fillId="0" borderId="3" xfId="0" applyFont="1" applyBorder="1" applyAlignment="1">
      <alignment horizontal="left" vertical="top" wrapText="1"/>
    </xf>
    <xf numFmtId="0" fontId="3" fillId="0" borderId="4" xfId="0" applyFont="1" applyBorder="1" applyAlignment="1">
      <alignment horizontal="left" vertical="top"/>
    </xf>
    <xf numFmtId="0" fontId="0" fillId="0" borderId="3" xfId="0" applyBorder="1" applyAlignment="1">
      <alignment vertical="top" wrapText="1"/>
    </xf>
    <xf numFmtId="0" fontId="9" fillId="2" borderId="21" xfId="0" applyFont="1" applyFill="1" applyBorder="1" applyAlignment="1">
      <alignment horizontal="left" vertical="top" wrapText="1"/>
    </xf>
    <xf numFmtId="0" fontId="3" fillId="0" borderId="23" xfId="0" applyFont="1" applyBorder="1"/>
    <xf numFmtId="0" fontId="3" fillId="0" borderId="25" xfId="0" applyFont="1" applyBorder="1"/>
    <xf numFmtId="0" fontId="1" fillId="0" borderId="21" xfId="0" applyFont="1" applyBorder="1" applyAlignment="1">
      <alignment horizontal="left" vertical="center" wrapText="1"/>
    </xf>
    <xf numFmtId="0" fontId="1" fillId="0" borderId="31" xfId="0" applyFont="1" applyBorder="1" applyAlignment="1">
      <alignment horizontal="left" vertical="center" wrapText="1"/>
    </xf>
    <xf numFmtId="0" fontId="17" fillId="2" borderId="16" xfId="0" applyFont="1" applyFill="1" applyBorder="1" applyAlignment="1">
      <alignment vertical="center" wrapText="1"/>
    </xf>
    <xf numFmtId="0" fontId="17" fillId="2" borderId="0" xfId="0" applyFont="1" applyFill="1" applyAlignment="1">
      <alignment vertical="center" wrapText="1"/>
    </xf>
    <xf numFmtId="0" fontId="0" fillId="0" borderId="0" xfId="0"/>
    <xf numFmtId="0" fontId="9" fillId="2" borderId="6" xfId="0" applyFont="1" applyFill="1" applyBorder="1" applyAlignment="1">
      <alignment vertical="top" wrapText="1"/>
    </xf>
    <xf numFmtId="0" fontId="3" fillId="0" borderId="32" xfId="0" applyFont="1" applyBorder="1"/>
    <xf numFmtId="0" fontId="3" fillId="0" borderId="9" xfId="0" applyFont="1" applyBorder="1"/>
    <xf numFmtId="0" fontId="12" fillId="2" borderId="8" xfId="0" applyFont="1" applyFill="1" applyBorder="1" applyAlignment="1">
      <alignment vertical="center" wrapText="1"/>
    </xf>
    <xf numFmtId="0" fontId="11" fillId="2" borderId="21" xfId="0" applyFont="1" applyFill="1" applyBorder="1" applyAlignment="1">
      <alignment vertical="center"/>
    </xf>
    <xf numFmtId="0" fontId="3" fillId="0" borderId="31" xfId="0" applyFont="1" applyBorder="1"/>
    <xf numFmtId="0" fontId="11" fillId="2" borderId="21" xfId="0" applyFont="1" applyFill="1" applyBorder="1" applyAlignment="1">
      <alignment vertical="center" wrapText="1"/>
    </xf>
  </cellXfs>
  <cellStyles count="2">
    <cellStyle name="Comma" xfId="1" builtinId="3"/>
    <cellStyle name="Normal" xfId="0" builtinId="0"/>
  </cellStyles>
  <dxfs count="0"/>
  <tableStyles count="1" defaultTableStyle="TableStyleMedium2" defaultPivotStyle="PivotStyleLight16">
    <tableStyle name="Invisible" pivot="0" table="0" count="0" xr9:uid="{419820D0-6BBF-4310-A536-3879FAE242E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AA634623-5648-45D5-A649-21F42396D131}">
    <Anchor>
      <Comment id="{04D42E58-6922-4787-8ED1-2E187217ADCE}"/>
    </Anchor>
    <History>
      <Event time="2025-07-10T13:14:45.15" id="{EDBD649D-116A-4FE1-9B69-096A526E22FD}">
        <Attribution userId="S::anjiraini@wwfint.org::d557b7a7-4bb2-40fd-91c0-864ae5da9c3c" userName="Andrew Njiraini" userProvider="AD"/>
        <Anchor>
          <Comment id="{04D42E58-6922-4787-8ED1-2E187217ADCE}"/>
        </Anchor>
        <Create/>
      </Event>
      <Event time="2025-07-10T13:14:45.15" id="{18D302F7-31E7-414B-B71F-8C3C6C5DE334}">
        <Attribution userId="S::anjiraini@wwfint.org::d557b7a7-4bb2-40fd-91c0-864ae5da9c3c" userName="Andrew Njiraini" userProvider="AD"/>
        <Anchor>
          <Comment id="{04D42E58-6922-4787-8ED1-2E187217ADCE}"/>
        </Anchor>
        <Assign userId="S::antongho@wwfcam.org::da504469-837c-4567-b299-81912a82fc87" userName="Anne Ntongho" userProvider="AD"/>
      </Event>
      <Event time="2025-07-10T13:14:45.15" id="{4E033EAD-AD28-4F14-BB14-F207D0B5C49B}">
        <Attribution userId="S::anjiraini@wwfint.org::d557b7a7-4bb2-40fd-91c0-864ae5da9c3c" userName="Andrew Njiraini" userProvider="AD"/>
        <Anchor>
          <Comment id="{04D42E58-6922-4787-8ED1-2E187217ADCE}"/>
        </Anchor>
        <SetTitle title="@Anne Ntongho OSP risk assessment yet to be completed before the finalisation of the OSP"/>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neNtongho\AppData\Local\Microsoft\Windows\INetCache\Content.Outlook\Y4PRAORS\Cameroon%20Forest%20conservation_%20Baseline%20(002).xlsx" TargetMode="External"/><Relationship Id="rId1" Type="http://schemas.openxmlformats.org/officeDocument/2006/relationships/externalLinkPath" Target="file:///C:\Users\AnneNtongho\AppData\Local\Microsoft\Windows\INetCache\Content.Outlook\Y4PRAORS\Cameroon%20Forest%20conservation_%20Baseline%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 M&amp;E Plan"/>
    </sheetNames>
    <sheetDataSet>
      <sheetData sheetId="0" refreshError="1">
        <row r="29">
          <cell r="J29" t="str">
            <v>TNS:&gt;20millionXAF
CFP
RRT: 1,000,000XAF
Local Conservation Support Staff (LCSS): 400,000XAF
Cluster Facilitators: 1,000,000XAF
Average: 800,000XAF</v>
          </cell>
        </row>
        <row r="33">
          <cell r="J33" t="str">
            <v>CFP: Mapped 3 HCV forests (Korup-Oban, Bakossi-Bnayang Mbo, &amp; Mt. CMR)
0 HCV Forests classified</v>
          </cell>
        </row>
        <row r="34">
          <cell r="J34" t="str">
            <v>CFP: 1 Community-validated forest in Lower Mbo of the Banyang Mbo Wildlife Sanctuary integrated into land use plans</v>
          </cell>
        </row>
        <row r="35">
          <cell r="J35" t="str">
            <v>CFP: Rumpi Rata NP under creation: 47,600 ha
Muaku CF: 404 ha</v>
          </cell>
        </row>
      </sheetData>
    </sheetDataSet>
  </externalBook>
</externalLink>
</file>

<file path=xl/persons/person.xml><?xml version="1.0" encoding="utf-8"?>
<personList xmlns="http://schemas.microsoft.com/office/spreadsheetml/2018/threadedcomments" xmlns:x="http://schemas.openxmlformats.org/spreadsheetml/2006/main">
  <person displayName="Anne Ntongho" id="{7EC50E1C-71A4-4A6F-9EA6-5D10ACF0CE4F}" userId="antongho@wwfcam.org" providerId="PeoplePicker"/>
  <person displayName="Andrew Njiraini" id="{51B3D7DD-EE0E-46B5-8912-12A8C41E6DEE}" userId="S::anjiraini@wwfint.org::d557b7a7-4bb2-40fd-91c0-864ae5da9c3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 dT="2025-07-10T13:14:45.04" personId="{51B3D7DD-EE0E-46B5-8912-12A8C41E6DEE}" id="{04D42E58-6922-4787-8ED1-2E187217ADCE}">
    <text xml:space="preserve">@Anne Ntongho OSP risk assessment yet to be completed before the finalisation of the OSP </text>
    <mentions>
      <mention mentionpersonId="{7EC50E1C-71A4-4A6F-9EA6-5D10ACF0CE4F}" mentionId="{B45E02EB-A6D7-4C78-8DD4-4C6AD5CF00FD}" startIndex="0" length="13"/>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sites.google.com/wwf.panda.org/networkstandards/policy-areas/project-and-initiative-management/2-4-guidance-by-ppms-step" TargetMode="Externa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3"/>
  <sheetViews>
    <sheetView workbookViewId="0">
      <pane xSplit="2" topLeftCell="C1" activePane="topRight" state="frozen"/>
      <selection pane="topRight" activeCell="F10" sqref="F10"/>
    </sheetView>
  </sheetViews>
  <sheetFormatPr defaultColWidth="12.5546875" defaultRowHeight="15.75" customHeight="1"/>
  <cols>
    <col min="1" max="1" width="14.5546875" customWidth="1"/>
    <col min="2" max="2" width="32.5546875" customWidth="1"/>
    <col min="3" max="3" width="22.44140625" customWidth="1"/>
    <col min="4" max="4" width="69.44140625" customWidth="1"/>
  </cols>
  <sheetData>
    <row r="1" spans="1:26" ht="13.2">
      <c r="A1" s="1"/>
      <c r="B1" s="2" t="s">
        <v>0</v>
      </c>
      <c r="C1" s="355"/>
      <c r="D1" s="356"/>
    </row>
    <row r="2" spans="1:26" ht="79.2">
      <c r="A2" s="3" t="s">
        <v>1</v>
      </c>
      <c r="B2" s="4" t="s">
        <v>2</v>
      </c>
      <c r="C2" s="357" t="s">
        <v>3</v>
      </c>
      <c r="D2" s="358"/>
    </row>
    <row r="3" spans="1:26" ht="80.25" customHeight="1">
      <c r="A3" s="3" t="s">
        <v>4</v>
      </c>
      <c r="B3" s="4" t="s">
        <v>5</v>
      </c>
      <c r="C3" s="355" t="s">
        <v>6</v>
      </c>
      <c r="D3" s="356"/>
    </row>
    <row r="4" spans="1:26" ht="80.25" customHeight="1">
      <c r="A4" s="3" t="s">
        <v>7</v>
      </c>
      <c r="B4" s="4" t="s">
        <v>8</v>
      </c>
      <c r="C4" s="359" t="s">
        <v>9</v>
      </c>
      <c r="D4" s="356"/>
    </row>
    <row r="5" spans="1:26" ht="29.25" customHeight="1">
      <c r="A5" s="346" t="s">
        <v>10</v>
      </c>
      <c r="B5" s="354" t="s">
        <v>11</v>
      </c>
      <c r="C5" s="5" t="s">
        <v>12</v>
      </c>
      <c r="D5" s="6" t="s">
        <v>13</v>
      </c>
      <c r="E5" s="7"/>
      <c r="F5" s="7"/>
      <c r="G5" s="7"/>
      <c r="H5" s="7"/>
      <c r="I5" s="7"/>
      <c r="J5" s="7"/>
      <c r="K5" s="7"/>
      <c r="L5" s="7"/>
      <c r="M5" s="7"/>
      <c r="N5" s="7"/>
      <c r="O5" s="7"/>
      <c r="P5" s="7"/>
      <c r="Q5" s="7"/>
      <c r="R5" s="7"/>
      <c r="S5" s="7"/>
      <c r="T5" s="7"/>
      <c r="U5" s="7"/>
      <c r="V5" s="7"/>
      <c r="W5" s="7"/>
      <c r="X5" s="7"/>
      <c r="Y5" s="7"/>
      <c r="Z5" s="7"/>
    </row>
    <row r="6" spans="1:26" ht="32.25" customHeight="1">
      <c r="A6" s="347"/>
      <c r="B6" s="351"/>
      <c r="C6" s="8" t="s">
        <v>14</v>
      </c>
      <c r="D6" s="9" t="s">
        <v>15</v>
      </c>
      <c r="E6" s="7"/>
      <c r="F6" s="7"/>
      <c r="G6" s="7"/>
      <c r="H6" s="7"/>
      <c r="I6" s="7"/>
      <c r="J6" s="7"/>
      <c r="K6" s="7"/>
      <c r="L6" s="7"/>
      <c r="M6" s="7"/>
      <c r="N6" s="7"/>
      <c r="O6" s="7"/>
      <c r="P6" s="7"/>
      <c r="Q6" s="7"/>
      <c r="R6" s="7"/>
      <c r="S6" s="7"/>
      <c r="T6" s="7"/>
      <c r="U6" s="7"/>
      <c r="V6" s="7"/>
      <c r="W6" s="7"/>
      <c r="X6" s="7"/>
      <c r="Y6" s="7"/>
      <c r="Z6" s="7"/>
    </row>
    <row r="7" spans="1:26" ht="80.25" customHeight="1">
      <c r="A7" s="3" t="s">
        <v>16</v>
      </c>
      <c r="B7" s="4" t="s">
        <v>17</v>
      </c>
      <c r="C7" s="360" t="s">
        <v>18</v>
      </c>
      <c r="D7" s="361"/>
    </row>
    <row r="8" spans="1:26" ht="92.4">
      <c r="A8" s="3" t="s">
        <v>19</v>
      </c>
      <c r="B8" s="4" t="s">
        <v>20</v>
      </c>
      <c r="C8" s="362" t="s">
        <v>21</v>
      </c>
      <c r="D8" s="358"/>
    </row>
    <row r="9" spans="1:26" ht="66.75" customHeight="1">
      <c r="A9" s="346" t="s">
        <v>22</v>
      </c>
      <c r="B9" s="349" t="s">
        <v>23</v>
      </c>
      <c r="C9" s="10" t="s">
        <v>24</v>
      </c>
      <c r="D9" s="138" t="s">
        <v>25</v>
      </c>
      <c r="E9" s="7"/>
    </row>
    <row r="10" spans="1:26" ht="310.5" customHeight="1">
      <c r="A10" s="348"/>
      <c r="B10" s="350"/>
      <c r="C10" s="137" t="s">
        <v>26</v>
      </c>
      <c r="D10" s="231" t="s">
        <v>27</v>
      </c>
      <c r="E10" s="7"/>
    </row>
    <row r="11" spans="1:26" ht="66.75" customHeight="1">
      <c r="A11" s="348"/>
      <c r="B11" s="350"/>
      <c r="C11" s="12" t="s">
        <v>28</v>
      </c>
      <c r="D11" s="139" t="s">
        <v>29</v>
      </c>
      <c r="E11" s="7"/>
    </row>
    <row r="12" spans="1:26" ht="66.75" customHeight="1">
      <c r="A12" s="348"/>
      <c r="B12" s="350"/>
      <c r="C12" s="12" t="s">
        <v>30</v>
      </c>
      <c r="D12" s="139" t="s">
        <v>31</v>
      </c>
      <c r="E12" s="7"/>
    </row>
    <row r="13" spans="1:26" ht="66.75" customHeight="1">
      <c r="A13" s="347"/>
      <c r="B13" s="351"/>
      <c r="C13" s="14" t="s">
        <v>32</v>
      </c>
      <c r="D13" s="140" t="s">
        <v>33</v>
      </c>
      <c r="E13" s="7"/>
    </row>
    <row r="14" spans="1:26" ht="61.5" customHeight="1">
      <c r="A14" s="346" t="s">
        <v>34</v>
      </c>
      <c r="B14" s="349" t="s">
        <v>35</v>
      </c>
      <c r="C14" s="10" t="s">
        <v>36</v>
      </c>
      <c r="D14" s="11" t="s">
        <v>25</v>
      </c>
      <c r="E14" s="7"/>
    </row>
    <row r="15" spans="1:26" ht="61.5" customHeight="1">
      <c r="A15" s="348"/>
      <c r="B15" s="350"/>
      <c r="C15" s="12"/>
      <c r="D15" s="13"/>
      <c r="E15" s="7"/>
    </row>
    <row r="16" spans="1:26" ht="61.5" customHeight="1">
      <c r="A16" s="348"/>
      <c r="B16" s="350"/>
      <c r="C16" s="12"/>
      <c r="D16" s="13"/>
      <c r="E16" s="7"/>
    </row>
    <row r="17" spans="1:5" ht="61.5" customHeight="1">
      <c r="A17" s="348"/>
      <c r="B17" s="350"/>
      <c r="C17" s="12"/>
      <c r="D17" s="13"/>
      <c r="E17" s="7"/>
    </row>
    <row r="18" spans="1:5" ht="61.5" customHeight="1">
      <c r="A18" s="352"/>
      <c r="B18" s="353"/>
      <c r="C18" s="15"/>
      <c r="D18" s="9"/>
      <c r="E18" s="7"/>
    </row>
    <row r="19" spans="1:5" ht="13.2">
      <c r="A19" s="16"/>
      <c r="B19" s="17"/>
      <c r="C19" s="355"/>
      <c r="D19" s="356"/>
    </row>
    <row r="20" spans="1:5" ht="13.2">
      <c r="A20" s="18"/>
      <c r="B20" s="19"/>
    </row>
    <row r="21" spans="1:5" ht="13.2">
      <c r="A21" s="18"/>
      <c r="B21" s="19"/>
    </row>
    <row r="22" spans="1:5" ht="13.2">
      <c r="A22" s="18"/>
      <c r="B22" s="19"/>
    </row>
    <row r="23" spans="1:5" ht="13.2">
      <c r="A23" s="18"/>
      <c r="B23" s="19"/>
    </row>
    <row r="24" spans="1:5" ht="13.2">
      <c r="A24" s="18"/>
      <c r="B24" s="19"/>
    </row>
    <row r="25" spans="1:5" ht="13.2">
      <c r="A25" s="18"/>
      <c r="B25" s="19"/>
    </row>
    <row r="26" spans="1:5" ht="13.2">
      <c r="A26" s="18"/>
      <c r="B26" s="19"/>
    </row>
    <row r="27" spans="1:5" ht="13.2">
      <c r="A27" s="18"/>
      <c r="B27" s="19"/>
    </row>
    <row r="28" spans="1:5" ht="13.2">
      <c r="A28" s="18"/>
      <c r="B28" s="19"/>
    </row>
    <row r="29" spans="1:5" ht="13.2">
      <c r="A29" s="18"/>
      <c r="B29" s="19"/>
    </row>
    <row r="30" spans="1:5" ht="13.2">
      <c r="A30" s="18"/>
      <c r="B30" s="19"/>
    </row>
    <row r="31" spans="1:5" ht="13.2">
      <c r="A31" s="18"/>
      <c r="B31" s="19"/>
    </row>
    <row r="32" spans="1:5" ht="13.2">
      <c r="A32" s="18"/>
      <c r="B32" s="19"/>
    </row>
    <row r="33" spans="1:2" ht="13.2">
      <c r="A33" s="18"/>
      <c r="B33" s="19"/>
    </row>
    <row r="34" spans="1:2" ht="13.2">
      <c r="A34" s="18"/>
      <c r="B34" s="19"/>
    </row>
    <row r="35" spans="1:2" ht="13.2">
      <c r="A35" s="18"/>
      <c r="B35" s="19"/>
    </row>
    <row r="36" spans="1:2" ht="13.2">
      <c r="A36" s="18"/>
      <c r="B36" s="19"/>
    </row>
    <row r="37" spans="1:2" ht="13.2">
      <c r="A37" s="18"/>
      <c r="B37" s="19"/>
    </row>
    <row r="38" spans="1:2" ht="13.2">
      <c r="A38" s="18"/>
      <c r="B38" s="19"/>
    </row>
    <row r="39" spans="1:2" ht="13.2">
      <c r="A39" s="18"/>
      <c r="B39" s="19"/>
    </row>
    <row r="40" spans="1:2" ht="13.2">
      <c r="A40" s="18"/>
      <c r="B40" s="19"/>
    </row>
    <row r="41" spans="1:2" ht="13.2">
      <c r="A41" s="18"/>
      <c r="B41" s="19"/>
    </row>
    <row r="42" spans="1:2" ht="13.2">
      <c r="A42" s="18"/>
      <c r="B42" s="19"/>
    </row>
    <row r="43" spans="1:2" ht="13.2">
      <c r="A43" s="18"/>
      <c r="B43" s="19"/>
    </row>
    <row r="44" spans="1:2" ht="13.2">
      <c r="A44" s="18"/>
      <c r="B44" s="19"/>
    </row>
    <row r="45" spans="1:2" ht="13.2">
      <c r="A45" s="18"/>
      <c r="B45" s="19"/>
    </row>
    <row r="46" spans="1:2" ht="13.2">
      <c r="A46" s="18"/>
      <c r="B46" s="19"/>
    </row>
    <row r="47" spans="1:2" ht="13.2">
      <c r="A47" s="18"/>
      <c r="B47" s="19"/>
    </row>
    <row r="48" spans="1:2" ht="13.2">
      <c r="A48" s="18"/>
      <c r="B48" s="19"/>
    </row>
    <row r="49" spans="1:2" ht="13.2">
      <c r="A49" s="18"/>
      <c r="B49" s="19"/>
    </row>
    <row r="50" spans="1:2" ht="13.2">
      <c r="A50" s="18"/>
      <c r="B50" s="19"/>
    </row>
    <row r="51" spans="1:2" ht="13.2">
      <c r="A51" s="18"/>
      <c r="B51" s="19"/>
    </row>
    <row r="52" spans="1:2" ht="13.2">
      <c r="A52" s="18"/>
      <c r="B52" s="19"/>
    </row>
    <row r="53" spans="1:2" ht="13.2">
      <c r="A53" s="18"/>
      <c r="B53" s="19"/>
    </row>
    <row r="54" spans="1:2" ht="13.2">
      <c r="A54" s="18"/>
      <c r="B54" s="19"/>
    </row>
    <row r="55" spans="1:2" ht="13.2">
      <c r="A55" s="18"/>
      <c r="B55" s="19"/>
    </row>
    <row r="56" spans="1:2" ht="13.2">
      <c r="A56" s="18"/>
      <c r="B56" s="19"/>
    </row>
    <row r="57" spans="1:2" ht="13.2">
      <c r="A57" s="18"/>
      <c r="B57" s="19"/>
    </row>
    <row r="58" spans="1:2" ht="13.2">
      <c r="A58" s="18"/>
      <c r="B58" s="19"/>
    </row>
    <row r="59" spans="1:2" ht="13.2">
      <c r="A59" s="18"/>
      <c r="B59" s="19"/>
    </row>
    <row r="60" spans="1:2" ht="13.2">
      <c r="A60" s="18"/>
      <c r="B60" s="19"/>
    </row>
    <row r="61" spans="1:2" ht="13.2">
      <c r="A61" s="18"/>
      <c r="B61" s="19"/>
    </row>
    <row r="62" spans="1:2" ht="13.2">
      <c r="A62" s="18"/>
      <c r="B62" s="19"/>
    </row>
    <row r="63" spans="1:2" ht="13.2">
      <c r="A63" s="18"/>
      <c r="B63" s="19"/>
    </row>
    <row r="64" spans="1:2" ht="13.2">
      <c r="A64" s="18"/>
      <c r="B64" s="19"/>
    </row>
    <row r="65" spans="1:2" ht="13.2">
      <c r="A65" s="18"/>
      <c r="B65" s="19"/>
    </row>
    <row r="66" spans="1:2" ht="13.2">
      <c r="A66" s="18"/>
      <c r="B66" s="19"/>
    </row>
    <row r="67" spans="1:2" ht="13.2">
      <c r="A67" s="18"/>
      <c r="B67" s="19"/>
    </row>
    <row r="68" spans="1:2" ht="13.2">
      <c r="A68" s="18"/>
      <c r="B68" s="19"/>
    </row>
    <row r="69" spans="1:2" ht="13.2">
      <c r="A69" s="18"/>
      <c r="B69" s="19"/>
    </row>
    <row r="70" spans="1:2" ht="13.2">
      <c r="A70" s="18"/>
      <c r="B70" s="19"/>
    </row>
    <row r="71" spans="1:2" ht="13.2">
      <c r="A71" s="18"/>
      <c r="B71" s="19"/>
    </row>
    <row r="72" spans="1:2" ht="13.2">
      <c r="A72" s="18"/>
      <c r="B72" s="19"/>
    </row>
    <row r="73" spans="1:2" ht="13.2">
      <c r="A73" s="18"/>
      <c r="B73" s="19"/>
    </row>
    <row r="74" spans="1:2" ht="13.2">
      <c r="A74" s="18"/>
      <c r="B74" s="19"/>
    </row>
    <row r="75" spans="1:2" ht="13.2">
      <c r="A75" s="18"/>
      <c r="B75" s="19"/>
    </row>
    <row r="76" spans="1:2" ht="13.2">
      <c r="A76" s="18"/>
      <c r="B76" s="19"/>
    </row>
    <row r="77" spans="1:2" ht="13.2">
      <c r="A77" s="18"/>
      <c r="B77" s="19"/>
    </row>
    <row r="78" spans="1:2" ht="13.2">
      <c r="A78" s="18"/>
      <c r="B78" s="19"/>
    </row>
    <row r="79" spans="1:2" ht="13.2">
      <c r="A79" s="18"/>
      <c r="B79" s="19"/>
    </row>
    <row r="80" spans="1:2" ht="13.2">
      <c r="A80" s="18"/>
      <c r="B80" s="19"/>
    </row>
    <row r="81" spans="1:2" ht="13.2">
      <c r="A81" s="18"/>
      <c r="B81" s="19"/>
    </row>
    <row r="82" spans="1:2" ht="13.2">
      <c r="A82" s="18"/>
      <c r="B82" s="19"/>
    </row>
    <row r="83" spans="1:2" ht="13.2">
      <c r="A83" s="18"/>
      <c r="B83" s="19"/>
    </row>
    <row r="84" spans="1:2" ht="13.2">
      <c r="A84" s="18"/>
      <c r="B84" s="19"/>
    </row>
    <row r="85" spans="1:2" ht="13.2">
      <c r="A85" s="18"/>
      <c r="B85" s="19"/>
    </row>
    <row r="86" spans="1:2" ht="13.2">
      <c r="A86" s="18"/>
      <c r="B86" s="19"/>
    </row>
    <row r="87" spans="1:2" ht="13.2">
      <c r="A87" s="18"/>
      <c r="B87" s="19"/>
    </row>
    <row r="88" spans="1:2" ht="13.2">
      <c r="A88" s="18"/>
      <c r="B88" s="19"/>
    </row>
    <row r="89" spans="1:2" ht="13.2">
      <c r="A89" s="18"/>
      <c r="B89" s="19"/>
    </row>
    <row r="90" spans="1:2" ht="13.2">
      <c r="A90" s="18"/>
      <c r="B90" s="19"/>
    </row>
    <row r="91" spans="1:2" ht="13.2">
      <c r="A91" s="18"/>
      <c r="B91" s="19"/>
    </row>
    <row r="92" spans="1:2" ht="13.2">
      <c r="A92" s="18"/>
      <c r="B92" s="19"/>
    </row>
    <row r="93" spans="1:2" ht="13.2">
      <c r="A93" s="18"/>
      <c r="B93" s="19"/>
    </row>
    <row r="94" spans="1:2" ht="13.2">
      <c r="A94" s="18"/>
      <c r="B94" s="19"/>
    </row>
    <row r="95" spans="1:2" ht="13.2">
      <c r="A95" s="18"/>
      <c r="B95" s="19"/>
    </row>
    <row r="96" spans="1:2" ht="13.2">
      <c r="A96" s="18"/>
      <c r="B96" s="19"/>
    </row>
    <row r="97" spans="1:2" ht="13.2">
      <c r="A97" s="18"/>
      <c r="B97" s="19"/>
    </row>
    <row r="98" spans="1:2" ht="13.2">
      <c r="A98" s="18"/>
      <c r="B98" s="19"/>
    </row>
    <row r="99" spans="1:2" ht="13.2">
      <c r="A99" s="18"/>
      <c r="B99" s="19"/>
    </row>
    <row r="100" spans="1:2" ht="13.2">
      <c r="A100" s="18"/>
      <c r="B100" s="19"/>
    </row>
    <row r="101" spans="1:2" ht="13.2">
      <c r="A101" s="18"/>
      <c r="B101" s="19"/>
    </row>
    <row r="102" spans="1:2" ht="13.2">
      <c r="A102" s="18"/>
      <c r="B102" s="19"/>
    </row>
    <row r="103" spans="1:2" ht="13.2">
      <c r="A103" s="18"/>
      <c r="B103" s="19"/>
    </row>
    <row r="104" spans="1:2" ht="13.2">
      <c r="A104" s="18"/>
      <c r="B104" s="19"/>
    </row>
    <row r="105" spans="1:2" ht="13.2">
      <c r="A105" s="18"/>
      <c r="B105" s="19"/>
    </row>
    <row r="106" spans="1:2" ht="13.2">
      <c r="A106" s="18"/>
      <c r="B106" s="19"/>
    </row>
    <row r="107" spans="1:2" ht="13.2">
      <c r="A107" s="18"/>
      <c r="B107" s="19"/>
    </row>
    <row r="108" spans="1:2" ht="13.2">
      <c r="A108" s="18"/>
      <c r="B108" s="19"/>
    </row>
    <row r="109" spans="1:2" ht="13.2">
      <c r="A109" s="18"/>
      <c r="B109" s="19"/>
    </row>
    <row r="110" spans="1:2" ht="13.2">
      <c r="A110" s="18"/>
      <c r="B110" s="19"/>
    </row>
    <row r="111" spans="1:2" ht="13.2">
      <c r="A111" s="18"/>
      <c r="B111" s="19"/>
    </row>
    <row r="112" spans="1:2" ht="13.2">
      <c r="A112" s="18"/>
      <c r="B112" s="19"/>
    </row>
    <row r="113" spans="1:2" ht="13.2">
      <c r="A113" s="18"/>
      <c r="B113" s="19"/>
    </row>
    <row r="114" spans="1:2" ht="13.2">
      <c r="A114" s="18"/>
      <c r="B114" s="19"/>
    </row>
    <row r="115" spans="1:2" ht="13.2">
      <c r="A115" s="18"/>
      <c r="B115" s="19"/>
    </row>
    <row r="116" spans="1:2" ht="13.2">
      <c r="A116" s="18"/>
      <c r="B116" s="19"/>
    </row>
    <row r="117" spans="1:2" ht="13.2">
      <c r="A117" s="18"/>
      <c r="B117" s="19"/>
    </row>
    <row r="118" spans="1:2" ht="13.2">
      <c r="A118" s="18"/>
      <c r="B118" s="19"/>
    </row>
    <row r="119" spans="1:2" ht="13.2">
      <c r="A119" s="18"/>
      <c r="B119" s="19"/>
    </row>
    <row r="120" spans="1:2" ht="13.2">
      <c r="A120" s="18"/>
      <c r="B120" s="19"/>
    </row>
    <row r="121" spans="1:2" ht="13.2">
      <c r="A121" s="18"/>
      <c r="B121" s="19"/>
    </row>
    <row r="122" spans="1:2" ht="13.2">
      <c r="A122" s="18"/>
      <c r="B122" s="19"/>
    </row>
    <row r="123" spans="1:2" ht="13.2">
      <c r="A123" s="18"/>
      <c r="B123" s="19"/>
    </row>
    <row r="124" spans="1:2" ht="13.2">
      <c r="A124" s="18"/>
      <c r="B124" s="19"/>
    </row>
    <row r="125" spans="1:2" ht="13.2">
      <c r="A125" s="18"/>
      <c r="B125" s="19"/>
    </row>
    <row r="126" spans="1:2" ht="13.2">
      <c r="A126" s="18"/>
      <c r="B126" s="19"/>
    </row>
    <row r="127" spans="1:2" ht="13.2">
      <c r="A127" s="18"/>
      <c r="B127" s="19"/>
    </row>
    <row r="128" spans="1:2" ht="13.2">
      <c r="A128" s="18"/>
      <c r="B128" s="19"/>
    </row>
    <row r="129" spans="1:2" ht="13.2">
      <c r="A129" s="18"/>
      <c r="B129" s="19"/>
    </row>
    <row r="130" spans="1:2" ht="13.2">
      <c r="A130" s="18"/>
      <c r="B130" s="19"/>
    </row>
    <row r="131" spans="1:2" ht="13.2">
      <c r="A131" s="18"/>
      <c r="B131" s="19"/>
    </row>
    <row r="132" spans="1:2" ht="13.2">
      <c r="A132" s="18"/>
      <c r="B132" s="19"/>
    </row>
    <row r="133" spans="1:2" ht="13.2">
      <c r="A133" s="18"/>
      <c r="B133" s="19"/>
    </row>
    <row r="134" spans="1:2" ht="13.2">
      <c r="A134" s="18"/>
      <c r="B134" s="19"/>
    </row>
    <row r="135" spans="1:2" ht="13.2">
      <c r="A135" s="18"/>
      <c r="B135" s="19"/>
    </row>
    <row r="136" spans="1:2" ht="13.2">
      <c r="A136" s="18"/>
      <c r="B136" s="19"/>
    </row>
    <row r="137" spans="1:2" ht="13.2">
      <c r="A137" s="18"/>
      <c r="B137" s="19"/>
    </row>
    <row r="138" spans="1:2" ht="13.2">
      <c r="A138" s="18"/>
      <c r="B138" s="19"/>
    </row>
    <row r="139" spans="1:2" ht="13.2">
      <c r="A139" s="18"/>
      <c r="B139" s="19"/>
    </row>
    <row r="140" spans="1:2" ht="13.2">
      <c r="A140" s="18"/>
      <c r="B140" s="19"/>
    </row>
    <row r="141" spans="1:2" ht="13.2">
      <c r="A141" s="18"/>
      <c r="B141" s="19"/>
    </row>
    <row r="142" spans="1:2" ht="13.2">
      <c r="A142" s="18"/>
      <c r="B142" s="19"/>
    </row>
    <row r="143" spans="1:2" ht="13.2">
      <c r="A143" s="18"/>
      <c r="B143" s="19"/>
    </row>
    <row r="144" spans="1:2" ht="13.2">
      <c r="A144" s="18"/>
      <c r="B144" s="19"/>
    </row>
    <row r="145" spans="1:2" ht="13.2">
      <c r="A145" s="18"/>
      <c r="B145" s="19"/>
    </row>
    <row r="146" spans="1:2" ht="13.2">
      <c r="A146" s="18"/>
      <c r="B146" s="19"/>
    </row>
    <row r="147" spans="1:2" ht="13.2">
      <c r="A147" s="18"/>
      <c r="B147" s="19"/>
    </row>
    <row r="148" spans="1:2" ht="13.2">
      <c r="A148" s="18"/>
      <c r="B148" s="19"/>
    </row>
    <row r="149" spans="1:2" ht="13.2">
      <c r="A149" s="18"/>
      <c r="B149" s="19"/>
    </row>
    <row r="150" spans="1:2" ht="13.2">
      <c r="A150" s="18"/>
      <c r="B150" s="19"/>
    </row>
    <row r="151" spans="1:2" ht="13.2">
      <c r="A151" s="18"/>
      <c r="B151" s="19"/>
    </row>
    <row r="152" spans="1:2" ht="13.2">
      <c r="A152" s="18"/>
      <c r="B152" s="19"/>
    </row>
    <row r="153" spans="1:2" ht="13.2">
      <c r="A153" s="18"/>
      <c r="B153" s="19"/>
    </row>
    <row r="154" spans="1:2" ht="13.2">
      <c r="A154" s="18"/>
      <c r="B154" s="19"/>
    </row>
    <row r="155" spans="1:2" ht="13.2">
      <c r="A155" s="18"/>
      <c r="B155" s="19"/>
    </row>
    <row r="156" spans="1:2" ht="13.2">
      <c r="A156" s="18"/>
      <c r="B156" s="19"/>
    </row>
    <row r="157" spans="1:2" ht="13.2">
      <c r="A157" s="18"/>
      <c r="B157" s="19"/>
    </row>
    <row r="158" spans="1:2" ht="13.2">
      <c r="A158" s="18"/>
      <c r="B158" s="19"/>
    </row>
    <row r="159" spans="1:2" ht="13.2">
      <c r="A159" s="18"/>
      <c r="B159" s="19"/>
    </row>
    <row r="160" spans="1:2" ht="13.2">
      <c r="A160" s="18"/>
      <c r="B160" s="19"/>
    </row>
    <row r="161" spans="1:2" ht="13.2">
      <c r="A161" s="18"/>
      <c r="B161" s="19"/>
    </row>
    <row r="162" spans="1:2" ht="13.2">
      <c r="A162" s="18"/>
      <c r="B162" s="19"/>
    </row>
    <row r="163" spans="1:2" ht="13.2">
      <c r="A163" s="18"/>
      <c r="B163" s="19"/>
    </row>
    <row r="164" spans="1:2" ht="13.2">
      <c r="A164" s="18"/>
      <c r="B164" s="19"/>
    </row>
    <row r="165" spans="1:2" ht="13.2">
      <c r="A165" s="18"/>
      <c r="B165" s="19"/>
    </row>
    <row r="166" spans="1:2" ht="13.2">
      <c r="A166" s="18"/>
      <c r="B166" s="19"/>
    </row>
    <row r="167" spans="1:2" ht="13.2">
      <c r="A167" s="18"/>
      <c r="B167" s="19"/>
    </row>
    <row r="168" spans="1:2" ht="13.2">
      <c r="A168" s="18"/>
      <c r="B168" s="19"/>
    </row>
    <row r="169" spans="1:2" ht="13.2">
      <c r="A169" s="18"/>
      <c r="B169" s="19"/>
    </row>
    <row r="170" spans="1:2" ht="13.2">
      <c r="A170" s="18"/>
      <c r="B170" s="19"/>
    </row>
    <row r="171" spans="1:2" ht="13.2">
      <c r="A171" s="18"/>
      <c r="B171" s="19"/>
    </row>
    <row r="172" spans="1:2" ht="13.2">
      <c r="A172" s="18"/>
      <c r="B172" s="19"/>
    </row>
    <row r="173" spans="1:2" ht="13.2">
      <c r="A173" s="18"/>
      <c r="B173" s="19"/>
    </row>
    <row r="174" spans="1:2" ht="13.2">
      <c r="A174" s="18"/>
      <c r="B174" s="19"/>
    </row>
    <row r="175" spans="1:2" ht="13.2">
      <c r="A175" s="18"/>
      <c r="B175" s="19"/>
    </row>
    <row r="176" spans="1:2" ht="13.2">
      <c r="A176" s="18"/>
      <c r="B176" s="19"/>
    </row>
    <row r="177" spans="1:2" ht="13.2">
      <c r="A177" s="18"/>
      <c r="B177" s="19"/>
    </row>
    <row r="178" spans="1:2" ht="13.2">
      <c r="A178" s="18"/>
      <c r="B178" s="19"/>
    </row>
    <row r="179" spans="1:2" ht="13.2">
      <c r="A179" s="18"/>
      <c r="B179" s="19"/>
    </row>
    <row r="180" spans="1:2" ht="13.2">
      <c r="A180" s="18"/>
      <c r="B180" s="19"/>
    </row>
    <row r="181" spans="1:2" ht="13.2">
      <c r="A181" s="18"/>
      <c r="B181" s="19"/>
    </row>
    <row r="182" spans="1:2" ht="13.2">
      <c r="A182" s="18"/>
      <c r="B182" s="19"/>
    </row>
    <row r="183" spans="1:2" ht="13.2">
      <c r="A183" s="18"/>
      <c r="B183" s="19"/>
    </row>
    <row r="184" spans="1:2" ht="13.2">
      <c r="A184" s="18"/>
      <c r="B184" s="19"/>
    </row>
    <row r="185" spans="1:2" ht="13.2">
      <c r="A185" s="18"/>
      <c r="B185" s="19"/>
    </row>
    <row r="186" spans="1:2" ht="13.2">
      <c r="A186" s="18"/>
      <c r="B186" s="19"/>
    </row>
    <row r="187" spans="1:2" ht="13.2">
      <c r="A187" s="18"/>
      <c r="B187" s="19"/>
    </row>
    <row r="188" spans="1:2" ht="13.2">
      <c r="A188" s="18"/>
      <c r="B188" s="19"/>
    </row>
    <row r="189" spans="1:2" ht="13.2">
      <c r="A189" s="18"/>
      <c r="B189" s="19"/>
    </row>
    <row r="190" spans="1:2" ht="13.2">
      <c r="A190" s="18"/>
      <c r="B190" s="19"/>
    </row>
    <row r="191" spans="1:2" ht="13.2">
      <c r="A191" s="18"/>
      <c r="B191" s="19"/>
    </row>
    <row r="192" spans="1:2" ht="13.2">
      <c r="A192" s="18"/>
      <c r="B192" s="19"/>
    </row>
    <row r="193" spans="1:2" ht="13.2">
      <c r="A193" s="18"/>
      <c r="B193" s="19"/>
    </row>
    <row r="194" spans="1:2" ht="13.2">
      <c r="A194" s="18"/>
      <c r="B194" s="19"/>
    </row>
    <row r="195" spans="1:2" ht="13.2">
      <c r="A195" s="18"/>
      <c r="B195" s="19"/>
    </row>
    <row r="196" spans="1:2" ht="13.2">
      <c r="A196" s="18"/>
      <c r="B196" s="19"/>
    </row>
    <row r="197" spans="1:2" ht="13.2">
      <c r="A197" s="18"/>
      <c r="B197" s="19"/>
    </row>
    <row r="198" spans="1:2" ht="13.2">
      <c r="A198" s="18"/>
      <c r="B198" s="19"/>
    </row>
    <row r="199" spans="1:2" ht="13.2">
      <c r="A199" s="18"/>
      <c r="B199" s="19"/>
    </row>
    <row r="200" spans="1:2" ht="13.2">
      <c r="A200" s="18"/>
      <c r="B200" s="19"/>
    </row>
    <row r="201" spans="1:2" ht="13.2">
      <c r="A201" s="18"/>
      <c r="B201" s="19"/>
    </row>
    <row r="202" spans="1:2" ht="13.2">
      <c r="A202" s="18"/>
      <c r="B202" s="19"/>
    </row>
    <row r="203" spans="1:2" ht="13.2">
      <c r="A203" s="18"/>
      <c r="B203" s="19"/>
    </row>
    <row r="204" spans="1:2" ht="13.2">
      <c r="A204" s="18"/>
      <c r="B204" s="19"/>
    </row>
    <row r="205" spans="1:2" ht="13.2">
      <c r="A205" s="18"/>
      <c r="B205" s="19"/>
    </row>
    <row r="206" spans="1:2" ht="13.2">
      <c r="A206" s="18"/>
      <c r="B206" s="19"/>
    </row>
    <row r="207" spans="1:2" ht="13.2">
      <c r="A207" s="18"/>
      <c r="B207" s="19"/>
    </row>
    <row r="208" spans="1:2" ht="13.2">
      <c r="A208" s="18"/>
      <c r="B208" s="19"/>
    </row>
    <row r="209" spans="1:2" ht="13.2">
      <c r="A209" s="18"/>
      <c r="B209" s="19"/>
    </row>
    <row r="210" spans="1:2" ht="13.2">
      <c r="A210" s="18"/>
      <c r="B210" s="19"/>
    </row>
    <row r="211" spans="1:2" ht="13.2">
      <c r="A211" s="18"/>
      <c r="B211" s="19"/>
    </row>
    <row r="212" spans="1:2" ht="13.2">
      <c r="A212" s="18"/>
      <c r="B212" s="19"/>
    </row>
    <row r="213" spans="1:2" ht="13.2">
      <c r="A213" s="18"/>
      <c r="B213" s="19"/>
    </row>
    <row r="214" spans="1:2" ht="13.2">
      <c r="A214" s="18"/>
      <c r="B214" s="19"/>
    </row>
    <row r="215" spans="1:2" ht="13.2">
      <c r="A215" s="18"/>
      <c r="B215" s="19"/>
    </row>
    <row r="216" spans="1:2" ht="13.2">
      <c r="A216" s="18"/>
      <c r="B216" s="19"/>
    </row>
    <row r="217" spans="1:2" ht="13.2">
      <c r="A217" s="18"/>
      <c r="B217" s="19"/>
    </row>
    <row r="218" spans="1:2" ht="13.2">
      <c r="A218" s="18"/>
      <c r="B218" s="19"/>
    </row>
    <row r="219" spans="1:2" ht="13.2">
      <c r="A219" s="18"/>
      <c r="B219" s="19"/>
    </row>
    <row r="220" spans="1:2" ht="13.2">
      <c r="A220" s="18"/>
      <c r="B220" s="19"/>
    </row>
    <row r="221" spans="1:2" ht="13.2">
      <c r="A221" s="18"/>
      <c r="B221" s="19"/>
    </row>
    <row r="222" spans="1:2" ht="13.2">
      <c r="A222" s="18"/>
      <c r="B222" s="19"/>
    </row>
    <row r="223" spans="1:2" ht="13.2">
      <c r="A223" s="18"/>
      <c r="B223" s="19"/>
    </row>
    <row r="224" spans="1:2" ht="13.2">
      <c r="A224" s="18"/>
      <c r="B224" s="19"/>
    </row>
    <row r="225" spans="1:2" ht="13.2">
      <c r="A225" s="18"/>
      <c r="B225" s="19"/>
    </row>
    <row r="226" spans="1:2" ht="13.2">
      <c r="A226" s="18"/>
      <c r="B226" s="19"/>
    </row>
    <row r="227" spans="1:2" ht="13.2">
      <c r="A227" s="18"/>
      <c r="B227" s="19"/>
    </row>
    <row r="228" spans="1:2" ht="13.2">
      <c r="A228" s="18"/>
      <c r="B228" s="19"/>
    </row>
    <row r="229" spans="1:2" ht="13.2">
      <c r="A229" s="18"/>
      <c r="B229" s="19"/>
    </row>
    <row r="230" spans="1:2" ht="13.2">
      <c r="A230" s="18"/>
      <c r="B230" s="19"/>
    </row>
    <row r="231" spans="1:2" ht="13.2">
      <c r="A231" s="18"/>
      <c r="B231" s="19"/>
    </row>
    <row r="232" spans="1:2" ht="13.2">
      <c r="A232" s="18"/>
      <c r="B232" s="19"/>
    </row>
    <row r="233" spans="1:2" ht="13.2">
      <c r="A233" s="18"/>
      <c r="B233" s="19"/>
    </row>
    <row r="234" spans="1:2" ht="13.2">
      <c r="A234" s="18"/>
      <c r="B234" s="19"/>
    </row>
    <row r="235" spans="1:2" ht="13.2">
      <c r="A235" s="18"/>
      <c r="B235" s="19"/>
    </row>
    <row r="236" spans="1:2" ht="13.2">
      <c r="A236" s="18"/>
      <c r="B236" s="19"/>
    </row>
    <row r="237" spans="1:2" ht="13.2">
      <c r="A237" s="18"/>
      <c r="B237" s="19"/>
    </row>
    <row r="238" spans="1:2" ht="13.2">
      <c r="A238" s="18"/>
      <c r="B238" s="19"/>
    </row>
    <row r="239" spans="1:2" ht="13.2">
      <c r="A239" s="18"/>
      <c r="B239" s="19"/>
    </row>
    <row r="240" spans="1:2" ht="13.2">
      <c r="A240" s="18"/>
      <c r="B240" s="19"/>
    </row>
    <row r="241" spans="1:2" ht="13.2">
      <c r="A241" s="18"/>
      <c r="B241" s="19"/>
    </row>
    <row r="242" spans="1:2" ht="13.2">
      <c r="A242" s="18"/>
      <c r="B242" s="19"/>
    </row>
    <row r="243" spans="1:2" ht="13.2">
      <c r="A243" s="18"/>
      <c r="B243" s="19"/>
    </row>
    <row r="244" spans="1:2" ht="13.2">
      <c r="A244" s="18"/>
      <c r="B244" s="19"/>
    </row>
    <row r="245" spans="1:2" ht="13.2">
      <c r="A245" s="18"/>
      <c r="B245" s="19"/>
    </row>
    <row r="246" spans="1:2" ht="13.2">
      <c r="A246" s="18"/>
      <c r="B246" s="19"/>
    </row>
    <row r="247" spans="1:2" ht="13.2">
      <c r="A247" s="18"/>
      <c r="B247" s="19"/>
    </row>
    <row r="248" spans="1:2" ht="13.2">
      <c r="A248" s="18"/>
      <c r="B248" s="19"/>
    </row>
    <row r="249" spans="1:2" ht="13.2">
      <c r="A249" s="18"/>
      <c r="B249" s="19"/>
    </row>
    <row r="250" spans="1:2" ht="13.2">
      <c r="A250" s="18"/>
      <c r="B250" s="19"/>
    </row>
    <row r="251" spans="1:2" ht="13.2">
      <c r="A251" s="18"/>
      <c r="B251" s="19"/>
    </row>
    <row r="252" spans="1:2" ht="13.2">
      <c r="A252" s="18"/>
      <c r="B252" s="19"/>
    </row>
    <row r="253" spans="1:2" ht="13.2">
      <c r="A253" s="18"/>
      <c r="B253" s="19"/>
    </row>
    <row r="254" spans="1:2" ht="13.2">
      <c r="A254" s="18"/>
      <c r="B254" s="19"/>
    </row>
    <row r="255" spans="1:2" ht="13.2">
      <c r="A255" s="18"/>
      <c r="B255" s="19"/>
    </row>
    <row r="256" spans="1:2" ht="13.2">
      <c r="A256" s="18"/>
      <c r="B256" s="19"/>
    </row>
    <row r="257" spans="1:2" ht="13.2">
      <c r="A257" s="18"/>
      <c r="B257" s="19"/>
    </row>
    <row r="258" spans="1:2" ht="13.2">
      <c r="A258" s="18"/>
      <c r="B258" s="19"/>
    </row>
    <row r="259" spans="1:2" ht="13.2">
      <c r="A259" s="18"/>
      <c r="B259" s="19"/>
    </row>
    <row r="260" spans="1:2" ht="13.2">
      <c r="A260" s="18"/>
      <c r="B260" s="19"/>
    </row>
    <row r="261" spans="1:2" ht="13.2">
      <c r="A261" s="18"/>
      <c r="B261" s="19"/>
    </row>
    <row r="262" spans="1:2" ht="13.2">
      <c r="A262" s="18"/>
      <c r="B262" s="19"/>
    </row>
    <row r="263" spans="1:2" ht="13.2">
      <c r="A263" s="18"/>
      <c r="B263" s="19"/>
    </row>
    <row r="264" spans="1:2" ht="13.2">
      <c r="A264" s="18"/>
      <c r="B264" s="19"/>
    </row>
    <row r="265" spans="1:2" ht="13.2">
      <c r="A265" s="18"/>
      <c r="B265" s="19"/>
    </row>
    <row r="266" spans="1:2" ht="13.2">
      <c r="A266" s="18"/>
      <c r="B266" s="19"/>
    </row>
    <row r="267" spans="1:2" ht="13.2">
      <c r="A267" s="18"/>
      <c r="B267" s="19"/>
    </row>
    <row r="268" spans="1:2" ht="13.2">
      <c r="A268" s="18"/>
      <c r="B268" s="19"/>
    </row>
    <row r="269" spans="1:2" ht="13.2">
      <c r="A269" s="18"/>
      <c r="B269" s="19"/>
    </row>
    <row r="270" spans="1:2" ht="13.2">
      <c r="A270" s="18"/>
      <c r="B270" s="19"/>
    </row>
    <row r="271" spans="1:2" ht="13.2">
      <c r="A271" s="18"/>
      <c r="B271" s="19"/>
    </row>
    <row r="272" spans="1:2" ht="13.2">
      <c r="A272" s="18"/>
      <c r="B272" s="19"/>
    </row>
    <row r="273" spans="1:2" ht="13.2">
      <c r="A273" s="18"/>
      <c r="B273" s="19"/>
    </row>
    <row r="274" spans="1:2" ht="13.2">
      <c r="A274" s="18"/>
      <c r="B274" s="19"/>
    </row>
    <row r="275" spans="1:2" ht="13.2">
      <c r="A275" s="18"/>
      <c r="B275" s="19"/>
    </row>
    <row r="276" spans="1:2" ht="13.2">
      <c r="A276" s="18"/>
      <c r="B276" s="19"/>
    </row>
    <row r="277" spans="1:2" ht="13.2">
      <c r="A277" s="18"/>
      <c r="B277" s="19"/>
    </row>
    <row r="278" spans="1:2" ht="13.2">
      <c r="A278" s="18"/>
      <c r="B278" s="19"/>
    </row>
    <row r="279" spans="1:2" ht="13.2">
      <c r="A279" s="18"/>
      <c r="B279" s="19"/>
    </row>
    <row r="280" spans="1:2" ht="13.2">
      <c r="A280" s="18"/>
      <c r="B280" s="19"/>
    </row>
    <row r="281" spans="1:2" ht="13.2">
      <c r="A281" s="18"/>
      <c r="B281" s="19"/>
    </row>
    <row r="282" spans="1:2" ht="13.2">
      <c r="A282" s="18"/>
      <c r="B282" s="19"/>
    </row>
    <row r="283" spans="1:2" ht="13.2">
      <c r="A283" s="18"/>
      <c r="B283" s="19"/>
    </row>
    <row r="284" spans="1:2" ht="13.2">
      <c r="A284" s="18"/>
      <c r="B284" s="19"/>
    </row>
    <row r="285" spans="1:2" ht="13.2">
      <c r="A285" s="18"/>
      <c r="B285" s="19"/>
    </row>
    <row r="286" spans="1:2" ht="13.2">
      <c r="A286" s="18"/>
      <c r="B286" s="19"/>
    </row>
    <row r="287" spans="1:2" ht="13.2">
      <c r="A287" s="18"/>
      <c r="B287" s="19"/>
    </row>
    <row r="288" spans="1:2" ht="13.2">
      <c r="A288" s="18"/>
      <c r="B288" s="19"/>
    </row>
    <row r="289" spans="1:2" ht="13.2">
      <c r="A289" s="18"/>
      <c r="B289" s="19"/>
    </row>
    <row r="290" spans="1:2" ht="13.2">
      <c r="A290" s="18"/>
      <c r="B290" s="19"/>
    </row>
    <row r="291" spans="1:2" ht="13.2">
      <c r="A291" s="18"/>
      <c r="B291" s="19"/>
    </row>
    <row r="292" spans="1:2" ht="13.2">
      <c r="A292" s="18"/>
      <c r="B292" s="19"/>
    </row>
    <row r="293" spans="1:2" ht="13.2">
      <c r="A293" s="18"/>
      <c r="B293" s="19"/>
    </row>
    <row r="294" spans="1:2" ht="13.2">
      <c r="A294" s="18"/>
      <c r="B294" s="19"/>
    </row>
    <row r="295" spans="1:2" ht="13.2">
      <c r="A295" s="18"/>
      <c r="B295" s="19"/>
    </row>
    <row r="296" spans="1:2" ht="13.2">
      <c r="A296" s="18"/>
      <c r="B296" s="19"/>
    </row>
    <row r="297" spans="1:2" ht="13.2">
      <c r="A297" s="18"/>
      <c r="B297" s="19"/>
    </row>
    <row r="298" spans="1:2" ht="13.2">
      <c r="A298" s="18"/>
      <c r="B298" s="19"/>
    </row>
    <row r="299" spans="1:2" ht="13.2">
      <c r="A299" s="18"/>
      <c r="B299" s="19"/>
    </row>
    <row r="300" spans="1:2" ht="13.2">
      <c r="A300" s="18"/>
      <c r="B300" s="19"/>
    </row>
    <row r="301" spans="1:2" ht="13.2">
      <c r="A301" s="18"/>
      <c r="B301" s="19"/>
    </row>
    <row r="302" spans="1:2" ht="13.2">
      <c r="A302" s="18"/>
      <c r="B302" s="19"/>
    </row>
    <row r="303" spans="1:2" ht="13.2">
      <c r="A303" s="18"/>
      <c r="B303" s="19"/>
    </row>
    <row r="304" spans="1:2" ht="13.2">
      <c r="A304" s="18"/>
      <c r="B304" s="19"/>
    </row>
    <row r="305" spans="1:2" ht="13.2">
      <c r="A305" s="18"/>
      <c r="B305" s="19"/>
    </row>
    <row r="306" spans="1:2" ht="13.2">
      <c r="A306" s="18"/>
      <c r="B306" s="19"/>
    </row>
    <row r="307" spans="1:2" ht="13.2">
      <c r="A307" s="18"/>
      <c r="B307" s="19"/>
    </row>
    <row r="308" spans="1:2" ht="13.2">
      <c r="A308" s="18"/>
      <c r="B308" s="19"/>
    </row>
    <row r="309" spans="1:2" ht="13.2">
      <c r="A309" s="18"/>
      <c r="B309" s="19"/>
    </row>
    <row r="310" spans="1:2" ht="13.2">
      <c r="A310" s="18"/>
      <c r="B310" s="19"/>
    </row>
    <row r="311" spans="1:2" ht="13.2">
      <c r="A311" s="18"/>
      <c r="B311" s="19"/>
    </row>
    <row r="312" spans="1:2" ht="13.2">
      <c r="A312" s="18"/>
      <c r="B312" s="19"/>
    </row>
    <row r="313" spans="1:2" ht="13.2">
      <c r="A313" s="18"/>
      <c r="B313" s="19"/>
    </row>
    <row r="314" spans="1:2" ht="13.2">
      <c r="A314" s="18"/>
      <c r="B314" s="19"/>
    </row>
    <row r="315" spans="1:2" ht="13.2">
      <c r="A315" s="18"/>
      <c r="B315" s="19"/>
    </row>
    <row r="316" spans="1:2" ht="13.2">
      <c r="A316" s="18"/>
      <c r="B316" s="19"/>
    </row>
    <row r="317" spans="1:2" ht="13.2">
      <c r="A317" s="18"/>
      <c r="B317" s="19"/>
    </row>
    <row r="318" spans="1:2" ht="13.2">
      <c r="A318" s="18"/>
      <c r="B318" s="19"/>
    </row>
    <row r="319" spans="1:2" ht="13.2">
      <c r="A319" s="18"/>
      <c r="B319" s="19"/>
    </row>
    <row r="320" spans="1:2" ht="13.2">
      <c r="A320" s="18"/>
      <c r="B320" s="19"/>
    </row>
    <row r="321" spans="1:2" ht="13.2">
      <c r="A321" s="18"/>
      <c r="B321" s="19"/>
    </row>
    <row r="322" spans="1:2" ht="13.2">
      <c r="A322" s="18"/>
      <c r="B322" s="19"/>
    </row>
    <row r="323" spans="1:2" ht="13.2">
      <c r="A323" s="18"/>
      <c r="B323" s="19"/>
    </row>
    <row r="324" spans="1:2" ht="13.2">
      <c r="A324" s="18"/>
      <c r="B324" s="19"/>
    </row>
    <row r="325" spans="1:2" ht="13.2">
      <c r="A325" s="18"/>
      <c r="B325" s="19"/>
    </row>
    <row r="326" spans="1:2" ht="13.2">
      <c r="A326" s="18"/>
      <c r="B326" s="19"/>
    </row>
    <row r="327" spans="1:2" ht="13.2">
      <c r="A327" s="18"/>
      <c r="B327" s="19"/>
    </row>
    <row r="328" spans="1:2" ht="13.2">
      <c r="A328" s="18"/>
      <c r="B328" s="19"/>
    </row>
    <row r="329" spans="1:2" ht="13.2">
      <c r="A329" s="18"/>
      <c r="B329" s="19"/>
    </row>
    <row r="330" spans="1:2" ht="13.2">
      <c r="A330" s="18"/>
      <c r="B330" s="19"/>
    </row>
    <row r="331" spans="1:2" ht="13.2">
      <c r="A331" s="18"/>
      <c r="B331" s="19"/>
    </row>
    <row r="332" spans="1:2" ht="13.2">
      <c r="A332" s="18"/>
      <c r="B332" s="19"/>
    </row>
    <row r="333" spans="1:2" ht="13.2">
      <c r="A333" s="18"/>
      <c r="B333" s="19"/>
    </row>
    <row r="334" spans="1:2" ht="13.2">
      <c r="A334" s="18"/>
      <c r="B334" s="19"/>
    </row>
    <row r="335" spans="1:2" ht="13.2">
      <c r="A335" s="18"/>
      <c r="B335" s="19"/>
    </row>
    <row r="336" spans="1:2" ht="13.2">
      <c r="A336" s="18"/>
      <c r="B336" s="19"/>
    </row>
    <row r="337" spans="1:2" ht="13.2">
      <c r="A337" s="18"/>
      <c r="B337" s="19"/>
    </row>
    <row r="338" spans="1:2" ht="13.2">
      <c r="A338" s="18"/>
      <c r="B338" s="19"/>
    </row>
    <row r="339" spans="1:2" ht="13.2">
      <c r="A339" s="18"/>
      <c r="B339" s="19"/>
    </row>
    <row r="340" spans="1:2" ht="13.2">
      <c r="A340" s="18"/>
      <c r="B340" s="19"/>
    </row>
    <row r="341" spans="1:2" ht="13.2">
      <c r="A341" s="18"/>
      <c r="B341" s="19"/>
    </row>
    <row r="342" spans="1:2" ht="13.2">
      <c r="A342" s="18"/>
      <c r="B342" s="19"/>
    </row>
    <row r="343" spans="1:2" ht="13.2">
      <c r="A343" s="18"/>
      <c r="B343" s="19"/>
    </row>
    <row r="344" spans="1:2" ht="13.2">
      <c r="A344" s="18"/>
      <c r="B344" s="19"/>
    </row>
    <row r="345" spans="1:2" ht="13.2">
      <c r="A345" s="18"/>
      <c r="B345" s="19"/>
    </row>
    <row r="346" spans="1:2" ht="13.2">
      <c r="A346" s="18"/>
      <c r="B346" s="19"/>
    </row>
    <row r="347" spans="1:2" ht="13.2">
      <c r="A347" s="18"/>
      <c r="B347" s="19"/>
    </row>
    <row r="348" spans="1:2" ht="13.2">
      <c r="A348" s="18"/>
      <c r="B348" s="19"/>
    </row>
    <row r="349" spans="1:2" ht="13.2">
      <c r="A349" s="18"/>
      <c r="B349" s="19"/>
    </row>
    <row r="350" spans="1:2" ht="13.2">
      <c r="A350" s="18"/>
      <c r="B350" s="19"/>
    </row>
    <row r="351" spans="1:2" ht="13.2">
      <c r="A351" s="18"/>
      <c r="B351" s="19"/>
    </row>
    <row r="352" spans="1:2" ht="13.2">
      <c r="A352" s="18"/>
      <c r="B352" s="19"/>
    </row>
    <row r="353" spans="1:2" ht="13.2">
      <c r="A353" s="18"/>
      <c r="B353" s="19"/>
    </row>
    <row r="354" spans="1:2" ht="13.2">
      <c r="A354" s="18"/>
      <c r="B354" s="19"/>
    </row>
    <row r="355" spans="1:2" ht="13.2">
      <c r="A355" s="18"/>
      <c r="B355" s="19"/>
    </row>
    <row r="356" spans="1:2" ht="13.2">
      <c r="A356" s="18"/>
      <c r="B356" s="19"/>
    </row>
    <row r="357" spans="1:2" ht="13.2">
      <c r="A357" s="18"/>
      <c r="B357" s="19"/>
    </row>
    <row r="358" spans="1:2" ht="13.2">
      <c r="A358" s="18"/>
      <c r="B358" s="19"/>
    </row>
    <row r="359" spans="1:2" ht="13.2">
      <c r="A359" s="18"/>
      <c r="B359" s="19"/>
    </row>
    <row r="360" spans="1:2" ht="13.2">
      <c r="A360" s="18"/>
      <c r="B360" s="19"/>
    </row>
    <row r="361" spans="1:2" ht="13.2">
      <c r="A361" s="18"/>
      <c r="B361" s="19"/>
    </row>
    <row r="362" spans="1:2" ht="13.2">
      <c r="A362" s="18"/>
      <c r="B362" s="19"/>
    </row>
    <row r="363" spans="1:2" ht="13.2">
      <c r="A363" s="18"/>
      <c r="B363" s="19"/>
    </row>
    <row r="364" spans="1:2" ht="13.2">
      <c r="A364" s="18"/>
      <c r="B364" s="19"/>
    </row>
    <row r="365" spans="1:2" ht="13.2">
      <c r="A365" s="18"/>
      <c r="B365" s="19"/>
    </row>
    <row r="366" spans="1:2" ht="13.2">
      <c r="A366" s="18"/>
      <c r="B366" s="19"/>
    </row>
    <row r="367" spans="1:2" ht="13.2">
      <c r="A367" s="18"/>
      <c r="B367" s="19"/>
    </row>
    <row r="368" spans="1:2" ht="13.2">
      <c r="A368" s="18"/>
      <c r="B368" s="19"/>
    </row>
    <row r="369" spans="1:2" ht="13.2">
      <c r="A369" s="18"/>
      <c r="B369" s="19"/>
    </row>
    <row r="370" spans="1:2" ht="13.2">
      <c r="A370" s="18"/>
      <c r="B370" s="19"/>
    </row>
    <row r="371" spans="1:2" ht="13.2">
      <c r="A371" s="18"/>
      <c r="B371" s="19"/>
    </row>
    <row r="372" spans="1:2" ht="13.2">
      <c r="A372" s="18"/>
      <c r="B372" s="19"/>
    </row>
    <row r="373" spans="1:2" ht="13.2">
      <c r="A373" s="18"/>
      <c r="B373" s="19"/>
    </row>
    <row r="374" spans="1:2" ht="13.2">
      <c r="A374" s="18"/>
      <c r="B374" s="19"/>
    </row>
    <row r="375" spans="1:2" ht="13.2">
      <c r="A375" s="18"/>
      <c r="B375" s="19"/>
    </row>
    <row r="376" spans="1:2" ht="13.2">
      <c r="A376" s="18"/>
      <c r="B376" s="19"/>
    </row>
    <row r="377" spans="1:2" ht="13.2">
      <c r="A377" s="18"/>
      <c r="B377" s="19"/>
    </row>
    <row r="378" spans="1:2" ht="13.2">
      <c r="A378" s="18"/>
      <c r="B378" s="19"/>
    </row>
    <row r="379" spans="1:2" ht="13.2">
      <c r="A379" s="18"/>
      <c r="B379" s="19"/>
    </row>
    <row r="380" spans="1:2" ht="13.2">
      <c r="A380" s="18"/>
      <c r="B380" s="19"/>
    </row>
    <row r="381" spans="1:2" ht="13.2">
      <c r="A381" s="18"/>
      <c r="B381" s="19"/>
    </row>
    <row r="382" spans="1:2" ht="13.2">
      <c r="A382" s="18"/>
      <c r="B382" s="19"/>
    </row>
    <row r="383" spans="1:2" ht="13.2">
      <c r="A383" s="18"/>
      <c r="B383" s="19"/>
    </row>
    <row r="384" spans="1:2" ht="13.2">
      <c r="A384" s="18"/>
      <c r="B384" s="19"/>
    </row>
    <row r="385" spans="1:2" ht="13.2">
      <c r="A385" s="18"/>
      <c r="B385" s="19"/>
    </row>
    <row r="386" spans="1:2" ht="13.2">
      <c r="A386" s="18"/>
      <c r="B386" s="19"/>
    </row>
    <row r="387" spans="1:2" ht="13.2">
      <c r="A387" s="18"/>
      <c r="B387" s="19"/>
    </row>
    <row r="388" spans="1:2" ht="13.2">
      <c r="A388" s="18"/>
      <c r="B388" s="19"/>
    </row>
    <row r="389" spans="1:2" ht="13.2">
      <c r="A389" s="18"/>
      <c r="B389" s="19"/>
    </row>
    <row r="390" spans="1:2" ht="13.2">
      <c r="A390" s="18"/>
      <c r="B390" s="19"/>
    </row>
    <row r="391" spans="1:2" ht="13.2">
      <c r="A391" s="18"/>
      <c r="B391" s="19"/>
    </row>
    <row r="392" spans="1:2" ht="13.2">
      <c r="A392" s="18"/>
      <c r="B392" s="19"/>
    </row>
    <row r="393" spans="1:2" ht="13.2">
      <c r="A393" s="18"/>
      <c r="B393" s="19"/>
    </row>
    <row r="394" spans="1:2" ht="13.2">
      <c r="A394" s="18"/>
      <c r="B394" s="19"/>
    </row>
    <row r="395" spans="1:2" ht="13.2">
      <c r="A395" s="18"/>
      <c r="B395" s="19"/>
    </row>
    <row r="396" spans="1:2" ht="13.2">
      <c r="A396" s="18"/>
      <c r="B396" s="19"/>
    </row>
    <row r="397" spans="1:2" ht="13.2">
      <c r="A397" s="18"/>
      <c r="B397" s="19"/>
    </row>
    <row r="398" spans="1:2" ht="13.2">
      <c r="A398" s="18"/>
      <c r="B398" s="19"/>
    </row>
    <row r="399" spans="1:2" ht="13.2">
      <c r="A399" s="18"/>
      <c r="B399" s="19"/>
    </row>
    <row r="400" spans="1:2" ht="13.2">
      <c r="A400" s="18"/>
      <c r="B400" s="19"/>
    </row>
    <row r="401" spans="1:2" ht="13.2">
      <c r="A401" s="18"/>
      <c r="B401" s="19"/>
    </row>
    <row r="402" spans="1:2" ht="13.2">
      <c r="A402" s="18"/>
      <c r="B402" s="19"/>
    </row>
    <row r="403" spans="1:2" ht="13.2">
      <c r="A403" s="18"/>
      <c r="B403" s="19"/>
    </row>
    <row r="404" spans="1:2" ht="13.2">
      <c r="A404" s="18"/>
      <c r="B404" s="19"/>
    </row>
    <row r="405" spans="1:2" ht="13.2">
      <c r="A405" s="18"/>
      <c r="B405" s="19"/>
    </row>
    <row r="406" spans="1:2" ht="13.2">
      <c r="A406" s="18"/>
      <c r="B406" s="19"/>
    </row>
    <row r="407" spans="1:2" ht="13.2">
      <c r="A407" s="18"/>
      <c r="B407" s="19"/>
    </row>
    <row r="408" spans="1:2" ht="13.2">
      <c r="A408" s="18"/>
      <c r="B408" s="19"/>
    </row>
    <row r="409" spans="1:2" ht="13.2">
      <c r="A409" s="18"/>
      <c r="B409" s="19"/>
    </row>
    <row r="410" spans="1:2" ht="13.2">
      <c r="A410" s="18"/>
      <c r="B410" s="19"/>
    </row>
    <row r="411" spans="1:2" ht="13.2">
      <c r="A411" s="18"/>
      <c r="B411" s="19"/>
    </row>
    <row r="412" spans="1:2" ht="13.2">
      <c r="A412" s="18"/>
      <c r="B412" s="19"/>
    </row>
    <row r="413" spans="1:2" ht="13.2">
      <c r="A413" s="18"/>
      <c r="B413" s="19"/>
    </row>
    <row r="414" spans="1:2" ht="13.2">
      <c r="A414" s="18"/>
      <c r="B414" s="19"/>
    </row>
    <row r="415" spans="1:2" ht="13.2">
      <c r="A415" s="18"/>
      <c r="B415" s="19"/>
    </row>
    <row r="416" spans="1:2" ht="13.2">
      <c r="A416" s="18"/>
      <c r="B416" s="19"/>
    </row>
    <row r="417" spans="1:2" ht="13.2">
      <c r="A417" s="18"/>
      <c r="B417" s="19"/>
    </row>
    <row r="418" spans="1:2" ht="13.2">
      <c r="A418" s="18"/>
      <c r="B418" s="19"/>
    </row>
    <row r="419" spans="1:2" ht="13.2">
      <c r="A419" s="18"/>
      <c r="B419" s="19"/>
    </row>
    <row r="420" spans="1:2" ht="13.2">
      <c r="A420" s="18"/>
      <c r="B420" s="19"/>
    </row>
    <row r="421" spans="1:2" ht="13.2">
      <c r="A421" s="18"/>
      <c r="B421" s="19"/>
    </row>
    <row r="422" spans="1:2" ht="13.2">
      <c r="A422" s="18"/>
      <c r="B422" s="19"/>
    </row>
    <row r="423" spans="1:2" ht="13.2">
      <c r="A423" s="18"/>
      <c r="B423" s="19"/>
    </row>
    <row r="424" spans="1:2" ht="13.2">
      <c r="A424" s="18"/>
      <c r="B424" s="19"/>
    </row>
    <row r="425" spans="1:2" ht="13.2">
      <c r="A425" s="18"/>
      <c r="B425" s="19"/>
    </row>
    <row r="426" spans="1:2" ht="13.2">
      <c r="A426" s="18"/>
      <c r="B426" s="19"/>
    </row>
    <row r="427" spans="1:2" ht="13.2">
      <c r="A427" s="18"/>
      <c r="B427" s="19"/>
    </row>
    <row r="428" spans="1:2" ht="13.2">
      <c r="A428" s="18"/>
      <c r="B428" s="19"/>
    </row>
    <row r="429" spans="1:2" ht="13.2">
      <c r="A429" s="18"/>
      <c r="B429" s="19"/>
    </row>
    <row r="430" spans="1:2" ht="13.2">
      <c r="A430" s="18"/>
      <c r="B430" s="19"/>
    </row>
    <row r="431" spans="1:2" ht="13.2">
      <c r="A431" s="18"/>
      <c r="B431" s="19"/>
    </row>
    <row r="432" spans="1:2" ht="13.2">
      <c r="A432" s="18"/>
      <c r="B432" s="19"/>
    </row>
    <row r="433" spans="1:2" ht="13.2">
      <c r="A433" s="18"/>
      <c r="B433" s="19"/>
    </row>
    <row r="434" spans="1:2" ht="13.2">
      <c r="A434" s="18"/>
      <c r="B434" s="19"/>
    </row>
    <row r="435" spans="1:2" ht="13.2">
      <c r="A435" s="18"/>
      <c r="B435" s="19"/>
    </row>
    <row r="436" spans="1:2" ht="13.2">
      <c r="A436" s="18"/>
      <c r="B436" s="19"/>
    </row>
    <row r="437" spans="1:2" ht="13.2">
      <c r="A437" s="18"/>
      <c r="B437" s="19"/>
    </row>
    <row r="438" spans="1:2" ht="13.2">
      <c r="A438" s="18"/>
      <c r="B438" s="19"/>
    </row>
    <row r="439" spans="1:2" ht="13.2">
      <c r="A439" s="18"/>
      <c r="B439" s="19"/>
    </row>
    <row r="440" spans="1:2" ht="13.2">
      <c r="A440" s="18"/>
      <c r="B440" s="19"/>
    </row>
    <row r="441" spans="1:2" ht="13.2">
      <c r="A441" s="18"/>
      <c r="B441" s="19"/>
    </row>
    <row r="442" spans="1:2" ht="13.2">
      <c r="A442" s="18"/>
      <c r="B442" s="19"/>
    </row>
    <row r="443" spans="1:2" ht="13.2">
      <c r="A443" s="18"/>
      <c r="B443" s="19"/>
    </row>
    <row r="444" spans="1:2" ht="13.2">
      <c r="A444" s="18"/>
      <c r="B444" s="19"/>
    </row>
    <row r="445" spans="1:2" ht="13.2">
      <c r="A445" s="18"/>
      <c r="B445" s="19"/>
    </row>
    <row r="446" spans="1:2" ht="13.2">
      <c r="A446" s="18"/>
      <c r="B446" s="19"/>
    </row>
    <row r="447" spans="1:2" ht="13.2">
      <c r="A447" s="18"/>
      <c r="B447" s="19"/>
    </row>
    <row r="448" spans="1:2" ht="13.2">
      <c r="A448" s="18"/>
      <c r="B448" s="19"/>
    </row>
    <row r="449" spans="1:2" ht="13.2">
      <c r="A449" s="18"/>
      <c r="B449" s="19"/>
    </row>
    <row r="450" spans="1:2" ht="13.2">
      <c r="A450" s="18"/>
      <c r="B450" s="19"/>
    </row>
    <row r="451" spans="1:2" ht="13.2">
      <c r="A451" s="18"/>
      <c r="B451" s="19"/>
    </row>
    <row r="452" spans="1:2" ht="13.2">
      <c r="A452" s="18"/>
      <c r="B452" s="19"/>
    </row>
    <row r="453" spans="1:2" ht="13.2">
      <c r="A453" s="18"/>
      <c r="B453" s="19"/>
    </row>
    <row r="454" spans="1:2" ht="13.2">
      <c r="A454" s="18"/>
      <c r="B454" s="19"/>
    </row>
    <row r="455" spans="1:2" ht="13.2">
      <c r="A455" s="18"/>
      <c r="B455" s="19"/>
    </row>
    <row r="456" spans="1:2" ht="13.2">
      <c r="A456" s="18"/>
      <c r="B456" s="19"/>
    </row>
    <row r="457" spans="1:2" ht="13.2">
      <c r="A457" s="18"/>
      <c r="B457" s="19"/>
    </row>
    <row r="458" spans="1:2" ht="13.2">
      <c r="A458" s="18"/>
      <c r="B458" s="19"/>
    </row>
    <row r="459" spans="1:2" ht="13.2">
      <c r="A459" s="18"/>
      <c r="B459" s="19"/>
    </row>
    <row r="460" spans="1:2" ht="13.2">
      <c r="A460" s="18"/>
      <c r="B460" s="19"/>
    </row>
    <row r="461" spans="1:2" ht="13.2">
      <c r="A461" s="18"/>
      <c r="B461" s="19"/>
    </row>
    <row r="462" spans="1:2" ht="13.2">
      <c r="A462" s="18"/>
      <c r="B462" s="19"/>
    </row>
    <row r="463" spans="1:2" ht="13.2">
      <c r="A463" s="18"/>
      <c r="B463" s="19"/>
    </row>
    <row r="464" spans="1:2" ht="13.2">
      <c r="A464" s="18"/>
      <c r="B464" s="19"/>
    </row>
    <row r="465" spans="1:2" ht="13.2">
      <c r="A465" s="18"/>
      <c r="B465" s="19"/>
    </row>
    <row r="466" spans="1:2" ht="13.2">
      <c r="A466" s="18"/>
      <c r="B466" s="19"/>
    </row>
    <row r="467" spans="1:2" ht="13.2">
      <c r="A467" s="18"/>
      <c r="B467" s="19"/>
    </row>
    <row r="468" spans="1:2" ht="13.2">
      <c r="A468" s="18"/>
      <c r="B468" s="19"/>
    </row>
    <row r="469" spans="1:2" ht="13.2">
      <c r="A469" s="18"/>
      <c r="B469" s="19"/>
    </row>
    <row r="470" spans="1:2" ht="13.2">
      <c r="A470" s="18"/>
      <c r="B470" s="19"/>
    </row>
    <row r="471" spans="1:2" ht="13.2">
      <c r="A471" s="18"/>
      <c r="B471" s="19"/>
    </row>
    <row r="472" spans="1:2" ht="13.2">
      <c r="A472" s="18"/>
      <c r="B472" s="19"/>
    </row>
    <row r="473" spans="1:2" ht="13.2">
      <c r="A473" s="18"/>
      <c r="B473" s="19"/>
    </row>
    <row r="474" spans="1:2" ht="13.2">
      <c r="A474" s="18"/>
      <c r="B474" s="19"/>
    </row>
    <row r="475" spans="1:2" ht="13.2">
      <c r="A475" s="18"/>
      <c r="B475" s="19"/>
    </row>
    <row r="476" spans="1:2" ht="13.2">
      <c r="A476" s="18"/>
      <c r="B476" s="19"/>
    </row>
    <row r="477" spans="1:2" ht="13.2">
      <c r="A477" s="18"/>
      <c r="B477" s="19"/>
    </row>
    <row r="478" spans="1:2" ht="13.2">
      <c r="A478" s="18"/>
      <c r="B478" s="19"/>
    </row>
    <row r="479" spans="1:2" ht="13.2">
      <c r="A479" s="18"/>
      <c r="B479" s="19"/>
    </row>
    <row r="480" spans="1:2" ht="13.2">
      <c r="A480" s="18"/>
      <c r="B480" s="19"/>
    </row>
    <row r="481" spans="1:2" ht="13.2">
      <c r="A481" s="18"/>
      <c r="B481" s="19"/>
    </row>
    <row r="482" spans="1:2" ht="13.2">
      <c r="A482" s="18"/>
      <c r="B482" s="19"/>
    </row>
    <row r="483" spans="1:2" ht="13.2">
      <c r="A483" s="18"/>
      <c r="B483" s="19"/>
    </row>
    <row r="484" spans="1:2" ht="13.2">
      <c r="A484" s="18"/>
      <c r="B484" s="19"/>
    </row>
    <row r="485" spans="1:2" ht="13.2">
      <c r="A485" s="18"/>
      <c r="B485" s="19"/>
    </row>
    <row r="486" spans="1:2" ht="13.2">
      <c r="A486" s="18"/>
      <c r="B486" s="19"/>
    </row>
    <row r="487" spans="1:2" ht="13.2">
      <c r="A487" s="18"/>
      <c r="B487" s="19"/>
    </row>
    <row r="488" spans="1:2" ht="13.2">
      <c r="A488" s="18"/>
      <c r="B488" s="19"/>
    </row>
    <row r="489" spans="1:2" ht="13.2">
      <c r="A489" s="18"/>
      <c r="B489" s="19"/>
    </row>
    <row r="490" spans="1:2" ht="13.2">
      <c r="A490" s="18"/>
      <c r="B490" s="19"/>
    </row>
    <row r="491" spans="1:2" ht="13.2">
      <c r="A491" s="18"/>
      <c r="B491" s="19"/>
    </row>
    <row r="492" spans="1:2" ht="13.2">
      <c r="A492" s="18"/>
      <c r="B492" s="19"/>
    </row>
    <row r="493" spans="1:2" ht="13.2">
      <c r="A493" s="18"/>
      <c r="B493" s="19"/>
    </row>
    <row r="494" spans="1:2" ht="13.2">
      <c r="A494" s="18"/>
      <c r="B494" s="19"/>
    </row>
    <row r="495" spans="1:2" ht="13.2">
      <c r="A495" s="18"/>
      <c r="B495" s="19"/>
    </row>
    <row r="496" spans="1:2" ht="13.2">
      <c r="A496" s="18"/>
      <c r="B496" s="19"/>
    </row>
    <row r="497" spans="1:2" ht="13.2">
      <c r="A497" s="18"/>
      <c r="B497" s="19"/>
    </row>
    <row r="498" spans="1:2" ht="13.2">
      <c r="A498" s="18"/>
      <c r="B498" s="19"/>
    </row>
    <row r="499" spans="1:2" ht="13.2">
      <c r="A499" s="18"/>
      <c r="B499" s="19"/>
    </row>
    <row r="500" spans="1:2" ht="13.2">
      <c r="A500" s="18"/>
      <c r="B500" s="19"/>
    </row>
    <row r="501" spans="1:2" ht="13.2">
      <c r="A501" s="18"/>
      <c r="B501" s="19"/>
    </row>
    <row r="502" spans="1:2" ht="13.2">
      <c r="A502" s="18"/>
      <c r="B502" s="19"/>
    </row>
    <row r="503" spans="1:2" ht="13.2">
      <c r="A503" s="18"/>
      <c r="B503" s="19"/>
    </row>
    <row r="504" spans="1:2" ht="13.2">
      <c r="A504" s="18"/>
      <c r="B504" s="19"/>
    </row>
    <row r="505" spans="1:2" ht="13.2">
      <c r="A505" s="18"/>
      <c r="B505" s="19"/>
    </row>
    <row r="506" spans="1:2" ht="13.2">
      <c r="A506" s="18"/>
      <c r="B506" s="19"/>
    </row>
    <row r="507" spans="1:2" ht="13.2">
      <c r="A507" s="18"/>
      <c r="B507" s="19"/>
    </row>
    <row r="508" spans="1:2" ht="13.2">
      <c r="A508" s="18"/>
      <c r="B508" s="19"/>
    </row>
    <row r="509" spans="1:2" ht="13.2">
      <c r="A509" s="18"/>
      <c r="B509" s="19"/>
    </row>
    <row r="510" spans="1:2" ht="13.2">
      <c r="A510" s="18"/>
      <c r="B510" s="19"/>
    </row>
    <row r="511" spans="1:2" ht="13.2">
      <c r="A511" s="18"/>
      <c r="B511" s="19"/>
    </row>
    <row r="512" spans="1:2" ht="13.2">
      <c r="A512" s="18"/>
      <c r="B512" s="19"/>
    </row>
    <row r="513" spans="1:2" ht="13.2">
      <c r="A513" s="18"/>
      <c r="B513" s="19"/>
    </row>
    <row r="514" spans="1:2" ht="13.2">
      <c r="A514" s="18"/>
      <c r="B514" s="19"/>
    </row>
    <row r="515" spans="1:2" ht="13.2">
      <c r="A515" s="18"/>
      <c r="B515" s="19"/>
    </row>
    <row r="516" spans="1:2" ht="13.2">
      <c r="A516" s="18"/>
      <c r="B516" s="19"/>
    </row>
    <row r="517" spans="1:2" ht="13.2">
      <c r="A517" s="18"/>
      <c r="B517" s="19"/>
    </row>
    <row r="518" spans="1:2" ht="13.2">
      <c r="A518" s="18"/>
      <c r="B518" s="19"/>
    </row>
    <row r="519" spans="1:2" ht="13.2">
      <c r="A519" s="18"/>
      <c r="B519" s="19"/>
    </row>
    <row r="520" spans="1:2" ht="13.2">
      <c r="A520" s="18"/>
      <c r="B520" s="19"/>
    </row>
    <row r="521" spans="1:2" ht="13.2">
      <c r="A521" s="18"/>
      <c r="B521" s="19"/>
    </row>
    <row r="522" spans="1:2" ht="13.2">
      <c r="A522" s="18"/>
      <c r="B522" s="19"/>
    </row>
    <row r="523" spans="1:2" ht="13.2">
      <c r="A523" s="18"/>
      <c r="B523" s="19"/>
    </row>
    <row r="524" spans="1:2" ht="13.2">
      <c r="A524" s="18"/>
      <c r="B524" s="19"/>
    </row>
    <row r="525" spans="1:2" ht="13.2">
      <c r="A525" s="18"/>
      <c r="B525" s="19"/>
    </row>
    <row r="526" spans="1:2" ht="13.2">
      <c r="A526" s="18"/>
      <c r="B526" s="19"/>
    </row>
    <row r="527" spans="1:2" ht="13.2">
      <c r="A527" s="18"/>
      <c r="B527" s="19"/>
    </row>
    <row r="528" spans="1:2" ht="13.2">
      <c r="A528" s="18"/>
      <c r="B528" s="19"/>
    </row>
    <row r="529" spans="1:2" ht="13.2">
      <c r="A529" s="18"/>
      <c r="B529" s="19"/>
    </row>
    <row r="530" spans="1:2" ht="13.2">
      <c r="A530" s="18"/>
      <c r="B530" s="19"/>
    </row>
    <row r="531" spans="1:2" ht="13.2">
      <c r="A531" s="18"/>
      <c r="B531" s="19"/>
    </row>
    <row r="532" spans="1:2" ht="13.2">
      <c r="A532" s="18"/>
      <c r="B532" s="19"/>
    </row>
    <row r="533" spans="1:2" ht="13.2">
      <c r="A533" s="18"/>
      <c r="B533" s="19"/>
    </row>
    <row r="534" spans="1:2" ht="13.2">
      <c r="A534" s="18"/>
      <c r="B534" s="19"/>
    </row>
    <row r="535" spans="1:2" ht="13.2">
      <c r="A535" s="18"/>
      <c r="B535" s="19"/>
    </row>
    <row r="536" spans="1:2" ht="13.2">
      <c r="A536" s="18"/>
      <c r="B536" s="19"/>
    </row>
    <row r="537" spans="1:2" ht="13.2">
      <c r="A537" s="18"/>
      <c r="B537" s="19"/>
    </row>
    <row r="538" spans="1:2" ht="13.2">
      <c r="A538" s="18"/>
      <c r="B538" s="19"/>
    </row>
    <row r="539" spans="1:2" ht="13.2">
      <c r="A539" s="18"/>
      <c r="B539" s="19"/>
    </row>
    <row r="540" spans="1:2" ht="13.2">
      <c r="A540" s="18"/>
      <c r="B540" s="19"/>
    </row>
    <row r="541" spans="1:2" ht="13.2">
      <c r="A541" s="18"/>
      <c r="B541" s="19"/>
    </row>
    <row r="542" spans="1:2" ht="13.2">
      <c r="A542" s="18"/>
      <c r="B542" s="19"/>
    </row>
    <row r="543" spans="1:2" ht="13.2">
      <c r="A543" s="18"/>
      <c r="B543" s="19"/>
    </row>
    <row r="544" spans="1:2" ht="13.2">
      <c r="A544" s="18"/>
      <c r="B544" s="19"/>
    </row>
    <row r="545" spans="1:2" ht="13.2">
      <c r="A545" s="18"/>
      <c r="B545" s="19"/>
    </row>
    <row r="546" spans="1:2" ht="13.2">
      <c r="A546" s="18"/>
      <c r="B546" s="19"/>
    </row>
    <row r="547" spans="1:2" ht="13.2">
      <c r="A547" s="18"/>
      <c r="B547" s="19"/>
    </row>
    <row r="548" spans="1:2" ht="13.2">
      <c r="A548" s="18"/>
      <c r="B548" s="19"/>
    </row>
    <row r="549" spans="1:2" ht="13.2">
      <c r="A549" s="18"/>
      <c r="B549" s="19"/>
    </row>
    <row r="550" spans="1:2" ht="13.2">
      <c r="A550" s="18"/>
      <c r="B550" s="19"/>
    </row>
    <row r="551" spans="1:2" ht="13.2">
      <c r="A551" s="18"/>
      <c r="B551" s="19"/>
    </row>
    <row r="552" spans="1:2" ht="13.2">
      <c r="A552" s="18"/>
      <c r="B552" s="19"/>
    </row>
    <row r="553" spans="1:2" ht="13.2">
      <c r="A553" s="18"/>
      <c r="B553" s="19"/>
    </row>
    <row r="554" spans="1:2" ht="13.2">
      <c r="A554" s="18"/>
      <c r="B554" s="19"/>
    </row>
    <row r="555" spans="1:2" ht="13.2">
      <c r="A555" s="18"/>
      <c r="B555" s="19"/>
    </row>
    <row r="556" spans="1:2" ht="13.2">
      <c r="A556" s="18"/>
      <c r="B556" s="19"/>
    </row>
    <row r="557" spans="1:2" ht="13.2">
      <c r="A557" s="18"/>
      <c r="B557" s="19"/>
    </row>
    <row r="558" spans="1:2" ht="13.2">
      <c r="A558" s="18"/>
      <c r="B558" s="19"/>
    </row>
    <row r="559" spans="1:2" ht="13.2">
      <c r="A559" s="18"/>
      <c r="B559" s="19"/>
    </row>
    <row r="560" spans="1:2" ht="13.2">
      <c r="A560" s="18"/>
      <c r="B560" s="19"/>
    </row>
    <row r="561" spans="1:2" ht="13.2">
      <c r="A561" s="18"/>
      <c r="B561" s="19"/>
    </row>
    <row r="562" spans="1:2" ht="13.2">
      <c r="A562" s="18"/>
      <c r="B562" s="19"/>
    </row>
    <row r="563" spans="1:2" ht="13.2">
      <c r="A563" s="18"/>
      <c r="B563" s="19"/>
    </row>
    <row r="564" spans="1:2" ht="13.2">
      <c r="A564" s="18"/>
      <c r="B564" s="19"/>
    </row>
    <row r="565" spans="1:2" ht="13.2">
      <c r="A565" s="18"/>
      <c r="B565" s="19"/>
    </row>
    <row r="566" spans="1:2" ht="13.2">
      <c r="A566" s="18"/>
      <c r="B566" s="19"/>
    </row>
    <row r="567" spans="1:2" ht="13.2">
      <c r="A567" s="18"/>
      <c r="B567" s="19"/>
    </row>
    <row r="568" spans="1:2" ht="13.2">
      <c r="A568" s="18"/>
      <c r="B568" s="19"/>
    </row>
    <row r="569" spans="1:2" ht="13.2">
      <c r="A569" s="18"/>
      <c r="B569" s="19"/>
    </row>
    <row r="570" spans="1:2" ht="13.2">
      <c r="A570" s="18"/>
      <c r="B570" s="19"/>
    </row>
    <row r="571" spans="1:2" ht="13.2">
      <c r="A571" s="18"/>
      <c r="B571" s="19"/>
    </row>
    <row r="572" spans="1:2" ht="13.2">
      <c r="A572" s="18"/>
      <c r="B572" s="19"/>
    </row>
    <row r="573" spans="1:2" ht="13.2">
      <c r="A573" s="18"/>
      <c r="B573" s="19"/>
    </row>
    <row r="574" spans="1:2" ht="13.2">
      <c r="A574" s="18"/>
      <c r="B574" s="19"/>
    </row>
    <row r="575" spans="1:2" ht="13.2">
      <c r="A575" s="18"/>
      <c r="B575" s="19"/>
    </row>
    <row r="576" spans="1:2" ht="13.2">
      <c r="A576" s="18"/>
      <c r="B576" s="19"/>
    </row>
    <row r="577" spans="1:2" ht="13.2">
      <c r="A577" s="18"/>
      <c r="B577" s="19"/>
    </row>
    <row r="578" spans="1:2" ht="13.2">
      <c r="A578" s="18"/>
      <c r="B578" s="19"/>
    </row>
    <row r="579" spans="1:2" ht="13.2">
      <c r="A579" s="18"/>
      <c r="B579" s="19"/>
    </row>
    <row r="580" spans="1:2" ht="13.2">
      <c r="A580" s="18"/>
      <c r="B580" s="19"/>
    </row>
    <row r="581" spans="1:2" ht="13.2">
      <c r="A581" s="18"/>
      <c r="B581" s="19"/>
    </row>
    <row r="582" spans="1:2" ht="13.2">
      <c r="A582" s="18"/>
      <c r="B582" s="19"/>
    </row>
    <row r="583" spans="1:2" ht="13.2">
      <c r="A583" s="18"/>
      <c r="B583" s="19"/>
    </row>
    <row r="584" spans="1:2" ht="13.2">
      <c r="A584" s="18"/>
      <c r="B584" s="19"/>
    </row>
    <row r="585" spans="1:2" ht="13.2">
      <c r="A585" s="18"/>
      <c r="B585" s="19"/>
    </row>
    <row r="586" spans="1:2" ht="13.2">
      <c r="A586" s="18"/>
      <c r="B586" s="19"/>
    </row>
    <row r="587" spans="1:2" ht="13.2">
      <c r="A587" s="18"/>
      <c r="B587" s="19"/>
    </row>
    <row r="588" spans="1:2" ht="13.2">
      <c r="A588" s="18"/>
      <c r="B588" s="19"/>
    </row>
    <row r="589" spans="1:2" ht="13.2">
      <c r="A589" s="18"/>
      <c r="B589" s="19"/>
    </row>
    <row r="590" spans="1:2" ht="13.2">
      <c r="A590" s="18"/>
      <c r="B590" s="19"/>
    </row>
    <row r="591" spans="1:2" ht="13.2">
      <c r="A591" s="18"/>
      <c r="B591" s="19"/>
    </row>
    <row r="592" spans="1:2" ht="13.2">
      <c r="A592" s="18"/>
      <c r="B592" s="19"/>
    </row>
    <row r="593" spans="1:2" ht="13.2">
      <c r="A593" s="18"/>
      <c r="B593" s="19"/>
    </row>
    <row r="594" spans="1:2" ht="13.2">
      <c r="A594" s="18"/>
      <c r="B594" s="19"/>
    </row>
    <row r="595" spans="1:2" ht="13.2">
      <c r="A595" s="18"/>
      <c r="B595" s="19"/>
    </row>
    <row r="596" spans="1:2" ht="13.2">
      <c r="A596" s="18"/>
      <c r="B596" s="19"/>
    </row>
    <row r="597" spans="1:2" ht="13.2">
      <c r="A597" s="18"/>
      <c r="B597" s="19"/>
    </row>
    <row r="598" spans="1:2" ht="13.2">
      <c r="A598" s="18"/>
      <c r="B598" s="19"/>
    </row>
    <row r="599" spans="1:2" ht="13.2">
      <c r="A599" s="18"/>
      <c r="B599" s="19"/>
    </row>
    <row r="600" spans="1:2" ht="13.2">
      <c r="A600" s="18"/>
      <c r="B600" s="19"/>
    </row>
    <row r="601" spans="1:2" ht="13.2">
      <c r="A601" s="18"/>
      <c r="B601" s="19"/>
    </row>
    <row r="602" spans="1:2" ht="13.2">
      <c r="A602" s="18"/>
      <c r="B602" s="19"/>
    </row>
    <row r="603" spans="1:2" ht="13.2">
      <c r="A603" s="18"/>
      <c r="B603" s="19"/>
    </row>
    <row r="604" spans="1:2" ht="13.2">
      <c r="A604" s="18"/>
      <c r="B604" s="19"/>
    </row>
    <row r="605" spans="1:2" ht="13.2">
      <c r="A605" s="18"/>
      <c r="B605" s="19"/>
    </row>
    <row r="606" spans="1:2" ht="13.2">
      <c r="A606" s="18"/>
      <c r="B606" s="19"/>
    </row>
    <row r="607" spans="1:2" ht="13.2">
      <c r="A607" s="18"/>
      <c r="B607" s="19"/>
    </row>
    <row r="608" spans="1:2" ht="13.2">
      <c r="A608" s="18"/>
      <c r="B608" s="19"/>
    </row>
    <row r="609" spans="1:2" ht="13.2">
      <c r="A609" s="18"/>
      <c r="B609" s="19"/>
    </row>
    <row r="610" spans="1:2" ht="13.2">
      <c r="A610" s="18"/>
      <c r="B610" s="19"/>
    </row>
    <row r="611" spans="1:2" ht="13.2">
      <c r="A611" s="18"/>
      <c r="B611" s="19"/>
    </row>
    <row r="612" spans="1:2" ht="13.2">
      <c r="A612" s="18"/>
      <c r="B612" s="19"/>
    </row>
    <row r="613" spans="1:2" ht="13.2">
      <c r="A613" s="18"/>
      <c r="B613" s="19"/>
    </row>
    <row r="614" spans="1:2" ht="13.2">
      <c r="A614" s="18"/>
      <c r="B614" s="19"/>
    </row>
    <row r="615" spans="1:2" ht="13.2">
      <c r="A615" s="18"/>
      <c r="B615" s="19"/>
    </row>
    <row r="616" spans="1:2" ht="13.2">
      <c r="A616" s="18"/>
      <c r="B616" s="19"/>
    </row>
    <row r="617" spans="1:2" ht="13.2">
      <c r="A617" s="18"/>
      <c r="B617" s="19"/>
    </row>
    <row r="618" spans="1:2" ht="13.2">
      <c r="A618" s="18"/>
      <c r="B618" s="19"/>
    </row>
    <row r="619" spans="1:2" ht="13.2">
      <c r="A619" s="18"/>
      <c r="B619" s="19"/>
    </row>
    <row r="620" spans="1:2" ht="13.2">
      <c r="A620" s="18"/>
      <c r="B620" s="19"/>
    </row>
    <row r="621" spans="1:2" ht="13.2">
      <c r="A621" s="18"/>
      <c r="B621" s="19"/>
    </row>
    <row r="622" spans="1:2" ht="13.2">
      <c r="A622" s="18"/>
      <c r="B622" s="19"/>
    </row>
    <row r="623" spans="1:2" ht="13.2">
      <c r="A623" s="18"/>
      <c r="B623" s="19"/>
    </row>
    <row r="624" spans="1:2" ht="13.2">
      <c r="A624" s="18"/>
      <c r="B624" s="19"/>
    </row>
    <row r="625" spans="1:2" ht="13.2">
      <c r="A625" s="18"/>
      <c r="B625" s="19"/>
    </row>
    <row r="626" spans="1:2" ht="13.2">
      <c r="A626" s="18"/>
      <c r="B626" s="19"/>
    </row>
    <row r="627" spans="1:2" ht="13.2">
      <c r="A627" s="18"/>
      <c r="B627" s="19"/>
    </row>
    <row r="628" spans="1:2" ht="13.2">
      <c r="A628" s="18"/>
      <c r="B628" s="19"/>
    </row>
    <row r="629" spans="1:2" ht="13.2">
      <c r="A629" s="18"/>
      <c r="B629" s="19"/>
    </row>
    <row r="630" spans="1:2" ht="13.2">
      <c r="A630" s="18"/>
      <c r="B630" s="19"/>
    </row>
    <row r="631" spans="1:2" ht="13.2">
      <c r="A631" s="18"/>
      <c r="B631" s="19"/>
    </row>
    <row r="632" spans="1:2" ht="13.2">
      <c r="A632" s="18"/>
      <c r="B632" s="19"/>
    </row>
    <row r="633" spans="1:2" ht="13.2">
      <c r="A633" s="18"/>
      <c r="B633" s="19"/>
    </row>
    <row r="634" spans="1:2" ht="13.2">
      <c r="A634" s="18"/>
      <c r="B634" s="19"/>
    </row>
    <row r="635" spans="1:2" ht="13.2">
      <c r="A635" s="18"/>
      <c r="B635" s="19"/>
    </row>
    <row r="636" spans="1:2" ht="13.2">
      <c r="A636" s="18"/>
      <c r="B636" s="19"/>
    </row>
    <row r="637" spans="1:2" ht="13.2">
      <c r="A637" s="18"/>
      <c r="B637" s="19"/>
    </row>
    <row r="638" spans="1:2" ht="13.2">
      <c r="A638" s="18"/>
      <c r="B638" s="19"/>
    </row>
    <row r="639" spans="1:2" ht="13.2">
      <c r="A639" s="18"/>
      <c r="B639" s="19"/>
    </row>
    <row r="640" spans="1:2" ht="13.2">
      <c r="A640" s="18"/>
      <c r="B640" s="19"/>
    </row>
    <row r="641" spans="1:2" ht="13.2">
      <c r="A641" s="18"/>
      <c r="B641" s="19"/>
    </row>
    <row r="642" spans="1:2" ht="13.2">
      <c r="A642" s="18"/>
      <c r="B642" s="19"/>
    </row>
    <row r="643" spans="1:2" ht="13.2">
      <c r="A643" s="18"/>
      <c r="B643" s="19"/>
    </row>
    <row r="644" spans="1:2" ht="13.2">
      <c r="A644" s="18"/>
      <c r="B644" s="19"/>
    </row>
    <row r="645" spans="1:2" ht="13.2">
      <c r="A645" s="18"/>
      <c r="B645" s="19"/>
    </row>
    <row r="646" spans="1:2" ht="13.2">
      <c r="A646" s="18"/>
      <c r="B646" s="19"/>
    </row>
    <row r="647" spans="1:2" ht="13.2">
      <c r="A647" s="18"/>
      <c r="B647" s="19"/>
    </row>
    <row r="648" spans="1:2" ht="13.2">
      <c r="A648" s="18"/>
      <c r="B648" s="19"/>
    </row>
    <row r="649" spans="1:2" ht="13.2">
      <c r="A649" s="18"/>
      <c r="B649" s="19"/>
    </row>
    <row r="650" spans="1:2" ht="13.2">
      <c r="A650" s="18"/>
      <c r="B650" s="19"/>
    </row>
    <row r="651" spans="1:2" ht="13.2">
      <c r="A651" s="18"/>
      <c r="B651" s="19"/>
    </row>
    <row r="652" spans="1:2" ht="13.2">
      <c r="A652" s="18"/>
      <c r="B652" s="19"/>
    </row>
    <row r="653" spans="1:2" ht="13.2">
      <c r="A653" s="18"/>
      <c r="B653" s="19"/>
    </row>
    <row r="654" spans="1:2" ht="13.2">
      <c r="A654" s="18"/>
      <c r="B654" s="19"/>
    </row>
    <row r="655" spans="1:2" ht="13.2">
      <c r="A655" s="18"/>
      <c r="B655" s="19"/>
    </row>
    <row r="656" spans="1:2" ht="13.2">
      <c r="A656" s="18"/>
      <c r="B656" s="19"/>
    </row>
    <row r="657" spans="1:2" ht="13.2">
      <c r="A657" s="18"/>
      <c r="B657" s="19"/>
    </row>
    <row r="658" spans="1:2" ht="13.2">
      <c r="A658" s="18"/>
      <c r="B658" s="19"/>
    </row>
    <row r="659" spans="1:2" ht="13.2">
      <c r="A659" s="18"/>
      <c r="B659" s="19"/>
    </row>
    <row r="660" spans="1:2" ht="13.2">
      <c r="A660" s="18"/>
      <c r="B660" s="19"/>
    </row>
    <row r="661" spans="1:2" ht="13.2">
      <c r="A661" s="18"/>
      <c r="B661" s="19"/>
    </row>
    <row r="662" spans="1:2" ht="13.2">
      <c r="A662" s="18"/>
      <c r="B662" s="19"/>
    </row>
    <row r="663" spans="1:2" ht="13.2">
      <c r="A663" s="18"/>
      <c r="B663" s="19"/>
    </row>
    <row r="664" spans="1:2" ht="13.2">
      <c r="A664" s="18"/>
      <c r="B664" s="19"/>
    </row>
    <row r="665" spans="1:2" ht="13.2">
      <c r="A665" s="18"/>
      <c r="B665" s="19"/>
    </row>
    <row r="666" spans="1:2" ht="13.2">
      <c r="A666" s="18"/>
      <c r="B666" s="19"/>
    </row>
    <row r="667" spans="1:2" ht="13.2">
      <c r="A667" s="18"/>
      <c r="B667" s="19"/>
    </row>
    <row r="668" spans="1:2" ht="13.2">
      <c r="A668" s="18"/>
      <c r="B668" s="19"/>
    </row>
    <row r="669" spans="1:2" ht="13.2">
      <c r="A669" s="18"/>
      <c r="B669" s="19"/>
    </row>
    <row r="670" spans="1:2" ht="13.2">
      <c r="A670" s="18"/>
      <c r="B670" s="19"/>
    </row>
    <row r="671" spans="1:2" ht="13.2">
      <c r="A671" s="18"/>
      <c r="B671" s="19"/>
    </row>
    <row r="672" spans="1:2" ht="13.2">
      <c r="A672" s="18"/>
      <c r="B672" s="19"/>
    </row>
    <row r="673" spans="1:2" ht="13.2">
      <c r="A673" s="18"/>
      <c r="B673" s="19"/>
    </row>
    <row r="674" spans="1:2" ht="13.2">
      <c r="A674" s="18"/>
      <c r="B674" s="19"/>
    </row>
    <row r="675" spans="1:2" ht="13.2">
      <c r="A675" s="18"/>
      <c r="B675" s="19"/>
    </row>
    <row r="676" spans="1:2" ht="13.2">
      <c r="A676" s="18"/>
      <c r="B676" s="19"/>
    </row>
    <row r="677" spans="1:2" ht="13.2">
      <c r="A677" s="18"/>
      <c r="B677" s="19"/>
    </row>
    <row r="678" spans="1:2" ht="13.2">
      <c r="A678" s="18"/>
      <c r="B678" s="19"/>
    </row>
    <row r="679" spans="1:2" ht="13.2">
      <c r="A679" s="18"/>
      <c r="B679" s="19"/>
    </row>
    <row r="680" spans="1:2" ht="13.2">
      <c r="A680" s="18"/>
      <c r="B680" s="19"/>
    </row>
    <row r="681" spans="1:2" ht="13.2">
      <c r="A681" s="18"/>
      <c r="B681" s="19"/>
    </row>
    <row r="682" spans="1:2" ht="13.2">
      <c r="A682" s="18"/>
      <c r="B682" s="19"/>
    </row>
    <row r="683" spans="1:2" ht="13.2">
      <c r="A683" s="18"/>
      <c r="B683" s="19"/>
    </row>
    <row r="684" spans="1:2" ht="13.2">
      <c r="A684" s="18"/>
      <c r="B684" s="19"/>
    </row>
    <row r="685" spans="1:2" ht="13.2">
      <c r="A685" s="18"/>
      <c r="B685" s="19"/>
    </row>
    <row r="686" spans="1:2" ht="13.2">
      <c r="A686" s="18"/>
      <c r="B686" s="19"/>
    </row>
    <row r="687" spans="1:2" ht="13.2">
      <c r="A687" s="18"/>
      <c r="B687" s="19"/>
    </row>
    <row r="688" spans="1:2" ht="13.2">
      <c r="A688" s="18"/>
      <c r="B688" s="19"/>
    </row>
    <row r="689" spans="1:2" ht="13.2">
      <c r="A689" s="18"/>
      <c r="B689" s="19"/>
    </row>
    <row r="690" spans="1:2" ht="13.2">
      <c r="A690" s="18"/>
      <c r="B690" s="19"/>
    </row>
    <row r="691" spans="1:2" ht="13.2">
      <c r="A691" s="18"/>
      <c r="B691" s="19"/>
    </row>
    <row r="692" spans="1:2" ht="13.2">
      <c r="A692" s="18"/>
      <c r="B692" s="19"/>
    </row>
    <row r="693" spans="1:2" ht="13.2">
      <c r="A693" s="18"/>
      <c r="B693" s="19"/>
    </row>
    <row r="694" spans="1:2" ht="13.2">
      <c r="A694" s="18"/>
      <c r="B694" s="19"/>
    </row>
    <row r="695" spans="1:2" ht="13.2">
      <c r="A695" s="18"/>
      <c r="B695" s="19"/>
    </row>
    <row r="696" spans="1:2" ht="13.2">
      <c r="A696" s="18"/>
      <c r="B696" s="19"/>
    </row>
    <row r="697" spans="1:2" ht="13.2">
      <c r="A697" s="18"/>
      <c r="B697" s="19"/>
    </row>
    <row r="698" spans="1:2" ht="13.2">
      <c r="A698" s="18"/>
      <c r="B698" s="19"/>
    </row>
    <row r="699" spans="1:2" ht="13.2">
      <c r="A699" s="18"/>
      <c r="B699" s="19"/>
    </row>
    <row r="700" spans="1:2" ht="13.2">
      <c r="A700" s="18"/>
      <c r="B700" s="19"/>
    </row>
    <row r="701" spans="1:2" ht="13.2">
      <c r="A701" s="18"/>
      <c r="B701" s="19"/>
    </row>
    <row r="702" spans="1:2" ht="13.2">
      <c r="A702" s="18"/>
      <c r="B702" s="19"/>
    </row>
    <row r="703" spans="1:2" ht="13.2">
      <c r="A703" s="18"/>
      <c r="B703" s="19"/>
    </row>
    <row r="704" spans="1:2" ht="13.2">
      <c r="A704" s="18"/>
      <c r="B704" s="19"/>
    </row>
    <row r="705" spans="1:2" ht="13.2">
      <c r="A705" s="18"/>
      <c r="B705" s="19"/>
    </row>
    <row r="706" spans="1:2" ht="13.2">
      <c r="A706" s="18"/>
      <c r="B706" s="19"/>
    </row>
    <row r="707" spans="1:2" ht="13.2">
      <c r="A707" s="18"/>
      <c r="B707" s="19"/>
    </row>
    <row r="708" spans="1:2" ht="13.2">
      <c r="A708" s="18"/>
      <c r="B708" s="19"/>
    </row>
    <row r="709" spans="1:2" ht="13.2">
      <c r="A709" s="18"/>
      <c r="B709" s="19"/>
    </row>
    <row r="710" spans="1:2" ht="13.2">
      <c r="A710" s="18"/>
      <c r="B710" s="19"/>
    </row>
    <row r="711" spans="1:2" ht="13.2">
      <c r="A711" s="18"/>
      <c r="B711" s="19"/>
    </row>
    <row r="712" spans="1:2" ht="13.2">
      <c r="A712" s="18"/>
      <c r="B712" s="19"/>
    </row>
    <row r="713" spans="1:2" ht="13.2">
      <c r="A713" s="18"/>
      <c r="B713" s="19"/>
    </row>
    <row r="714" spans="1:2" ht="13.2">
      <c r="A714" s="18"/>
      <c r="B714" s="19"/>
    </row>
    <row r="715" spans="1:2" ht="13.2">
      <c r="A715" s="18"/>
      <c r="B715" s="19"/>
    </row>
    <row r="716" spans="1:2" ht="13.2">
      <c r="A716" s="18"/>
      <c r="B716" s="19"/>
    </row>
    <row r="717" spans="1:2" ht="13.2">
      <c r="A717" s="18"/>
      <c r="B717" s="19"/>
    </row>
    <row r="718" spans="1:2" ht="13.2">
      <c r="A718" s="18"/>
      <c r="B718" s="19"/>
    </row>
    <row r="719" spans="1:2" ht="13.2">
      <c r="A719" s="18"/>
      <c r="B719" s="19"/>
    </row>
    <row r="720" spans="1:2" ht="13.2">
      <c r="A720" s="18"/>
      <c r="B720" s="19"/>
    </row>
    <row r="721" spans="1:2" ht="13.2">
      <c r="A721" s="18"/>
      <c r="B721" s="19"/>
    </row>
    <row r="722" spans="1:2" ht="13.2">
      <c r="A722" s="18"/>
      <c r="B722" s="19"/>
    </row>
    <row r="723" spans="1:2" ht="13.2">
      <c r="A723" s="18"/>
      <c r="B723" s="19"/>
    </row>
    <row r="724" spans="1:2" ht="13.2">
      <c r="A724" s="18"/>
      <c r="B724" s="19"/>
    </row>
    <row r="725" spans="1:2" ht="13.2">
      <c r="A725" s="18"/>
      <c r="B725" s="19"/>
    </row>
    <row r="726" spans="1:2" ht="13.2">
      <c r="A726" s="18"/>
      <c r="B726" s="19"/>
    </row>
    <row r="727" spans="1:2" ht="13.2">
      <c r="A727" s="18"/>
      <c r="B727" s="19"/>
    </row>
    <row r="728" spans="1:2" ht="13.2">
      <c r="A728" s="18"/>
      <c r="B728" s="19"/>
    </row>
    <row r="729" spans="1:2" ht="13.2">
      <c r="A729" s="18"/>
      <c r="B729" s="19"/>
    </row>
    <row r="730" spans="1:2" ht="13.2">
      <c r="A730" s="18"/>
      <c r="B730" s="19"/>
    </row>
    <row r="731" spans="1:2" ht="13.2">
      <c r="A731" s="18"/>
      <c r="B731" s="19"/>
    </row>
    <row r="732" spans="1:2" ht="13.2">
      <c r="A732" s="18"/>
      <c r="B732" s="19"/>
    </row>
    <row r="733" spans="1:2" ht="13.2">
      <c r="A733" s="18"/>
      <c r="B733" s="19"/>
    </row>
    <row r="734" spans="1:2" ht="13.2">
      <c r="A734" s="18"/>
      <c r="B734" s="19"/>
    </row>
    <row r="735" spans="1:2" ht="13.2">
      <c r="A735" s="18"/>
      <c r="B735" s="19"/>
    </row>
    <row r="736" spans="1:2" ht="13.2">
      <c r="A736" s="18"/>
      <c r="B736" s="19"/>
    </row>
    <row r="737" spans="1:2" ht="13.2">
      <c r="A737" s="18"/>
      <c r="B737" s="19"/>
    </row>
    <row r="738" spans="1:2" ht="13.2">
      <c r="A738" s="18"/>
      <c r="B738" s="19"/>
    </row>
    <row r="739" spans="1:2" ht="13.2">
      <c r="A739" s="18"/>
      <c r="B739" s="19"/>
    </row>
    <row r="740" spans="1:2" ht="13.2">
      <c r="A740" s="18"/>
      <c r="B740" s="19"/>
    </row>
    <row r="741" spans="1:2" ht="13.2">
      <c r="A741" s="18"/>
      <c r="B741" s="19"/>
    </row>
    <row r="742" spans="1:2" ht="13.2">
      <c r="A742" s="18"/>
      <c r="B742" s="19"/>
    </row>
    <row r="743" spans="1:2" ht="13.2">
      <c r="A743" s="18"/>
      <c r="B743" s="19"/>
    </row>
    <row r="744" spans="1:2" ht="13.2">
      <c r="A744" s="18"/>
      <c r="B744" s="19"/>
    </row>
    <row r="745" spans="1:2" ht="13.2">
      <c r="A745" s="18"/>
      <c r="B745" s="19"/>
    </row>
    <row r="746" spans="1:2" ht="13.2">
      <c r="A746" s="18"/>
      <c r="B746" s="19"/>
    </row>
    <row r="747" spans="1:2" ht="13.2">
      <c r="A747" s="18"/>
      <c r="B747" s="19"/>
    </row>
    <row r="748" spans="1:2" ht="13.2">
      <c r="A748" s="18"/>
      <c r="B748" s="19"/>
    </row>
    <row r="749" spans="1:2" ht="13.2">
      <c r="A749" s="18"/>
      <c r="B749" s="19"/>
    </row>
    <row r="750" spans="1:2" ht="13.2">
      <c r="A750" s="18"/>
      <c r="B750" s="19"/>
    </row>
    <row r="751" spans="1:2" ht="13.2">
      <c r="A751" s="18"/>
      <c r="B751" s="19"/>
    </row>
    <row r="752" spans="1:2" ht="13.2">
      <c r="A752" s="18"/>
      <c r="B752" s="19"/>
    </row>
    <row r="753" spans="1:2" ht="13.2">
      <c r="A753" s="18"/>
      <c r="B753" s="19"/>
    </row>
    <row r="754" spans="1:2" ht="13.2">
      <c r="A754" s="18"/>
      <c r="B754" s="19"/>
    </row>
    <row r="755" spans="1:2" ht="13.2">
      <c r="A755" s="18"/>
      <c r="B755" s="19"/>
    </row>
    <row r="756" spans="1:2" ht="13.2">
      <c r="A756" s="18"/>
      <c r="B756" s="19"/>
    </row>
    <row r="757" spans="1:2" ht="13.2">
      <c r="A757" s="18"/>
      <c r="B757" s="19"/>
    </row>
    <row r="758" spans="1:2" ht="13.2">
      <c r="A758" s="18"/>
      <c r="B758" s="19"/>
    </row>
    <row r="759" spans="1:2" ht="13.2">
      <c r="A759" s="18"/>
      <c r="B759" s="19"/>
    </row>
    <row r="760" spans="1:2" ht="13.2">
      <c r="A760" s="18"/>
      <c r="B760" s="19"/>
    </row>
    <row r="761" spans="1:2" ht="13.2">
      <c r="A761" s="18"/>
      <c r="B761" s="19"/>
    </row>
    <row r="762" spans="1:2" ht="13.2">
      <c r="A762" s="18"/>
      <c r="B762" s="19"/>
    </row>
    <row r="763" spans="1:2" ht="13.2">
      <c r="A763" s="18"/>
      <c r="B763" s="19"/>
    </row>
    <row r="764" spans="1:2" ht="13.2">
      <c r="A764" s="18"/>
      <c r="B764" s="19"/>
    </row>
    <row r="765" spans="1:2" ht="13.2">
      <c r="A765" s="18"/>
      <c r="B765" s="19"/>
    </row>
    <row r="766" spans="1:2" ht="13.2">
      <c r="A766" s="18"/>
      <c r="B766" s="19"/>
    </row>
    <row r="767" spans="1:2" ht="13.2">
      <c r="A767" s="18"/>
      <c r="B767" s="19"/>
    </row>
    <row r="768" spans="1:2" ht="13.2">
      <c r="A768" s="18"/>
      <c r="B768" s="19"/>
    </row>
    <row r="769" spans="1:2" ht="13.2">
      <c r="A769" s="18"/>
      <c r="B769" s="19"/>
    </row>
    <row r="770" spans="1:2" ht="13.2">
      <c r="A770" s="18"/>
      <c r="B770" s="19"/>
    </row>
    <row r="771" spans="1:2" ht="13.2">
      <c r="A771" s="18"/>
      <c r="B771" s="19"/>
    </row>
    <row r="772" spans="1:2" ht="13.2">
      <c r="A772" s="18"/>
      <c r="B772" s="19"/>
    </row>
    <row r="773" spans="1:2" ht="13.2">
      <c r="A773" s="18"/>
      <c r="B773" s="19"/>
    </row>
    <row r="774" spans="1:2" ht="13.2">
      <c r="A774" s="18"/>
      <c r="B774" s="19"/>
    </row>
    <row r="775" spans="1:2" ht="13.2">
      <c r="A775" s="18"/>
      <c r="B775" s="19"/>
    </row>
    <row r="776" spans="1:2" ht="13.2">
      <c r="A776" s="18"/>
      <c r="B776" s="19"/>
    </row>
    <row r="777" spans="1:2" ht="13.2">
      <c r="A777" s="18"/>
      <c r="B777" s="19"/>
    </row>
    <row r="778" spans="1:2" ht="13.2">
      <c r="A778" s="18"/>
      <c r="B778" s="19"/>
    </row>
    <row r="779" spans="1:2" ht="13.2">
      <c r="A779" s="18"/>
      <c r="B779" s="19"/>
    </row>
    <row r="780" spans="1:2" ht="13.2">
      <c r="A780" s="18"/>
      <c r="B780" s="19"/>
    </row>
    <row r="781" spans="1:2" ht="13.2">
      <c r="A781" s="18"/>
      <c r="B781" s="19"/>
    </row>
    <row r="782" spans="1:2" ht="13.2">
      <c r="A782" s="18"/>
      <c r="B782" s="19"/>
    </row>
    <row r="783" spans="1:2" ht="13.2">
      <c r="A783" s="18"/>
      <c r="B783" s="19"/>
    </row>
    <row r="784" spans="1:2" ht="13.2">
      <c r="A784" s="18"/>
      <c r="B784" s="19"/>
    </row>
    <row r="785" spans="1:2" ht="13.2">
      <c r="A785" s="18"/>
      <c r="B785" s="19"/>
    </row>
    <row r="786" spans="1:2" ht="13.2">
      <c r="A786" s="18"/>
      <c r="B786" s="19"/>
    </row>
    <row r="787" spans="1:2" ht="13.2">
      <c r="A787" s="18"/>
      <c r="B787" s="19"/>
    </row>
    <row r="788" spans="1:2" ht="13.2">
      <c r="A788" s="18"/>
      <c r="B788" s="19"/>
    </row>
    <row r="789" spans="1:2" ht="13.2">
      <c r="A789" s="18"/>
      <c r="B789" s="19"/>
    </row>
    <row r="790" spans="1:2" ht="13.2">
      <c r="A790" s="18"/>
      <c r="B790" s="19"/>
    </row>
    <row r="791" spans="1:2" ht="13.2">
      <c r="A791" s="18"/>
      <c r="B791" s="19"/>
    </row>
    <row r="792" spans="1:2" ht="13.2">
      <c r="A792" s="18"/>
      <c r="B792" s="19"/>
    </row>
    <row r="793" spans="1:2" ht="13.2">
      <c r="A793" s="18"/>
      <c r="B793" s="19"/>
    </row>
    <row r="794" spans="1:2" ht="13.2">
      <c r="A794" s="18"/>
      <c r="B794" s="19"/>
    </row>
    <row r="795" spans="1:2" ht="13.2">
      <c r="A795" s="18"/>
      <c r="B795" s="19"/>
    </row>
    <row r="796" spans="1:2" ht="13.2">
      <c r="A796" s="18"/>
      <c r="B796" s="19"/>
    </row>
    <row r="797" spans="1:2" ht="13.2">
      <c r="A797" s="18"/>
      <c r="B797" s="19"/>
    </row>
    <row r="798" spans="1:2" ht="13.2">
      <c r="A798" s="18"/>
      <c r="B798" s="19"/>
    </row>
    <row r="799" spans="1:2" ht="13.2">
      <c r="A799" s="18"/>
      <c r="B799" s="19"/>
    </row>
    <row r="800" spans="1:2" ht="13.2">
      <c r="A800" s="18"/>
      <c r="B800" s="19"/>
    </row>
    <row r="801" spans="1:2" ht="13.2">
      <c r="A801" s="18"/>
      <c r="B801" s="19"/>
    </row>
    <row r="802" spans="1:2" ht="13.2">
      <c r="A802" s="18"/>
      <c r="B802" s="19"/>
    </row>
    <row r="803" spans="1:2" ht="13.2">
      <c r="A803" s="18"/>
      <c r="B803" s="19"/>
    </row>
    <row r="804" spans="1:2" ht="13.2">
      <c r="A804" s="18"/>
      <c r="B804" s="19"/>
    </row>
    <row r="805" spans="1:2" ht="13.2">
      <c r="A805" s="18"/>
      <c r="B805" s="19"/>
    </row>
    <row r="806" spans="1:2" ht="13.2">
      <c r="A806" s="18"/>
      <c r="B806" s="19"/>
    </row>
    <row r="807" spans="1:2" ht="13.2">
      <c r="A807" s="18"/>
      <c r="B807" s="19"/>
    </row>
    <row r="808" spans="1:2" ht="13.2">
      <c r="A808" s="18"/>
      <c r="B808" s="19"/>
    </row>
    <row r="809" spans="1:2" ht="13.2">
      <c r="A809" s="18"/>
      <c r="B809" s="19"/>
    </row>
    <row r="810" spans="1:2" ht="13.2">
      <c r="A810" s="18"/>
      <c r="B810" s="19"/>
    </row>
    <row r="811" spans="1:2" ht="13.2">
      <c r="A811" s="18"/>
      <c r="B811" s="19"/>
    </row>
    <row r="812" spans="1:2" ht="13.2">
      <c r="A812" s="18"/>
      <c r="B812" s="19"/>
    </row>
    <row r="813" spans="1:2" ht="13.2">
      <c r="A813" s="18"/>
      <c r="B813" s="19"/>
    </row>
    <row r="814" spans="1:2" ht="13.2">
      <c r="A814" s="18"/>
      <c r="B814" s="19"/>
    </row>
    <row r="815" spans="1:2" ht="13.2">
      <c r="A815" s="18"/>
      <c r="B815" s="19"/>
    </row>
    <row r="816" spans="1:2" ht="13.2">
      <c r="A816" s="18"/>
      <c r="B816" s="19"/>
    </row>
    <row r="817" spans="1:2" ht="13.2">
      <c r="A817" s="18"/>
      <c r="B817" s="19"/>
    </row>
    <row r="818" spans="1:2" ht="13.2">
      <c r="A818" s="18"/>
      <c r="B818" s="19"/>
    </row>
    <row r="819" spans="1:2" ht="13.2">
      <c r="A819" s="18"/>
      <c r="B819" s="19"/>
    </row>
    <row r="820" spans="1:2" ht="13.2">
      <c r="A820" s="18"/>
      <c r="B820" s="19"/>
    </row>
    <row r="821" spans="1:2" ht="13.2">
      <c r="A821" s="18"/>
      <c r="B821" s="19"/>
    </row>
    <row r="822" spans="1:2" ht="13.2">
      <c r="A822" s="18"/>
      <c r="B822" s="19"/>
    </row>
    <row r="823" spans="1:2" ht="13.2">
      <c r="A823" s="18"/>
      <c r="B823" s="19"/>
    </row>
    <row r="824" spans="1:2" ht="13.2">
      <c r="A824" s="18"/>
      <c r="B824" s="19"/>
    </row>
    <row r="825" spans="1:2" ht="13.2">
      <c r="A825" s="18"/>
      <c r="B825" s="19"/>
    </row>
    <row r="826" spans="1:2" ht="13.2">
      <c r="A826" s="18"/>
      <c r="B826" s="19"/>
    </row>
    <row r="827" spans="1:2" ht="13.2">
      <c r="A827" s="18"/>
      <c r="B827" s="19"/>
    </row>
    <row r="828" spans="1:2" ht="13.2">
      <c r="A828" s="18"/>
      <c r="B828" s="19"/>
    </row>
    <row r="829" spans="1:2" ht="13.2">
      <c r="A829" s="18"/>
      <c r="B829" s="19"/>
    </row>
    <row r="830" spans="1:2" ht="13.2">
      <c r="A830" s="18"/>
      <c r="B830" s="19"/>
    </row>
    <row r="831" spans="1:2" ht="13.2">
      <c r="A831" s="18"/>
      <c r="B831" s="19"/>
    </row>
    <row r="832" spans="1:2" ht="13.2">
      <c r="A832" s="18"/>
      <c r="B832" s="19"/>
    </row>
    <row r="833" spans="1:2" ht="13.2">
      <c r="A833" s="18"/>
      <c r="B833" s="19"/>
    </row>
    <row r="834" spans="1:2" ht="13.2">
      <c r="A834" s="18"/>
      <c r="B834" s="19"/>
    </row>
    <row r="835" spans="1:2" ht="13.2">
      <c r="A835" s="18"/>
      <c r="B835" s="19"/>
    </row>
    <row r="836" spans="1:2" ht="13.2">
      <c r="A836" s="18"/>
      <c r="B836" s="19"/>
    </row>
    <row r="837" spans="1:2" ht="13.2">
      <c r="A837" s="18"/>
      <c r="B837" s="19"/>
    </row>
    <row r="838" spans="1:2" ht="13.2">
      <c r="A838" s="18"/>
      <c r="B838" s="19"/>
    </row>
    <row r="839" spans="1:2" ht="13.2">
      <c r="A839" s="18"/>
      <c r="B839" s="19"/>
    </row>
    <row r="840" spans="1:2" ht="13.2">
      <c r="A840" s="18"/>
      <c r="B840" s="19"/>
    </row>
    <row r="841" spans="1:2" ht="13.2">
      <c r="A841" s="18"/>
      <c r="B841" s="19"/>
    </row>
    <row r="842" spans="1:2" ht="13.2">
      <c r="A842" s="18"/>
      <c r="B842" s="19"/>
    </row>
    <row r="843" spans="1:2" ht="13.2">
      <c r="A843" s="18"/>
      <c r="B843" s="19"/>
    </row>
    <row r="844" spans="1:2" ht="13.2">
      <c r="A844" s="18"/>
      <c r="B844" s="19"/>
    </row>
    <row r="845" spans="1:2" ht="13.2">
      <c r="A845" s="18"/>
      <c r="B845" s="19"/>
    </row>
    <row r="846" spans="1:2" ht="13.2">
      <c r="A846" s="18"/>
      <c r="B846" s="19"/>
    </row>
    <row r="847" spans="1:2" ht="13.2">
      <c r="A847" s="18"/>
      <c r="B847" s="19"/>
    </row>
    <row r="848" spans="1:2" ht="13.2">
      <c r="A848" s="18"/>
      <c r="B848" s="19"/>
    </row>
    <row r="849" spans="1:2" ht="13.2">
      <c r="A849" s="18"/>
      <c r="B849" s="19"/>
    </row>
    <row r="850" spans="1:2" ht="13.2">
      <c r="A850" s="18"/>
      <c r="B850" s="19"/>
    </row>
    <row r="851" spans="1:2" ht="13.2">
      <c r="A851" s="18"/>
      <c r="B851" s="19"/>
    </row>
    <row r="852" spans="1:2" ht="13.2">
      <c r="A852" s="18"/>
      <c r="B852" s="19"/>
    </row>
    <row r="853" spans="1:2" ht="13.2">
      <c r="A853" s="18"/>
      <c r="B853" s="19"/>
    </row>
    <row r="854" spans="1:2" ht="13.2">
      <c r="A854" s="18"/>
      <c r="B854" s="19"/>
    </row>
    <row r="855" spans="1:2" ht="13.2">
      <c r="A855" s="18"/>
      <c r="B855" s="19"/>
    </row>
    <row r="856" spans="1:2" ht="13.2">
      <c r="A856" s="18"/>
      <c r="B856" s="19"/>
    </row>
    <row r="857" spans="1:2" ht="13.2">
      <c r="A857" s="18"/>
      <c r="B857" s="19"/>
    </row>
    <row r="858" spans="1:2" ht="13.2">
      <c r="A858" s="18"/>
      <c r="B858" s="19"/>
    </row>
    <row r="859" spans="1:2" ht="13.2">
      <c r="A859" s="18"/>
      <c r="B859" s="19"/>
    </row>
    <row r="860" spans="1:2" ht="13.2">
      <c r="A860" s="18"/>
      <c r="B860" s="19"/>
    </row>
    <row r="861" spans="1:2" ht="13.2">
      <c r="A861" s="18"/>
      <c r="B861" s="19"/>
    </row>
    <row r="862" spans="1:2" ht="13.2">
      <c r="A862" s="18"/>
      <c r="B862" s="19"/>
    </row>
    <row r="863" spans="1:2" ht="13.2">
      <c r="A863" s="18"/>
      <c r="B863" s="19"/>
    </row>
    <row r="864" spans="1:2" ht="13.2">
      <c r="A864" s="18"/>
      <c r="B864" s="19"/>
    </row>
    <row r="865" spans="1:2" ht="13.2">
      <c r="A865" s="18"/>
      <c r="B865" s="19"/>
    </row>
    <row r="866" spans="1:2" ht="13.2">
      <c r="A866" s="18"/>
      <c r="B866" s="19"/>
    </row>
    <row r="867" spans="1:2" ht="13.2">
      <c r="A867" s="18"/>
      <c r="B867" s="19"/>
    </row>
    <row r="868" spans="1:2" ht="13.2">
      <c r="A868" s="18"/>
      <c r="B868" s="19"/>
    </row>
    <row r="869" spans="1:2" ht="13.2">
      <c r="A869" s="18"/>
      <c r="B869" s="19"/>
    </row>
    <row r="870" spans="1:2" ht="13.2">
      <c r="A870" s="18"/>
      <c r="B870" s="19"/>
    </row>
    <row r="871" spans="1:2" ht="13.2">
      <c r="A871" s="18"/>
      <c r="B871" s="19"/>
    </row>
    <row r="872" spans="1:2" ht="13.2">
      <c r="A872" s="18"/>
      <c r="B872" s="19"/>
    </row>
    <row r="873" spans="1:2" ht="13.2">
      <c r="A873" s="18"/>
      <c r="B873" s="19"/>
    </row>
    <row r="874" spans="1:2" ht="13.2">
      <c r="A874" s="18"/>
      <c r="B874" s="19"/>
    </row>
    <row r="875" spans="1:2" ht="13.2">
      <c r="A875" s="18"/>
      <c r="B875" s="19"/>
    </row>
    <row r="876" spans="1:2" ht="13.2">
      <c r="A876" s="18"/>
      <c r="B876" s="19"/>
    </row>
    <row r="877" spans="1:2" ht="13.2">
      <c r="A877" s="18"/>
      <c r="B877" s="19"/>
    </row>
    <row r="878" spans="1:2" ht="13.2">
      <c r="A878" s="18"/>
      <c r="B878" s="19"/>
    </row>
    <row r="879" spans="1:2" ht="13.2">
      <c r="A879" s="18"/>
      <c r="B879" s="19"/>
    </row>
    <row r="880" spans="1:2" ht="13.2">
      <c r="A880" s="18"/>
      <c r="B880" s="19"/>
    </row>
    <row r="881" spans="1:2" ht="13.2">
      <c r="A881" s="18"/>
      <c r="B881" s="19"/>
    </row>
    <row r="882" spans="1:2" ht="13.2">
      <c r="A882" s="18"/>
      <c r="B882" s="19"/>
    </row>
    <row r="883" spans="1:2" ht="13.2">
      <c r="A883" s="18"/>
      <c r="B883" s="19"/>
    </row>
    <row r="884" spans="1:2" ht="13.2">
      <c r="A884" s="18"/>
      <c r="B884" s="19"/>
    </row>
    <row r="885" spans="1:2" ht="13.2">
      <c r="A885" s="18"/>
      <c r="B885" s="19"/>
    </row>
    <row r="886" spans="1:2" ht="13.2">
      <c r="A886" s="18"/>
      <c r="B886" s="19"/>
    </row>
    <row r="887" spans="1:2" ht="13.2">
      <c r="A887" s="18"/>
      <c r="B887" s="19"/>
    </row>
    <row r="888" spans="1:2" ht="13.2">
      <c r="A888" s="18"/>
      <c r="B888" s="19"/>
    </row>
    <row r="889" spans="1:2" ht="13.2">
      <c r="A889" s="18"/>
      <c r="B889" s="19"/>
    </row>
    <row r="890" spans="1:2" ht="13.2">
      <c r="A890" s="18"/>
      <c r="B890" s="19"/>
    </row>
    <row r="891" spans="1:2" ht="13.2">
      <c r="A891" s="18"/>
      <c r="B891" s="19"/>
    </row>
    <row r="892" spans="1:2" ht="13.2">
      <c r="A892" s="18"/>
      <c r="B892" s="19"/>
    </row>
    <row r="893" spans="1:2" ht="13.2">
      <c r="A893" s="18"/>
      <c r="B893" s="19"/>
    </row>
    <row r="894" spans="1:2" ht="13.2">
      <c r="A894" s="18"/>
      <c r="B894" s="19"/>
    </row>
    <row r="895" spans="1:2" ht="13.2">
      <c r="A895" s="18"/>
      <c r="B895" s="19"/>
    </row>
    <row r="896" spans="1:2" ht="13.2">
      <c r="A896" s="18"/>
      <c r="B896" s="19"/>
    </row>
    <row r="897" spans="1:2" ht="13.2">
      <c r="A897" s="18"/>
      <c r="B897" s="19"/>
    </row>
    <row r="898" spans="1:2" ht="13.2">
      <c r="A898" s="18"/>
      <c r="B898" s="19"/>
    </row>
    <row r="899" spans="1:2" ht="13.2">
      <c r="A899" s="18"/>
      <c r="B899" s="19"/>
    </row>
    <row r="900" spans="1:2" ht="13.2">
      <c r="A900" s="18"/>
      <c r="B900" s="19"/>
    </row>
    <row r="901" spans="1:2" ht="13.2">
      <c r="A901" s="18"/>
      <c r="B901" s="19"/>
    </row>
    <row r="902" spans="1:2" ht="13.2">
      <c r="A902" s="18"/>
      <c r="B902" s="19"/>
    </row>
    <row r="903" spans="1:2" ht="13.2">
      <c r="A903" s="18"/>
      <c r="B903" s="19"/>
    </row>
    <row r="904" spans="1:2" ht="13.2">
      <c r="A904" s="18"/>
      <c r="B904" s="19"/>
    </row>
    <row r="905" spans="1:2" ht="13.2">
      <c r="A905" s="18"/>
      <c r="B905" s="19"/>
    </row>
    <row r="906" spans="1:2" ht="13.2">
      <c r="A906" s="18"/>
      <c r="B906" s="19"/>
    </row>
    <row r="907" spans="1:2" ht="13.2">
      <c r="A907" s="18"/>
      <c r="B907" s="19"/>
    </row>
    <row r="908" spans="1:2" ht="13.2">
      <c r="A908" s="18"/>
      <c r="B908" s="19"/>
    </row>
    <row r="909" spans="1:2" ht="13.2">
      <c r="A909" s="18"/>
      <c r="B909" s="19"/>
    </row>
    <row r="910" spans="1:2" ht="13.2">
      <c r="A910" s="18"/>
      <c r="B910" s="19"/>
    </row>
    <row r="911" spans="1:2" ht="13.2">
      <c r="A911" s="18"/>
      <c r="B911" s="19"/>
    </row>
    <row r="912" spans="1:2" ht="13.2">
      <c r="A912" s="18"/>
      <c r="B912" s="19"/>
    </row>
    <row r="913" spans="1:2" ht="13.2">
      <c r="A913" s="18"/>
      <c r="B913" s="19"/>
    </row>
    <row r="914" spans="1:2" ht="13.2">
      <c r="A914" s="18"/>
      <c r="B914" s="19"/>
    </row>
    <row r="915" spans="1:2" ht="13.2">
      <c r="A915" s="18"/>
      <c r="B915" s="19"/>
    </row>
    <row r="916" spans="1:2" ht="13.2">
      <c r="A916" s="18"/>
      <c r="B916" s="19"/>
    </row>
    <row r="917" spans="1:2" ht="13.2">
      <c r="A917" s="18"/>
      <c r="B917" s="19"/>
    </row>
    <row r="918" spans="1:2" ht="13.2">
      <c r="A918" s="18"/>
      <c r="B918" s="19"/>
    </row>
    <row r="919" spans="1:2" ht="13.2">
      <c r="A919" s="18"/>
      <c r="B919" s="19"/>
    </row>
    <row r="920" spans="1:2" ht="13.2">
      <c r="A920" s="18"/>
      <c r="B920" s="19"/>
    </row>
    <row r="921" spans="1:2" ht="13.2">
      <c r="A921" s="18"/>
      <c r="B921" s="19"/>
    </row>
    <row r="922" spans="1:2" ht="13.2">
      <c r="A922" s="18"/>
      <c r="B922" s="19"/>
    </row>
    <row r="923" spans="1:2" ht="13.2">
      <c r="A923" s="18"/>
      <c r="B923" s="19"/>
    </row>
    <row r="924" spans="1:2" ht="13.2">
      <c r="A924" s="18"/>
      <c r="B924" s="19"/>
    </row>
    <row r="925" spans="1:2" ht="13.2">
      <c r="A925" s="18"/>
      <c r="B925" s="19"/>
    </row>
    <row r="926" spans="1:2" ht="13.2">
      <c r="A926" s="18"/>
      <c r="B926" s="19"/>
    </row>
    <row r="927" spans="1:2" ht="13.2">
      <c r="A927" s="18"/>
      <c r="B927" s="19"/>
    </row>
    <row r="928" spans="1:2" ht="13.2">
      <c r="A928" s="18"/>
      <c r="B928" s="19"/>
    </row>
    <row r="929" spans="1:2" ht="13.2">
      <c r="A929" s="18"/>
      <c r="B929" s="19"/>
    </row>
    <row r="930" spans="1:2" ht="13.2">
      <c r="A930" s="18"/>
      <c r="B930" s="19"/>
    </row>
    <row r="931" spans="1:2" ht="13.2">
      <c r="A931" s="18"/>
      <c r="B931" s="19"/>
    </row>
    <row r="932" spans="1:2" ht="13.2">
      <c r="A932" s="18"/>
      <c r="B932" s="19"/>
    </row>
    <row r="933" spans="1:2" ht="13.2">
      <c r="A933" s="18"/>
      <c r="B933" s="19"/>
    </row>
    <row r="934" spans="1:2" ht="13.2">
      <c r="A934" s="18"/>
      <c r="B934" s="19"/>
    </row>
    <row r="935" spans="1:2" ht="13.2">
      <c r="A935" s="18"/>
      <c r="B935" s="19"/>
    </row>
    <row r="936" spans="1:2" ht="13.2">
      <c r="A936" s="18"/>
      <c r="B936" s="19"/>
    </row>
    <row r="937" spans="1:2" ht="13.2">
      <c r="A937" s="18"/>
      <c r="B937" s="19"/>
    </row>
    <row r="938" spans="1:2" ht="13.2">
      <c r="A938" s="18"/>
      <c r="B938" s="19"/>
    </row>
    <row r="939" spans="1:2" ht="13.2">
      <c r="A939" s="18"/>
      <c r="B939" s="19"/>
    </row>
    <row r="940" spans="1:2" ht="13.2">
      <c r="A940" s="18"/>
      <c r="B940" s="19"/>
    </row>
    <row r="941" spans="1:2" ht="13.2">
      <c r="A941" s="18"/>
      <c r="B941" s="19"/>
    </row>
    <row r="942" spans="1:2" ht="13.2">
      <c r="A942" s="18"/>
      <c r="B942" s="19"/>
    </row>
    <row r="943" spans="1:2" ht="13.2">
      <c r="A943" s="18"/>
      <c r="B943" s="19"/>
    </row>
    <row r="944" spans="1:2" ht="13.2">
      <c r="A944" s="18"/>
      <c r="B944" s="19"/>
    </row>
    <row r="945" spans="1:2" ht="13.2">
      <c r="A945" s="18"/>
      <c r="B945" s="19"/>
    </row>
    <row r="946" spans="1:2" ht="13.2">
      <c r="A946" s="18"/>
      <c r="B946" s="19"/>
    </row>
    <row r="947" spans="1:2" ht="13.2">
      <c r="A947" s="18"/>
      <c r="B947" s="19"/>
    </row>
    <row r="948" spans="1:2" ht="13.2">
      <c r="A948" s="18"/>
      <c r="B948" s="19"/>
    </row>
    <row r="949" spans="1:2" ht="13.2">
      <c r="A949" s="18"/>
      <c r="B949" s="19"/>
    </row>
    <row r="950" spans="1:2" ht="13.2">
      <c r="A950" s="18"/>
      <c r="B950" s="19"/>
    </row>
    <row r="951" spans="1:2" ht="13.2">
      <c r="A951" s="18"/>
      <c r="B951" s="19"/>
    </row>
    <row r="952" spans="1:2" ht="13.2">
      <c r="A952" s="18"/>
      <c r="B952" s="19"/>
    </row>
    <row r="953" spans="1:2" ht="13.2">
      <c r="A953" s="18"/>
      <c r="B953" s="19"/>
    </row>
    <row r="954" spans="1:2" ht="13.2">
      <c r="A954" s="18"/>
      <c r="B954" s="19"/>
    </row>
    <row r="955" spans="1:2" ht="13.2">
      <c r="A955" s="18"/>
      <c r="B955" s="19"/>
    </row>
    <row r="956" spans="1:2" ht="13.2">
      <c r="A956" s="18"/>
      <c r="B956" s="19"/>
    </row>
    <row r="957" spans="1:2" ht="13.2">
      <c r="A957" s="18"/>
      <c r="B957" s="19"/>
    </row>
    <row r="958" spans="1:2" ht="13.2">
      <c r="A958" s="18"/>
      <c r="B958" s="19"/>
    </row>
    <row r="959" spans="1:2" ht="13.2">
      <c r="A959" s="18"/>
      <c r="B959" s="19"/>
    </row>
    <row r="960" spans="1:2" ht="13.2">
      <c r="A960" s="18"/>
      <c r="B960" s="19"/>
    </row>
    <row r="961" spans="1:2" ht="13.2">
      <c r="A961" s="18"/>
      <c r="B961" s="19"/>
    </row>
    <row r="962" spans="1:2" ht="13.2">
      <c r="A962" s="18"/>
      <c r="B962" s="19"/>
    </row>
    <row r="963" spans="1:2" ht="13.2">
      <c r="A963" s="18"/>
      <c r="B963" s="19"/>
    </row>
    <row r="964" spans="1:2" ht="13.2">
      <c r="A964" s="18"/>
      <c r="B964" s="19"/>
    </row>
    <row r="965" spans="1:2" ht="13.2">
      <c r="A965" s="18"/>
      <c r="B965" s="19"/>
    </row>
    <row r="966" spans="1:2" ht="13.2">
      <c r="A966" s="18"/>
      <c r="B966" s="19"/>
    </row>
    <row r="967" spans="1:2" ht="13.2">
      <c r="A967" s="18"/>
      <c r="B967" s="19"/>
    </row>
    <row r="968" spans="1:2" ht="13.2">
      <c r="A968" s="18"/>
      <c r="B968" s="19"/>
    </row>
    <row r="969" spans="1:2" ht="13.2">
      <c r="A969" s="18"/>
      <c r="B969" s="19"/>
    </row>
    <row r="970" spans="1:2" ht="13.2">
      <c r="A970" s="18"/>
      <c r="B970" s="19"/>
    </row>
    <row r="971" spans="1:2" ht="13.2">
      <c r="A971" s="18"/>
      <c r="B971" s="19"/>
    </row>
    <row r="972" spans="1:2" ht="13.2">
      <c r="A972" s="18"/>
      <c r="B972" s="19"/>
    </row>
    <row r="973" spans="1:2" ht="13.2">
      <c r="A973" s="18"/>
      <c r="B973" s="19"/>
    </row>
    <row r="974" spans="1:2" ht="13.2">
      <c r="A974" s="18"/>
      <c r="B974" s="19"/>
    </row>
    <row r="975" spans="1:2" ht="13.2">
      <c r="A975" s="18"/>
      <c r="B975" s="19"/>
    </row>
    <row r="976" spans="1:2" ht="13.2">
      <c r="A976" s="18"/>
      <c r="B976" s="19"/>
    </row>
    <row r="977" spans="1:2" ht="13.2">
      <c r="A977" s="18"/>
      <c r="B977" s="19"/>
    </row>
    <row r="978" spans="1:2" ht="13.2">
      <c r="A978" s="18"/>
      <c r="B978" s="19"/>
    </row>
    <row r="979" spans="1:2" ht="13.2">
      <c r="A979" s="18"/>
      <c r="B979" s="19"/>
    </row>
    <row r="980" spans="1:2" ht="13.2">
      <c r="A980" s="18"/>
      <c r="B980" s="19"/>
    </row>
    <row r="981" spans="1:2" ht="13.2">
      <c r="A981" s="18"/>
      <c r="B981" s="19"/>
    </row>
    <row r="982" spans="1:2" ht="13.2">
      <c r="A982" s="18"/>
      <c r="B982" s="19"/>
    </row>
    <row r="983" spans="1:2" ht="13.2">
      <c r="A983" s="18"/>
      <c r="B983" s="19"/>
    </row>
    <row r="984" spans="1:2" ht="13.2">
      <c r="A984" s="18"/>
      <c r="B984" s="19"/>
    </row>
    <row r="985" spans="1:2" ht="13.2">
      <c r="A985" s="18"/>
      <c r="B985" s="19"/>
    </row>
    <row r="986" spans="1:2" ht="13.2">
      <c r="A986" s="18"/>
      <c r="B986" s="19"/>
    </row>
    <row r="987" spans="1:2" ht="13.2">
      <c r="A987" s="18"/>
      <c r="B987" s="19"/>
    </row>
    <row r="988" spans="1:2" ht="13.2">
      <c r="A988" s="18"/>
      <c r="B988" s="19"/>
    </row>
    <row r="989" spans="1:2" ht="13.2">
      <c r="A989" s="18"/>
      <c r="B989" s="19"/>
    </row>
    <row r="990" spans="1:2" ht="13.2">
      <c r="A990" s="18"/>
      <c r="B990" s="19"/>
    </row>
    <row r="991" spans="1:2" ht="13.2">
      <c r="A991" s="18"/>
      <c r="B991" s="19"/>
    </row>
    <row r="992" spans="1:2" ht="13.2">
      <c r="A992" s="18"/>
      <c r="B992" s="19"/>
    </row>
    <row r="993" spans="1:2" ht="13.2">
      <c r="A993" s="18"/>
      <c r="B993" s="19"/>
    </row>
    <row r="994" spans="1:2" ht="13.2">
      <c r="A994" s="18"/>
      <c r="B994" s="19"/>
    </row>
    <row r="995" spans="1:2" ht="13.2">
      <c r="A995" s="18"/>
      <c r="B995" s="19"/>
    </row>
    <row r="996" spans="1:2" ht="13.2">
      <c r="A996" s="18"/>
      <c r="B996" s="19"/>
    </row>
    <row r="997" spans="1:2" ht="13.2">
      <c r="A997" s="18"/>
      <c r="B997" s="19"/>
    </row>
    <row r="998" spans="1:2" ht="13.2">
      <c r="A998" s="18"/>
      <c r="B998" s="19"/>
    </row>
    <row r="999" spans="1:2" ht="13.2">
      <c r="A999" s="18"/>
      <c r="B999" s="19"/>
    </row>
    <row r="1000" spans="1:2" ht="13.2">
      <c r="A1000" s="18"/>
      <c r="B1000" s="19"/>
    </row>
    <row r="1001" spans="1:2" ht="13.2">
      <c r="A1001" s="18"/>
      <c r="B1001" s="19"/>
    </row>
    <row r="1002" spans="1:2" ht="13.2">
      <c r="A1002" s="18"/>
      <c r="B1002" s="19"/>
    </row>
    <row r="1003" spans="1:2" ht="13.2">
      <c r="A1003" s="18"/>
      <c r="B1003" s="19"/>
    </row>
    <row r="1004" spans="1:2" ht="13.2">
      <c r="A1004" s="18"/>
      <c r="B1004" s="19"/>
    </row>
    <row r="1005" spans="1:2" ht="13.2">
      <c r="A1005" s="18"/>
      <c r="B1005" s="19"/>
    </row>
    <row r="1006" spans="1:2" ht="13.2">
      <c r="A1006" s="18"/>
      <c r="B1006" s="19"/>
    </row>
    <row r="1007" spans="1:2" ht="13.2">
      <c r="A1007" s="18"/>
      <c r="B1007" s="19"/>
    </row>
    <row r="1008" spans="1:2" ht="13.2">
      <c r="A1008" s="18"/>
      <c r="B1008" s="19"/>
    </row>
    <row r="1009" spans="1:2" ht="13.2">
      <c r="A1009" s="18"/>
      <c r="B1009" s="19"/>
    </row>
    <row r="1010" spans="1:2" ht="13.2">
      <c r="A1010" s="18"/>
      <c r="B1010" s="19"/>
    </row>
    <row r="1011" spans="1:2" ht="13.2">
      <c r="A1011" s="18"/>
      <c r="B1011" s="19"/>
    </row>
    <row r="1012" spans="1:2" ht="13.2">
      <c r="A1012" s="18"/>
      <c r="B1012" s="19"/>
    </row>
    <row r="1013" spans="1:2" ht="13.2">
      <c r="A1013" s="18"/>
      <c r="B1013" s="19"/>
    </row>
  </sheetData>
  <mergeCells count="13">
    <mergeCell ref="C19:D19"/>
    <mergeCell ref="C1:D1"/>
    <mergeCell ref="C2:D2"/>
    <mergeCell ref="C3:D3"/>
    <mergeCell ref="C4:D4"/>
    <mergeCell ref="C7:D7"/>
    <mergeCell ref="C8:D8"/>
    <mergeCell ref="A5:A6"/>
    <mergeCell ref="A9:A13"/>
    <mergeCell ref="B9:B13"/>
    <mergeCell ref="A14:A18"/>
    <mergeCell ref="B14:B18"/>
    <mergeCell ref="B5:B6"/>
  </mergeCells>
  <hyperlinks>
    <hyperlink ref="B9" r:id="rId1" xr:uid="{00000000-0004-0000-0000-000000000000}"/>
    <hyperlink ref="B1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pane xSplit="1" ySplit="1" topLeftCell="C2" activePane="bottomRight" state="frozen"/>
      <selection pane="topRight" activeCell="B1" sqref="B1"/>
      <selection pane="bottomLeft" activeCell="A2" sqref="A2"/>
      <selection pane="bottomRight" activeCell="C2" sqref="C2"/>
    </sheetView>
  </sheetViews>
  <sheetFormatPr defaultColWidth="12.5546875" defaultRowHeight="15.75" customHeight="1"/>
  <cols>
    <col min="1" max="1" width="17.44140625" customWidth="1"/>
    <col min="2" max="2" width="37.44140625" customWidth="1"/>
    <col min="3" max="3" width="128.33203125" customWidth="1"/>
    <col min="4" max="4" width="2.5546875" customWidth="1"/>
  </cols>
  <sheetData>
    <row r="1" spans="1:3" ht="13.2">
      <c r="A1" s="1"/>
      <c r="B1" s="20" t="s">
        <v>0</v>
      </c>
      <c r="C1" s="21"/>
    </row>
    <row r="2" spans="1:3" ht="250.8">
      <c r="A2" s="3" t="s">
        <v>37</v>
      </c>
      <c r="B2" s="363" t="s">
        <v>38</v>
      </c>
      <c r="C2" s="197" t="s">
        <v>39</v>
      </c>
    </row>
    <row r="3" spans="1:3" ht="369.6">
      <c r="A3" s="3" t="s">
        <v>40</v>
      </c>
      <c r="B3" s="364"/>
      <c r="C3" s="197" t="s">
        <v>41</v>
      </c>
    </row>
    <row r="4" spans="1:3" ht="409.6">
      <c r="A4" s="3" t="s">
        <v>42</v>
      </c>
      <c r="B4" s="364"/>
      <c r="C4" s="197" t="s">
        <v>43</v>
      </c>
    </row>
    <row r="5" spans="1:3" ht="409.6">
      <c r="A5" s="3" t="s">
        <v>44</v>
      </c>
      <c r="B5" s="364"/>
      <c r="C5" s="197" t="s">
        <v>45</v>
      </c>
    </row>
    <row r="6" spans="1:3" ht="409.6">
      <c r="A6" s="22" t="s">
        <v>46</v>
      </c>
      <c r="B6" s="365"/>
      <c r="C6" s="198" t="s">
        <v>47</v>
      </c>
    </row>
    <row r="7" spans="1:3" ht="13.2">
      <c r="A7" s="18"/>
      <c r="B7" s="23"/>
      <c r="C7" s="199"/>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4"/>
  <sheetViews>
    <sheetView zoomScaleNormal="100" workbookViewId="0">
      <pane ySplit="2" topLeftCell="A9" activePane="bottomLeft" state="frozen"/>
      <selection pane="bottomLeft" activeCell="C1" sqref="C1"/>
    </sheetView>
  </sheetViews>
  <sheetFormatPr defaultColWidth="12.5546875" defaultRowHeight="15.75" customHeight="1"/>
  <cols>
    <col min="1" max="1" width="6.5546875" customWidth="1"/>
    <col min="2" max="2" width="28.44140625" customWidth="1"/>
    <col min="3" max="3" width="92.5546875" customWidth="1"/>
    <col min="4" max="4" width="28.44140625" customWidth="1"/>
    <col min="5" max="5" width="31" customWidth="1"/>
    <col min="6" max="6" width="75.5546875" customWidth="1"/>
    <col min="7" max="7" width="20" customWidth="1"/>
    <col min="8" max="8" width="4.44140625" customWidth="1"/>
  </cols>
  <sheetData>
    <row r="1" spans="1:8" ht="15.75" customHeight="1">
      <c r="A1" s="24"/>
      <c r="B1" s="24"/>
      <c r="C1" s="24"/>
      <c r="D1" s="24"/>
      <c r="E1" s="25"/>
    </row>
    <row r="2" spans="1:8" ht="15.75" customHeight="1">
      <c r="A2" s="26"/>
      <c r="B2" s="27" t="s">
        <v>48</v>
      </c>
      <c r="C2" s="27" t="s">
        <v>49</v>
      </c>
      <c r="D2" s="27" t="s">
        <v>50</v>
      </c>
      <c r="E2" s="28" t="s">
        <v>51</v>
      </c>
      <c r="F2" s="27" t="s">
        <v>52</v>
      </c>
      <c r="G2" s="29" t="s">
        <v>53</v>
      </c>
      <c r="H2" s="30"/>
    </row>
    <row r="3" spans="1:8" ht="79.5" customHeight="1">
      <c r="A3" s="31" t="s">
        <v>54</v>
      </c>
      <c r="B3" s="80" t="s">
        <v>55</v>
      </c>
      <c r="C3" s="32" t="s">
        <v>56</v>
      </c>
      <c r="D3" s="32" t="s">
        <v>57</v>
      </c>
      <c r="E3" s="33" t="s">
        <v>58</v>
      </c>
      <c r="F3" s="34" t="s">
        <v>59</v>
      </c>
      <c r="G3" s="81" t="s">
        <v>60</v>
      </c>
      <c r="H3" s="35"/>
    </row>
    <row r="4" spans="1:8" ht="124.2" customHeight="1">
      <c r="A4" s="36"/>
      <c r="B4" s="178" t="s">
        <v>61</v>
      </c>
      <c r="C4" s="178" t="s">
        <v>62</v>
      </c>
      <c r="D4" s="179" t="s">
        <v>63</v>
      </c>
      <c r="E4" s="180" t="s">
        <v>64</v>
      </c>
      <c r="F4" s="366" t="s">
        <v>65</v>
      </c>
      <c r="G4" s="181" t="s">
        <v>66</v>
      </c>
    </row>
    <row r="5" spans="1:8" ht="132">
      <c r="A5" s="36"/>
      <c r="B5" s="178" t="s">
        <v>67</v>
      </c>
      <c r="C5" s="178" t="s">
        <v>68</v>
      </c>
      <c r="D5" s="179" t="s">
        <v>63</v>
      </c>
      <c r="E5" s="180" t="s">
        <v>64</v>
      </c>
      <c r="F5" s="367"/>
      <c r="G5" s="181" t="s">
        <v>66</v>
      </c>
    </row>
    <row r="6" spans="1:8" ht="145.19999999999999">
      <c r="A6" s="36"/>
      <c r="B6" s="178" t="s">
        <v>69</v>
      </c>
      <c r="C6" s="178" t="s">
        <v>70</v>
      </c>
      <c r="D6" s="179" t="s">
        <v>63</v>
      </c>
      <c r="E6" s="180" t="s">
        <v>71</v>
      </c>
      <c r="F6" s="179" t="s">
        <v>72</v>
      </c>
      <c r="G6" s="181" t="s">
        <v>66</v>
      </c>
    </row>
    <row r="7" spans="1:8" ht="118.8">
      <c r="A7" s="36"/>
      <c r="B7" s="37" t="s">
        <v>73</v>
      </c>
      <c r="C7" s="178" t="s">
        <v>74</v>
      </c>
      <c r="D7" s="179" t="s">
        <v>63</v>
      </c>
      <c r="E7" s="180" t="s">
        <v>64</v>
      </c>
      <c r="F7" s="179" t="s">
        <v>65</v>
      </c>
      <c r="G7" s="181" t="s">
        <v>66</v>
      </c>
    </row>
    <row r="8" spans="1:8" ht="118.8">
      <c r="A8" s="36"/>
      <c r="B8" s="178" t="s">
        <v>75</v>
      </c>
      <c r="C8" s="178" t="s">
        <v>76</v>
      </c>
      <c r="D8" s="179" t="s">
        <v>63</v>
      </c>
      <c r="E8" s="180" t="s">
        <v>77</v>
      </c>
      <c r="F8" s="179" t="s">
        <v>78</v>
      </c>
      <c r="G8" s="181" t="s">
        <v>66</v>
      </c>
    </row>
    <row r="9" spans="1:8" ht="164.7" customHeight="1">
      <c r="A9" s="36"/>
      <c r="B9" s="178" t="s">
        <v>79</v>
      </c>
      <c r="C9" s="178" t="s">
        <v>80</v>
      </c>
      <c r="D9" s="179" t="s">
        <v>63</v>
      </c>
      <c r="E9" s="180" t="s">
        <v>64</v>
      </c>
      <c r="F9" s="179" t="s">
        <v>65</v>
      </c>
      <c r="G9" s="181" t="s">
        <v>66</v>
      </c>
    </row>
    <row r="10" spans="1:8" ht="184.8">
      <c r="A10" s="36"/>
      <c r="B10" s="178" t="s">
        <v>81</v>
      </c>
      <c r="C10" s="178" t="s">
        <v>82</v>
      </c>
      <c r="D10" s="179" t="s">
        <v>63</v>
      </c>
      <c r="E10" s="180" t="s">
        <v>77</v>
      </c>
      <c r="F10" s="179" t="s">
        <v>78</v>
      </c>
      <c r="G10" s="181"/>
    </row>
    <row r="11" spans="1:8" ht="79.2">
      <c r="A11" s="36"/>
      <c r="B11" s="178" t="s">
        <v>83</v>
      </c>
      <c r="C11" s="178" t="s">
        <v>84</v>
      </c>
      <c r="D11" s="179" t="s">
        <v>63</v>
      </c>
      <c r="E11" s="180" t="s">
        <v>77</v>
      </c>
      <c r="F11" s="179" t="s">
        <v>78</v>
      </c>
      <c r="G11" s="181"/>
    </row>
    <row r="12" spans="1:8" ht="79.2">
      <c r="A12" s="36"/>
      <c r="B12" s="178" t="s">
        <v>85</v>
      </c>
      <c r="C12" s="178" t="s">
        <v>86</v>
      </c>
      <c r="D12" s="179" t="s">
        <v>63</v>
      </c>
      <c r="E12" s="180" t="s">
        <v>77</v>
      </c>
      <c r="F12" s="179" t="s">
        <v>78</v>
      </c>
      <c r="G12" s="181" t="s">
        <v>66</v>
      </c>
    </row>
    <row r="13" spans="1:8" ht="79.2">
      <c r="A13" s="36"/>
      <c r="B13" s="178" t="s">
        <v>87</v>
      </c>
      <c r="C13" s="178" t="s">
        <v>88</v>
      </c>
      <c r="D13" s="179" t="s">
        <v>63</v>
      </c>
      <c r="E13" s="180" t="s">
        <v>77</v>
      </c>
      <c r="F13" s="179" t="s">
        <v>78</v>
      </c>
      <c r="G13" s="181" t="s">
        <v>66</v>
      </c>
    </row>
    <row r="14" spans="1:8" ht="105.6">
      <c r="A14" s="36"/>
      <c r="B14" s="37" t="s">
        <v>89</v>
      </c>
      <c r="C14" s="178" t="s">
        <v>90</v>
      </c>
      <c r="D14" s="179" t="s">
        <v>63</v>
      </c>
      <c r="E14" s="180" t="s">
        <v>77</v>
      </c>
      <c r="F14" s="179" t="s">
        <v>78</v>
      </c>
      <c r="G14" s="181" t="s">
        <v>91</v>
      </c>
    </row>
    <row r="15" spans="1:8" ht="105.6">
      <c r="A15" s="36"/>
      <c r="B15" s="37" t="s">
        <v>92</v>
      </c>
      <c r="C15" s="178" t="s">
        <v>93</v>
      </c>
      <c r="D15" s="179" t="s">
        <v>63</v>
      </c>
      <c r="E15" s="180" t="s">
        <v>77</v>
      </c>
      <c r="F15" s="179" t="s">
        <v>78</v>
      </c>
      <c r="G15" s="181" t="s">
        <v>91</v>
      </c>
    </row>
    <row r="16" spans="1:8" ht="118.8">
      <c r="A16" s="36"/>
      <c r="B16" s="178" t="s">
        <v>94</v>
      </c>
      <c r="C16" s="178" t="s">
        <v>95</v>
      </c>
      <c r="D16" s="179" t="s">
        <v>96</v>
      </c>
      <c r="E16" s="180" t="s">
        <v>64</v>
      </c>
      <c r="F16" s="179" t="s">
        <v>65</v>
      </c>
      <c r="G16" s="181" t="s">
        <v>66</v>
      </c>
    </row>
    <row r="17" spans="1:7" ht="132">
      <c r="A17" s="36"/>
      <c r="B17" s="37" t="s">
        <v>97</v>
      </c>
      <c r="C17" s="178" t="s">
        <v>98</v>
      </c>
      <c r="D17" s="179" t="s">
        <v>99</v>
      </c>
      <c r="E17" s="180" t="s">
        <v>64</v>
      </c>
      <c r="F17" s="179" t="s">
        <v>65</v>
      </c>
      <c r="G17" s="181" t="s">
        <v>66</v>
      </c>
    </row>
    <row r="18" spans="1:7" ht="118.8">
      <c r="A18" s="36"/>
      <c r="B18" s="37" t="s">
        <v>100</v>
      </c>
      <c r="C18" s="178" t="s">
        <v>101</v>
      </c>
      <c r="D18" s="182" t="s">
        <v>100</v>
      </c>
      <c r="E18" s="180" t="s">
        <v>64</v>
      </c>
      <c r="F18" s="179" t="s">
        <v>65</v>
      </c>
      <c r="G18" s="181" t="s">
        <v>66</v>
      </c>
    </row>
    <row r="19" spans="1:7" ht="105.6">
      <c r="A19" s="36"/>
      <c r="B19" s="178" t="s">
        <v>102</v>
      </c>
      <c r="C19" s="178" t="s">
        <v>103</v>
      </c>
      <c r="D19" s="179" t="s">
        <v>104</v>
      </c>
      <c r="E19" s="180" t="s">
        <v>77</v>
      </c>
      <c r="F19" s="179" t="s">
        <v>105</v>
      </c>
      <c r="G19" s="181" t="s">
        <v>91</v>
      </c>
    </row>
    <row r="20" spans="1:7" ht="105.6">
      <c r="A20" s="36"/>
      <c r="B20" s="178" t="s">
        <v>106</v>
      </c>
      <c r="C20" s="178" t="s">
        <v>107</v>
      </c>
      <c r="D20" s="179" t="s">
        <v>108</v>
      </c>
      <c r="E20" s="180" t="s">
        <v>64</v>
      </c>
      <c r="F20" s="179" t="s">
        <v>109</v>
      </c>
      <c r="G20" s="181" t="s">
        <v>66</v>
      </c>
    </row>
    <row r="21" spans="1:7" ht="118.8">
      <c r="A21" s="183"/>
      <c r="B21" s="184" t="s">
        <v>110</v>
      </c>
      <c r="C21" s="184" t="s">
        <v>111</v>
      </c>
      <c r="D21" s="185"/>
      <c r="E21" s="180" t="s">
        <v>64</v>
      </c>
      <c r="F21" s="179" t="s">
        <v>112</v>
      </c>
      <c r="G21" s="186" t="s">
        <v>66</v>
      </c>
    </row>
    <row r="22" spans="1:7" ht="118.8">
      <c r="A22" s="39"/>
      <c r="B22" s="187" t="s">
        <v>113</v>
      </c>
      <c r="C22" s="187" t="s">
        <v>114</v>
      </c>
      <c r="D22" s="188" t="s">
        <v>115</v>
      </c>
      <c r="E22" s="180" t="s">
        <v>64</v>
      </c>
      <c r="F22" s="179" t="s">
        <v>65</v>
      </c>
      <c r="G22" s="189" t="s">
        <v>66</v>
      </c>
    </row>
    <row r="23" spans="1:7" ht="158.4">
      <c r="A23" s="183"/>
      <c r="B23" s="184" t="s">
        <v>116</v>
      </c>
      <c r="C23" s="190" t="s">
        <v>117</v>
      </c>
      <c r="D23" s="185" t="s">
        <v>118</v>
      </c>
      <c r="E23" s="185" t="s">
        <v>64</v>
      </c>
      <c r="F23" s="185" t="s">
        <v>119</v>
      </c>
      <c r="G23" s="191" t="s">
        <v>66</v>
      </c>
    </row>
    <row r="24" spans="1:7" s="196" customFormat="1" ht="118.8">
      <c r="A24" s="192"/>
      <c r="B24" s="193" t="s">
        <v>120</v>
      </c>
      <c r="C24" s="193" t="s">
        <v>121</v>
      </c>
      <c r="D24" s="194"/>
      <c r="E24" s="194"/>
      <c r="F24" s="179" t="s">
        <v>122</v>
      </c>
      <c r="G24" s="195"/>
    </row>
  </sheetData>
  <mergeCells count="1">
    <mergeCell ref="F4:F5"/>
  </mergeCells>
  <hyperlinks>
    <hyperlink ref="B3" r:id="rId1" xr:uid="{00000000-0004-0000-0200-000000000000}"/>
    <hyperlink ref="G3"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9"/>
  <sheetViews>
    <sheetView workbookViewId="0">
      <pane ySplit="1" topLeftCell="A7" activePane="bottomLeft" state="frozen"/>
      <selection pane="bottomLeft" activeCell="H10" sqref="H10"/>
    </sheetView>
  </sheetViews>
  <sheetFormatPr defaultColWidth="12.5546875" defaultRowHeight="15.75" customHeight="1"/>
  <cols>
    <col min="1" max="1" width="8.44140625" customWidth="1"/>
    <col min="2" max="2" width="41.44140625" customWidth="1"/>
    <col min="3" max="3" width="64.33203125" customWidth="1"/>
    <col min="4" max="4" width="80.33203125" customWidth="1"/>
    <col min="5" max="5" width="4.44140625" customWidth="1"/>
  </cols>
  <sheetData>
    <row r="1" spans="1:5" ht="15.75" customHeight="1">
      <c r="A1" s="40"/>
      <c r="B1" s="41" t="s">
        <v>123</v>
      </c>
      <c r="C1" s="41" t="s">
        <v>124</v>
      </c>
      <c r="D1" s="42" t="s">
        <v>125</v>
      </c>
      <c r="E1" s="43"/>
    </row>
    <row r="2" spans="1:5" ht="92.25" customHeight="1">
      <c r="A2" s="44" t="s">
        <v>54</v>
      </c>
      <c r="B2" s="34" t="s">
        <v>126</v>
      </c>
      <c r="C2" s="34" t="s">
        <v>127</v>
      </c>
      <c r="D2" s="32" t="s">
        <v>128</v>
      </c>
      <c r="E2" s="45"/>
    </row>
    <row r="3" spans="1:5" ht="26.4">
      <c r="A3" s="44" t="s">
        <v>129</v>
      </c>
      <c r="B3" s="46" t="s">
        <v>130</v>
      </c>
      <c r="C3" s="34" t="s">
        <v>131</v>
      </c>
      <c r="D3" s="34" t="s">
        <v>132</v>
      </c>
      <c r="E3" s="45"/>
    </row>
    <row r="4" spans="1:5" s="143" customFormat="1" ht="26.4">
      <c r="A4" s="47"/>
      <c r="B4" s="179" t="s">
        <v>133</v>
      </c>
      <c r="C4" s="179" t="s">
        <v>134</v>
      </c>
      <c r="D4" s="179" t="s">
        <v>135</v>
      </c>
    </row>
    <row r="5" spans="1:5" s="143" customFormat="1" ht="39.6">
      <c r="A5" s="47"/>
      <c r="B5" s="179" t="s">
        <v>136</v>
      </c>
      <c r="C5" s="179" t="s">
        <v>137</v>
      </c>
      <c r="D5" s="179" t="s">
        <v>138</v>
      </c>
    </row>
    <row r="6" spans="1:5" s="143" customFormat="1" ht="39.6">
      <c r="A6" s="47"/>
      <c r="B6" s="179" t="s">
        <v>139</v>
      </c>
      <c r="C6" s="179" t="s">
        <v>140</v>
      </c>
      <c r="D6" s="179" t="s">
        <v>141</v>
      </c>
    </row>
    <row r="7" spans="1:5" s="143" customFormat="1" ht="66">
      <c r="A7" s="47"/>
      <c r="B7" s="179" t="s">
        <v>142</v>
      </c>
      <c r="C7" s="179" t="s">
        <v>143</v>
      </c>
      <c r="D7" s="179" t="s">
        <v>144</v>
      </c>
    </row>
    <row r="8" spans="1:5" ht="15.75" customHeight="1">
      <c r="A8" s="48"/>
      <c r="B8" s="48"/>
      <c r="C8" s="48"/>
      <c r="D8" s="48"/>
    </row>
    <row r="9" spans="1:5" ht="15.75" customHeight="1">
      <c r="A9"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
  <sheetViews>
    <sheetView workbookViewId="0">
      <pane ySplit="1" topLeftCell="A2" activePane="bottomLeft" state="frozen"/>
      <selection pane="bottomLeft" activeCell="C3" sqref="C3"/>
    </sheetView>
  </sheetViews>
  <sheetFormatPr defaultColWidth="12.5546875" defaultRowHeight="15.75" customHeight="1"/>
  <cols>
    <col min="1" max="1" width="24.44140625" customWidth="1"/>
    <col min="2" max="2" width="50.5546875" customWidth="1"/>
    <col min="3" max="3" width="102.44140625" customWidth="1"/>
    <col min="4" max="4" width="86.6640625" customWidth="1"/>
  </cols>
  <sheetData>
    <row r="1" spans="1:4" ht="13.2">
      <c r="A1" s="51"/>
      <c r="B1" s="20" t="s">
        <v>0</v>
      </c>
      <c r="C1" s="21"/>
    </row>
    <row r="2" spans="1:4" ht="402.75" customHeight="1">
      <c r="A2" s="52" t="s">
        <v>145</v>
      </c>
      <c r="B2" s="82" t="s">
        <v>146</v>
      </c>
      <c r="C2" s="209" t="s">
        <v>147</v>
      </c>
      <c r="D2" s="135"/>
    </row>
    <row r="3" spans="1:4" ht="125.7" customHeight="1">
      <c r="A3" s="52" t="s">
        <v>148</v>
      </c>
      <c r="B3" s="33" t="s">
        <v>149</v>
      </c>
      <c r="C3" s="208" t="s">
        <v>150</v>
      </c>
      <c r="D3" s="136"/>
    </row>
    <row r="4" spans="1:4" ht="15.75" customHeight="1">
      <c r="C4" s="134"/>
    </row>
    <row r="5" spans="1:4" ht="15.75" customHeight="1">
      <c r="C5" s="134"/>
    </row>
    <row r="6" spans="1:4" ht="15.75" customHeight="1">
      <c r="C6" s="134"/>
    </row>
    <row r="7" spans="1:4" ht="15.75" customHeight="1">
      <c r="C7" s="134"/>
    </row>
    <row r="8" spans="1:4" ht="15.75" customHeight="1">
      <c r="C8" s="134"/>
    </row>
    <row r="9" spans="1:4" ht="15.75" customHeight="1">
      <c r="C9" s="134"/>
    </row>
    <row r="10" spans="1:4" ht="15.75" customHeight="1">
      <c r="C10" s="134" t="s">
        <v>151</v>
      </c>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topLeftCell="M1" workbookViewId="0">
      <pane ySplit="1" topLeftCell="A2" activePane="bottomLeft" state="frozen"/>
      <selection pane="bottomLeft" activeCell="N5" sqref="N5"/>
    </sheetView>
  </sheetViews>
  <sheetFormatPr defaultColWidth="12.5546875" defaultRowHeight="15.75" customHeight="1"/>
  <cols>
    <col min="1" max="1" width="8.44140625" customWidth="1"/>
    <col min="2" max="2" width="15.33203125" customWidth="1"/>
    <col min="3" max="3" width="48.5546875" customWidth="1"/>
    <col min="4" max="4" width="17.33203125" customWidth="1"/>
    <col min="5" max="5" width="18.44140625" customWidth="1"/>
    <col min="6" max="6" width="38.6640625" customWidth="1"/>
    <col min="7" max="7" width="25.44140625" customWidth="1"/>
    <col min="8" max="8" width="61.6640625" customWidth="1"/>
    <col min="9" max="12" width="25" hidden="1" customWidth="1"/>
    <col min="13" max="13" width="55.5546875" customWidth="1"/>
    <col min="14" max="14" width="107.33203125" customWidth="1"/>
    <col min="15" max="15" width="5.44140625" customWidth="1"/>
  </cols>
  <sheetData>
    <row r="1" spans="1:15" ht="52.8">
      <c r="A1" s="53"/>
      <c r="B1" s="42" t="s">
        <v>152</v>
      </c>
      <c r="C1" s="42" t="s">
        <v>153</v>
      </c>
      <c r="D1" s="42" t="s">
        <v>154</v>
      </c>
      <c r="E1" s="42" t="s">
        <v>155</v>
      </c>
      <c r="F1" s="54" t="s">
        <v>156</v>
      </c>
      <c r="G1" s="55" t="s">
        <v>157</v>
      </c>
      <c r="H1" s="42" t="s">
        <v>158</v>
      </c>
      <c r="I1" s="42" t="s">
        <v>159</v>
      </c>
      <c r="J1" s="42" t="s">
        <v>160</v>
      </c>
      <c r="K1" s="42" t="s">
        <v>161</v>
      </c>
      <c r="L1" s="42" t="s">
        <v>162</v>
      </c>
      <c r="M1" s="42" t="s">
        <v>163</v>
      </c>
      <c r="N1" s="56" t="s">
        <v>164</v>
      </c>
      <c r="O1" s="57"/>
    </row>
    <row r="2" spans="1:15" ht="94.35" customHeight="1">
      <c r="A2" s="58" t="s">
        <v>54</v>
      </c>
      <c r="B2" s="34" t="s">
        <v>165</v>
      </c>
      <c r="C2" s="80" t="s">
        <v>166</v>
      </c>
      <c r="D2" s="80"/>
      <c r="E2" s="34" t="s">
        <v>167</v>
      </c>
      <c r="F2" s="59" t="s">
        <v>168</v>
      </c>
      <c r="G2" s="60" t="s">
        <v>169</v>
      </c>
      <c r="H2" s="371" t="s">
        <v>170</v>
      </c>
      <c r="I2" s="372"/>
      <c r="J2" s="372"/>
      <c r="K2" s="372"/>
      <c r="L2" s="373"/>
      <c r="M2" s="83" t="s">
        <v>171</v>
      </c>
      <c r="N2" s="84" t="s">
        <v>172</v>
      </c>
      <c r="O2" s="45"/>
    </row>
    <row r="3" spans="1:15" ht="52.8">
      <c r="A3" s="374" t="s">
        <v>129</v>
      </c>
      <c r="B3" s="375" t="s">
        <v>173</v>
      </c>
      <c r="C3" s="377" t="s">
        <v>174</v>
      </c>
      <c r="D3" s="104"/>
      <c r="E3" s="377" t="s">
        <v>175</v>
      </c>
      <c r="F3" s="61" t="s">
        <v>176</v>
      </c>
      <c r="G3" s="61" t="s">
        <v>177</v>
      </c>
      <c r="H3" s="61" t="s">
        <v>178</v>
      </c>
      <c r="I3" s="61" t="s">
        <v>179</v>
      </c>
      <c r="J3" s="61" t="s">
        <v>180</v>
      </c>
      <c r="K3" s="61" t="s">
        <v>181</v>
      </c>
      <c r="L3" s="61"/>
      <c r="M3" s="368" t="s">
        <v>182</v>
      </c>
      <c r="N3" s="369" t="s">
        <v>183</v>
      </c>
      <c r="O3" s="45"/>
    </row>
    <row r="4" spans="1:15" ht="76.5" customHeight="1">
      <c r="A4" s="351"/>
      <c r="B4" s="376"/>
      <c r="C4" s="376"/>
      <c r="D4" s="116"/>
      <c r="E4" s="376"/>
      <c r="F4" s="61" t="s">
        <v>176</v>
      </c>
      <c r="G4" s="61" t="s">
        <v>177</v>
      </c>
      <c r="H4" s="61" t="s">
        <v>184</v>
      </c>
      <c r="I4" s="61"/>
      <c r="J4" s="61"/>
      <c r="K4" s="61" t="s">
        <v>185</v>
      </c>
      <c r="L4" s="61" t="s">
        <v>186</v>
      </c>
      <c r="M4" s="351"/>
      <c r="N4" s="370"/>
      <c r="O4" s="24"/>
    </row>
    <row r="5" spans="1:15" ht="409.6">
      <c r="A5" s="62"/>
      <c r="B5" s="38"/>
      <c r="C5" s="38"/>
      <c r="D5" s="38"/>
      <c r="E5" s="38"/>
      <c r="F5" s="38"/>
      <c r="G5" s="38"/>
      <c r="H5" s="38"/>
      <c r="I5" s="38"/>
      <c r="J5" s="38"/>
      <c r="K5" s="38"/>
      <c r="L5" s="38"/>
      <c r="M5" s="38"/>
      <c r="N5" s="200" t="s">
        <v>187</v>
      </c>
    </row>
    <row r="6" spans="1:15" ht="13.2">
      <c r="A6" s="62"/>
      <c r="B6" s="38"/>
      <c r="C6" s="38"/>
      <c r="D6" s="38"/>
      <c r="E6" s="38"/>
      <c r="F6" s="38"/>
      <c r="G6" s="38"/>
      <c r="H6" s="38"/>
      <c r="I6" s="38"/>
      <c r="J6" s="38"/>
      <c r="K6" s="38"/>
      <c r="L6" s="38"/>
      <c r="M6" s="38"/>
    </row>
    <row r="7" spans="1:15" ht="13.2">
      <c r="A7" s="62"/>
      <c r="B7" s="38"/>
      <c r="C7" s="38"/>
      <c r="D7" s="38"/>
      <c r="E7" s="38"/>
      <c r="F7" s="38"/>
      <c r="G7" s="38"/>
      <c r="H7" s="38"/>
      <c r="I7" s="38"/>
      <c r="J7" s="38"/>
      <c r="K7" s="38"/>
      <c r="L7" s="38"/>
      <c r="M7" s="38"/>
    </row>
    <row r="8" spans="1:15" ht="13.2">
      <c r="A8" s="62"/>
      <c r="B8" s="38"/>
      <c r="C8" s="38"/>
      <c r="D8" s="38"/>
      <c r="E8" s="38"/>
      <c r="F8" s="38"/>
      <c r="G8" s="38"/>
      <c r="H8" s="38"/>
      <c r="I8" s="38"/>
      <c r="J8" s="38"/>
      <c r="K8" s="38"/>
      <c r="L8" s="38"/>
      <c r="M8" s="38"/>
    </row>
    <row r="9" spans="1:15" ht="13.2">
      <c r="A9" s="62"/>
      <c r="B9" s="38"/>
      <c r="C9" s="38"/>
      <c r="D9" s="38"/>
      <c r="E9" s="38"/>
      <c r="F9" s="38"/>
      <c r="G9" s="38"/>
      <c r="H9" s="38"/>
      <c r="I9" s="38"/>
      <c r="J9" s="38"/>
      <c r="K9" s="38"/>
      <c r="L9" s="38"/>
      <c r="M9" s="38"/>
    </row>
    <row r="10" spans="1:15" ht="13.2">
      <c r="A10" s="62"/>
      <c r="B10" s="38"/>
      <c r="C10" s="38"/>
      <c r="D10" s="38"/>
      <c r="E10" s="38"/>
      <c r="F10" s="38"/>
      <c r="G10" s="38"/>
      <c r="H10" s="38"/>
      <c r="I10" s="38"/>
      <c r="J10" s="38"/>
      <c r="K10" s="38"/>
      <c r="L10" s="38"/>
      <c r="M10" s="38"/>
    </row>
    <row r="11" spans="1:15" ht="13.2">
      <c r="A11" s="62"/>
      <c r="B11" s="38"/>
      <c r="C11" s="38"/>
      <c r="D11" s="38"/>
      <c r="E11" s="38"/>
      <c r="F11" s="38"/>
      <c r="G11" s="38"/>
      <c r="H11" s="38"/>
      <c r="I11" s="38"/>
      <c r="J11" s="38"/>
      <c r="K11" s="38"/>
      <c r="L11" s="38"/>
      <c r="M11" s="38"/>
    </row>
    <row r="12" spans="1:15" ht="13.2">
      <c r="A12" s="62"/>
      <c r="B12" s="38"/>
      <c r="C12" s="38"/>
      <c r="D12" s="38"/>
      <c r="E12" s="38"/>
      <c r="F12" s="38"/>
      <c r="G12" s="38"/>
      <c r="H12" s="38"/>
      <c r="I12" s="38"/>
      <c r="J12" s="38"/>
      <c r="K12" s="38"/>
      <c r="L12" s="38"/>
      <c r="M12" s="38"/>
    </row>
    <row r="13" spans="1:15" ht="13.2">
      <c r="A13" s="62"/>
      <c r="B13" s="38"/>
      <c r="C13" s="38"/>
      <c r="D13" s="38"/>
      <c r="E13" s="38"/>
      <c r="F13" s="38"/>
      <c r="G13" s="38"/>
      <c r="H13" s="38"/>
      <c r="I13" s="38"/>
      <c r="J13" s="38"/>
      <c r="K13" s="38"/>
      <c r="L13" s="38"/>
      <c r="M13" s="38"/>
    </row>
    <row r="14" spans="1:15" ht="13.2">
      <c r="A14" s="62"/>
      <c r="B14" s="38"/>
      <c r="C14" s="38"/>
      <c r="D14" s="38"/>
      <c r="E14" s="38"/>
      <c r="F14" s="38"/>
      <c r="G14" s="38"/>
      <c r="H14" s="38"/>
      <c r="I14" s="38"/>
      <c r="J14" s="38"/>
      <c r="K14" s="38"/>
      <c r="L14" s="38"/>
      <c r="M14" s="38"/>
    </row>
    <row r="15" spans="1:15" ht="13.2">
      <c r="A15" s="62"/>
      <c r="B15" s="38"/>
      <c r="C15" s="38"/>
      <c r="D15" s="38"/>
      <c r="E15" s="38"/>
      <c r="F15" s="38"/>
      <c r="G15" s="38"/>
      <c r="H15" s="38"/>
      <c r="I15" s="38"/>
      <c r="J15" s="38"/>
      <c r="K15" s="38"/>
      <c r="L15" s="38"/>
      <c r="M15" s="38"/>
    </row>
    <row r="16" spans="1:15" ht="13.2">
      <c r="A16" s="62"/>
      <c r="B16" s="38"/>
      <c r="C16" s="38"/>
      <c r="D16" s="38"/>
      <c r="E16" s="38"/>
      <c r="F16" s="38"/>
      <c r="G16" s="38"/>
      <c r="H16" s="38"/>
      <c r="I16" s="38"/>
      <c r="J16" s="38"/>
      <c r="K16" s="38"/>
      <c r="L16" s="38"/>
      <c r="M16" s="38"/>
    </row>
    <row r="17" spans="1:13" ht="13.2">
      <c r="A17" s="62"/>
      <c r="B17" s="38"/>
      <c r="C17" s="38"/>
      <c r="D17" s="38"/>
      <c r="E17" s="38"/>
      <c r="F17" s="38"/>
      <c r="G17" s="38"/>
      <c r="H17" s="38"/>
      <c r="I17" s="38"/>
      <c r="J17" s="38"/>
      <c r="K17" s="38"/>
      <c r="L17" s="38"/>
      <c r="M17" s="38"/>
    </row>
    <row r="18" spans="1:13" ht="13.2">
      <c r="A18" s="62"/>
      <c r="B18" s="38"/>
      <c r="C18" s="38"/>
      <c r="D18" s="38"/>
      <c r="E18" s="38"/>
      <c r="F18" s="38"/>
      <c r="G18" s="38"/>
      <c r="H18" s="38"/>
      <c r="I18" s="38"/>
      <c r="J18" s="38"/>
      <c r="K18" s="38"/>
      <c r="L18" s="38"/>
      <c r="M18" s="38"/>
    </row>
    <row r="19" spans="1:13" ht="13.2">
      <c r="A19" s="62"/>
      <c r="B19" s="38"/>
      <c r="C19" s="38"/>
      <c r="D19" s="38"/>
      <c r="E19" s="38"/>
      <c r="F19" s="38"/>
      <c r="G19" s="38"/>
      <c r="H19" s="38"/>
      <c r="I19" s="38"/>
      <c r="J19" s="38"/>
      <c r="K19" s="38"/>
      <c r="L19" s="38"/>
      <c r="M19" s="38"/>
    </row>
    <row r="20" spans="1:13" ht="13.2">
      <c r="A20" s="62"/>
      <c r="B20" s="38"/>
      <c r="C20" s="38"/>
      <c r="D20" s="38"/>
      <c r="E20" s="38"/>
      <c r="F20" s="38"/>
      <c r="G20" s="38"/>
      <c r="H20" s="38"/>
      <c r="I20" s="38"/>
      <c r="J20" s="38"/>
      <c r="K20" s="38"/>
      <c r="L20" s="38"/>
      <c r="M20" s="38"/>
    </row>
    <row r="21" spans="1:13" ht="13.2">
      <c r="A21" s="62"/>
      <c r="B21" s="38"/>
      <c r="C21" s="38"/>
      <c r="D21" s="38"/>
      <c r="E21" s="38"/>
      <c r="F21" s="38"/>
      <c r="G21" s="38"/>
      <c r="H21" s="38"/>
      <c r="I21" s="38"/>
      <c r="J21" s="38"/>
      <c r="K21" s="38"/>
      <c r="L21" s="38"/>
      <c r="M21" s="38"/>
    </row>
    <row r="22" spans="1:13" ht="13.2">
      <c r="A22" s="63"/>
    </row>
    <row r="23" spans="1:13" ht="13.2">
      <c r="A23" s="63"/>
    </row>
    <row r="24" spans="1:13" ht="13.2">
      <c r="A24" s="63"/>
    </row>
    <row r="25" spans="1:13" ht="13.2">
      <c r="A25" s="63"/>
    </row>
    <row r="26" spans="1:13" ht="13.2">
      <c r="A26" s="63"/>
    </row>
    <row r="27" spans="1:13" ht="13.2">
      <c r="A27" s="63"/>
    </row>
    <row r="28" spans="1:13" ht="13.2">
      <c r="A28" s="63"/>
    </row>
    <row r="29" spans="1:13" ht="13.2">
      <c r="A29" s="63"/>
    </row>
    <row r="30" spans="1:13" ht="13.2">
      <c r="A30" s="63"/>
    </row>
    <row r="31" spans="1:13" ht="13.2">
      <c r="A31" s="63"/>
    </row>
    <row r="32" spans="1:13" ht="13.2">
      <c r="A32" s="63"/>
    </row>
    <row r="33" spans="1:1" ht="13.2">
      <c r="A33" s="63"/>
    </row>
    <row r="34" spans="1:1" ht="13.2">
      <c r="A34" s="63"/>
    </row>
    <row r="35" spans="1:1" ht="13.2">
      <c r="A35" s="63"/>
    </row>
    <row r="36" spans="1:1" ht="13.2">
      <c r="A36" s="63"/>
    </row>
    <row r="37" spans="1:1" ht="13.2">
      <c r="A37" s="63"/>
    </row>
    <row r="38" spans="1:1" ht="13.2">
      <c r="A38" s="63"/>
    </row>
    <row r="39" spans="1:1" ht="13.2">
      <c r="A39" s="63"/>
    </row>
    <row r="40" spans="1:1" ht="13.2">
      <c r="A40" s="63"/>
    </row>
    <row r="41" spans="1:1" ht="13.2">
      <c r="A41" s="63"/>
    </row>
    <row r="42" spans="1:1" ht="13.2">
      <c r="A42" s="63"/>
    </row>
    <row r="43" spans="1:1" ht="13.2">
      <c r="A43" s="63"/>
    </row>
    <row r="44" spans="1:1" ht="13.2">
      <c r="A44" s="63"/>
    </row>
    <row r="45" spans="1:1" ht="13.2">
      <c r="A45" s="63"/>
    </row>
    <row r="46" spans="1:1" ht="13.2">
      <c r="A46" s="63"/>
    </row>
    <row r="47" spans="1:1" ht="13.2">
      <c r="A47" s="63"/>
    </row>
    <row r="48" spans="1:1" ht="13.2">
      <c r="A48" s="63"/>
    </row>
    <row r="49" spans="1:1" ht="13.2">
      <c r="A49" s="63"/>
    </row>
    <row r="50" spans="1:1" ht="13.2">
      <c r="A50" s="63"/>
    </row>
    <row r="51" spans="1:1" ht="13.2">
      <c r="A51" s="63"/>
    </row>
    <row r="52" spans="1:1" ht="13.2">
      <c r="A52" s="63"/>
    </row>
    <row r="53" spans="1:1" ht="13.2">
      <c r="A53" s="63"/>
    </row>
    <row r="54" spans="1:1" ht="13.2">
      <c r="A54" s="63"/>
    </row>
    <row r="55" spans="1:1" ht="13.2">
      <c r="A55" s="63"/>
    </row>
    <row r="56" spans="1:1" ht="13.2">
      <c r="A56" s="63"/>
    </row>
    <row r="57" spans="1:1" ht="13.2">
      <c r="A57" s="63"/>
    </row>
    <row r="58" spans="1:1" ht="13.2">
      <c r="A58" s="63"/>
    </row>
    <row r="59" spans="1:1" ht="13.2">
      <c r="A59" s="63"/>
    </row>
    <row r="60" spans="1:1" ht="13.2">
      <c r="A60" s="63"/>
    </row>
    <row r="61" spans="1:1" ht="13.2">
      <c r="A61" s="63"/>
    </row>
    <row r="62" spans="1:1" ht="13.2">
      <c r="A62" s="63"/>
    </row>
    <row r="63" spans="1:1" ht="13.2">
      <c r="A63" s="63"/>
    </row>
    <row r="64" spans="1:1" ht="13.2">
      <c r="A64" s="63"/>
    </row>
    <row r="65" spans="1:1" ht="13.2">
      <c r="A65" s="63"/>
    </row>
    <row r="66" spans="1:1" ht="13.2">
      <c r="A66" s="63"/>
    </row>
    <row r="67" spans="1:1" ht="13.2">
      <c r="A67" s="63"/>
    </row>
    <row r="68" spans="1:1" ht="13.2">
      <c r="A68" s="63"/>
    </row>
    <row r="69" spans="1:1" ht="13.2">
      <c r="A69" s="63"/>
    </row>
    <row r="70" spans="1:1" ht="13.2">
      <c r="A70" s="63"/>
    </row>
    <row r="71" spans="1:1" ht="13.2">
      <c r="A71" s="63"/>
    </row>
    <row r="72" spans="1:1" ht="13.2">
      <c r="A72" s="63"/>
    </row>
    <row r="73" spans="1:1" ht="13.2">
      <c r="A73" s="63"/>
    </row>
    <row r="74" spans="1:1" ht="13.2">
      <c r="A74" s="63"/>
    </row>
    <row r="75" spans="1:1" ht="13.2">
      <c r="A75" s="63"/>
    </row>
    <row r="76" spans="1:1" ht="13.2">
      <c r="A76" s="63"/>
    </row>
    <row r="77" spans="1:1" ht="13.2">
      <c r="A77" s="63"/>
    </row>
    <row r="78" spans="1:1" ht="13.2">
      <c r="A78" s="63"/>
    </row>
    <row r="79" spans="1:1" ht="13.2">
      <c r="A79" s="63"/>
    </row>
    <row r="80" spans="1:1" ht="13.2">
      <c r="A80" s="63"/>
    </row>
    <row r="81" spans="1:1" ht="13.2">
      <c r="A81" s="63"/>
    </row>
    <row r="82" spans="1:1" ht="13.2">
      <c r="A82" s="63"/>
    </row>
    <row r="83" spans="1:1" ht="13.2">
      <c r="A83" s="63"/>
    </row>
    <row r="84" spans="1:1" ht="13.2">
      <c r="A84" s="63"/>
    </row>
    <row r="85" spans="1:1" ht="13.2">
      <c r="A85" s="63"/>
    </row>
    <row r="86" spans="1:1" ht="13.2">
      <c r="A86" s="63"/>
    </row>
    <row r="87" spans="1:1" ht="13.2">
      <c r="A87" s="63"/>
    </row>
    <row r="88" spans="1:1" ht="13.2">
      <c r="A88" s="63"/>
    </row>
    <row r="89" spans="1:1" ht="13.2">
      <c r="A89" s="63"/>
    </row>
    <row r="90" spans="1:1" ht="13.2">
      <c r="A90" s="63"/>
    </row>
    <row r="91" spans="1:1" ht="13.2">
      <c r="A91" s="63"/>
    </row>
    <row r="92" spans="1:1" ht="13.2">
      <c r="A92" s="63"/>
    </row>
    <row r="93" spans="1:1" ht="13.2">
      <c r="A93" s="63"/>
    </row>
    <row r="94" spans="1:1" ht="13.2">
      <c r="A94" s="63"/>
    </row>
    <row r="95" spans="1:1" ht="13.2">
      <c r="A95" s="63"/>
    </row>
    <row r="96" spans="1:1" ht="13.2">
      <c r="A96" s="63"/>
    </row>
    <row r="97" spans="1:1" ht="13.2">
      <c r="A97" s="63"/>
    </row>
    <row r="98" spans="1:1" ht="13.2">
      <c r="A98" s="63"/>
    </row>
    <row r="99" spans="1:1" ht="13.2">
      <c r="A99" s="63"/>
    </row>
    <row r="100" spans="1:1" ht="13.2">
      <c r="A100" s="63"/>
    </row>
    <row r="101" spans="1:1" ht="13.2">
      <c r="A101" s="63"/>
    </row>
    <row r="102" spans="1:1" ht="13.2">
      <c r="A102" s="63"/>
    </row>
    <row r="103" spans="1:1" ht="13.2">
      <c r="A103" s="63"/>
    </row>
    <row r="104" spans="1:1" ht="13.2">
      <c r="A104" s="63"/>
    </row>
    <row r="105" spans="1:1" ht="13.2">
      <c r="A105" s="63"/>
    </row>
    <row r="106" spans="1:1" ht="13.2">
      <c r="A106" s="63"/>
    </row>
    <row r="107" spans="1:1" ht="13.2">
      <c r="A107" s="63"/>
    </row>
    <row r="108" spans="1:1" ht="13.2">
      <c r="A108" s="63"/>
    </row>
    <row r="109" spans="1:1" ht="13.2">
      <c r="A109" s="63"/>
    </row>
    <row r="110" spans="1:1" ht="13.2">
      <c r="A110" s="63"/>
    </row>
    <row r="111" spans="1:1" ht="13.2">
      <c r="A111" s="63"/>
    </row>
    <row r="112" spans="1:1" ht="13.2">
      <c r="A112" s="63"/>
    </row>
    <row r="113" spans="1:1" ht="13.2">
      <c r="A113" s="63"/>
    </row>
    <row r="114" spans="1:1" ht="13.2">
      <c r="A114" s="63"/>
    </row>
    <row r="115" spans="1:1" ht="13.2">
      <c r="A115" s="63"/>
    </row>
    <row r="116" spans="1:1" ht="13.2">
      <c r="A116" s="63"/>
    </row>
    <row r="117" spans="1:1" ht="13.2">
      <c r="A117" s="63"/>
    </row>
    <row r="118" spans="1:1" ht="13.2">
      <c r="A118" s="63"/>
    </row>
    <row r="119" spans="1:1" ht="13.2">
      <c r="A119" s="63"/>
    </row>
    <row r="120" spans="1:1" ht="13.2">
      <c r="A120" s="63"/>
    </row>
    <row r="121" spans="1:1" ht="13.2">
      <c r="A121" s="63"/>
    </row>
    <row r="122" spans="1:1" ht="13.2">
      <c r="A122" s="63"/>
    </row>
    <row r="123" spans="1:1" ht="13.2">
      <c r="A123" s="63"/>
    </row>
    <row r="124" spans="1:1" ht="13.2">
      <c r="A124" s="63"/>
    </row>
    <row r="125" spans="1:1" ht="13.2">
      <c r="A125" s="63"/>
    </row>
    <row r="126" spans="1:1" ht="13.2">
      <c r="A126" s="63"/>
    </row>
    <row r="127" spans="1:1" ht="13.2">
      <c r="A127" s="63"/>
    </row>
    <row r="128" spans="1:1" ht="13.2">
      <c r="A128" s="63"/>
    </row>
    <row r="129" spans="1:1" ht="13.2">
      <c r="A129" s="63"/>
    </row>
    <row r="130" spans="1:1" ht="13.2">
      <c r="A130" s="63"/>
    </row>
    <row r="131" spans="1:1" ht="13.2">
      <c r="A131" s="63"/>
    </row>
    <row r="132" spans="1:1" ht="13.2">
      <c r="A132" s="63"/>
    </row>
    <row r="133" spans="1:1" ht="13.2">
      <c r="A133" s="63"/>
    </row>
    <row r="134" spans="1:1" ht="13.2">
      <c r="A134" s="63"/>
    </row>
    <row r="135" spans="1:1" ht="13.2">
      <c r="A135" s="63"/>
    </row>
    <row r="136" spans="1:1" ht="13.2">
      <c r="A136" s="63"/>
    </row>
    <row r="137" spans="1:1" ht="13.2">
      <c r="A137" s="63"/>
    </row>
    <row r="138" spans="1:1" ht="13.2">
      <c r="A138" s="63"/>
    </row>
    <row r="139" spans="1:1" ht="13.2">
      <c r="A139" s="63"/>
    </row>
    <row r="140" spans="1:1" ht="13.2">
      <c r="A140" s="63"/>
    </row>
    <row r="141" spans="1:1" ht="13.2">
      <c r="A141" s="63"/>
    </row>
    <row r="142" spans="1:1" ht="13.2">
      <c r="A142" s="63"/>
    </row>
    <row r="143" spans="1:1" ht="13.2">
      <c r="A143" s="63"/>
    </row>
    <row r="144" spans="1:1" ht="13.2">
      <c r="A144" s="63"/>
    </row>
    <row r="145" spans="1:1" ht="13.2">
      <c r="A145" s="63"/>
    </row>
    <row r="146" spans="1:1" ht="13.2">
      <c r="A146" s="63"/>
    </row>
    <row r="147" spans="1:1" ht="13.2">
      <c r="A147" s="63"/>
    </row>
    <row r="148" spans="1:1" ht="13.2">
      <c r="A148" s="63"/>
    </row>
    <row r="149" spans="1:1" ht="13.2">
      <c r="A149" s="63"/>
    </row>
    <row r="150" spans="1:1" ht="13.2">
      <c r="A150" s="63"/>
    </row>
    <row r="151" spans="1:1" ht="13.2">
      <c r="A151" s="63"/>
    </row>
    <row r="152" spans="1:1" ht="13.2">
      <c r="A152" s="63"/>
    </row>
    <row r="153" spans="1:1" ht="13.2">
      <c r="A153" s="63"/>
    </row>
    <row r="154" spans="1:1" ht="13.2">
      <c r="A154" s="63"/>
    </row>
    <row r="155" spans="1:1" ht="13.2">
      <c r="A155" s="63"/>
    </row>
    <row r="156" spans="1:1" ht="13.2">
      <c r="A156" s="63"/>
    </row>
    <row r="157" spans="1:1" ht="13.2">
      <c r="A157" s="63"/>
    </row>
    <row r="158" spans="1:1" ht="13.2">
      <c r="A158" s="63"/>
    </row>
    <row r="159" spans="1:1" ht="13.2">
      <c r="A159" s="63"/>
    </row>
    <row r="160" spans="1:1" ht="13.2">
      <c r="A160" s="63"/>
    </row>
    <row r="161" spans="1:1" ht="13.2">
      <c r="A161" s="63"/>
    </row>
    <row r="162" spans="1:1" ht="13.2">
      <c r="A162" s="63"/>
    </row>
    <row r="163" spans="1:1" ht="13.2">
      <c r="A163" s="63"/>
    </row>
    <row r="164" spans="1:1" ht="13.2">
      <c r="A164" s="63"/>
    </row>
    <row r="165" spans="1:1" ht="13.2">
      <c r="A165" s="63"/>
    </row>
    <row r="166" spans="1:1" ht="13.2">
      <c r="A166" s="63"/>
    </row>
    <row r="167" spans="1:1" ht="13.2">
      <c r="A167" s="63"/>
    </row>
    <row r="168" spans="1:1" ht="13.2">
      <c r="A168" s="63"/>
    </row>
    <row r="169" spans="1:1" ht="13.2">
      <c r="A169" s="63"/>
    </row>
    <row r="170" spans="1:1" ht="13.2">
      <c r="A170" s="63"/>
    </row>
    <row r="171" spans="1:1" ht="13.2">
      <c r="A171" s="63"/>
    </row>
    <row r="172" spans="1:1" ht="13.2">
      <c r="A172" s="63"/>
    </row>
    <row r="173" spans="1:1" ht="13.2">
      <c r="A173" s="63"/>
    </row>
    <row r="174" spans="1:1" ht="13.2">
      <c r="A174" s="63"/>
    </row>
    <row r="175" spans="1:1" ht="13.2">
      <c r="A175" s="63"/>
    </row>
    <row r="176" spans="1:1" ht="13.2">
      <c r="A176" s="63"/>
    </row>
    <row r="177" spans="1:1" ht="13.2">
      <c r="A177" s="63"/>
    </row>
    <row r="178" spans="1:1" ht="13.2">
      <c r="A178" s="63"/>
    </row>
    <row r="179" spans="1:1" ht="13.2">
      <c r="A179" s="63"/>
    </row>
    <row r="180" spans="1:1" ht="13.2">
      <c r="A180" s="63"/>
    </row>
    <row r="181" spans="1:1" ht="13.2">
      <c r="A181" s="63"/>
    </row>
    <row r="182" spans="1:1" ht="13.2">
      <c r="A182" s="63"/>
    </row>
    <row r="183" spans="1:1" ht="13.2">
      <c r="A183" s="63"/>
    </row>
    <row r="184" spans="1:1" ht="13.2">
      <c r="A184" s="63"/>
    </row>
    <row r="185" spans="1:1" ht="13.2">
      <c r="A185" s="63"/>
    </row>
    <row r="186" spans="1:1" ht="13.2">
      <c r="A186" s="63"/>
    </row>
    <row r="187" spans="1:1" ht="13.2">
      <c r="A187" s="63"/>
    </row>
    <row r="188" spans="1:1" ht="13.2">
      <c r="A188" s="63"/>
    </row>
    <row r="189" spans="1:1" ht="13.2">
      <c r="A189" s="63"/>
    </row>
    <row r="190" spans="1:1" ht="13.2">
      <c r="A190" s="63"/>
    </row>
    <row r="191" spans="1:1" ht="13.2">
      <c r="A191" s="63"/>
    </row>
    <row r="192" spans="1:1" ht="13.2">
      <c r="A192" s="63"/>
    </row>
    <row r="193" spans="1:1" ht="13.2">
      <c r="A193" s="63"/>
    </row>
    <row r="194" spans="1:1" ht="13.2">
      <c r="A194" s="63"/>
    </row>
    <row r="195" spans="1:1" ht="13.2">
      <c r="A195" s="63"/>
    </row>
    <row r="196" spans="1:1" ht="13.2">
      <c r="A196" s="63"/>
    </row>
    <row r="197" spans="1:1" ht="13.2">
      <c r="A197" s="63"/>
    </row>
    <row r="198" spans="1:1" ht="13.2">
      <c r="A198" s="63"/>
    </row>
    <row r="199" spans="1:1" ht="13.2">
      <c r="A199" s="63"/>
    </row>
    <row r="200" spans="1:1" ht="13.2">
      <c r="A200" s="63"/>
    </row>
    <row r="201" spans="1:1" ht="13.2">
      <c r="A201" s="63"/>
    </row>
    <row r="202" spans="1:1" ht="13.2">
      <c r="A202" s="63"/>
    </row>
    <row r="203" spans="1:1" ht="13.2">
      <c r="A203" s="63"/>
    </row>
    <row r="204" spans="1:1" ht="13.2">
      <c r="A204" s="63"/>
    </row>
    <row r="205" spans="1:1" ht="13.2">
      <c r="A205" s="63"/>
    </row>
    <row r="206" spans="1:1" ht="13.2">
      <c r="A206" s="63"/>
    </row>
    <row r="207" spans="1:1" ht="13.2">
      <c r="A207" s="63"/>
    </row>
    <row r="208" spans="1:1" ht="13.2">
      <c r="A208" s="63"/>
    </row>
    <row r="209" spans="1:1" ht="13.2">
      <c r="A209" s="63"/>
    </row>
    <row r="210" spans="1:1" ht="13.2">
      <c r="A210" s="63"/>
    </row>
    <row r="211" spans="1:1" ht="13.2">
      <c r="A211" s="63"/>
    </row>
    <row r="212" spans="1:1" ht="13.2">
      <c r="A212" s="63"/>
    </row>
    <row r="213" spans="1:1" ht="13.2">
      <c r="A213" s="63"/>
    </row>
    <row r="214" spans="1:1" ht="13.2">
      <c r="A214" s="63"/>
    </row>
    <row r="215" spans="1:1" ht="13.2">
      <c r="A215" s="63"/>
    </row>
    <row r="216" spans="1:1" ht="13.2">
      <c r="A216" s="63"/>
    </row>
    <row r="217" spans="1:1" ht="13.2">
      <c r="A217" s="63"/>
    </row>
    <row r="218" spans="1:1" ht="13.2">
      <c r="A218" s="63"/>
    </row>
    <row r="219" spans="1:1" ht="13.2">
      <c r="A219" s="63"/>
    </row>
    <row r="220" spans="1:1" ht="13.2">
      <c r="A220" s="63"/>
    </row>
    <row r="221" spans="1:1" ht="13.2">
      <c r="A221" s="63"/>
    </row>
    <row r="222" spans="1:1" ht="13.2">
      <c r="A222" s="63"/>
    </row>
    <row r="223" spans="1:1" ht="13.2">
      <c r="A223" s="63"/>
    </row>
    <row r="224" spans="1:1" ht="13.2">
      <c r="A224" s="63"/>
    </row>
    <row r="225" spans="1:1" ht="13.2">
      <c r="A225" s="63"/>
    </row>
    <row r="226" spans="1:1" ht="13.2">
      <c r="A226" s="63"/>
    </row>
    <row r="227" spans="1:1" ht="13.2">
      <c r="A227" s="63"/>
    </row>
    <row r="228" spans="1:1" ht="13.2">
      <c r="A228" s="63"/>
    </row>
    <row r="229" spans="1:1" ht="13.2">
      <c r="A229" s="63"/>
    </row>
    <row r="230" spans="1:1" ht="13.2">
      <c r="A230" s="63"/>
    </row>
    <row r="231" spans="1:1" ht="13.2">
      <c r="A231" s="63"/>
    </row>
    <row r="232" spans="1:1" ht="13.2">
      <c r="A232" s="63"/>
    </row>
    <row r="233" spans="1:1" ht="13.2">
      <c r="A233" s="63"/>
    </row>
    <row r="234" spans="1:1" ht="13.2">
      <c r="A234" s="63"/>
    </row>
    <row r="235" spans="1:1" ht="13.2">
      <c r="A235" s="63"/>
    </row>
    <row r="236" spans="1:1" ht="13.2">
      <c r="A236" s="63"/>
    </row>
    <row r="237" spans="1:1" ht="13.2">
      <c r="A237" s="63"/>
    </row>
    <row r="238" spans="1:1" ht="13.2">
      <c r="A238" s="63"/>
    </row>
    <row r="239" spans="1:1" ht="13.2">
      <c r="A239" s="63"/>
    </row>
    <row r="240" spans="1:1" ht="13.2">
      <c r="A240" s="63"/>
    </row>
    <row r="241" spans="1:1" ht="13.2">
      <c r="A241" s="63"/>
    </row>
    <row r="242" spans="1:1" ht="13.2">
      <c r="A242" s="63"/>
    </row>
    <row r="243" spans="1:1" ht="13.2">
      <c r="A243" s="63"/>
    </row>
    <row r="244" spans="1:1" ht="13.2">
      <c r="A244" s="63"/>
    </row>
    <row r="245" spans="1:1" ht="13.2">
      <c r="A245" s="63"/>
    </row>
    <row r="246" spans="1:1" ht="13.2">
      <c r="A246" s="63"/>
    </row>
    <row r="247" spans="1:1" ht="13.2">
      <c r="A247" s="63"/>
    </row>
    <row r="248" spans="1:1" ht="13.2">
      <c r="A248" s="63"/>
    </row>
    <row r="249" spans="1:1" ht="13.2">
      <c r="A249" s="63"/>
    </row>
    <row r="250" spans="1:1" ht="13.2">
      <c r="A250" s="63"/>
    </row>
    <row r="251" spans="1:1" ht="13.2">
      <c r="A251" s="63"/>
    </row>
    <row r="252" spans="1:1" ht="13.2">
      <c r="A252" s="63"/>
    </row>
    <row r="253" spans="1:1" ht="13.2">
      <c r="A253" s="63"/>
    </row>
    <row r="254" spans="1:1" ht="13.2">
      <c r="A254" s="63"/>
    </row>
    <row r="255" spans="1:1" ht="13.2">
      <c r="A255" s="63"/>
    </row>
    <row r="256" spans="1:1" ht="13.2">
      <c r="A256" s="63"/>
    </row>
    <row r="257" spans="1:1" ht="13.2">
      <c r="A257" s="63"/>
    </row>
    <row r="258" spans="1:1" ht="13.2">
      <c r="A258" s="63"/>
    </row>
    <row r="259" spans="1:1" ht="13.2">
      <c r="A259" s="63"/>
    </row>
    <row r="260" spans="1:1" ht="13.2">
      <c r="A260" s="63"/>
    </row>
    <row r="261" spans="1:1" ht="13.2">
      <c r="A261" s="63"/>
    </row>
    <row r="262" spans="1:1" ht="13.2">
      <c r="A262" s="63"/>
    </row>
    <row r="263" spans="1:1" ht="13.2">
      <c r="A263" s="63"/>
    </row>
    <row r="264" spans="1:1" ht="13.2">
      <c r="A264" s="63"/>
    </row>
    <row r="265" spans="1:1" ht="13.2">
      <c r="A265" s="63"/>
    </row>
    <row r="266" spans="1:1" ht="13.2">
      <c r="A266" s="63"/>
    </row>
    <row r="267" spans="1:1" ht="13.2">
      <c r="A267" s="63"/>
    </row>
    <row r="268" spans="1:1" ht="13.2">
      <c r="A268" s="63"/>
    </row>
    <row r="269" spans="1:1" ht="13.2">
      <c r="A269" s="63"/>
    </row>
    <row r="270" spans="1:1" ht="13.2">
      <c r="A270" s="63"/>
    </row>
    <row r="271" spans="1:1" ht="13.2">
      <c r="A271" s="63"/>
    </row>
    <row r="272" spans="1:1" ht="13.2">
      <c r="A272" s="63"/>
    </row>
    <row r="273" spans="1:1" ht="13.2">
      <c r="A273" s="63"/>
    </row>
    <row r="274" spans="1:1" ht="13.2">
      <c r="A274" s="63"/>
    </row>
    <row r="275" spans="1:1" ht="13.2">
      <c r="A275" s="63"/>
    </row>
    <row r="276" spans="1:1" ht="13.2">
      <c r="A276" s="63"/>
    </row>
    <row r="277" spans="1:1" ht="13.2">
      <c r="A277" s="63"/>
    </row>
    <row r="278" spans="1:1" ht="13.2">
      <c r="A278" s="63"/>
    </row>
    <row r="279" spans="1:1" ht="13.2">
      <c r="A279" s="63"/>
    </row>
    <row r="280" spans="1:1" ht="13.2">
      <c r="A280" s="63"/>
    </row>
    <row r="281" spans="1:1" ht="13.2">
      <c r="A281" s="63"/>
    </row>
    <row r="282" spans="1:1" ht="13.2">
      <c r="A282" s="63"/>
    </row>
    <row r="283" spans="1:1" ht="13.2">
      <c r="A283" s="63"/>
    </row>
    <row r="284" spans="1:1" ht="13.2">
      <c r="A284" s="63"/>
    </row>
    <row r="285" spans="1:1" ht="13.2">
      <c r="A285" s="63"/>
    </row>
    <row r="286" spans="1:1" ht="13.2">
      <c r="A286" s="63"/>
    </row>
    <row r="287" spans="1:1" ht="13.2">
      <c r="A287" s="63"/>
    </row>
    <row r="288" spans="1:1" ht="13.2">
      <c r="A288" s="63"/>
    </row>
    <row r="289" spans="1:1" ht="13.2">
      <c r="A289" s="63"/>
    </row>
    <row r="290" spans="1:1" ht="13.2">
      <c r="A290" s="63"/>
    </row>
    <row r="291" spans="1:1" ht="13.2">
      <c r="A291" s="63"/>
    </row>
    <row r="292" spans="1:1" ht="13.2">
      <c r="A292" s="63"/>
    </row>
    <row r="293" spans="1:1" ht="13.2">
      <c r="A293" s="63"/>
    </row>
    <row r="294" spans="1:1" ht="13.2">
      <c r="A294" s="63"/>
    </row>
    <row r="295" spans="1:1" ht="13.2">
      <c r="A295" s="63"/>
    </row>
    <row r="296" spans="1:1" ht="13.2">
      <c r="A296" s="63"/>
    </row>
    <row r="297" spans="1:1" ht="13.2">
      <c r="A297" s="63"/>
    </row>
    <row r="298" spans="1:1" ht="13.2">
      <c r="A298" s="63"/>
    </row>
    <row r="299" spans="1:1" ht="13.2">
      <c r="A299" s="63"/>
    </row>
    <row r="300" spans="1:1" ht="13.2">
      <c r="A300" s="63"/>
    </row>
    <row r="301" spans="1:1" ht="13.2">
      <c r="A301" s="63"/>
    </row>
    <row r="302" spans="1:1" ht="13.2">
      <c r="A302" s="63"/>
    </row>
    <row r="303" spans="1:1" ht="13.2">
      <c r="A303" s="63"/>
    </row>
    <row r="304" spans="1:1" ht="13.2">
      <c r="A304" s="63"/>
    </row>
    <row r="305" spans="1:1" ht="13.2">
      <c r="A305" s="63"/>
    </row>
    <row r="306" spans="1:1" ht="13.2">
      <c r="A306" s="63"/>
    </row>
    <row r="307" spans="1:1" ht="13.2">
      <c r="A307" s="63"/>
    </row>
    <row r="308" spans="1:1" ht="13.2">
      <c r="A308" s="63"/>
    </row>
    <row r="309" spans="1:1" ht="13.2">
      <c r="A309" s="63"/>
    </row>
    <row r="310" spans="1:1" ht="13.2">
      <c r="A310" s="63"/>
    </row>
    <row r="311" spans="1:1" ht="13.2">
      <c r="A311" s="63"/>
    </row>
    <row r="312" spans="1:1" ht="13.2">
      <c r="A312" s="63"/>
    </row>
    <row r="313" spans="1:1" ht="13.2">
      <c r="A313" s="63"/>
    </row>
    <row r="314" spans="1:1" ht="13.2">
      <c r="A314" s="63"/>
    </row>
    <row r="315" spans="1:1" ht="13.2">
      <c r="A315" s="63"/>
    </row>
    <row r="316" spans="1:1" ht="13.2">
      <c r="A316" s="63"/>
    </row>
    <row r="317" spans="1:1" ht="13.2">
      <c r="A317" s="63"/>
    </row>
    <row r="318" spans="1:1" ht="13.2">
      <c r="A318" s="63"/>
    </row>
    <row r="319" spans="1:1" ht="13.2">
      <c r="A319" s="63"/>
    </row>
    <row r="320" spans="1:1" ht="13.2">
      <c r="A320" s="63"/>
    </row>
    <row r="321" spans="1:1" ht="13.2">
      <c r="A321" s="63"/>
    </row>
    <row r="322" spans="1:1" ht="13.2">
      <c r="A322" s="63"/>
    </row>
    <row r="323" spans="1:1" ht="13.2">
      <c r="A323" s="63"/>
    </row>
    <row r="324" spans="1:1" ht="13.2">
      <c r="A324" s="63"/>
    </row>
    <row r="325" spans="1:1" ht="13.2">
      <c r="A325" s="63"/>
    </row>
    <row r="326" spans="1:1" ht="13.2">
      <c r="A326" s="63"/>
    </row>
    <row r="327" spans="1:1" ht="13.2">
      <c r="A327" s="63"/>
    </row>
    <row r="328" spans="1:1" ht="13.2">
      <c r="A328" s="63"/>
    </row>
    <row r="329" spans="1:1" ht="13.2">
      <c r="A329" s="63"/>
    </row>
    <row r="330" spans="1:1" ht="13.2">
      <c r="A330" s="63"/>
    </row>
    <row r="331" spans="1:1" ht="13.2">
      <c r="A331" s="63"/>
    </row>
    <row r="332" spans="1:1" ht="13.2">
      <c r="A332" s="63"/>
    </row>
    <row r="333" spans="1:1" ht="13.2">
      <c r="A333" s="63"/>
    </row>
    <row r="334" spans="1:1" ht="13.2">
      <c r="A334" s="63"/>
    </row>
    <row r="335" spans="1:1" ht="13.2">
      <c r="A335" s="63"/>
    </row>
    <row r="336" spans="1:1" ht="13.2">
      <c r="A336" s="63"/>
    </row>
    <row r="337" spans="1:1" ht="13.2">
      <c r="A337" s="63"/>
    </row>
    <row r="338" spans="1:1" ht="13.2">
      <c r="A338" s="63"/>
    </row>
    <row r="339" spans="1:1" ht="13.2">
      <c r="A339" s="63"/>
    </row>
    <row r="340" spans="1:1" ht="13.2">
      <c r="A340" s="63"/>
    </row>
    <row r="341" spans="1:1" ht="13.2">
      <c r="A341" s="63"/>
    </row>
    <row r="342" spans="1:1" ht="13.2">
      <c r="A342" s="63"/>
    </row>
    <row r="343" spans="1:1" ht="13.2">
      <c r="A343" s="63"/>
    </row>
    <row r="344" spans="1:1" ht="13.2">
      <c r="A344" s="63"/>
    </row>
    <row r="345" spans="1:1" ht="13.2">
      <c r="A345" s="63"/>
    </row>
    <row r="346" spans="1:1" ht="13.2">
      <c r="A346" s="63"/>
    </row>
    <row r="347" spans="1:1" ht="13.2">
      <c r="A347" s="63"/>
    </row>
    <row r="348" spans="1:1" ht="13.2">
      <c r="A348" s="63"/>
    </row>
    <row r="349" spans="1:1" ht="13.2">
      <c r="A349" s="63"/>
    </row>
    <row r="350" spans="1:1" ht="13.2">
      <c r="A350" s="63"/>
    </row>
    <row r="351" spans="1:1" ht="13.2">
      <c r="A351" s="63"/>
    </row>
    <row r="352" spans="1:1" ht="13.2">
      <c r="A352" s="63"/>
    </row>
    <row r="353" spans="1:1" ht="13.2">
      <c r="A353" s="63"/>
    </row>
    <row r="354" spans="1:1" ht="13.2">
      <c r="A354" s="63"/>
    </row>
    <row r="355" spans="1:1" ht="13.2">
      <c r="A355" s="63"/>
    </row>
    <row r="356" spans="1:1" ht="13.2">
      <c r="A356" s="63"/>
    </row>
    <row r="357" spans="1:1" ht="13.2">
      <c r="A357" s="63"/>
    </row>
    <row r="358" spans="1:1" ht="13.2">
      <c r="A358" s="63"/>
    </row>
    <row r="359" spans="1:1" ht="13.2">
      <c r="A359" s="63"/>
    </row>
    <row r="360" spans="1:1" ht="13.2">
      <c r="A360" s="63"/>
    </row>
    <row r="361" spans="1:1" ht="13.2">
      <c r="A361" s="63"/>
    </row>
    <row r="362" spans="1:1" ht="13.2">
      <c r="A362" s="63"/>
    </row>
    <row r="363" spans="1:1" ht="13.2">
      <c r="A363" s="63"/>
    </row>
    <row r="364" spans="1:1" ht="13.2">
      <c r="A364" s="63"/>
    </row>
    <row r="365" spans="1:1" ht="13.2">
      <c r="A365" s="63"/>
    </row>
    <row r="366" spans="1:1" ht="13.2">
      <c r="A366" s="63"/>
    </row>
    <row r="367" spans="1:1" ht="13.2">
      <c r="A367" s="63"/>
    </row>
    <row r="368" spans="1:1" ht="13.2">
      <c r="A368" s="63"/>
    </row>
    <row r="369" spans="1:1" ht="13.2">
      <c r="A369" s="63"/>
    </row>
    <row r="370" spans="1:1" ht="13.2">
      <c r="A370" s="63"/>
    </row>
    <row r="371" spans="1:1" ht="13.2">
      <c r="A371" s="63"/>
    </row>
    <row r="372" spans="1:1" ht="13.2">
      <c r="A372" s="63"/>
    </row>
    <row r="373" spans="1:1" ht="13.2">
      <c r="A373" s="63"/>
    </row>
    <row r="374" spans="1:1" ht="13.2">
      <c r="A374" s="63"/>
    </row>
    <row r="375" spans="1:1" ht="13.2">
      <c r="A375" s="63"/>
    </row>
    <row r="376" spans="1:1" ht="13.2">
      <c r="A376" s="63"/>
    </row>
    <row r="377" spans="1:1" ht="13.2">
      <c r="A377" s="63"/>
    </row>
    <row r="378" spans="1:1" ht="13.2">
      <c r="A378" s="63"/>
    </row>
    <row r="379" spans="1:1" ht="13.2">
      <c r="A379" s="63"/>
    </row>
    <row r="380" spans="1:1" ht="13.2">
      <c r="A380" s="63"/>
    </row>
    <row r="381" spans="1:1" ht="13.2">
      <c r="A381" s="63"/>
    </row>
    <row r="382" spans="1:1" ht="13.2">
      <c r="A382" s="63"/>
    </row>
    <row r="383" spans="1:1" ht="13.2">
      <c r="A383" s="63"/>
    </row>
    <row r="384" spans="1:1" ht="13.2">
      <c r="A384" s="63"/>
    </row>
    <row r="385" spans="1:1" ht="13.2">
      <c r="A385" s="63"/>
    </row>
    <row r="386" spans="1:1" ht="13.2">
      <c r="A386" s="63"/>
    </row>
    <row r="387" spans="1:1" ht="13.2">
      <c r="A387" s="63"/>
    </row>
    <row r="388" spans="1:1" ht="13.2">
      <c r="A388" s="63"/>
    </row>
    <row r="389" spans="1:1" ht="13.2">
      <c r="A389" s="63"/>
    </row>
    <row r="390" spans="1:1" ht="13.2">
      <c r="A390" s="63"/>
    </row>
    <row r="391" spans="1:1" ht="13.2">
      <c r="A391" s="63"/>
    </row>
    <row r="392" spans="1:1" ht="13.2">
      <c r="A392" s="63"/>
    </row>
    <row r="393" spans="1:1" ht="13.2">
      <c r="A393" s="63"/>
    </row>
    <row r="394" spans="1:1" ht="13.2">
      <c r="A394" s="63"/>
    </row>
    <row r="395" spans="1:1" ht="13.2">
      <c r="A395" s="63"/>
    </row>
    <row r="396" spans="1:1" ht="13.2">
      <c r="A396" s="63"/>
    </row>
    <row r="397" spans="1:1" ht="13.2">
      <c r="A397" s="63"/>
    </row>
    <row r="398" spans="1:1" ht="13.2">
      <c r="A398" s="63"/>
    </row>
    <row r="399" spans="1:1" ht="13.2">
      <c r="A399" s="63"/>
    </row>
    <row r="400" spans="1:1" ht="13.2">
      <c r="A400" s="63"/>
    </row>
    <row r="401" spans="1:1" ht="13.2">
      <c r="A401" s="63"/>
    </row>
    <row r="402" spans="1:1" ht="13.2">
      <c r="A402" s="63"/>
    </row>
    <row r="403" spans="1:1" ht="13.2">
      <c r="A403" s="63"/>
    </row>
    <row r="404" spans="1:1" ht="13.2">
      <c r="A404" s="63"/>
    </row>
    <row r="405" spans="1:1" ht="13.2">
      <c r="A405" s="63"/>
    </row>
    <row r="406" spans="1:1" ht="13.2">
      <c r="A406" s="63"/>
    </row>
    <row r="407" spans="1:1" ht="13.2">
      <c r="A407" s="63"/>
    </row>
    <row r="408" spans="1:1" ht="13.2">
      <c r="A408" s="63"/>
    </row>
    <row r="409" spans="1:1" ht="13.2">
      <c r="A409" s="63"/>
    </row>
    <row r="410" spans="1:1" ht="13.2">
      <c r="A410" s="63"/>
    </row>
    <row r="411" spans="1:1" ht="13.2">
      <c r="A411" s="63"/>
    </row>
    <row r="412" spans="1:1" ht="13.2">
      <c r="A412" s="63"/>
    </row>
    <row r="413" spans="1:1" ht="13.2">
      <c r="A413" s="63"/>
    </row>
    <row r="414" spans="1:1" ht="13.2">
      <c r="A414" s="63"/>
    </row>
    <row r="415" spans="1:1" ht="13.2">
      <c r="A415" s="63"/>
    </row>
    <row r="416" spans="1:1" ht="13.2">
      <c r="A416" s="63"/>
    </row>
    <row r="417" spans="1:1" ht="13.2">
      <c r="A417" s="63"/>
    </row>
    <row r="418" spans="1:1" ht="13.2">
      <c r="A418" s="63"/>
    </row>
    <row r="419" spans="1:1" ht="13.2">
      <c r="A419" s="63"/>
    </row>
    <row r="420" spans="1:1" ht="13.2">
      <c r="A420" s="63"/>
    </row>
    <row r="421" spans="1:1" ht="13.2">
      <c r="A421" s="63"/>
    </row>
    <row r="422" spans="1:1" ht="13.2">
      <c r="A422" s="63"/>
    </row>
    <row r="423" spans="1:1" ht="13.2">
      <c r="A423" s="63"/>
    </row>
    <row r="424" spans="1:1" ht="13.2">
      <c r="A424" s="63"/>
    </row>
    <row r="425" spans="1:1" ht="13.2">
      <c r="A425" s="63"/>
    </row>
    <row r="426" spans="1:1" ht="13.2">
      <c r="A426" s="63"/>
    </row>
    <row r="427" spans="1:1" ht="13.2">
      <c r="A427" s="63"/>
    </row>
    <row r="428" spans="1:1" ht="13.2">
      <c r="A428" s="63"/>
    </row>
    <row r="429" spans="1:1" ht="13.2">
      <c r="A429" s="63"/>
    </row>
    <row r="430" spans="1:1" ht="13.2">
      <c r="A430" s="63"/>
    </row>
    <row r="431" spans="1:1" ht="13.2">
      <c r="A431" s="63"/>
    </row>
    <row r="432" spans="1:1" ht="13.2">
      <c r="A432" s="63"/>
    </row>
    <row r="433" spans="1:1" ht="13.2">
      <c r="A433" s="63"/>
    </row>
    <row r="434" spans="1:1" ht="13.2">
      <c r="A434" s="63"/>
    </row>
    <row r="435" spans="1:1" ht="13.2">
      <c r="A435" s="63"/>
    </row>
    <row r="436" spans="1:1" ht="13.2">
      <c r="A436" s="63"/>
    </row>
    <row r="437" spans="1:1" ht="13.2">
      <c r="A437" s="63"/>
    </row>
    <row r="438" spans="1:1" ht="13.2">
      <c r="A438" s="63"/>
    </row>
    <row r="439" spans="1:1" ht="13.2">
      <c r="A439" s="63"/>
    </row>
    <row r="440" spans="1:1" ht="13.2">
      <c r="A440" s="63"/>
    </row>
    <row r="441" spans="1:1" ht="13.2">
      <c r="A441" s="63"/>
    </row>
    <row r="442" spans="1:1" ht="13.2">
      <c r="A442" s="63"/>
    </row>
    <row r="443" spans="1:1" ht="13.2">
      <c r="A443" s="63"/>
    </row>
    <row r="444" spans="1:1" ht="13.2">
      <c r="A444" s="63"/>
    </row>
    <row r="445" spans="1:1" ht="13.2">
      <c r="A445" s="63"/>
    </row>
    <row r="446" spans="1:1" ht="13.2">
      <c r="A446" s="63"/>
    </row>
    <row r="447" spans="1:1" ht="13.2">
      <c r="A447" s="63"/>
    </row>
    <row r="448" spans="1:1" ht="13.2">
      <c r="A448" s="63"/>
    </row>
    <row r="449" spans="1:1" ht="13.2">
      <c r="A449" s="63"/>
    </row>
    <row r="450" spans="1:1" ht="13.2">
      <c r="A450" s="63"/>
    </row>
    <row r="451" spans="1:1" ht="13.2">
      <c r="A451" s="63"/>
    </row>
    <row r="452" spans="1:1" ht="13.2">
      <c r="A452" s="63"/>
    </row>
    <row r="453" spans="1:1" ht="13.2">
      <c r="A453" s="63"/>
    </row>
    <row r="454" spans="1:1" ht="13.2">
      <c r="A454" s="63"/>
    </row>
    <row r="455" spans="1:1" ht="13.2">
      <c r="A455" s="63"/>
    </row>
    <row r="456" spans="1:1" ht="13.2">
      <c r="A456" s="63"/>
    </row>
    <row r="457" spans="1:1" ht="13.2">
      <c r="A457" s="63"/>
    </row>
    <row r="458" spans="1:1" ht="13.2">
      <c r="A458" s="63"/>
    </row>
    <row r="459" spans="1:1" ht="13.2">
      <c r="A459" s="63"/>
    </row>
    <row r="460" spans="1:1" ht="13.2">
      <c r="A460" s="63"/>
    </row>
    <row r="461" spans="1:1" ht="13.2">
      <c r="A461" s="63"/>
    </row>
    <row r="462" spans="1:1" ht="13.2">
      <c r="A462" s="63"/>
    </row>
    <row r="463" spans="1:1" ht="13.2">
      <c r="A463" s="63"/>
    </row>
    <row r="464" spans="1:1" ht="13.2">
      <c r="A464" s="63"/>
    </row>
    <row r="465" spans="1:1" ht="13.2">
      <c r="A465" s="63"/>
    </row>
    <row r="466" spans="1:1" ht="13.2">
      <c r="A466" s="63"/>
    </row>
    <row r="467" spans="1:1" ht="13.2">
      <c r="A467" s="63"/>
    </row>
    <row r="468" spans="1:1" ht="13.2">
      <c r="A468" s="63"/>
    </row>
    <row r="469" spans="1:1" ht="13.2">
      <c r="A469" s="63"/>
    </row>
    <row r="470" spans="1:1" ht="13.2">
      <c r="A470" s="63"/>
    </row>
    <row r="471" spans="1:1" ht="13.2">
      <c r="A471" s="63"/>
    </row>
    <row r="472" spans="1:1" ht="13.2">
      <c r="A472" s="63"/>
    </row>
    <row r="473" spans="1:1" ht="13.2">
      <c r="A473" s="63"/>
    </row>
    <row r="474" spans="1:1" ht="13.2">
      <c r="A474" s="63"/>
    </row>
    <row r="475" spans="1:1" ht="13.2">
      <c r="A475" s="63"/>
    </row>
    <row r="476" spans="1:1" ht="13.2">
      <c r="A476" s="63"/>
    </row>
    <row r="477" spans="1:1" ht="13.2">
      <c r="A477" s="63"/>
    </row>
    <row r="478" spans="1:1" ht="13.2">
      <c r="A478" s="63"/>
    </row>
    <row r="479" spans="1:1" ht="13.2">
      <c r="A479" s="63"/>
    </row>
    <row r="480" spans="1:1" ht="13.2">
      <c r="A480" s="63"/>
    </row>
    <row r="481" spans="1:1" ht="13.2">
      <c r="A481" s="63"/>
    </row>
    <row r="482" spans="1:1" ht="13.2">
      <c r="A482" s="63"/>
    </row>
    <row r="483" spans="1:1" ht="13.2">
      <c r="A483" s="63"/>
    </row>
    <row r="484" spans="1:1" ht="13.2">
      <c r="A484" s="63"/>
    </row>
    <row r="485" spans="1:1" ht="13.2">
      <c r="A485" s="63"/>
    </row>
    <row r="486" spans="1:1" ht="13.2">
      <c r="A486" s="63"/>
    </row>
    <row r="487" spans="1:1" ht="13.2">
      <c r="A487" s="63"/>
    </row>
    <row r="488" spans="1:1" ht="13.2">
      <c r="A488" s="63"/>
    </row>
    <row r="489" spans="1:1" ht="13.2">
      <c r="A489" s="63"/>
    </row>
    <row r="490" spans="1:1" ht="13.2">
      <c r="A490" s="63"/>
    </row>
    <row r="491" spans="1:1" ht="13.2">
      <c r="A491" s="63"/>
    </row>
    <row r="492" spans="1:1" ht="13.2">
      <c r="A492" s="63"/>
    </row>
    <row r="493" spans="1:1" ht="13.2">
      <c r="A493" s="63"/>
    </row>
    <row r="494" spans="1:1" ht="13.2">
      <c r="A494" s="63"/>
    </row>
    <row r="495" spans="1:1" ht="13.2">
      <c r="A495" s="63"/>
    </row>
    <row r="496" spans="1:1" ht="13.2">
      <c r="A496" s="63"/>
    </row>
    <row r="497" spans="1:1" ht="13.2">
      <c r="A497" s="63"/>
    </row>
    <row r="498" spans="1:1" ht="13.2">
      <c r="A498" s="63"/>
    </row>
    <row r="499" spans="1:1" ht="13.2">
      <c r="A499" s="63"/>
    </row>
    <row r="500" spans="1:1" ht="13.2">
      <c r="A500" s="63"/>
    </row>
    <row r="501" spans="1:1" ht="13.2">
      <c r="A501" s="63"/>
    </row>
    <row r="502" spans="1:1" ht="13.2">
      <c r="A502" s="63"/>
    </row>
    <row r="503" spans="1:1" ht="13.2">
      <c r="A503" s="63"/>
    </row>
    <row r="504" spans="1:1" ht="13.2">
      <c r="A504" s="63"/>
    </row>
    <row r="505" spans="1:1" ht="13.2">
      <c r="A505" s="63"/>
    </row>
    <row r="506" spans="1:1" ht="13.2">
      <c r="A506" s="63"/>
    </row>
    <row r="507" spans="1:1" ht="13.2">
      <c r="A507" s="63"/>
    </row>
    <row r="508" spans="1:1" ht="13.2">
      <c r="A508" s="63"/>
    </row>
    <row r="509" spans="1:1" ht="13.2">
      <c r="A509" s="63"/>
    </row>
    <row r="510" spans="1:1" ht="13.2">
      <c r="A510" s="63"/>
    </row>
    <row r="511" spans="1:1" ht="13.2">
      <c r="A511" s="63"/>
    </row>
    <row r="512" spans="1:1" ht="13.2">
      <c r="A512" s="63"/>
    </row>
    <row r="513" spans="1:1" ht="13.2">
      <c r="A513" s="63"/>
    </row>
    <row r="514" spans="1:1" ht="13.2">
      <c r="A514" s="63"/>
    </row>
    <row r="515" spans="1:1" ht="13.2">
      <c r="A515" s="63"/>
    </row>
    <row r="516" spans="1:1" ht="13.2">
      <c r="A516" s="63"/>
    </row>
    <row r="517" spans="1:1" ht="13.2">
      <c r="A517" s="63"/>
    </row>
    <row r="518" spans="1:1" ht="13.2">
      <c r="A518" s="63"/>
    </row>
    <row r="519" spans="1:1" ht="13.2">
      <c r="A519" s="63"/>
    </row>
    <row r="520" spans="1:1" ht="13.2">
      <c r="A520" s="63"/>
    </row>
    <row r="521" spans="1:1" ht="13.2">
      <c r="A521" s="63"/>
    </row>
    <row r="522" spans="1:1" ht="13.2">
      <c r="A522" s="63"/>
    </row>
    <row r="523" spans="1:1" ht="13.2">
      <c r="A523" s="63"/>
    </row>
    <row r="524" spans="1:1" ht="13.2">
      <c r="A524" s="63"/>
    </row>
    <row r="525" spans="1:1" ht="13.2">
      <c r="A525" s="63"/>
    </row>
    <row r="526" spans="1:1" ht="13.2">
      <c r="A526" s="63"/>
    </row>
    <row r="527" spans="1:1" ht="13.2">
      <c r="A527" s="63"/>
    </row>
    <row r="528" spans="1:1" ht="13.2">
      <c r="A528" s="63"/>
    </row>
    <row r="529" spans="1:1" ht="13.2">
      <c r="A529" s="63"/>
    </row>
    <row r="530" spans="1:1" ht="13.2">
      <c r="A530" s="63"/>
    </row>
    <row r="531" spans="1:1" ht="13.2">
      <c r="A531" s="63"/>
    </row>
    <row r="532" spans="1:1" ht="13.2">
      <c r="A532" s="63"/>
    </row>
    <row r="533" spans="1:1" ht="13.2">
      <c r="A533" s="63"/>
    </row>
    <row r="534" spans="1:1" ht="13.2">
      <c r="A534" s="63"/>
    </row>
    <row r="535" spans="1:1" ht="13.2">
      <c r="A535" s="63"/>
    </row>
    <row r="536" spans="1:1" ht="13.2">
      <c r="A536" s="63"/>
    </row>
    <row r="537" spans="1:1" ht="13.2">
      <c r="A537" s="63"/>
    </row>
    <row r="538" spans="1:1" ht="13.2">
      <c r="A538" s="63"/>
    </row>
    <row r="539" spans="1:1" ht="13.2">
      <c r="A539" s="63"/>
    </row>
    <row r="540" spans="1:1" ht="13.2">
      <c r="A540" s="63"/>
    </row>
    <row r="541" spans="1:1" ht="13.2">
      <c r="A541" s="63"/>
    </row>
    <row r="542" spans="1:1" ht="13.2">
      <c r="A542" s="63"/>
    </row>
    <row r="543" spans="1:1" ht="13.2">
      <c r="A543" s="63"/>
    </row>
    <row r="544" spans="1:1" ht="13.2">
      <c r="A544" s="63"/>
    </row>
    <row r="545" spans="1:1" ht="13.2">
      <c r="A545" s="63"/>
    </row>
    <row r="546" spans="1:1" ht="13.2">
      <c r="A546" s="63"/>
    </row>
    <row r="547" spans="1:1" ht="13.2">
      <c r="A547" s="63"/>
    </row>
    <row r="548" spans="1:1" ht="13.2">
      <c r="A548" s="63"/>
    </row>
    <row r="549" spans="1:1" ht="13.2">
      <c r="A549" s="63"/>
    </row>
    <row r="550" spans="1:1" ht="13.2">
      <c r="A550" s="63"/>
    </row>
    <row r="551" spans="1:1" ht="13.2">
      <c r="A551" s="63"/>
    </row>
    <row r="552" spans="1:1" ht="13.2">
      <c r="A552" s="63"/>
    </row>
    <row r="553" spans="1:1" ht="13.2">
      <c r="A553" s="63"/>
    </row>
    <row r="554" spans="1:1" ht="13.2">
      <c r="A554" s="63"/>
    </row>
    <row r="555" spans="1:1" ht="13.2">
      <c r="A555" s="63"/>
    </row>
    <row r="556" spans="1:1" ht="13.2">
      <c r="A556" s="63"/>
    </row>
    <row r="557" spans="1:1" ht="13.2">
      <c r="A557" s="63"/>
    </row>
    <row r="558" spans="1:1" ht="13.2">
      <c r="A558" s="63"/>
    </row>
    <row r="559" spans="1:1" ht="13.2">
      <c r="A559" s="63"/>
    </row>
    <row r="560" spans="1:1" ht="13.2">
      <c r="A560" s="63"/>
    </row>
    <row r="561" spans="1:1" ht="13.2">
      <c r="A561" s="63"/>
    </row>
    <row r="562" spans="1:1" ht="13.2">
      <c r="A562" s="63"/>
    </row>
    <row r="563" spans="1:1" ht="13.2">
      <c r="A563" s="63"/>
    </row>
    <row r="564" spans="1:1" ht="13.2">
      <c r="A564" s="63"/>
    </row>
    <row r="565" spans="1:1" ht="13.2">
      <c r="A565" s="63"/>
    </row>
    <row r="566" spans="1:1" ht="13.2">
      <c r="A566" s="63"/>
    </row>
    <row r="567" spans="1:1" ht="13.2">
      <c r="A567" s="63"/>
    </row>
    <row r="568" spans="1:1" ht="13.2">
      <c r="A568" s="63"/>
    </row>
    <row r="569" spans="1:1" ht="13.2">
      <c r="A569" s="63"/>
    </row>
    <row r="570" spans="1:1" ht="13.2">
      <c r="A570" s="63"/>
    </row>
    <row r="571" spans="1:1" ht="13.2">
      <c r="A571" s="63"/>
    </row>
    <row r="572" spans="1:1" ht="13.2">
      <c r="A572" s="63"/>
    </row>
    <row r="573" spans="1:1" ht="13.2">
      <c r="A573" s="63"/>
    </row>
    <row r="574" spans="1:1" ht="13.2">
      <c r="A574" s="63"/>
    </row>
    <row r="575" spans="1:1" ht="13.2">
      <c r="A575" s="63"/>
    </row>
    <row r="576" spans="1:1" ht="13.2">
      <c r="A576" s="63"/>
    </row>
    <row r="577" spans="1:1" ht="13.2">
      <c r="A577" s="63"/>
    </row>
    <row r="578" spans="1:1" ht="13.2">
      <c r="A578" s="63"/>
    </row>
    <row r="579" spans="1:1" ht="13.2">
      <c r="A579" s="63"/>
    </row>
    <row r="580" spans="1:1" ht="13.2">
      <c r="A580" s="63"/>
    </row>
    <row r="581" spans="1:1" ht="13.2">
      <c r="A581" s="63"/>
    </row>
    <row r="582" spans="1:1" ht="13.2">
      <c r="A582" s="63"/>
    </row>
    <row r="583" spans="1:1" ht="13.2">
      <c r="A583" s="63"/>
    </row>
    <row r="584" spans="1:1" ht="13.2">
      <c r="A584" s="63"/>
    </row>
    <row r="585" spans="1:1" ht="13.2">
      <c r="A585" s="63"/>
    </row>
    <row r="586" spans="1:1" ht="13.2">
      <c r="A586" s="63"/>
    </row>
    <row r="587" spans="1:1" ht="13.2">
      <c r="A587" s="63"/>
    </row>
    <row r="588" spans="1:1" ht="13.2">
      <c r="A588" s="63"/>
    </row>
    <row r="589" spans="1:1" ht="13.2">
      <c r="A589" s="63"/>
    </row>
    <row r="590" spans="1:1" ht="13.2">
      <c r="A590" s="63"/>
    </row>
    <row r="591" spans="1:1" ht="13.2">
      <c r="A591" s="63"/>
    </row>
    <row r="592" spans="1:1" ht="13.2">
      <c r="A592" s="63"/>
    </row>
    <row r="593" spans="1:1" ht="13.2">
      <c r="A593" s="63"/>
    </row>
    <row r="594" spans="1:1" ht="13.2">
      <c r="A594" s="63"/>
    </row>
    <row r="595" spans="1:1" ht="13.2">
      <c r="A595" s="63"/>
    </row>
    <row r="596" spans="1:1" ht="13.2">
      <c r="A596" s="63"/>
    </row>
    <row r="597" spans="1:1" ht="13.2">
      <c r="A597" s="63"/>
    </row>
    <row r="598" spans="1:1" ht="13.2">
      <c r="A598" s="63"/>
    </row>
    <row r="599" spans="1:1" ht="13.2">
      <c r="A599" s="63"/>
    </row>
    <row r="600" spans="1:1" ht="13.2">
      <c r="A600" s="63"/>
    </row>
    <row r="601" spans="1:1" ht="13.2">
      <c r="A601" s="63"/>
    </row>
    <row r="602" spans="1:1" ht="13.2">
      <c r="A602" s="63"/>
    </row>
    <row r="603" spans="1:1" ht="13.2">
      <c r="A603" s="63"/>
    </row>
    <row r="604" spans="1:1" ht="13.2">
      <c r="A604" s="63"/>
    </row>
    <row r="605" spans="1:1" ht="13.2">
      <c r="A605" s="63"/>
    </row>
    <row r="606" spans="1:1" ht="13.2">
      <c r="A606" s="63"/>
    </row>
    <row r="607" spans="1:1" ht="13.2">
      <c r="A607" s="63"/>
    </row>
    <row r="608" spans="1:1" ht="13.2">
      <c r="A608" s="63"/>
    </row>
    <row r="609" spans="1:1" ht="13.2">
      <c r="A609" s="63"/>
    </row>
    <row r="610" spans="1:1" ht="13.2">
      <c r="A610" s="63"/>
    </row>
    <row r="611" spans="1:1" ht="13.2">
      <c r="A611" s="63"/>
    </row>
    <row r="612" spans="1:1" ht="13.2">
      <c r="A612" s="63"/>
    </row>
    <row r="613" spans="1:1" ht="13.2">
      <c r="A613" s="63"/>
    </row>
    <row r="614" spans="1:1" ht="13.2">
      <c r="A614" s="63"/>
    </row>
    <row r="615" spans="1:1" ht="13.2">
      <c r="A615" s="63"/>
    </row>
    <row r="616" spans="1:1" ht="13.2">
      <c r="A616" s="63"/>
    </row>
    <row r="617" spans="1:1" ht="13.2">
      <c r="A617" s="63"/>
    </row>
    <row r="618" spans="1:1" ht="13.2">
      <c r="A618" s="63"/>
    </row>
    <row r="619" spans="1:1" ht="13.2">
      <c r="A619" s="63"/>
    </row>
    <row r="620" spans="1:1" ht="13.2">
      <c r="A620" s="63"/>
    </row>
    <row r="621" spans="1:1" ht="13.2">
      <c r="A621" s="63"/>
    </row>
    <row r="622" spans="1:1" ht="13.2">
      <c r="A622" s="63"/>
    </row>
    <row r="623" spans="1:1" ht="13.2">
      <c r="A623" s="63"/>
    </row>
    <row r="624" spans="1:1" ht="13.2">
      <c r="A624" s="63"/>
    </row>
    <row r="625" spans="1:1" ht="13.2">
      <c r="A625" s="63"/>
    </row>
    <row r="626" spans="1:1" ht="13.2">
      <c r="A626" s="63"/>
    </row>
    <row r="627" spans="1:1" ht="13.2">
      <c r="A627" s="63"/>
    </row>
    <row r="628" spans="1:1" ht="13.2">
      <c r="A628" s="63"/>
    </row>
    <row r="629" spans="1:1" ht="13.2">
      <c r="A629" s="63"/>
    </row>
    <row r="630" spans="1:1" ht="13.2">
      <c r="A630" s="63"/>
    </row>
    <row r="631" spans="1:1" ht="13.2">
      <c r="A631" s="63"/>
    </row>
    <row r="632" spans="1:1" ht="13.2">
      <c r="A632" s="63"/>
    </row>
    <row r="633" spans="1:1" ht="13.2">
      <c r="A633" s="63"/>
    </row>
    <row r="634" spans="1:1" ht="13.2">
      <c r="A634" s="63"/>
    </row>
    <row r="635" spans="1:1" ht="13.2">
      <c r="A635" s="63"/>
    </row>
    <row r="636" spans="1:1" ht="13.2">
      <c r="A636" s="63"/>
    </row>
    <row r="637" spans="1:1" ht="13.2">
      <c r="A637" s="63"/>
    </row>
    <row r="638" spans="1:1" ht="13.2">
      <c r="A638" s="63"/>
    </row>
    <row r="639" spans="1:1" ht="13.2">
      <c r="A639" s="63"/>
    </row>
    <row r="640" spans="1:1" ht="13.2">
      <c r="A640" s="63"/>
    </row>
    <row r="641" spans="1:1" ht="13.2">
      <c r="A641" s="63"/>
    </row>
    <row r="642" spans="1:1" ht="13.2">
      <c r="A642" s="63"/>
    </row>
    <row r="643" spans="1:1" ht="13.2">
      <c r="A643" s="63"/>
    </row>
    <row r="644" spans="1:1" ht="13.2">
      <c r="A644" s="63"/>
    </row>
    <row r="645" spans="1:1" ht="13.2">
      <c r="A645" s="63"/>
    </row>
    <row r="646" spans="1:1" ht="13.2">
      <c r="A646" s="63"/>
    </row>
    <row r="647" spans="1:1" ht="13.2">
      <c r="A647" s="63"/>
    </row>
    <row r="648" spans="1:1" ht="13.2">
      <c r="A648" s="63"/>
    </row>
    <row r="649" spans="1:1" ht="13.2">
      <c r="A649" s="63"/>
    </row>
    <row r="650" spans="1:1" ht="13.2">
      <c r="A650" s="63"/>
    </row>
    <row r="651" spans="1:1" ht="13.2">
      <c r="A651" s="63"/>
    </row>
    <row r="652" spans="1:1" ht="13.2">
      <c r="A652" s="63"/>
    </row>
    <row r="653" spans="1:1" ht="13.2">
      <c r="A653" s="63"/>
    </row>
    <row r="654" spans="1:1" ht="13.2">
      <c r="A654" s="63"/>
    </row>
    <row r="655" spans="1:1" ht="13.2">
      <c r="A655" s="63"/>
    </row>
    <row r="656" spans="1:1" ht="13.2">
      <c r="A656" s="63"/>
    </row>
    <row r="657" spans="1:1" ht="13.2">
      <c r="A657" s="63"/>
    </row>
    <row r="658" spans="1:1" ht="13.2">
      <c r="A658" s="63"/>
    </row>
    <row r="659" spans="1:1" ht="13.2">
      <c r="A659" s="63"/>
    </row>
    <row r="660" spans="1:1" ht="13.2">
      <c r="A660" s="63"/>
    </row>
    <row r="661" spans="1:1" ht="13.2">
      <c r="A661" s="63"/>
    </row>
    <row r="662" spans="1:1" ht="13.2">
      <c r="A662" s="63"/>
    </row>
    <row r="663" spans="1:1" ht="13.2">
      <c r="A663" s="63"/>
    </row>
    <row r="664" spans="1:1" ht="13.2">
      <c r="A664" s="63"/>
    </row>
    <row r="665" spans="1:1" ht="13.2">
      <c r="A665" s="63"/>
    </row>
    <row r="666" spans="1:1" ht="13.2">
      <c r="A666" s="63"/>
    </row>
    <row r="667" spans="1:1" ht="13.2">
      <c r="A667" s="63"/>
    </row>
    <row r="668" spans="1:1" ht="13.2">
      <c r="A668" s="63"/>
    </row>
    <row r="669" spans="1:1" ht="13.2">
      <c r="A669" s="63"/>
    </row>
    <row r="670" spans="1:1" ht="13.2">
      <c r="A670" s="63"/>
    </row>
    <row r="671" spans="1:1" ht="13.2">
      <c r="A671" s="63"/>
    </row>
    <row r="672" spans="1:1" ht="13.2">
      <c r="A672" s="63"/>
    </row>
    <row r="673" spans="1:1" ht="13.2">
      <c r="A673" s="63"/>
    </row>
    <row r="674" spans="1:1" ht="13.2">
      <c r="A674" s="63"/>
    </row>
    <row r="675" spans="1:1" ht="13.2">
      <c r="A675" s="63"/>
    </row>
    <row r="676" spans="1:1" ht="13.2">
      <c r="A676" s="63"/>
    </row>
    <row r="677" spans="1:1" ht="13.2">
      <c r="A677" s="63"/>
    </row>
    <row r="678" spans="1:1" ht="13.2">
      <c r="A678" s="63"/>
    </row>
    <row r="679" spans="1:1" ht="13.2">
      <c r="A679" s="63"/>
    </row>
    <row r="680" spans="1:1" ht="13.2">
      <c r="A680" s="63"/>
    </row>
    <row r="681" spans="1:1" ht="13.2">
      <c r="A681" s="63"/>
    </row>
    <row r="682" spans="1:1" ht="13.2">
      <c r="A682" s="63"/>
    </row>
    <row r="683" spans="1:1" ht="13.2">
      <c r="A683" s="63"/>
    </row>
    <row r="684" spans="1:1" ht="13.2">
      <c r="A684" s="63"/>
    </row>
    <row r="685" spans="1:1" ht="13.2">
      <c r="A685" s="63"/>
    </row>
    <row r="686" spans="1:1" ht="13.2">
      <c r="A686" s="63"/>
    </row>
    <row r="687" spans="1:1" ht="13.2">
      <c r="A687" s="63"/>
    </row>
    <row r="688" spans="1:1" ht="13.2">
      <c r="A688" s="63"/>
    </row>
    <row r="689" spans="1:1" ht="13.2">
      <c r="A689" s="63"/>
    </row>
    <row r="690" spans="1:1" ht="13.2">
      <c r="A690" s="63"/>
    </row>
    <row r="691" spans="1:1" ht="13.2">
      <c r="A691" s="63"/>
    </row>
    <row r="692" spans="1:1" ht="13.2">
      <c r="A692" s="63"/>
    </row>
    <row r="693" spans="1:1" ht="13.2">
      <c r="A693" s="63"/>
    </row>
    <row r="694" spans="1:1" ht="13.2">
      <c r="A694" s="63"/>
    </row>
    <row r="695" spans="1:1" ht="13.2">
      <c r="A695" s="63"/>
    </row>
    <row r="696" spans="1:1" ht="13.2">
      <c r="A696" s="63"/>
    </row>
    <row r="697" spans="1:1" ht="13.2">
      <c r="A697" s="63"/>
    </row>
    <row r="698" spans="1:1" ht="13.2">
      <c r="A698" s="63"/>
    </row>
    <row r="699" spans="1:1" ht="13.2">
      <c r="A699" s="63"/>
    </row>
    <row r="700" spans="1:1" ht="13.2">
      <c r="A700" s="63"/>
    </row>
    <row r="701" spans="1:1" ht="13.2">
      <c r="A701" s="63"/>
    </row>
    <row r="702" spans="1:1" ht="13.2">
      <c r="A702" s="63"/>
    </row>
    <row r="703" spans="1:1" ht="13.2">
      <c r="A703" s="63"/>
    </row>
    <row r="704" spans="1:1" ht="13.2">
      <c r="A704" s="63"/>
    </row>
    <row r="705" spans="1:1" ht="13.2">
      <c r="A705" s="63"/>
    </row>
    <row r="706" spans="1:1" ht="13.2">
      <c r="A706" s="63"/>
    </row>
    <row r="707" spans="1:1" ht="13.2">
      <c r="A707" s="63"/>
    </row>
    <row r="708" spans="1:1" ht="13.2">
      <c r="A708" s="63"/>
    </row>
    <row r="709" spans="1:1" ht="13.2">
      <c r="A709" s="63"/>
    </row>
    <row r="710" spans="1:1" ht="13.2">
      <c r="A710" s="63"/>
    </row>
    <row r="711" spans="1:1" ht="13.2">
      <c r="A711" s="63"/>
    </row>
    <row r="712" spans="1:1" ht="13.2">
      <c r="A712" s="63"/>
    </row>
    <row r="713" spans="1:1" ht="13.2">
      <c r="A713" s="63"/>
    </row>
    <row r="714" spans="1:1" ht="13.2">
      <c r="A714" s="63"/>
    </row>
    <row r="715" spans="1:1" ht="13.2">
      <c r="A715" s="63"/>
    </row>
    <row r="716" spans="1:1" ht="13.2">
      <c r="A716" s="63"/>
    </row>
    <row r="717" spans="1:1" ht="13.2">
      <c r="A717" s="63"/>
    </row>
    <row r="718" spans="1:1" ht="13.2">
      <c r="A718" s="63"/>
    </row>
    <row r="719" spans="1:1" ht="13.2">
      <c r="A719" s="63"/>
    </row>
    <row r="720" spans="1:1" ht="13.2">
      <c r="A720" s="63"/>
    </row>
    <row r="721" spans="1:1" ht="13.2">
      <c r="A721" s="63"/>
    </row>
    <row r="722" spans="1:1" ht="13.2">
      <c r="A722" s="63"/>
    </row>
    <row r="723" spans="1:1" ht="13.2">
      <c r="A723" s="63"/>
    </row>
    <row r="724" spans="1:1" ht="13.2">
      <c r="A724" s="63"/>
    </row>
    <row r="725" spans="1:1" ht="13.2">
      <c r="A725" s="63"/>
    </row>
    <row r="726" spans="1:1" ht="13.2">
      <c r="A726" s="63"/>
    </row>
    <row r="727" spans="1:1" ht="13.2">
      <c r="A727" s="63"/>
    </row>
    <row r="728" spans="1:1" ht="13.2">
      <c r="A728" s="63"/>
    </row>
    <row r="729" spans="1:1" ht="13.2">
      <c r="A729" s="63"/>
    </row>
    <row r="730" spans="1:1" ht="13.2">
      <c r="A730" s="63"/>
    </row>
    <row r="731" spans="1:1" ht="13.2">
      <c r="A731" s="63"/>
    </row>
    <row r="732" spans="1:1" ht="13.2">
      <c r="A732" s="63"/>
    </row>
    <row r="733" spans="1:1" ht="13.2">
      <c r="A733" s="63"/>
    </row>
    <row r="734" spans="1:1" ht="13.2">
      <c r="A734" s="63"/>
    </row>
    <row r="735" spans="1:1" ht="13.2">
      <c r="A735" s="63"/>
    </row>
    <row r="736" spans="1:1" ht="13.2">
      <c r="A736" s="63"/>
    </row>
    <row r="737" spans="1:1" ht="13.2">
      <c r="A737" s="63"/>
    </row>
    <row r="738" spans="1:1" ht="13.2">
      <c r="A738" s="63"/>
    </row>
    <row r="739" spans="1:1" ht="13.2">
      <c r="A739" s="63"/>
    </row>
    <row r="740" spans="1:1" ht="13.2">
      <c r="A740" s="63"/>
    </row>
    <row r="741" spans="1:1" ht="13.2">
      <c r="A741" s="63"/>
    </row>
    <row r="742" spans="1:1" ht="13.2">
      <c r="A742" s="63"/>
    </row>
    <row r="743" spans="1:1" ht="13.2">
      <c r="A743" s="63"/>
    </row>
    <row r="744" spans="1:1" ht="13.2">
      <c r="A744" s="63"/>
    </row>
    <row r="745" spans="1:1" ht="13.2">
      <c r="A745" s="63"/>
    </row>
    <row r="746" spans="1:1" ht="13.2">
      <c r="A746" s="63"/>
    </row>
    <row r="747" spans="1:1" ht="13.2">
      <c r="A747" s="63"/>
    </row>
    <row r="748" spans="1:1" ht="13.2">
      <c r="A748" s="63"/>
    </row>
    <row r="749" spans="1:1" ht="13.2">
      <c r="A749" s="63"/>
    </row>
    <row r="750" spans="1:1" ht="13.2">
      <c r="A750" s="63"/>
    </row>
    <row r="751" spans="1:1" ht="13.2">
      <c r="A751" s="63"/>
    </row>
    <row r="752" spans="1:1" ht="13.2">
      <c r="A752" s="63"/>
    </row>
    <row r="753" spans="1:1" ht="13.2">
      <c r="A753" s="63"/>
    </row>
    <row r="754" spans="1:1" ht="13.2">
      <c r="A754" s="63"/>
    </row>
    <row r="755" spans="1:1" ht="13.2">
      <c r="A755" s="63"/>
    </row>
    <row r="756" spans="1:1" ht="13.2">
      <c r="A756" s="63"/>
    </row>
    <row r="757" spans="1:1" ht="13.2">
      <c r="A757" s="63"/>
    </row>
    <row r="758" spans="1:1" ht="13.2">
      <c r="A758" s="63"/>
    </row>
    <row r="759" spans="1:1" ht="13.2">
      <c r="A759" s="63"/>
    </row>
    <row r="760" spans="1:1" ht="13.2">
      <c r="A760" s="63"/>
    </row>
    <row r="761" spans="1:1" ht="13.2">
      <c r="A761" s="63"/>
    </row>
    <row r="762" spans="1:1" ht="13.2">
      <c r="A762" s="63"/>
    </row>
    <row r="763" spans="1:1" ht="13.2">
      <c r="A763" s="63"/>
    </row>
    <row r="764" spans="1:1" ht="13.2">
      <c r="A764" s="63"/>
    </row>
    <row r="765" spans="1:1" ht="13.2">
      <c r="A765" s="63"/>
    </row>
    <row r="766" spans="1:1" ht="13.2">
      <c r="A766" s="63"/>
    </row>
    <row r="767" spans="1:1" ht="13.2">
      <c r="A767" s="63"/>
    </row>
    <row r="768" spans="1:1" ht="13.2">
      <c r="A768" s="63"/>
    </row>
    <row r="769" spans="1:1" ht="13.2">
      <c r="A769" s="63"/>
    </row>
    <row r="770" spans="1:1" ht="13.2">
      <c r="A770" s="63"/>
    </row>
    <row r="771" spans="1:1" ht="13.2">
      <c r="A771" s="63"/>
    </row>
    <row r="772" spans="1:1" ht="13.2">
      <c r="A772" s="63"/>
    </row>
    <row r="773" spans="1:1" ht="13.2">
      <c r="A773" s="63"/>
    </row>
    <row r="774" spans="1:1" ht="13.2">
      <c r="A774" s="63"/>
    </row>
    <row r="775" spans="1:1" ht="13.2">
      <c r="A775" s="63"/>
    </row>
    <row r="776" spans="1:1" ht="13.2">
      <c r="A776" s="63"/>
    </row>
    <row r="777" spans="1:1" ht="13.2">
      <c r="A777" s="63"/>
    </row>
    <row r="778" spans="1:1" ht="13.2">
      <c r="A778" s="63"/>
    </row>
    <row r="779" spans="1:1" ht="13.2">
      <c r="A779" s="63"/>
    </row>
    <row r="780" spans="1:1" ht="13.2">
      <c r="A780" s="63"/>
    </row>
    <row r="781" spans="1:1" ht="13.2">
      <c r="A781" s="63"/>
    </row>
    <row r="782" spans="1:1" ht="13.2">
      <c r="A782" s="63"/>
    </row>
    <row r="783" spans="1:1" ht="13.2">
      <c r="A783" s="63"/>
    </row>
    <row r="784" spans="1:1" ht="13.2">
      <c r="A784" s="63"/>
    </row>
    <row r="785" spans="1:1" ht="13.2">
      <c r="A785" s="63"/>
    </row>
    <row r="786" spans="1:1" ht="13.2">
      <c r="A786" s="63"/>
    </row>
    <row r="787" spans="1:1" ht="13.2">
      <c r="A787" s="63"/>
    </row>
    <row r="788" spans="1:1" ht="13.2">
      <c r="A788" s="63"/>
    </row>
    <row r="789" spans="1:1" ht="13.2">
      <c r="A789" s="63"/>
    </row>
    <row r="790" spans="1:1" ht="13.2">
      <c r="A790" s="63"/>
    </row>
    <row r="791" spans="1:1" ht="13.2">
      <c r="A791" s="63"/>
    </row>
    <row r="792" spans="1:1" ht="13.2">
      <c r="A792" s="63"/>
    </row>
    <row r="793" spans="1:1" ht="13.2">
      <c r="A793" s="63"/>
    </row>
    <row r="794" spans="1:1" ht="13.2">
      <c r="A794" s="63"/>
    </row>
    <row r="795" spans="1:1" ht="13.2">
      <c r="A795" s="63"/>
    </row>
    <row r="796" spans="1:1" ht="13.2">
      <c r="A796" s="63"/>
    </row>
    <row r="797" spans="1:1" ht="13.2">
      <c r="A797" s="63"/>
    </row>
    <row r="798" spans="1:1" ht="13.2">
      <c r="A798" s="63"/>
    </row>
    <row r="799" spans="1:1" ht="13.2">
      <c r="A799" s="63"/>
    </row>
    <row r="800" spans="1:1" ht="13.2">
      <c r="A800" s="63"/>
    </row>
    <row r="801" spans="1:1" ht="13.2">
      <c r="A801" s="63"/>
    </row>
    <row r="802" spans="1:1" ht="13.2">
      <c r="A802" s="63"/>
    </row>
    <row r="803" spans="1:1" ht="13.2">
      <c r="A803" s="63"/>
    </row>
    <row r="804" spans="1:1" ht="13.2">
      <c r="A804" s="63"/>
    </row>
    <row r="805" spans="1:1" ht="13.2">
      <c r="A805" s="63"/>
    </row>
    <row r="806" spans="1:1" ht="13.2">
      <c r="A806" s="63"/>
    </row>
    <row r="807" spans="1:1" ht="13.2">
      <c r="A807" s="63"/>
    </row>
    <row r="808" spans="1:1" ht="13.2">
      <c r="A808" s="63"/>
    </row>
    <row r="809" spans="1:1" ht="13.2">
      <c r="A809" s="63"/>
    </row>
    <row r="810" spans="1:1" ht="13.2">
      <c r="A810" s="63"/>
    </row>
    <row r="811" spans="1:1" ht="13.2">
      <c r="A811" s="63"/>
    </row>
    <row r="812" spans="1:1" ht="13.2">
      <c r="A812" s="63"/>
    </row>
    <row r="813" spans="1:1" ht="13.2">
      <c r="A813" s="63"/>
    </row>
    <row r="814" spans="1:1" ht="13.2">
      <c r="A814" s="63"/>
    </row>
    <row r="815" spans="1:1" ht="13.2">
      <c r="A815" s="63"/>
    </row>
    <row r="816" spans="1:1" ht="13.2">
      <c r="A816" s="63"/>
    </row>
    <row r="817" spans="1:1" ht="13.2">
      <c r="A817" s="63"/>
    </row>
    <row r="818" spans="1:1" ht="13.2">
      <c r="A818" s="63"/>
    </row>
    <row r="819" spans="1:1" ht="13.2">
      <c r="A819" s="63"/>
    </row>
    <row r="820" spans="1:1" ht="13.2">
      <c r="A820" s="63"/>
    </row>
    <row r="821" spans="1:1" ht="13.2">
      <c r="A821" s="63"/>
    </row>
    <row r="822" spans="1:1" ht="13.2">
      <c r="A822" s="63"/>
    </row>
    <row r="823" spans="1:1" ht="13.2">
      <c r="A823" s="63"/>
    </row>
    <row r="824" spans="1:1" ht="13.2">
      <c r="A824" s="63"/>
    </row>
    <row r="825" spans="1:1" ht="13.2">
      <c r="A825" s="63"/>
    </row>
    <row r="826" spans="1:1" ht="13.2">
      <c r="A826" s="63"/>
    </row>
    <row r="827" spans="1:1" ht="13.2">
      <c r="A827" s="63"/>
    </row>
    <row r="828" spans="1:1" ht="13.2">
      <c r="A828" s="63"/>
    </row>
    <row r="829" spans="1:1" ht="13.2">
      <c r="A829" s="63"/>
    </row>
    <row r="830" spans="1:1" ht="13.2">
      <c r="A830" s="63"/>
    </row>
    <row r="831" spans="1:1" ht="13.2">
      <c r="A831" s="63"/>
    </row>
    <row r="832" spans="1:1" ht="13.2">
      <c r="A832" s="63"/>
    </row>
    <row r="833" spans="1:1" ht="13.2">
      <c r="A833" s="63"/>
    </row>
    <row r="834" spans="1:1" ht="13.2">
      <c r="A834" s="63"/>
    </row>
    <row r="835" spans="1:1" ht="13.2">
      <c r="A835" s="63"/>
    </row>
    <row r="836" spans="1:1" ht="13.2">
      <c r="A836" s="63"/>
    </row>
    <row r="837" spans="1:1" ht="13.2">
      <c r="A837" s="63"/>
    </row>
    <row r="838" spans="1:1" ht="13.2">
      <c r="A838" s="63"/>
    </row>
    <row r="839" spans="1:1" ht="13.2">
      <c r="A839" s="63"/>
    </row>
    <row r="840" spans="1:1" ht="13.2">
      <c r="A840" s="63"/>
    </row>
    <row r="841" spans="1:1" ht="13.2">
      <c r="A841" s="63"/>
    </row>
    <row r="842" spans="1:1" ht="13.2">
      <c r="A842" s="63"/>
    </row>
    <row r="843" spans="1:1" ht="13.2">
      <c r="A843" s="63"/>
    </row>
    <row r="844" spans="1:1" ht="13.2">
      <c r="A844" s="63"/>
    </row>
    <row r="845" spans="1:1" ht="13.2">
      <c r="A845" s="63"/>
    </row>
    <row r="846" spans="1:1" ht="13.2">
      <c r="A846" s="63"/>
    </row>
    <row r="847" spans="1:1" ht="13.2">
      <c r="A847" s="63"/>
    </row>
    <row r="848" spans="1:1" ht="13.2">
      <c r="A848" s="63"/>
    </row>
    <row r="849" spans="1:1" ht="13.2">
      <c r="A849" s="63"/>
    </row>
    <row r="850" spans="1:1" ht="13.2">
      <c r="A850" s="63"/>
    </row>
    <row r="851" spans="1:1" ht="13.2">
      <c r="A851" s="63"/>
    </row>
    <row r="852" spans="1:1" ht="13.2">
      <c r="A852" s="63"/>
    </row>
    <row r="853" spans="1:1" ht="13.2">
      <c r="A853" s="63"/>
    </row>
    <row r="854" spans="1:1" ht="13.2">
      <c r="A854" s="63"/>
    </row>
    <row r="855" spans="1:1" ht="13.2">
      <c r="A855" s="63"/>
    </row>
    <row r="856" spans="1:1" ht="13.2">
      <c r="A856" s="63"/>
    </row>
    <row r="857" spans="1:1" ht="13.2">
      <c r="A857" s="63"/>
    </row>
    <row r="858" spans="1:1" ht="13.2">
      <c r="A858" s="63"/>
    </row>
    <row r="859" spans="1:1" ht="13.2">
      <c r="A859" s="63"/>
    </row>
    <row r="860" spans="1:1" ht="13.2">
      <c r="A860" s="63"/>
    </row>
    <row r="861" spans="1:1" ht="13.2">
      <c r="A861" s="63"/>
    </row>
    <row r="862" spans="1:1" ht="13.2">
      <c r="A862" s="63"/>
    </row>
    <row r="863" spans="1:1" ht="13.2">
      <c r="A863" s="63"/>
    </row>
    <row r="864" spans="1:1" ht="13.2">
      <c r="A864" s="63"/>
    </row>
    <row r="865" spans="1:1" ht="13.2">
      <c r="A865" s="63"/>
    </row>
    <row r="866" spans="1:1" ht="13.2">
      <c r="A866" s="63"/>
    </row>
    <row r="867" spans="1:1" ht="13.2">
      <c r="A867" s="63"/>
    </row>
    <row r="868" spans="1:1" ht="13.2">
      <c r="A868" s="63"/>
    </row>
    <row r="869" spans="1:1" ht="13.2">
      <c r="A869" s="63"/>
    </row>
    <row r="870" spans="1:1" ht="13.2">
      <c r="A870" s="63"/>
    </row>
    <row r="871" spans="1:1" ht="13.2">
      <c r="A871" s="63"/>
    </row>
    <row r="872" spans="1:1" ht="13.2">
      <c r="A872" s="63"/>
    </row>
    <row r="873" spans="1:1" ht="13.2">
      <c r="A873" s="63"/>
    </row>
    <row r="874" spans="1:1" ht="13.2">
      <c r="A874" s="63"/>
    </row>
    <row r="875" spans="1:1" ht="13.2">
      <c r="A875" s="63"/>
    </row>
    <row r="876" spans="1:1" ht="13.2">
      <c r="A876" s="63"/>
    </row>
    <row r="877" spans="1:1" ht="13.2">
      <c r="A877" s="63"/>
    </row>
    <row r="878" spans="1:1" ht="13.2">
      <c r="A878" s="63"/>
    </row>
    <row r="879" spans="1:1" ht="13.2">
      <c r="A879" s="63"/>
    </row>
    <row r="880" spans="1:1" ht="13.2">
      <c r="A880" s="63"/>
    </row>
    <row r="881" spans="1:1" ht="13.2">
      <c r="A881" s="63"/>
    </row>
    <row r="882" spans="1:1" ht="13.2">
      <c r="A882" s="63"/>
    </row>
    <row r="883" spans="1:1" ht="13.2">
      <c r="A883" s="63"/>
    </row>
    <row r="884" spans="1:1" ht="13.2">
      <c r="A884" s="63"/>
    </row>
    <row r="885" spans="1:1" ht="13.2">
      <c r="A885" s="63"/>
    </row>
    <row r="886" spans="1:1" ht="13.2">
      <c r="A886" s="63"/>
    </row>
    <row r="887" spans="1:1" ht="13.2">
      <c r="A887" s="63"/>
    </row>
    <row r="888" spans="1:1" ht="13.2">
      <c r="A888" s="63"/>
    </row>
    <row r="889" spans="1:1" ht="13.2">
      <c r="A889" s="63"/>
    </row>
    <row r="890" spans="1:1" ht="13.2">
      <c r="A890" s="63"/>
    </row>
    <row r="891" spans="1:1" ht="13.2">
      <c r="A891" s="63"/>
    </row>
    <row r="892" spans="1:1" ht="13.2">
      <c r="A892" s="63"/>
    </row>
    <row r="893" spans="1:1" ht="13.2">
      <c r="A893" s="63"/>
    </row>
    <row r="894" spans="1:1" ht="13.2">
      <c r="A894" s="63"/>
    </row>
    <row r="895" spans="1:1" ht="13.2">
      <c r="A895" s="63"/>
    </row>
    <row r="896" spans="1:1" ht="13.2">
      <c r="A896" s="63"/>
    </row>
    <row r="897" spans="1:1" ht="13.2">
      <c r="A897" s="63"/>
    </row>
    <row r="898" spans="1:1" ht="13.2">
      <c r="A898" s="63"/>
    </row>
    <row r="899" spans="1:1" ht="13.2">
      <c r="A899" s="63"/>
    </row>
    <row r="900" spans="1:1" ht="13.2">
      <c r="A900" s="63"/>
    </row>
    <row r="901" spans="1:1" ht="13.2">
      <c r="A901" s="63"/>
    </row>
    <row r="902" spans="1:1" ht="13.2">
      <c r="A902" s="63"/>
    </row>
    <row r="903" spans="1:1" ht="13.2">
      <c r="A903" s="63"/>
    </row>
    <row r="904" spans="1:1" ht="13.2">
      <c r="A904" s="63"/>
    </row>
    <row r="905" spans="1:1" ht="13.2">
      <c r="A905" s="63"/>
    </row>
    <row r="906" spans="1:1" ht="13.2">
      <c r="A906" s="63"/>
    </row>
    <row r="907" spans="1:1" ht="13.2">
      <c r="A907" s="63"/>
    </row>
    <row r="908" spans="1:1" ht="13.2">
      <c r="A908" s="63"/>
    </row>
    <row r="909" spans="1:1" ht="13.2">
      <c r="A909" s="63"/>
    </row>
    <row r="910" spans="1:1" ht="13.2">
      <c r="A910" s="63"/>
    </row>
    <row r="911" spans="1:1" ht="13.2">
      <c r="A911" s="63"/>
    </row>
    <row r="912" spans="1:1" ht="13.2">
      <c r="A912" s="63"/>
    </row>
    <row r="913" spans="1:1" ht="13.2">
      <c r="A913" s="63"/>
    </row>
    <row r="914" spans="1:1" ht="13.2">
      <c r="A914" s="63"/>
    </row>
    <row r="915" spans="1:1" ht="13.2">
      <c r="A915" s="63"/>
    </row>
    <row r="916" spans="1:1" ht="13.2">
      <c r="A916" s="63"/>
    </row>
    <row r="917" spans="1:1" ht="13.2">
      <c r="A917" s="63"/>
    </row>
    <row r="918" spans="1:1" ht="13.2">
      <c r="A918" s="63"/>
    </row>
    <row r="919" spans="1:1" ht="13.2">
      <c r="A919" s="63"/>
    </row>
    <row r="920" spans="1:1" ht="13.2">
      <c r="A920" s="63"/>
    </row>
    <row r="921" spans="1:1" ht="13.2">
      <c r="A921" s="63"/>
    </row>
    <row r="922" spans="1:1" ht="13.2">
      <c r="A922" s="63"/>
    </row>
    <row r="923" spans="1:1" ht="13.2">
      <c r="A923" s="63"/>
    </row>
    <row r="924" spans="1:1" ht="13.2">
      <c r="A924" s="63"/>
    </row>
    <row r="925" spans="1:1" ht="13.2">
      <c r="A925" s="63"/>
    </row>
    <row r="926" spans="1:1" ht="13.2">
      <c r="A926" s="63"/>
    </row>
    <row r="927" spans="1:1" ht="13.2">
      <c r="A927" s="63"/>
    </row>
    <row r="928" spans="1:1" ht="13.2">
      <c r="A928" s="63"/>
    </row>
    <row r="929" spans="1:1" ht="13.2">
      <c r="A929" s="63"/>
    </row>
    <row r="930" spans="1:1" ht="13.2">
      <c r="A930" s="63"/>
    </row>
    <row r="931" spans="1:1" ht="13.2">
      <c r="A931" s="63"/>
    </row>
    <row r="932" spans="1:1" ht="13.2">
      <c r="A932" s="63"/>
    </row>
    <row r="933" spans="1:1" ht="13.2">
      <c r="A933" s="63"/>
    </row>
    <row r="934" spans="1:1" ht="13.2">
      <c r="A934" s="63"/>
    </row>
    <row r="935" spans="1:1" ht="13.2">
      <c r="A935" s="63"/>
    </row>
    <row r="936" spans="1:1" ht="13.2">
      <c r="A936" s="63"/>
    </row>
    <row r="937" spans="1:1" ht="13.2">
      <c r="A937" s="63"/>
    </row>
    <row r="938" spans="1:1" ht="13.2">
      <c r="A938" s="63"/>
    </row>
    <row r="939" spans="1:1" ht="13.2">
      <c r="A939" s="63"/>
    </row>
    <row r="940" spans="1:1" ht="13.2">
      <c r="A940" s="63"/>
    </row>
    <row r="941" spans="1:1" ht="13.2">
      <c r="A941" s="63"/>
    </row>
    <row r="942" spans="1:1" ht="13.2">
      <c r="A942" s="63"/>
    </row>
    <row r="943" spans="1:1" ht="13.2">
      <c r="A943" s="63"/>
    </row>
    <row r="944" spans="1:1" ht="13.2">
      <c r="A944" s="63"/>
    </row>
    <row r="945" spans="1:1" ht="13.2">
      <c r="A945" s="63"/>
    </row>
    <row r="946" spans="1:1" ht="13.2">
      <c r="A946" s="63"/>
    </row>
    <row r="947" spans="1:1" ht="13.2">
      <c r="A947" s="63"/>
    </row>
    <row r="948" spans="1:1" ht="13.2">
      <c r="A948" s="63"/>
    </row>
    <row r="949" spans="1:1" ht="13.2">
      <c r="A949" s="63"/>
    </row>
    <row r="950" spans="1:1" ht="13.2">
      <c r="A950" s="63"/>
    </row>
    <row r="951" spans="1:1" ht="13.2">
      <c r="A951" s="63"/>
    </row>
    <row r="952" spans="1:1" ht="13.2">
      <c r="A952" s="63"/>
    </row>
    <row r="953" spans="1:1" ht="13.2">
      <c r="A953" s="63"/>
    </row>
    <row r="954" spans="1:1" ht="13.2">
      <c r="A954" s="63"/>
    </row>
    <row r="955" spans="1:1" ht="13.2">
      <c r="A955" s="63"/>
    </row>
    <row r="956" spans="1:1" ht="13.2">
      <c r="A956" s="63"/>
    </row>
    <row r="957" spans="1:1" ht="13.2">
      <c r="A957" s="63"/>
    </row>
    <row r="958" spans="1:1" ht="13.2">
      <c r="A958" s="63"/>
    </row>
    <row r="959" spans="1:1" ht="13.2">
      <c r="A959" s="63"/>
    </row>
    <row r="960" spans="1:1" ht="13.2">
      <c r="A960" s="63"/>
    </row>
    <row r="961" spans="1:1" ht="13.2">
      <c r="A961" s="63"/>
    </row>
    <row r="962" spans="1:1" ht="13.2">
      <c r="A962" s="63"/>
    </row>
    <row r="963" spans="1:1" ht="13.2">
      <c r="A963" s="63"/>
    </row>
    <row r="964" spans="1:1" ht="13.2">
      <c r="A964" s="63"/>
    </row>
    <row r="965" spans="1:1" ht="13.2">
      <c r="A965" s="63"/>
    </row>
    <row r="966" spans="1:1" ht="13.2">
      <c r="A966" s="63"/>
    </row>
    <row r="967" spans="1:1" ht="13.2">
      <c r="A967" s="63"/>
    </row>
    <row r="968" spans="1:1" ht="13.2">
      <c r="A968" s="63"/>
    </row>
    <row r="969" spans="1:1" ht="13.2">
      <c r="A969" s="63"/>
    </row>
    <row r="970" spans="1:1" ht="13.2">
      <c r="A970" s="63"/>
    </row>
    <row r="971" spans="1:1" ht="13.2">
      <c r="A971" s="63"/>
    </row>
    <row r="972" spans="1:1" ht="13.2">
      <c r="A972" s="63"/>
    </row>
    <row r="973" spans="1:1" ht="13.2">
      <c r="A973" s="63"/>
    </row>
    <row r="974" spans="1:1" ht="13.2">
      <c r="A974" s="63"/>
    </row>
    <row r="975" spans="1:1" ht="13.2">
      <c r="A975" s="63"/>
    </row>
    <row r="976" spans="1:1" ht="13.2">
      <c r="A976" s="63"/>
    </row>
    <row r="977" spans="1:1" ht="13.2">
      <c r="A977" s="63"/>
    </row>
    <row r="978" spans="1:1" ht="13.2">
      <c r="A978" s="63"/>
    </row>
    <row r="979" spans="1:1" ht="13.2">
      <c r="A979" s="63"/>
    </row>
    <row r="980" spans="1:1" ht="13.2">
      <c r="A980" s="63"/>
    </row>
    <row r="981" spans="1:1" ht="13.2">
      <c r="A981" s="63"/>
    </row>
    <row r="982" spans="1:1" ht="13.2">
      <c r="A982" s="63"/>
    </row>
    <row r="983" spans="1:1" ht="13.2">
      <c r="A983" s="63"/>
    </row>
    <row r="984" spans="1:1" ht="13.2">
      <c r="A984" s="63"/>
    </row>
    <row r="985" spans="1:1" ht="13.2">
      <c r="A985" s="63"/>
    </row>
    <row r="986" spans="1:1" ht="13.2">
      <c r="A986" s="63"/>
    </row>
    <row r="987" spans="1:1" ht="13.2">
      <c r="A987" s="63"/>
    </row>
    <row r="988" spans="1:1" ht="13.2">
      <c r="A988" s="63"/>
    </row>
    <row r="989" spans="1:1" ht="13.2">
      <c r="A989" s="63"/>
    </row>
    <row r="990" spans="1:1" ht="13.2">
      <c r="A990" s="63"/>
    </row>
    <row r="991" spans="1:1" ht="13.2">
      <c r="A991" s="63"/>
    </row>
    <row r="992" spans="1:1" ht="13.2">
      <c r="A992" s="63"/>
    </row>
    <row r="993" spans="1:1" ht="13.2">
      <c r="A993" s="63"/>
    </row>
    <row r="994" spans="1:1" ht="13.2">
      <c r="A994" s="63"/>
    </row>
    <row r="995" spans="1:1" ht="13.2">
      <c r="A995" s="63"/>
    </row>
    <row r="996" spans="1:1" ht="13.2">
      <c r="A996" s="63"/>
    </row>
    <row r="997" spans="1:1" ht="13.2">
      <c r="A997" s="63"/>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85"/>
  <sheetViews>
    <sheetView tabSelected="1" topLeftCell="H1" zoomScale="110" zoomScaleNormal="110" workbookViewId="0">
      <pane ySplit="1" topLeftCell="A16" activePane="bottomLeft" state="frozen"/>
      <selection activeCell="E1" sqref="E1"/>
      <selection pane="bottomLeft" activeCell="P18" sqref="P18"/>
    </sheetView>
  </sheetViews>
  <sheetFormatPr defaultColWidth="12.5546875" defaultRowHeight="15.75" customHeight="1"/>
  <cols>
    <col min="1" max="6" width="17.5546875" customWidth="1"/>
    <col min="8" max="8" width="54.6640625" style="143" customWidth="1"/>
    <col min="9" max="9" width="30.6640625" customWidth="1"/>
    <col min="10" max="10" width="33" hidden="1" customWidth="1"/>
    <col min="11" max="11" width="22.44140625" hidden="1" customWidth="1"/>
    <col min="12" max="12" width="34.5546875" hidden="1" customWidth="1"/>
    <col min="13" max="13" width="12.5546875" hidden="1" customWidth="1"/>
    <col min="14" max="14" width="23.44140625" hidden="1" customWidth="1"/>
    <col min="15" max="15" width="27.5546875" customWidth="1"/>
    <col min="16" max="16" width="20" customWidth="1"/>
    <col min="17" max="17" width="18.33203125" customWidth="1"/>
    <col min="18" max="18" width="17.33203125" customWidth="1"/>
    <col min="19" max="19" width="18.6640625" customWidth="1"/>
    <col min="20" max="20" width="16.109375" customWidth="1"/>
    <col min="21" max="21" width="17.6640625" customWidth="1"/>
    <col min="22" max="22" width="25.44140625" customWidth="1"/>
  </cols>
  <sheetData>
    <row r="1" spans="1:23" s="79" customFormat="1" ht="43.2">
      <c r="A1" s="77" t="s">
        <v>188</v>
      </c>
      <c r="B1" s="85" t="s">
        <v>189</v>
      </c>
      <c r="C1" s="85" t="s">
        <v>190</v>
      </c>
      <c r="D1" s="85" t="s">
        <v>191</v>
      </c>
      <c r="E1" s="86" t="s">
        <v>156</v>
      </c>
      <c r="F1" s="86" t="s">
        <v>192</v>
      </c>
      <c r="G1" s="85" t="s">
        <v>193</v>
      </c>
      <c r="H1" s="86" t="s">
        <v>194</v>
      </c>
      <c r="I1" s="86" t="s">
        <v>195</v>
      </c>
      <c r="J1" s="86" t="s">
        <v>196</v>
      </c>
      <c r="K1" s="86" t="s">
        <v>197</v>
      </c>
      <c r="L1" s="86" t="s">
        <v>198</v>
      </c>
      <c r="M1" s="86" t="s">
        <v>199</v>
      </c>
      <c r="N1" s="86" t="s">
        <v>200</v>
      </c>
      <c r="O1" s="86" t="s">
        <v>201</v>
      </c>
      <c r="P1" s="86" t="s">
        <v>202</v>
      </c>
      <c r="Q1" s="86" t="s">
        <v>203</v>
      </c>
      <c r="R1" s="86" t="s">
        <v>204</v>
      </c>
      <c r="S1" s="86" t="s">
        <v>205</v>
      </c>
      <c r="T1" s="86" t="s">
        <v>206</v>
      </c>
      <c r="U1" s="86" t="s">
        <v>207</v>
      </c>
      <c r="V1" s="87" t="s">
        <v>208</v>
      </c>
      <c r="W1" s="78"/>
    </row>
    <row r="2" spans="1:23" s="79" customFormat="1" ht="114" customHeight="1">
      <c r="A2" s="315"/>
      <c r="B2" s="303" t="s">
        <v>209</v>
      </c>
      <c r="C2" s="298">
        <v>2</v>
      </c>
      <c r="D2" s="307" t="s">
        <v>133</v>
      </c>
      <c r="E2" s="324" t="s">
        <v>210</v>
      </c>
      <c r="F2" s="322"/>
      <c r="G2" s="316">
        <v>2.1</v>
      </c>
      <c r="H2" s="317" t="s">
        <v>134</v>
      </c>
      <c r="I2" s="107" t="s">
        <v>211</v>
      </c>
      <c r="J2" s="101" t="s">
        <v>212</v>
      </c>
      <c r="K2" s="101" t="s">
        <v>213</v>
      </c>
      <c r="L2" s="101" t="s">
        <v>214</v>
      </c>
      <c r="M2" s="105" t="s">
        <v>215</v>
      </c>
      <c r="N2" s="292" t="s">
        <v>135</v>
      </c>
      <c r="O2" s="232" t="s">
        <v>216</v>
      </c>
      <c r="P2" s="88" t="s">
        <v>217</v>
      </c>
      <c r="Q2" s="88" t="s">
        <v>217</v>
      </c>
      <c r="R2" s="88" t="s">
        <v>217</v>
      </c>
      <c r="S2" s="88" t="s">
        <v>217</v>
      </c>
      <c r="T2" s="88" t="s">
        <v>217</v>
      </c>
      <c r="U2" s="233" t="s">
        <v>218</v>
      </c>
      <c r="V2" s="101" t="s">
        <v>219</v>
      </c>
      <c r="W2" s="78"/>
    </row>
    <row r="3" spans="1:23" s="79" customFormat="1" ht="45.75" customHeight="1">
      <c r="A3" s="315"/>
      <c r="B3" s="305"/>
      <c r="C3" s="306"/>
      <c r="D3" s="308"/>
      <c r="E3" s="336"/>
      <c r="F3" s="337"/>
      <c r="G3" s="316"/>
      <c r="H3" s="318"/>
      <c r="I3" s="338" t="s">
        <v>220</v>
      </c>
      <c r="J3" s="288" t="s">
        <v>221</v>
      </c>
      <c r="K3" s="288" t="s">
        <v>213</v>
      </c>
      <c r="L3" s="288" t="s">
        <v>214</v>
      </c>
      <c r="M3" s="290" t="s">
        <v>215</v>
      </c>
      <c r="N3" s="335"/>
      <c r="O3" s="292" t="s">
        <v>222</v>
      </c>
      <c r="P3" s="298" t="s">
        <v>223</v>
      </c>
      <c r="Q3" s="298" t="s">
        <v>224</v>
      </c>
      <c r="R3" s="298" t="s">
        <v>225</v>
      </c>
      <c r="S3" s="298" t="s">
        <v>226</v>
      </c>
      <c r="T3" s="298" t="s">
        <v>227</v>
      </c>
      <c r="U3" s="288" t="s">
        <v>228</v>
      </c>
      <c r="V3" s="288" t="s">
        <v>219</v>
      </c>
      <c r="W3" s="78"/>
    </row>
    <row r="4" spans="1:23" s="79" customFormat="1" ht="58.2" customHeight="1">
      <c r="A4" s="315"/>
      <c r="B4" s="304"/>
      <c r="C4" s="299"/>
      <c r="D4" s="309"/>
      <c r="E4" s="325"/>
      <c r="F4" s="323"/>
      <c r="G4" s="316"/>
      <c r="H4" s="319"/>
      <c r="I4" s="339"/>
      <c r="J4" s="289"/>
      <c r="K4" s="289"/>
      <c r="L4" s="289"/>
      <c r="M4" s="291"/>
      <c r="N4" s="293"/>
      <c r="O4" s="293"/>
      <c r="P4" s="299"/>
      <c r="Q4" s="299"/>
      <c r="R4" s="299"/>
      <c r="S4" s="299"/>
      <c r="T4" s="299"/>
      <c r="U4" s="289"/>
      <c r="V4" s="289"/>
      <c r="W4" s="78"/>
    </row>
    <row r="5" spans="1:23" s="79" customFormat="1" ht="106.5" customHeight="1">
      <c r="A5" s="315"/>
      <c r="B5" s="303" t="s">
        <v>209</v>
      </c>
      <c r="C5" s="298">
        <v>2</v>
      </c>
      <c r="D5" s="307" t="s">
        <v>136</v>
      </c>
      <c r="E5" s="324" t="s">
        <v>229</v>
      </c>
      <c r="F5" s="321"/>
      <c r="G5" s="316">
        <v>2.2000000000000002</v>
      </c>
      <c r="H5" s="317" t="s">
        <v>137</v>
      </c>
      <c r="I5" s="108" t="s">
        <v>230</v>
      </c>
      <c r="J5" s="101" t="s">
        <v>231</v>
      </c>
      <c r="K5" s="101" t="s">
        <v>232</v>
      </c>
      <c r="L5" s="101" t="s">
        <v>233</v>
      </c>
      <c r="M5" s="105" t="s">
        <v>234</v>
      </c>
      <c r="N5" s="292" t="s">
        <v>138</v>
      </c>
      <c r="O5" s="233" t="s">
        <v>235</v>
      </c>
      <c r="P5" s="88" t="s">
        <v>236</v>
      </c>
      <c r="Q5" s="88" t="s">
        <v>237</v>
      </c>
      <c r="R5" s="88" t="s">
        <v>237</v>
      </c>
      <c r="S5" s="88" t="s">
        <v>237</v>
      </c>
      <c r="T5" s="101" t="s">
        <v>237</v>
      </c>
      <c r="U5" s="233" t="s">
        <v>228</v>
      </c>
      <c r="V5" s="101" t="s">
        <v>219</v>
      </c>
      <c r="W5" s="78"/>
    </row>
    <row r="6" spans="1:23" s="79" customFormat="1" ht="106.5" customHeight="1">
      <c r="A6" s="315"/>
      <c r="B6" s="305"/>
      <c r="C6" s="306"/>
      <c r="D6" s="308"/>
      <c r="E6" s="337"/>
      <c r="F6" s="321"/>
      <c r="G6" s="316"/>
      <c r="H6" s="318"/>
      <c r="I6" s="109" t="s">
        <v>238</v>
      </c>
      <c r="J6" s="106" t="s">
        <v>231</v>
      </c>
      <c r="K6" s="101" t="s">
        <v>232</v>
      </c>
      <c r="L6" s="101" t="s">
        <v>233</v>
      </c>
      <c r="M6" s="105" t="s">
        <v>234</v>
      </c>
      <c r="N6" s="335"/>
      <c r="O6" s="230" t="s">
        <v>239</v>
      </c>
      <c r="P6" s="230" t="s">
        <v>239</v>
      </c>
      <c r="Q6" s="230" t="s">
        <v>239</v>
      </c>
      <c r="R6" s="230" t="s">
        <v>239</v>
      </c>
      <c r="S6" s="230" t="s">
        <v>239</v>
      </c>
      <c r="T6" s="230" t="s">
        <v>239</v>
      </c>
      <c r="U6" s="101" t="s">
        <v>228</v>
      </c>
      <c r="V6" s="101" t="s">
        <v>219</v>
      </c>
      <c r="W6" s="78"/>
    </row>
    <row r="7" spans="1:23" s="79" customFormat="1" ht="106.5" customHeight="1">
      <c r="A7" s="315"/>
      <c r="B7" s="305"/>
      <c r="C7" s="306"/>
      <c r="D7" s="308"/>
      <c r="E7" s="337"/>
      <c r="F7" s="321"/>
      <c r="G7" s="316"/>
      <c r="H7" s="318"/>
      <c r="I7" s="333" t="s">
        <v>240</v>
      </c>
      <c r="J7" s="288" t="s">
        <v>241</v>
      </c>
      <c r="K7" s="288" t="s">
        <v>242</v>
      </c>
      <c r="L7" s="288" t="s">
        <v>243</v>
      </c>
      <c r="M7" s="290" t="s">
        <v>244</v>
      </c>
      <c r="N7" s="335"/>
      <c r="O7" s="294">
        <v>0</v>
      </c>
      <c r="P7" s="296" t="s">
        <v>245</v>
      </c>
      <c r="Q7" s="296" t="s">
        <v>246</v>
      </c>
      <c r="R7" s="296" t="s">
        <v>246</v>
      </c>
      <c r="S7" s="296" t="s">
        <v>246</v>
      </c>
      <c r="T7" s="296" t="s">
        <v>246</v>
      </c>
      <c r="U7" s="296" t="s">
        <v>228</v>
      </c>
      <c r="V7" s="288" t="s">
        <v>219</v>
      </c>
      <c r="W7" s="78"/>
    </row>
    <row r="8" spans="1:23" s="79" customFormat="1" ht="24" customHeight="1">
      <c r="A8" s="315"/>
      <c r="B8" s="304"/>
      <c r="C8" s="299"/>
      <c r="D8" s="309"/>
      <c r="E8" s="323"/>
      <c r="F8" s="321"/>
      <c r="G8" s="316"/>
      <c r="H8" s="319"/>
      <c r="I8" s="334"/>
      <c r="J8" s="289"/>
      <c r="K8" s="289"/>
      <c r="L8" s="289"/>
      <c r="M8" s="291"/>
      <c r="N8" s="293"/>
      <c r="O8" s="295"/>
      <c r="P8" s="297"/>
      <c r="Q8" s="297"/>
      <c r="R8" s="297"/>
      <c r="S8" s="297"/>
      <c r="T8" s="297"/>
      <c r="U8" s="297"/>
      <c r="V8" s="289"/>
      <c r="W8" s="78"/>
    </row>
    <row r="9" spans="1:23" s="79" customFormat="1" ht="106.5" customHeight="1">
      <c r="A9" s="315"/>
      <c r="B9" s="303" t="s">
        <v>209</v>
      </c>
      <c r="C9" s="298">
        <v>2</v>
      </c>
      <c r="D9" s="307" t="s">
        <v>139</v>
      </c>
      <c r="E9" s="324" t="s">
        <v>210</v>
      </c>
      <c r="F9" s="322"/>
      <c r="G9" s="316">
        <v>2.2999999999999998</v>
      </c>
      <c r="H9" s="317" t="s">
        <v>140</v>
      </c>
      <c r="I9" s="333" t="s">
        <v>247</v>
      </c>
      <c r="J9" s="288" t="s">
        <v>248</v>
      </c>
      <c r="K9" s="288" t="s">
        <v>232</v>
      </c>
      <c r="L9" s="288" t="s">
        <v>233</v>
      </c>
      <c r="M9" s="288" t="s">
        <v>249</v>
      </c>
      <c r="N9" s="292" t="s">
        <v>141</v>
      </c>
      <c r="O9" s="292" t="s">
        <v>250</v>
      </c>
      <c r="P9" s="292" t="s">
        <v>251</v>
      </c>
      <c r="Q9" s="292" t="s">
        <v>251</v>
      </c>
      <c r="R9" s="292" t="s">
        <v>251</v>
      </c>
      <c r="S9" s="292" t="s">
        <v>251</v>
      </c>
      <c r="T9" s="292" t="s">
        <v>251</v>
      </c>
      <c r="U9" s="288" t="s">
        <v>252</v>
      </c>
      <c r="V9" s="288" t="s">
        <v>219</v>
      </c>
      <c r="W9" s="78"/>
    </row>
    <row r="10" spans="1:23" s="79" customFormat="1" ht="14.4">
      <c r="A10" s="315"/>
      <c r="B10" s="304"/>
      <c r="C10" s="299"/>
      <c r="D10" s="309"/>
      <c r="E10" s="325"/>
      <c r="F10" s="323"/>
      <c r="G10" s="316"/>
      <c r="H10" s="319"/>
      <c r="I10" s="334"/>
      <c r="J10" s="289"/>
      <c r="K10" s="289"/>
      <c r="L10" s="289"/>
      <c r="M10" s="289"/>
      <c r="N10" s="293"/>
      <c r="O10" s="293"/>
      <c r="P10" s="293"/>
      <c r="Q10" s="293"/>
      <c r="R10" s="293"/>
      <c r="S10" s="293"/>
      <c r="T10" s="293"/>
      <c r="U10" s="289"/>
      <c r="V10" s="289"/>
      <c r="W10" s="78"/>
    </row>
    <row r="11" spans="1:23" s="79" customFormat="1" ht="187.2">
      <c r="A11" s="315"/>
      <c r="B11" s="100" t="s">
        <v>253</v>
      </c>
      <c r="C11" s="96" t="s">
        <v>254</v>
      </c>
      <c r="D11" s="118" t="s">
        <v>255</v>
      </c>
      <c r="E11" s="128" t="s">
        <v>210</v>
      </c>
      <c r="F11" s="97"/>
      <c r="G11" s="103">
        <v>3.1</v>
      </c>
      <c r="H11" s="120" t="s">
        <v>143</v>
      </c>
      <c r="I11" s="109" t="s">
        <v>256</v>
      </c>
      <c r="J11" s="106" t="s">
        <v>257</v>
      </c>
      <c r="K11" s="106" t="s">
        <v>258</v>
      </c>
      <c r="L11" s="106" t="s">
        <v>259</v>
      </c>
      <c r="M11" s="101" t="s">
        <v>234</v>
      </c>
      <c r="N11" s="129" t="s">
        <v>144</v>
      </c>
      <c r="O11" s="234" t="s">
        <v>260</v>
      </c>
      <c r="P11" s="130" t="s">
        <v>261</v>
      </c>
      <c r="Q11" s="88" t="s">
        <v>262</v>
      </c>
      <c r="R11" s="88" t="s">
        <v>263</v>
      </c>
      <c r="S11" s="88" t="s">
        <v>264</v>
      </c>
      <c r="T11" s="88" t="s">
        <v>265</v>
      </c>
      <c r="U11" s="233" t="s">
        <v>266</v>
      </c>
      <c r="V11" s="233" t="s">
        <v>267</v>
      </c>
      <c r="W11" s="78"/>
    </row>
    <row r="12" spans="1:23" ht="78.75" customHeight="1">
      <c r="A12" s="320"/>
      <c r="B12" s="276" t="s">
        <v>209</v>
      </c>
      <c r="C12" s="285">
        <v>2</v>
      </c>
      <c r="D12" s="283" t="s">
        <v>268</v>
      </c>
      <c r="E12" s="287" t="s">
        <v>210</v>
      </c>
      <c r="F12" s="278" t="s">
        <v>269</v>
      </c>
      <c r="G12" s="282" t="s">
        <v>270</v>
      </c>
      <c r="H12" s="280" t="s">
        <v>271</v>
      </c>
      <c r="I12" s="274" t="s">
        <v>272</v>
      </c>
      <c r="J12" s="274"/>
      <c r="K12" s="274" t="s">
        <v>273</v>
      </c>
      <c r="L12" s="274" t="s">
        <v>274</v>
      </c>
      <c r="M12" s="274" t="s">
        <v>275</v>
      </c>
      <c r="N12" s="311" t="s">
        <v>276</v>
      </c>
      <c r="O12" s="274" t="s">
        <v>277</v>
      </c>
      <c r="P12" s="274" t="s">
        <v>277</v>
      </c>
      <c r="Q12" s="274" t="s">
        <v>277</v>
      </c>
      <c r="R12" s="274" t="s">
        <v>277</v>
      </c>
      <c r="S12" s="274" t="s">
        <v>277</v>
      </c>
      <c r="T12" s="274" t="s">
        <v>277</v>
      </c>
      <c r="U12" s="331" t="s">
        <v>228</v>
      </c>
      <c r="V12" s="331" t="s">
        <v>219</v>
      </c>
      <c r="W12" s="64"/>
    </row>
    <row r="13" spans="1:23" ht="24" customHeight="1">
      <c r="A13" s="320"/>
      <c r="B13" s="277"/>
      <c r="C13" s="286"/>
      <c r="D13" s="284"/>
      <c r="E13" s="279"/>
      <c r="F13" s="279"/>
      <c r="G13" s="282"/>
      <c r="H13" s="281"/>
      <c r="I13" s="275"/>
      <c r="J13" s="275"/>
      <c r="K13" s="275"/>
      <c r="L13" s="275"/>
      <c r="M13" s="275"/>
      <c r="N13" s="312"/>
      <c r="O13" s="275"/>
      <c r="P13" s="275"/>
      <c r="Q13" s="275"/>
      <c r="R13" s="275"/>
      <c r="S13" s="275"/>
      <c r="T13" s="275"/>
      <c r="U13" s="332" t="s">
        <v>228</v>
      </c>
      <c r="V13" s="332" t="s">
        <v>219</v>
      </c>
      <c r="W13" s="64"/>
    </row>
    <row r="14" spans="1:23" ht="108.75" customHeight="1">
      <c r="A14" s="320"/>
      <c r="B14" s="276" t="s">
        <v>209</v>
      </c>
      <c r="C14" s="285">
        <v>2</v>
      </c>
      <c r="D14" s="283" t="s">
        <v>278</v>
      </c>
      <c r="E14" s="287" t="s">
        <v>210</v>
      </c>
      <c r="F14" s="278" t="s">
        <v>279</v>
      </c>
      <c r="G14" s="282" t="s">
        <v>280</v>
      </c>
      <c r="H14" s="280" t="s">
        <v>281</v>
      </c>
      <c r="I14" s="274" t="s">
        <v>282</v>
      </c>
      <c r="J14" s="274" t="s">
        <v>283</v>
      </c>
      <c r="K14" s="310" t="s">
        <v>273</v>
      </c>
      <c r="L14" s="274" t="s">
        <v>274</v>
      </c>
      <c r="M14" s="310" t="s">
        <v>275</v>
      </c>
      <c r="N14" s="311" t="s">
        <v>284</v>
      </c>
      <c r="O14" s="311" t="s">
        <v>285</v>
      </c>
      <c r="P14" s="311" t="s">
        <v>285</v>
      </c>
      <c r="Q14" s="311" t="s">
        <v>285</v>
      </c>
      <c r="R14" s="311" t="s">
        <v>285</v>
      </c>
      <c r="S14" s="311" t="s">
        <v>285</v>
      </c>
      <c r="T14" s="311" t="s">
        <v>285</v>
      </c>
      <c r="U14" s="331" t="s">
        <v>228</v>
      </c>
      <c r="V14" s="331" t="s">
        <v>219</v>
      </c>
      <c r="W14" s="64"/>
    </row>
    <row r="15" spans="1:23" ht="14.4">
      <c r="A15" s="320"/>
      <c r="B15" s="300"/>
      <c r="C15" s="301"/>
      <c r="D15" s="302"/>
      <c r="E15" s="279"/>
      <c r="F15" s="279"/>
      <c r="G15" s="282"/>
      <c r="H15" s="330"/>
      <c r="I15" s="275"/>
      <c r="J15" s="275"/>
      <c r="K15" s="275"/>
      <c r="L15" s="275"/>
      <c r="M15" s="275"/>
      <c r="N15" s="312"/>
      <c r="O15" s="312"/>
      <c r="P15" s="312"/>
      <c r="Q15" s="312"/>
      <c r="R15" s="312"/>
      <c r="S15" s="312"/>
      <c r="T15" s="312"/>
      <c r="U15" s="332" t="s">
        <v>228</v>
      </c>
      <c r="V15" s="332" t="s">
        <v>219</v>
      </c>
      <c r="W15" s="64"/>
    </row>
    <row r="16" spans="1:23" ht="120.75" customHeight="1">
      <c r="A16" s="320"/>
      <c r="B16" s="276" t="s">
        <v>209</v>
      </c>
      <c r="C16" s="285">
        <v>2</v>
      </c>
      <c r="D16" s="283" t="s">
        <v>286</v>
      </c>
      <c r="E16" s="287" t="s">
        <v>210</v>
      </c>
      <c r="F16" s="278" t="s">
        <v>287</v>
      </c>
      <c r="G16" s="282" t="s">
        <v>288</v>
      </c>
      <c r="H16" s="280" t="s">
        <v>289</v>
      </c>
      <c r="I16" s="110" t="s">
        <v>290</v>
      </c>
      <c r="J16" s="110" t="s">
        <v>291</v>
      </c>
      <c r="K16" s="110" t="s">
        <v>292</v>
      </c>
      <c r="L16" s="110" t="s">
        <v>293</v>
      </c>
      <c r="M16" s="110" t="s">
        <v>294</v>
      </c>
      <c r="N16" s="311" t="s">
        <v>295</v>
      </c>
      <c r="O16" s="235">
        <v>0.5</v>
      </c>
      <c r="P16" s="90" t="s">
        <v>296</v>
      </c>
      <c r="Q16" s="90" t="s">
        <v>297</v>
      </c>
      <c r="R16" s="90" t="s">
        <v>298</v>
      </c>
      <c r="S16" s="90" t="s">
        <v>299</v>
      </c>
      <c r="T16" s="90" t="s">
        <v>300</v>
      </c>
      <c r="U16" s="91" t="s">
        <v>228</v>
      </c>
      <c r="V16" s="91" t="s">
        <v>219</v>
      </c>
      <c r="W16" s="64"/>
    </row>
    <row r="17" spans="1:23" ht="82.5" customHeight="1">
      <c r="A17" s="320"/>
      <c r="B17" s="277"/>
      <c r="C17" s="286"/>
      <c r="D17" s="284"/>
      <c r="E17" s="279"/>
      <c r="F17" s="279"/>
      <c r="G17" s="282"/>
      <c r="H17" s="281"/>
      <c r="I17" s="110" t="s">
        <v>301</v>
      </c>
      <c r="J17" s="110" t="s">
        <v>302</v>
      </c>
      <c r="K17" s="110" t="s">
        <v>292</v>
      </c>
      <c r="L17" s="110" t="s">
        <v>293</v>
      </c>
      <c r="M17" s="110" t="s">
        <v>215</v>
      </c>
      <c r="N17" s="312"/>
      <c r="O17" s="90" t="s">
        <v>303</v>
      </c>
      <c r="P17" s="90" t="s">
        <v>304</v>
      </c>
      <c r="Q17" s="90" t="s">
        <v>305</v>
      </c>
      <c r="R17" s="90" t="s">
        <v>306</v>
      </c>
      <c r="S17" s="90" t="s">
        <v>307</v>
      </c>
      <c r="T17" s="90" t="s">
        <v>308</v>
      </c>
      <c r="U17" s="91" t="s">
        <v>228</v>
      </c>
      <c r="V17" s="91" t="s">
        <v>219</v>
      </c>
      <c r="W17" s="64"/>
    </row>
    <row r="18" spans="1:23" ht="115.2">
      <c r="A18" s="320"/>
      <c r="B18" s="99" t="s">
        <v>309</v>
      </c>
      <c r="C18" s="92" t="s">
        <v>310</v>
      </c>
      <c r="D18" s="119" t="s">
        <v>311</v>
      </c>
      <c r="E18" s="98" t="s">
        <v>210</v>
      </c>
      <c r="F18" s="98" t="s">
        <v>312</v>
      </c>
      <c r="G18" s="95" t="s">
        <v>313</v>
      </c>
      <c r="H18" s="121" t="s">
        <v>314</v>
      </c>
      <c r="I18" s="110" t="s">
        <v>315</v>
      </c>
      <c r="J18" s="131" t="s">
        <v>316</v>
      </c>
      <c r="K18" s="110" t="s">
        <v>317</v>
      </c>
      <c r="L18" s="110" t="s">
        <v>318</v>
      </c>
      <c r="M18" s="110" t="s">
        <v>294</v>
      </c>
      <c r="N18" s="90" t="s">
        <v>319</v>
      </c>
      <c r="O18" s="90" t="s">
        <v>320</v>
      </c>
      <c r="P18" s="90" t="s">
        <v>321</v>
      </c>
      <c r="Q18" s="90" t="s">
        <v>322</v>
      </c>
      <c r="R18" s="90" t="s">
        <v>323</v>
      </c>
      <c r="S18" s="90" t="s">
        <v>324</v>
      </c>
      <c r="T18" s="90" t="s">
        <v>325</v>
      </c>
      <c r="U18" s="91" t="s">
        <v>228</v>
      </c>
      <c r="V18" s="91" t="s">
        <v>219</v>
      </c>
      <c r="W18" s="64"/>
    </row>
    <row r="19" spans="1:23" ht="133.5" customHeight="1">
      <c r="A19" s="320"/>
      <c r="B19" s="127" t="s">
        <v>209</v>
      </c>
      <c r="C19" s="92">
        <v>2</v>
      </c>
      <c r="D19" s="119" t="s">
        <v>278</v>
      </c>
      <c r="E19" s="98" t="s">
        <v>210</v>
      </c>
      <c r="F19" s="98" t="s">
        <v>326</v>
      </c>
      <c r="G19" s="95" t="s">
        <v>327</v>
      </c>
      <c r="H19" s="121" t="s">
        <v>328</v>
      </c>
      <c r="I19" s="110" t="s">
        <v>329</v>
      </c>
      <c r="J19" s="132" t="s">
        <v>330</v>
      </c>
      <c r="K19" s="110" t="s">
        <v>331</v>
      </c>
      <c r="L19" s="110" t="s">
        <v>332</v>
      </c>
      <c r="M19" s="110" t="s">
        <v>294</v>
      </c>
      <c r="N19" s="90" t="s">
        <v>333</v>
      </c>
      <c r="O19" s="90" t="s">
        <v>334</v>
      </c>
      <c r="P19" s="90" t="s">
        <v>335</v>
      </c>
      <c r="Q19" s="90" t="s">
        <v>336</v>
      </c>
      <c r="R19" s="90" t="s">
        <v>337</v>
      </c>
      <c r="S19" s="90" t="s">
        <v>338</v>
      </c>
      <c r="T19" s="90" t="s">
        <v>339</v>
      </c>
      <c r="U19" s="91" t="s">
        <v>228</v>
      </c>
      <c r="V19" s="91" t="s">
        <v>219</v>
      </c>
      <c r="W19" s="64"/>
    </row>
    <row r="20" spans="1:23" ht="100.8">
      <c r="A20" s="320"/>
      <c r="B20" s="99" t="s">
        <v>209</v>
      </c>
      <c r="C20" s="92">
        <v>2</v>
      </c>
      <c r="D20" s="119" t="s">
        <v>340</v>
      </c>
      <c r="E20" s="98" t="s">
        <v>210</v>
      </c>
      <c r="F20" s="98" t="s">
        <v>341</v>
      </c>
      <c r="G20" s="95" t="s">
        <v>342</v>
      </c>
      <c r="H20" s="121" t="s">
        <v>343</v>
      </c>
      <c r="I20" s="112" t="s">
        <v>344</v>
      </c>
      <c r="J20" s="133" t="s">
        <v>345</v>
      </c>
      <c r="K20" s="113" t="s">
        <v>346</v>
      </c>
      <c r="L20" s="110" t="s">
        <v>347</v>
      </c>
      <c r="M20" s="110" t="s">
        <v>294</v>
      </c>
      <c r="N20" s="90" t="s">
        <v>348</v>
      </c>
      <c r="O20" s="90" t="s">
        <v>349</v>
      </c>
      <c r="P20" s="90" t="s">
        <v>350</v>
      </c>
      <c r="Q20" s="90" t="s">
        <v>351</v>
      </c>
      <c r="R20" s="90" t="s">
        <v>352</v>
      </c>
      <c r="S20" s="90" t="s">
        <v>353</v>
      </c>
      <c r="T20" s="90" t="s">
        <v>354</v>
      </c>
      <c r="U20" s="91" t="s">
        <v>228</v>
      </c>
      <c r="V20" s="91" t="s">
        <v>219</v>
      </c>
      <c r="W20" s="64"/>
    </row>
    <row r="21" spans="1:23" ht="79.95" customHeight="1">
      <c r="A21" s="320"/>
      <c r="B21" s="276" t="s">
        <v>209</v>
      </c>
      <c r="C21" s="285">
        <v>2</v>
      </c>
      <c r="D21" s="283" t="s">
        <v>355</v>
      </c>
      <c r="E21" s="278" t="s">
        <v>210</v>
      </c>
      <c r="F21" s="278" t="s">
        <v>356</v>
      </c>
      <c r="G21" s="282"/>
      <c r="H21" s="280" t="s">
        <v>357</v>
      </c>
      <c r="I21" s="112" t="s">
        <v>358</v>
      </c>
      <c r="J21" s="133" t="s">
        <v>359</v>
      </c>
      <c r="K21" s="113" t="s">
        <v>360</v>
      </c>
      <c r="L21" s="110" t="s">
        <v>361</v>
      </c>
      <c r="M21" s="110" t="s">
        <v>215</v>
      </c>
      <c r="N21" s="311" t="s">
        <v>362</v>
      </c>
      <c r="O21" s="90">
        <v>4</v>
      </c>
      <c r="P21" s="90" t="s">
        <v>363</v>
      </c>
      <c r="Q21" s="90" t="s">
        <v>364</v>
      </c>
      <c r="R21" s="90" t="s">
        <v>365</v>
      </c>
      <c r="S21" s="90" t="s">
        <v>366</v>
      </c>
      <c r="T21" s="90" t="s">
        <v>366</v>
      </c>
      <c r="U21" s="91" t="s">
        <v>228</v>
      </c>
      <c r="V21" s="91" t="s">
        <v>367</v>
      </c>
      <c r="W21" s="64"/>
    </row>
    <row r="22" spans="1:23" ht="47.1" customHeight="1">
      <c r="A22" s="320"/>
      <c r="B22" s="277"/>
      <c r="C22" s="286"/>
      <c r="D22" s="284"/>
      <c r="E22" s="279"/>
      <c r="F22" s="279"/>
      <c r="G22" s="282"/>
      <c r="H22" s="281"/>
      <c r="I22" s="114" t="s">
        <v>368</v>
      </c>
      <c r="J22" s="133" t="s">
        <v>369</v>
      </c>
      <c r="K22" s="115" t="s">
        <v>360</v>
      </c>
      <c r="L22" s="111" t="s">
        <v>361</v>
      </c>
      <c r="M22" s="111" t="s">
        <v>215</v>
      </c>
      <c r="N22" s="312"/>
      <c r="O22" s="90">
        <v>1</v>
      </c>
      <c r="P22" s="90" t="s">
        <v>370</v>
      </c>
      <c r="Q22" s="90" t="s">
        <v>370</v>
      </c>
      <c r="R22" s="90" t="s">
        <v>363</v>
      </c>
      <c r="S22" s="90" t="s">
        <v>363</v>
      </c>
      <c r="T22" s="90" t="s">
        <v>363</v>
      </c>
      <c r="U22" s="91" t="s">
        <v>228</v>
      </c>
      <c r="V22" s="91" t="s">
        <v>367</v>
      </c>
      <c r="W22" s="64"/>
    </row>
    <row r="23" spans="1:23" s="160" customFormat="1" ht="28.95" customHeight="1">
      <c r="A23" s="161"/>
      <c r="B23" s="151"/>
      <c r="C23" s="152"/>
      <c r="D23" s="153"/>
      <c r="E23" s="153"/>
      <c r="F23" s="154"/>
      <c r="G23" s="155"/>
      <c r="H23" s="177" t="s">
        <v>271</v>
      </c>
      <c r="I23" s="162"/>
      <c r="J23" s="157"/>
      <c r="K23" s="157"/>
      <c r="L23" s="157"/>
      <c r="M23" s="157"/>
      <c r="N23" s="157"/>
      <c r="O23" s="157"/>
      <c r="P23" s="157"/>
      <c r="Q23" s="157"/>
      <c r="R23" s="157"/>
      <c r="S23" s="157"/>
      <c r="T23" s="157"/>
      <c r="U23" s="157"/>
      <c r="V23" s="158"/>
      <c r="W23" s="159"/>
    </row>
    <row r="24" spans="1:23" ht="57.6">
      <c r="A24" s="313" t="s">
        <v>371</v>
      </c>
      <c r="B24" s="89"/>
      <c r="C24" s="117"/>
      <c r="D24" s="326" t="s">
        <v>268</v>
      </c>
      <c r="E24" s="122"/>
      <c r="F24" s="117"/>
      <c r="G24" s="342" t="s">
        <v>372</v>
      </c>
      <c r="H24" s="340" t="s">
        <v>373</v>
      </c>
      <c r="I24" s="102" t="s">
        <v>374</v>
      </c>
      <c r="J24" s="141" t="s">
        <v>375</v>
      </c>
      <c r="K24" s="141" t="s">
        <v>376</v>
      </c>
      <c r="L24" s="141" t="s">
        <v>377</v>
      </c>
      <c r="M24" s="141" t="s">
        <v>378</v>
      </c>
      <c r="N24" s="141" t="s">
        <v>379</v>
      </c>
      <c r="O24" s="142" t="str">
        <f>'[1]Program M&amp;E Plan'!J33</f>
        <v>CFP: Mapped 3 HCV forests (Korup-Oban, Bakossi-Bnayang Mbo, &amp; Mt. CMR)
0 HCV Forests classified</v>
      </c>
      <c r="P24" s="124"/>
      <c r="Q24" s="124"/>
      <c r="R24" s="124"/>
      <c r="S24" s="124"/>
      <c r="T24" s="124"/>
      <c r="U24" s="124"/>
      <c r="V24" s="125"/>
      <c r="W24" s="64"/>
    </row>
    <row r="25" spans="1:23" ht="28.8">
      <c r="A25" s="313"/>
      <c r="B25" s="89"/>
      <c r="C25" s="117"/>
      <c r="D25" s="326"/>
      <c r="E25" s="122"/>
      <c r="F25" s="117"/>
      <c r="G25" s="343"/>
      <c r="H25" s="341"/>
      <c r="I25" s="141" t="s">
        <v>380</v>
      </c>
      <c r="J25" s="141"/>
      <c r="K25" s="141"/>
      <c r="L25" s="141"/>
      <c r="M25" s="141"/>
      <c r="N25" s="141"/>
      <c r="O25" s="142"/>
      <c r="P25" s="124"/>
      <c r="Q25" s="124"/>
      <c r="R25" s="124"/>
      <c r="S25" s="124"/>
      <c r="T25" s="124"/>
      <c r="U25" s="124"/>
      <c r="V25" s="125"/>
      <c r="W25" s="64"/>
    </row>
    <row r="26" spans="1:23" ht="72">
      <c r="A26" s="313"/>
      <c r="B26" s="89"/>
      <c r="C26" s="117"/>
      <c r="D26" s="326"/>
      <c r="E26" s="122"/>
      <c r="F26" s="117"/>
      <c r="G26" s="344" t="s">
        <v>381</v>
      </c>
      <c r="H26" s="340" t="s">
        <v>382</v>
      </c>
      <c r="I26" s="141" t="s">
        <v>383</v>
      </c>
      <c r="J26" s="141" t="s">
        <v>384</v>
      </c>
      <c r="K26" s="141" t="s">
        <v>385</v>
      </c>
      <c r="L26" s="141" t="s">
        <v>386</v>
      </c>
      <c r="M26" s="141" t="s">
        <v>387</v>
      </c>
      <c r="N26" s="141" t="s">
        <v>388</v>
      </c>
      <c r="O26" s="142" t="str">
        <f>'[1]Program M&amp;E Plan'!J34</f>
        <v>CFP: 1 Community-validated forest in Lower Mbo of the Banyang Mbo Wildlife Sanctuary integrated into land use plans</v>
      </c>
      <c r="P26" s="124"/>
      <c r="Q26" s="124"/>
      <c r="R26" s="124"/>
      <c r="S26" s="124"/>
      <c r="T26" s="124"/>
      <c r="U26" s="124"/>
      <c r="V26" s="125"/>
      <c r="W26" s="64"/>
    </row>
    <row r="27" spans="1:23" ht="28.8">
      <c r="A27" s="313"/>
      <c r="B27" s="89"/>
      <c r="C27" s="117"/>
      <c r="D27" s="326"/>
      <c r="E27" s="122"/>
      <c r="F27" s="117"/>
      <c r="G27" s="345"/>
      <c r="H27" s="341"/>
      <c r="I27" s="141" t="s">
        <v>389</v>
      </c>
      <c r="J27" s="141"/>
      <c r="K27" s="141" t="s">
        <v>390</v>
      </c>
      <c r="L27" s="141" t="s">
        <v>391</v>
      </c>
      <c r="M27" s="141"/>
      <c r="N27" s="141"/>
      <c r="O27" s="142"/>
      <c r="P27" s="124"/>
      <c r="Q27" s="124"/>
      <c r="R27" s="124"/>
      <c r="S27" s="124"/>
      <c r="T27" s="124"/>
      <c r="U27" s="124"/>
      <c r="V27" s="125"/>
      <c r="W27" s="64"/>
    </row>
    <row r="28" spans="1:23" s="219" customFormat="1" ht="72" customHeight="1">
      <c r="A28" s="313"/>
      <c r="B28" s="210"/>
      <c r="C28" s="211"/>
      <c r="D28" s="326"/>
      <c r="E28" s="212"/>
      <c r="F28" s="211"/>
      <c r="G28" s="213" t="s">
        <v>392</v>
      </c>
      <c r="H28" s="214" t="s">
        <v>393</v>
      </c>
      <c r="I28" s="215" t="s">
        <v>394</v>
      </c>
      <c r="J28" s="215" t="s">
        <v>395</v>
      </c>
      <c r="K28" s="215" t="s">
        <v>396</v>
      </c>
      <c r="L28" s="215" t="s">
        <v>397</v>
      </c>
      <c r="M28" s="215" t="s">
        <v>398</v>
      </c>
      <c r="N28" s="215" t="s">
        <v>399</v>
      </c>
      <c r="O28" s="201" t="str">
        <f>'[1]Program M&amp;E Plan'!J35</f>
        <v>CFP: Rumpi Rata NP under creation: 47,600 ha
Muaku CF: 404 ha</v>
      </c>
      <c r="P28" s="216"/>
      <c r="Q28" s="216"/>
      <c r="R28" s="216"/>
      <c r="S28" s="216"/>
      <c r="T28" s="216"/>
      <c r="U28" s="216"/>
      <c r="V28" s="217"/>
      <c r="W28" s="218"/>
    </row>
    <row r="29" spans="1:23" ht="87" customHeight="1">
      <c r="A29" s="313"/>
      <c r="B29" s="89"/>
      <c r="C29" s="117"/>
      <c r="D29" s="326"/>
      <c r="E29" s="122"/>
      <c r="F29" s="117"/>
      <c r="G29" s="123"/>
      <c r="H29" s="204" t="s">
        <v>400</v>
      </c>
      <c r="I29" s="141" t="s">
        <v>401</v>
      </c>
      <c r="J29" s="141" t="s">
        <v>402</v>
      </c>
      <c r="K29" s="141" t="s">
        <v>403</v>
      </c>
      <c r="L29" s="141" t="s">
        <v>404</v>
      </c>
      <c r="M29" s="141" t="s">
        <v>405</v>
      </c>
      <c r="N29" s="141" t="s">
        <v>406</v>
      </c>
      <c r="O29" s="124"/>
      <c r="P29" s="124"/>
      <c r="Q29" s="124"/>
      <c r="R29" s="124"/>
      <c r="S29" s="124"/>
      <c r="T29" s="124"/>
      <c r="U29" s="124"/>
      <c r="V29" s="125"/>
      <c r="W29" s="64"/>
    </row>
    <row r="30" spans="1:23" ht="57.6">
      <c r="A30" s="313"/>
      <c r="B30" s="89"/>
      <c r="C30" s="117"/>
      <c r="D30" s="326"/>
      <c r="E30" s="122"/>
      <c r="F30" s="117"/>
      <c r="G30" s="123"/>
      <c r="H30" s="204" t="s">
        <v>407</v>
      </c>
      <c r="I30" s="141" t="s">
        <v>408</v>
      </c>
      <c r="J30" s="141" t="s">
        <v>409</v>
      </c>
      <c r="K30" s="141" t="s">
        <v>410</v>
      </c>
      <c r="L30" s="141" t="s">
        <v>411</v>
      </c>
      <c r="M30" s="141" t="s">
        <v>412</v>
      </c>
      <c r="N30" s="141" t="s">
        <v>413</v>
      </c>
      <c r="O30" s="124"/>
      <c r="P30" s="124"/>
      <c r="Q30" s="124"/>
      <c r="R30" s="124"/>
      <c r="S30" s="124"/>
      <c r="T30" s="124"/>
      <c r="U30" s="124"/>
      <c r="V30" s="125"/>
      <c r="W30" s="64"/>
    </row>
    <row r="31" spans="1:23" ht="57.6">
      <c r="A31" s="313"/>
      <c r="B31" s="89"/>
      <c r="C31" s="117"/>
      <c r="D31" s="326"/>
      <c r="E31" s="122"/>
      <c r="F31" s="117"/>
      <c r="G31" s="123"/>
      <c r="H31" s="204" t="s">
        <v>414</v>
      </c>
      <c r="I31" s="141" t="s">
        <v>415</v>
      </c>
      <c r="J31" s="141" t="s">
        <v>416</v>
      </c>
      <c r="K31" s="141" t="s">
        <v>417</v>
      </c>
      <c r="L31" s="141" t="s">
        <v>418</v>
      </c>
      <c r="M31" s="141" t="s">
        <v>419</v>
      </c>
      <c r="N31" s="141" t="s">
        <v>420</v>
      </c>
      <c r="O31" s="124"/>
      <c r="P31" s="124"/>
      <c r="Q31" s="124"/>
      <c r="R31" s="124"/>
      <c r="S31" s="124"/>
      <c r="T31" s="124"/>
      <c r="U31" s="124"/>
      <c r="V31" s="125"/>
      <c r="W31" s="64"/>
    </row>
    <row r="32" spans="1:23" ht="72">
      <c r="A32" s="313"/>
      <c r="B32" s="89"/>
      <c r="C32" s="117"/>
      <c r="D32" s="326"/>
      <c r="E32" s="122"/>
      <c r="F32" s="117"/>
      <c r="G32" s="123"/>
      <c r="H32" s="204" t="s">
        <v>421</v>
      </c>
      <c r="I32" s="141" t="s">
        <v>422</v>
      </c>
      <c r="J32" s="141" t="s">
        <v>423</v>
      </c>
      <c r="K32" s="141" t="s">
        <v>424</v>
      </c>
      <c r="L32" s="141" t="s">
        <v>425</v>
      </c>
      <c r="M32" s="141" t="s">
        <v>426</v>
      </c>
      <c r="N32" s="141" t="s">
        <v>427</v>
      </c>
      <c r="O32" s="124"/>
      <c r="P32" s="124"/>
      <c r="Q32" s="124"/>
      <c r="R32" s="124"/>
      <c r="S32" s="124"/>
      <c r="T32" s="124"/>
      <c r="U32" s="124"/>
      <c r="V32" s="125"/>
      <c r="W32" s="64"/>
    </row>
    <row r="33" spans="1:23" ht="57.6">
      <c r="A33" s="313"/>
      <c r="B33" s="89"/>
      <c r="C33" s="117"/>
      <c r="D33" s="326"/>
      <c r="E33" s="122"/>
      <c r="F33" s="117"/>
      <c r="G33" s="123"/>
      <c r="H33" s="204" t="s">
        <v>428</v>
      </c>
      <c r="I33" s="141" t="s">
        <v>429</v>
      </c>
      <c r="J33" s="141" t="s">
        <v>430</v>
      </c>
      <c r="K33" s="141" t="s">
        <v>431</v>
      </c>
      <c r="L33" s="141" t="s">
        <v>432</v>
      </c>
      <c r="M33" s="141" t="s">
        <v>433</v>
      </c>
      <c r="N33" s="141" t="s">
        <v>434</v>
      </c>
      <c r="O33" s="124"/>
      <c r="P33" s="124"/>
      <c r="Q33" s="124"/>
      <c r="R33" s="124"/>
      <c r="S33" s="124"/>
      <c r="T33" s="124"/>
      <c r="U33" s="124"/>
      <c r="V33" s="125"/>
      <c r="W33" s="64"/>
    </row>
    <row r="34" spans="1:23" ht="86.4">
      <c r="A34" s="313"/>
      <c r="B34" s="89"/>
      <c r="C34" s="117"/>
      <c r="D34" s="326"/>
      <c r="E34" s="122"/>
      <c r="F34" s="117"/>
      <c r="G34" s="123"/>
      <c r="H34" s="204" t="s">
        <v>435</v>
      </c>
      <c r="I34" s="141" t="s">
        <v>436</v>
      </c>
      <c r="J34" s="141" t="s">
        <v>437</v>
      </c>
      <c r="K34" s="141" t="s">
        <v>438</v>
      </c>
      <c r="L34" s="141" t="s">
        <v>439</v>
      </c>
      <c r="M34" s="141" t="s">
        <v>215</v>
      </c>
      <c r="N34" s="141" t="s">
        <v>440</v>
      </c>
      <c r="O34" s="124"/>
      <c r="P34" s="124"/>
      <c r="Q34" s="124"/>
      <c r="R34" s="124"/>
      <c r="S34" s="124"/>
      <c r="T34" s="124"/>
      <c r="U34" s="124"/>
      <c r="V34" s="125"/>
      <c r="W34" s="64"/>
    </row>
    <row r="35" spans="1:23" s="160" customFormat="1" ht="28.8">
      <c r="A35" s="313"/>
      <c r="B35" s="151"/>
      <c r="C35" s="152"/>
      <c r="D35" s="163"/>
      <c r="E35" s="153"/>
      <c r="F35" s="154"/>
      <c r="G35" s="155"/>
      <c r="H35" s="205" t="s">
        <v>281</v>
      </c>
      <c r="I35" s="156"/>
      <c r="J35" s="157"/>
      <c r="K35" s="157"/>
      <c r="L35" s="157"/>
      <c r="M35" s="157"/>
      <c r="N35" s="157"/>
      <c r="O35" s="157"/>
      <c r="P35" s="157"/>
      <c r="Q35" s="157"/>
      <c r="R35" s="157"/>
      <c r="S35" s="157"/>
      <c r="T35" s="157"/>
      <c r="U35" s="157"/>
      <c r="V35" s="158"/>
      <c r="W35" s="159"/>
    </row>
    <row r="36" spans="1:23" ht="67.2" customHeight="1">
      <c r="A36" s="314"/>
      <c r="B36" s="89"/>
      <c r="C36" s="146"/>
      <c r="D36" s="327" t="s">
        <v>278</v>
      </c>
      <c r="E36" s="122"/>
      <c r="F36" s="117"/>
      <c r="G36" s="126" t="s">
        <v>441</v>
      </c>
      <c r="H36" s="204" t="s">
        <v>442</v>
      </c>
      <c r="I36" s="201" t="s">
        <v>443</v>
      </c>
      <c r="J36" s="201" t="s">
        <v>444</v>
      </c>
      <c r="K36" s="201" t="s">
        <v>445</v>
      </c>
      <c r="L36" s="201" t="s">
        <v>446</v>
      </c>
      <c r="M36" s="201" t="s">
        <v>447</v>
      </c>
      <c r="N36" s="201" t="s">
        <v>448</v>
      </c>
      <c r="O36" s="124"/>
      <c r="P36" s="124"/>
      <c r="Q36" s="124"/>
      <c r="R36" s="124"/>
      <c r="S36" s="124"/>
      <c r="T36" s="124"/>
      <c r="U36" s="124"/>
      <c r="V36" s="125"/>
      <c r="W36" s="64"/>
    </row>
    <row r="37" spans="1:23" ht="53.7" customHeight="1">
      <c r="A37" s="314"/>
      <c r="B37" s="94"/>
      <c r="C37" s="145"/>
      <c r="D37" s="327"/>
      <c r="E37" s="122"/>
      <c r="F37" s="117"/>
      <c r="G37" s="126"/>
      <c r="H37" s="204" t="s">
        <v>449</v>
      </c>
      <c r="I37" s="201" t="s">
        <v>450</v>
      </c>
      <c r="J37" s="201" t="s">
        <v>451</v>
      </c>
      <c r="K37" s="201" t="s">
        <v>452</v>
      </c>
      <c r="L37" s="201" t="s">
        <v>453</v>
      </c>
      <c r="M37" s="201" t="s">
        <v>454</v>
      </c>
      <c r="N37" s="201" t="s">
        <v>455</v>
      </c>
      <c r="O37" s="124"/>
      <c r="P37" s="124"/>
      <c r="Q37" s="124"/>
      <c r="R37" s="124"/>
      <c r="S37" s="124"/>
      <c r="T37" s="124"/>
      <c r="U37" s="124"/>
      <c r="V37" s="125"/>
      <c r="W37" s="64"/>
    </row>
    <row r="38" spans="1:23" ht="50.7" customHeight="1">
      <c r="A38" s="314"/>
      <c r="B38" s="94"/>
      <c r="C38" s="145"/>
      <c r="D38" s="327"/>
      <c r="E38" s="122"/>
      <c r="F38" s="117"/>
      <c r="G38" s="126"/>
      <c r="H38" s="204" t="s">
        <v>456</v>
      </c>
      <c r="I38" s="201" t="s">
        <v>457</v>
      </c>
      <c r="J38" s="201" t="s">
        <v>458</v>
      </c>
      <c r="K38" s="201" t="s">
        <v>459</v>
      </c>
      <c r="L38" s="201" t="s">
        <v>460</v>
      </c>
      <c r="M38" s="201" t="s">
        <v>461</v>
      </c>
      <c r="N38" s="201" t="s">
        <v>462</v>
      </c>
      <c r="O38" s="201" t="s">
        <v>463</v>
      </c>
      <c r="P38" s="124"/>
      <c r="Q38" s="124"/>
      <c r="R38" s="124"/>
      <c r="S38" s="124"/>
      <c r="T38" s="124"/>
      <c r="U38" s="124"/>
      <c r="V38" s="125"/>
      <c r="W38" s="64"/>
    </row>
    <row r="39" spans="1:23" s="229" customFormat="1" ht="36.450000000000003" customHeight="1">
      <c r="A39" s="314"/>
      <c r="B39" s="94"/>
      <c r="C39" s="220"/>
      <c r="D39" s="327"/>
      <c r="E39" s="221"/>
      <c r="F39" s="222"/>
      <c r="G39" s="223"/>
      <c r="H39" s="224" t="s">
        <v>464</v>
      </c>
      <c r="I39" s="225" t="s">
        <v>465</v>
      </c>
      <c r="J39" s="225" t="s">
        <v>466</v>
      </c>
      <c r="K39" s="225" t="s">
        <v>467</v>
      </c>
      <c r="L39" s="225" t="s">
        <v>468</v>
      </c>
      <c r="M39" s="225" t="s">
        <v>469</v>
      </c>
      <c r="N39" s="225" t="s">
        <v>470</v>
      </c>
      <c r="O39" s="204" t="s">
        <v>471</v>
      </c>
      <c r="P39" s="226"/>
      <c r="Q39" s="226"/>
      <c r="R39" s="226"/>
      <c r="S39" s="226"/>
      <c r="T39" s="226"/>
      <c r="U39" s="226"/>
      <c r="V39" s="227"/>
      <c r="W39" s="228"/>
    </row>
    <row r="40" spans="1:23" ht="49.2" customHeight="1">
      <c r="A40" s="314"/>
      <c r="B40" s="94"/>
      <c r="C40" s="145"/>
      <c r="D40" s="327"/>
      <c r="E40" s="122"/>
      <c r="F40" s="117"/>
      <c r="G40" s="126"/>
      <c r="H40" s="204" t="s">
        <v>472</v>
      </c>
      <c r="I40" s="201" t="s">
        <v>473</v>
      </c>
      <c r="J40" s="201" t="s">
        <v>474</v>
      </c>
      <c r="K40" s="201" t="s">
        <v>475</v>
      </c>
      <c r="L40" s="201" t="s">
        <v>476</v>
      </c>
      <c r="M40" s="201" t="s">
        <v>477</v>
      </c>
      <c r="N40" s="201" t="s">
        <v>478</v>
      </c>
      <c r="O40" s="124"/>
      <c r="P40" s="124"/>
      <c r="Q40" s="124"/>
      <c r="R40" s="124"/>
      <c r="S40" s="124"/>
      <c r="T40" s="124"/>
      <c r="U40" s="124"/>
      <c r="V40" s="125"/>
      <c r="W40" s="64"/>
    </row>
    <row r="41" spans="1:23" ht="52.5" customHeight="1">
      <c r="A41" s="314"/>
      <c r="B41" s="94"/>
      <c r="C41" s="145"/>
      <c r="D41" s="327"/>
      <c r="E41" s="122"/>
      <c r="F41" s="117"/>
      <c r="G41" s="126"/>
      <c r="H41" s="204" t="s">
        <v>479</v>
      </c>
      <c r="I41" s="201" t="s">
        <v>480</v>
      </c>
      <c r="J41" s="201" t="s">
        <v>481</v>
      </c>
      <c r="K41" s="201" t="s">
        <v>482</v>
      </c>
      <c r="L41" s="201" t="s">
        <v>483</v>
      </c>
      <c r="M41" s="201" t="s">
        <v>484</v>
      </c>
      <c r="N41" s="201" t="s">
        <v>485</v>
      </c>
      <c r="O41" s="124"/>
      <c r="P41" s="124"/>
      <c r="Q41" s="124"/>
      <c r="R41" s="124"/>
      <c r="S41" s="124"/>
      <c r="T41" s="124"/>
      <c r="U41" s="124"/>
      <c r="V41" s="125"/>
      <c r="W41" s="64"/>
    </row>
    <row r="42" spans="1:23" ht="42.45" customHeight="1">
      <c r="A42" s="314"/>
      <c r="B42" s="164"/>
      <c r="C42" s="165"/>
      <c r="D42" s="327"/>
      <c r="E42" s="166"/>
      <c r="F42" s="167"/>
      <c r="G42" s="168"/>
      <c r="H42" s="206" t="s">
        <v>486</v>
      </c>
      <c r="I42" s="202" t="s">
        <v>487</v>
      </c>
      <c r="J42" s="202" t="s">
        <v>488</v>
      </c>
      <c r="K42" s="202" t="s">
        <v>489</v>
      </c>
      <c r="L42" s="202" t="s">
        <v>490</v>
      </c>
      <c r="M42" s="202" t="s">
        <v>215</v>
      </c>
      <c r="N42" s="202" t="s">
        <v>491</v>
      </c>
      <c r="O42" s="147"/>
      <c r="P42" s="147"/>
      <c r="Q42" s="147"/>
      <c r="R42" s="147"/>
      <c r="S42" s="147"/>
      <c r="T42" s="147"/>
      <c r="U42" s="147"/>
      <c r="V42" s="148"/>
      <c r="W42" s="64"/>
    </row>
    <row r="43" spans="1:23" s="175" customFormat="1" ht="43.2">
      <c r="A43" s="314"/>
      <c r="B43" s="170"/>
      <c r="C43" s="171"/>
      <c r="D43" s="163"/>
      <c r="E43" s="171"/>
      <c r="F43" s="171"/>
      <c r="G43" s="172"/>
      <c r="H43" s="207" t="s">
        <v>492</v>
      </c>
      <c r="I43" s="173"/>
      <c r="J43" s="174"/>
      <c r="K43" s="174"/>
      <c r="L43" s="174"/>
      <c r="M43" s="174"/>
      <c r="N43" s="174"/>
      <c r="O43" s="174"/>
      <c r="P43" s="174"/>
      <c r="Q43" s="174"/>
      <c r="R43" s="174"/>
      <c r="S43" s="174"/>
      <c r="T43" s="174"/>
      <c r="U43" s="174"/>
      <c r="V43" s="174"/>
      <c r="W43" s="174"/>
    </row>
    <row r="44" spans="1:23" ht="41.7" customHeight="1">
      <c r="A44" s="314"/>
      <c r="B44" s="94"/>
      <c r="C44" s="145"/>
      <c r="D44" s="327" t="s">
        <v>286</v>
      </c>
      <c r="E44" s="149"/>
      <c r="F44" s="144"/>
      <c r="G44" s="169"/>
      <c r="H44" s="204" t="s">
        <v>493</v>
      </c>
      <c r="I44" s="201" t="s">
        <v>494</v>
      </c>
      <c r="J44" s="142" t="s">
        <v>495</v>
      </c>
      <c r="K44" s="142" t="s">
        <v>496</v>
      </c>
      <c r="L44" s="142" t="s">
        <v>497</v>
      </c>
      <c r="M44" s="142" t="s">
        <v>498</v>
      </c>
      <c r="N44" s="142" t="s">
        <v>499</v>
      </c>
      <c r="O44" s="124"/>
      <c r="P44" s="124"/>
      <c r="Q44" s="124"/>
      <c r="R44" s="124"/>
      <c r="S44" s="124"/>
      <c r="T44" s="124"/>
      <c r="U44" s="124"/>
      <c r="V44" s="125"/>
      <c r="W44" s="64"/>
    </row>
    <row r="45" spans="1:23" ht="56.7" customHeight="1">
      <c r="A45" s="314"/>
      <c r="B45" s="94"/>
      <c r="C45" s="145"/>
      <c r="D45" s="327"/>
      <c r="E45" s="122"/>
      <c r="F45" s="117"/>
      <c r="G45" s="126"/>
      <c r="H45" s="204" t="s">
        <v>500</v>
      </c>
      <c r="I45" s="201" t="s">
        <v>501</v>
      </c>
      <c r="J45" s="201" t="s">
        <v>502</v>
      </c>
      <c r="K45" s="201" t="s">
        <v>503</v>
      </c>
      <c r="L45" s="201" t="s">
        <v>504</v>
      </c>
      <c r="M45" s="201" t="s">
        <v>505</v>
      </c>
      <c r="N45" s="201" t="s">
        <v>506</v>
      </c>
      <c r="O45" s="124"/>
      <c r="P45" s="124"/>
      <c r="Q45" s="124"/>
      <c r="R45" s="124"/>
      <c r="S45" s="124"/>
      <c r="T45" s="124"/>
      <c r="U45" s="124"/>
      <c r="V45" s="125"/>
      <c r="W45" s="64"/>
    </row>
    <row r="46" spans="1:23" ht="56.7" customHeight="1">
      <c r="A46" s="314"/>
      <c r="B46" s="94"/>
      <c r="C46" s="145"/>
      <c r="D46" s="327"/>
      <c r="E46" s="122"/>
      <c r="F46" s="117"/>
      <c r="G46" s="126"/>
      <c r="H46" s="204" t="s">
        <v>507</v>
      </c>
      <c r="I46" s="201" t="s">
        <v>508</v>
      </c>
      <c r="J46" s="201" t="s">
        <v>509</v>
      </c>
      <c r="K46" s="201" t="s">
        <v>510</v>
      </c>
      <c r="L46" s="201" t="s">
        <v>511</v>
      </c>
      <c r="M46" s="201" t="s">
        <v>512</v>
      </c>
      <c r="N46" s="201" t="s">
        <v>513</v>
      </c>
      <c r="O46" s="124"/>
      <c r="P46" s="124"/>
      <c r="Q46" s="124"/>
      <c r="R46" s="124"/>
      <c r="S46" s="124"/>
      <c r="T46" s="124"/>
      <c r="U46" s="124"/>
      <c r="V46" s="125"/>
      <c r="W46" s="64"/>
    </row>
    <row r="47" spans="1:23" ht="45.45" customHeight="1">
      <c r="A47" s="314"/>
      <c r="B47" s="94"/>
      <c r="C47" s="145"/>
      <c r="D47" s="327"/>
      <c r="E47" s="122"/>
      <c r="F47" s="117"/>
      <c r="G47" s="126"/>
      <c r="H47" s="204" t="s">
        <v>514</v>
      </c>
      <c r="I47" s="201" t="s">
        <v>515</v>
      </c>
      <c r="J47" s="201" t="s">
        <v>516</v>
      </c>
      <c r="K47" s="201" t="s">
        <v>517</v>
      </c>
      <c r="L47" s="201" t="s">
        <v>518</v>
      </c>
      <c r="M47" s="201" t="s">
        <v>519</v>
      </c>
      <c r="N47" s="201" t="s">
        <v>520</v>
      </c>
      <c r="O47" s="124"/>
      <c r="P47" s="124"/>
      <c r="Q47" s="124"/>
      <c r="R47" s="124"/>
      <c r="S47" s="124"/>
      <c r="T47" s="124"/>
      <c r="U47" s="124"/>
      <c r="V47" s="125"/>
      <c r="W47" s="64"/>
    </row>
    <row r="48" spans="1:23" ht="45.45" customHeight="1">
      <c r="A48" s="314"/>
      <c r="B48" s="94"/>
      <c r="C48" s="145"/>
      <c r="D48" s="327"/>
      <c r="E48" s="122"/>
      <c r="F48" s="117"/>
      <c r="G48" s="126"/>
      <c r="H48" s="204" t="s">
        <v>521</v>
      </c>
      <c r="I48" s="201" t="s">
        <v>522</v>
      </c>
      <c r="J48" s="201" t="s">
        <v>523</v>
      </c>
      <c r="K48" s="201" t="s">
        <v>524</v>
      </c>
      <c r="L48" s="201" t="s">
        <v>525</v>
      </c>
      <c r="M48" s="201" t="s">
        <v>526</v>
      </c>
      <c r="N48" s="201" t="s">
        <v>527</v>
      </c>
      <c r="O48" s="124"/>
      <c r="P48" s="124"/>
      <c r="Q48" s="124"/>
      <c r="R48" s="124"/>
      <c r="S48" s="124"/>
      <c r="T48" s="124"/>
      <c r="U48" s="124"/>
      <c r="V48" s="125"/>
      <c r="W48" s="64"/>
    </row>
    <row r="49" spans="1:23" ht="36.450000000000003" customHeight="1">
      <c r="A49" s="314"/>
      <c r="B49" s="94"/>
      <c r="C49" s="145"/>
      <c r="D49" s="327"/>
      <c r="E49" s="122"/>
      <c r="F49" s="117"/>
      <c r="G49" s="126"/>
      <c r="H49" s="204" t="s">
        <v>528</v>
      </c>
      <c r="I49" s="201" t="s">
        <v>529</v>
      </c>
      <c r="J49" s="201" t="s">
        <v>530</v>
      </c>
      <c r="K49" s="201" t="s">
        <v>531</v>
      </c>
      <c r="L49" s="201" t="s">
        <v>532</v>
      </c>
      <c r="M49" s="201" t="s">
        <v>533</v>
      </c>
      <c r="N49" s="201" t="s">
        <v>534</v>
      </c>
      <c r="O49" s="124"/>
      <c r="P49" s="124"/>
      <c r="Q49" s="124"/>
      <c r="R49" s="124"/>
      <c r="S49" s="124"/>
      <c r="T49" s="124"/>
      <c r="U49" s="124"/>
      <c r="V49" s="125"/>
      <c r="W49" s="64"/>
    </row>
    <row r="50" spans="1:23" ht="62.7" customHeight="1">
      <c r="A50" s="314"/>
      <c r="B50" s="94"/>
      <c r="C50" s="145"/>
      <c r="D50" s="327"/>
      <c r="E50" s="122"/>
      <c r="F50" s="117"/>
      <c r="G50" s="126"/>
      <c r="H50" s="204" t="s">
        <v>535</v>
      </c>
      <c r="I50" s="201" t="s">
        <v>536</v>
      </c>
      <c r="J50" s="201" t="s">
        <v>537</v>
      </c>
      <c r="K50" s="201" t="s">
        <v>538</v>
      </c>
      <c r="L50" s="201" t="s">
        <v>539</v>
      </c>
      <c r="M50" s="201" t="s">
        <v>540</v>
      </c>
      <c r="N50" s="201" t="s">
        <v>541</v>
      </c>
      <c r="O50" s="124"/>
      <c r="P50" s="124"/>
      <c r="Q50" s="124"/>
      <c r="R50" s="124"/>
      <c r="S50" s="124"/>
      <c r="T50" s="124"/>
      <c r="U50" s="124"/>
      <c r="V50" s="125"/>
      <c r="W50" s="64"/>
    </row>
    <row r="51" spans="1:23" ht="51.45" customHeight="1">
      <c r="A51" s="314"/>
      <c r="B51" s="94"/>
      <c r="C51" s="145"/>
      <c r="D51" s="327"/>
      <c r="E51" s="166"/>
      <c r="F51" s="167"/>
      <c r="G51" s="168"/>
      <c r="H51" s="206" t="s">
        <v>542</v>
      </c>
      <c r="I51" s="202" t="s">
        <v>543</v>
      </c>
      <c r="J51" s="202" t="s">
        <v>544</v>
      </c>
      <c r="K51" s="202" t="s">
        <v>545</v>
      </c>
      <c r="L51" s="202" t="s">
        <v>546</v>
      </c>
      <c r="M51" s="202" t="s">
        <v>547</v>
      </c>
      <c r="N51" s="202" t="s">
        <v>548</v>
      </c>
      <c r="O51" s="147"/>
      <c r="P51" s="147"/>
      <c r="Q51" s="147"/>
      <c r="R51" s="147"/>
      <c r="S51" s="147"/>
      <c r="T51" s="147"/>
      <c r="U51" s="147"/>
      <c r="V51" s="125"/>
      <c r="W51" s="64"/>
    </row>
    <row r="52" spans="1:23" ht="57.6">
      <c r="A52" s="314"/>
      <c r="B52" s="94"/>
      <c r="C52" s="145"/>
      <c r="D52" s="327"/>
      <c r="E52" s="271"/>
      <c r="F52" s="271"/>
      <c r="G52" s="272"/>
      <c r="H52" s="273" t="s">
        <v>549</v>
      </c>
      <c r="I52" s="267" t="s">
        <v>550</v>
      </c>
      <c r="J52" s="267" t="s">
        <v>551</v>
      </c>
      <c r="K52" s="267" t="s">
        <v>552</v>
      </c>
      <c r="L52" s="267" t="s">
        <v>553</v>
      </c>
      <c r="M52" s="267" t="s">
        <v>554</v>
      </c>
      <c r="N52" s="267" t="s">
        <v>555</v>
      </c>
      <c r="O52" s="268"/>
      <c r="P52" s="268"/>
      <c r="Q52" s="268"/>
      <c r="R52" s="268"/>
      <c r="S52" s="268"/>
      <c r="T52" s="268"/>
      <c r="U52" s="268"/>
      <c r="V52" s="125"/>
      <c r="W52" s="64"/>
    </row>
    <row r="53" spans="1:23" ht="48.45" customHeight="1">
      <c r="A53" s="314"/>
      <c r="B53" s="164"/>
      <c r="C53" s="165"/>
      <c r="D53" s="327"/>
      <c r="E53" s="271"/>
      <c r="F53" s="271"/>
      <c r="G53" s="272"/>
      <c r="H53" s="273" t="s">
        <v>556</v>
      </c>
      <c r="I53" s="267"/>
      <c r="J53" s="267"/>
      <c r="K53" s="267"/>
      <c r="L53" s="267"/>
      <c r="M53" s="267"/>
      <c r="N53" s="267"/>
      <c r="O53" s="268"/>
      <c r="P53" s="268"/>
      <c r="Q53" s="268"/>
      <c r="R53" s="268"/>
      <c r="S53" s="268"/>
      <c r="T53" s="268"/>
      <c r="U53" s="268"/>
      <c r="V53" s="148"/>
      <c r="W53" s="64"/>
    </row>
    <row r="54" spans="1:23" ht="65.7" customHeight="1">
      <c r="A54" s="314"/>
      <c r="B54" s="164"/>
      <c r="C54" s="165"/>
      <c r="D54" s="327"/>
      <c r="E54" s="269"/>
      <c r="F54" s="176"/>
      <c r="G54" s="270"/>
      <c r="H54" s="206" t="s">
        <v>557</v>
      </c>
      <c r="I54" s="202" t="s">
        <v>558</v>
      </c>
      <c r="J54" s="202" t="s">
        <v>559</v>
      </c>
      <c r="K54" s="202" t="s">
        <v>560</v>
      </c>
      <c r="L54" s="202" t="s">
        <v>561</v>
      </c>
      <c r="M54" s="202" t="s">
        <v>562</v>
      </c>
      <c r="N54" s="202" t="s">
        <v>563</v>
      </c>
      <c r="O54" s="147"/>
      <c r="P54" s="147"/>
      <c r="Q54" s="147"/>
      <c r="R54" s="147"/>
      <c r="S54" s="147"/>
      <c r="T54" s="147"/>
      <c r="U54" s="147"/>
      <c r="V54" s="148"/>
      <c r="W54" s="64"/>
    </row>
    <row r="55" spans="1:23" s="175" customFormat="1" ht="28.8">
      <c r="A55" s="314"/>
      <c r="B55" s="170"/>
      <c r="C55" s="171"/>
      <c r="D55" s="163"/>
      <c r="E55" s="171"/>
      <c r="F55" s="171"/>
      <c r="G55" s="172"/>
      <c r="H55" s="207" t="s">
        <v>314</v>
      </c>
      <c r="I55" s="173"/>
      <c r="J55" s="174"/>
      <c r="K55" s="174"/>
      <c r="L55" s="174"/>
      <c r="M55" s="174"/>
      <c r="N55" s="174"/>
      <c r="O55" s="174"/>
      <c r="P55" s="174"/>
      <c r="Q55" s="174"/>
      <c r="R55" s="174"/>
      <c r="S55" s="174"/>
      <c r="T55" s="174"/>
      <c r="U55" s="174"/>
      <c r="V55" s="174"/>
      <c r="W55" s="174"/>
    </row>
    <row r="56" spans="1:23" ht="73.2" customHeight="1">
      <c r="A56" s="314"/>
      <c r="B56" s="94"/>
      <c r="C56" s="145"/>
      <c r="D56" s="327" t="s">
        <v>311</v>
      </c>
      <c r="E56" s="149"/>
      <c r="F56" s="144"/>
      <c r="G56" s="169"/>
      <c r="H56" s="204" t="s">
        <v>564</v>
      </c>
      <c r="I56" s="141" t="s">
        <v>565</v>
      </c>
      <c r="J56" s="141" t="s">
        <v>566</v>
      </c>
      <c r="K56" s="141" t="s">
        <v>567</v>
      </c>
      <c r="L56" s="141" t="s">
        <v>568</v>
      </c>
      <c r="M56" s="141" t="s">
        <v>569</v>
      </c>
      <c r="N56" s="141" t="s">
        <v>570</v>
      </c>
      <c r="O56" s="124"/>
      <c r="P56" s="124"/>
      <c r="Q56" s="124"/>
      <c r="R56" s="124"/>
      <c r="S56" s="124"/>
      <c r="T56" s="124"/>
      <c r="U56" s="124"/>
      <c r="V56" s="125"/>
      <c r="W56" s="64"/>
    </row>
    <row r="57" spans="1:23" ht="87" customHeight="1">
      <c r="A57" s="314"/>
      <c r="B57" s="94"/>
      <c r="C57" s="145"/>
      <c r="D57" s="327"/>
      <c r="E57" s="150"/>
      <c r="F57" s="117"/>
      <c r="G57" s="126"/>
      <c r="H57" s="204" t="s">
        <v>571</v>
      </c>
      <c r="I57" s="141" t="s">
        <v>572</v>
      </c>
      <c r="J57" s="141" t="s">
        <v>573</v>
      </c>
      <c r="K57" s="141" t="s">
        <v>574</v>
      </c>
      <c r="L57" s="141" t="s">
        <v>575</v>
      </c>
      <c r="M57" s="141" t="s">
        <v>554</v>
      </c>
      <c r="N57" s="141" t="s">
        <v>576</v>
      </c>
      <c r="O57" s="124"/>
      <c r="P57" s="124"/>
      <c r="Q57" s="124"/>
      <c r="R57" s="124"/>
      <c r="S57" s="124"/>
      <c r="T57" s="124"/>
      <c r="U57" s="124"/>
      <c r="V57" s="125"/>
      <c r="W57" s="64"/>
    </row>
    <row r="58" spans="1:23" ht="72">
      <c r="A58" s="314"/>
      <c r="B58" s="94"/>
      <c r="C58" s="145"/>
      <c r="D58" s="327"/>
      <c r="E58" s="122"/>
      <c r="F58" s="117"/>
      <c r="G58" s="126"/>
      <c r="H58" s="204" t="s">
        <v>577</v>
      </c>
      <c r="I58" s="141" t="s">
        <v>578</v>
      </c>
      <c r="J58" s="141" t="s">
        <v>579</v>
      </c>
      <c r="K58" s="141" t="s">
        <v>580</v>
      </c>
      <c r="L58" s="141" t="s">
        <v>581</v>
      </c>
      <c r="M58" s="141" t="s">
        <v>582</v>
      </c>
      <c r="N58" s="141" t="s">
        <v>583</v>
      </c>
      <c r="O58" s="124"/>
      <c r="P58" s="124"/>
      <c r="Q58" s="124"/>
      <c r="R58" s="124"/>
      <c r="S58" s="124"/>
      <c r="T58" s="124"/>
      <c r="U58" s="124"/>
      <c r="V58" s="125"/>
      <c r="W58" s="64"/>
    </row>
    <row r="59" spans="1:23" ht="72">
      <c r="A59" s="314"/>
      <c r="B59" s="94"/>
      <c r="C59" s="145"/>
      <c r="D59" s="327"/>
      <c r="E59" s="122"/>
      <c r="F59" s="117"/>
      <c r="G59" s="126"/>
      <c r="H59" s="204" t="s">
        <v>584</v>
      </c>
      <c r="I59" s="141" t="s">
        <v>585</v>
      </c>
      <c r="J59" s="141" t="s">
        <v>586</v>
      </c>
      <c r="K59" s="141" t="s">
        <v>587</v>
      </c>
      <c r="L59" s="141" t="s">
        <v>588</v>
      </c>
      <c r="M59" s="141" t="s">
        <v>589</v>
      </c>
      <c r="N59" s="141" t="s">
        <v>590</v>
      </c>
      <c r="O59" s="124"/>
      <c r="P59" s="124"/>
      <c r="Q59" s="124"/>
      <c r="R59" s="124"/>
      <c r="S59" s="124"/>
      <c r="T59" s="124"/>
      <c r="U59" s="124"/>
      <c r="V59" s="125"/>
      <c r="W59" s="64"/>
    </row>
    <row r="60" spans="1:23" ht="54.45" customHeight="1">
      <c r="A60" s="314"/>
      <c r="B60" s="94"/>
      <c r="C60" s="145"/>
      <c r="D60" s="327"/>
      <c r="E60" s="122"/>
      <c r="F60" s="117"/>
      <c r="G60" s="126"/>
      <c r="H60" s="204" t="s">
        <v>591</v>
      </c>
      <c r="I60" s="141" t="s">
        <v>592</v>
      </c>
      <c r="J60" s="141" t="s">
        <v>593</v>
      </c>
      <c r="K60" s="141" t="s">
        <v>594</v>
      </c>
      <c r="L60" s="141" t="s">
        <v>595</v>
      </c>
      <c r="M60" s="141" t="s">
        <v>596</v>
      </c>
      <c r="N60" s="141" t="s">
        <v>597</v>
      </c>
      <c r="O60" s="124"/>
      <c r="P60" s="124"/>
      <c r="Q60" s="124"/>
      <c r="R60" s="124"/>
      <c r="S60" s="124"/>
      <c r="T60" s="124"/>
      <c r="U60" s="124"/>
      <c r="V60" s="125"/>
      <c r="W60" s="64"/>
    </row>
    <row r="61" spans="1:23" ht="60.45" customHeight="1">
      <c r="A61" s="314"/>
      <c r="B61" s="164"/>
      <c r="C61" s="165"/>
      <c r="D61" s="327"/>
      <c r="E61" s="166"/>
      <c r="F61" s="167"/>
      <c r="G61" s="168"/>
      <c r="H61" s="206" t="s">
        <v>598</v>
      </c>
      <c r="I61" s="203" t="s">
        <v>599</v>
      </c>
      <c r="J61" s="203" t="s">
        <v>600</v>
      </c>
      <c r="K61" s="203" t="s">
        <v>601</v>
      </c>
      <c r="L61" s="203" t="s">
        <v>602</v>
      </c>
      <c r="M61" s="203" t="s">
        <v>215</v>
      </c>
      <c r="N61" s="203" t="s">
        <v>603</v>
      </c>
      <c r="O61" s="147"/>
      <c r="P61" s="147"/>
      <c r="Q61" s="147"/>
      <c r="R61" s="147"/>
      <c r="S61" s="147"/>
      <c r="T61" s="147"/>
      <c r="U61" s="147"/>
      <c r="V61" s="148"/>
      <c r="W61" s="64"/>
    </row>
    <row r="62" spans="1:23" s="175" customFormat="1" ht="76.5" customHeight="1">
      <c r="A62" s="314"/>
      <c r="B62" s="170"/>
      <c r="C62" s="171"/>
      <c r="D62" s="163"/>
      <c r="E62" s="171"/>
      <c r="F62" s="171"/>
      <c r="G62" s="172"/>
      <c r="H62" s="207" t="s">
        <v>328</v>
      </c>
      <c r="I62" s="173"/>
      <c r="J62" s="174"/>
      <c r="K62" s="174"/>
      <c r="L62" s="174"/>
      <c r="M62" s="174"/>
      <c r="N62" s="174"/>
      <c r="O62" s="174"/>
      <c r="P62" s="174"/>
      <c r="Q62" s="174"/>
      <c r="R62" s="174"/>
      <c r="S62" s="174"/>
      <c r="T62" s="174"/>
      <c r="U62" s="174"/>
      <c r="V62" s="174"/>
      <c r="W62" s="174"/>
    </row>
    <row r="63" spans="1:23" ht="57.6">
      <c r="A63" s="314"/>
      <c r="B63" s="94"/>
      <c r="C63" s="145"/>
      <c r="D63" s="327" t="s">
        <v>604</v>
      </c>
      <c r="E63" s="149"/>
      <c r="F63" s="144"/>
      <c r="G63" s="169"/>
      <c r="H63" s="204" t="s">
        <v>605</v>
      </c>
      <c r="I63" s="141" t="s">
        <v>606</v>
      </c>
      <c r="J63" s="141" t="s">
        <v>607</v>
      </c>
      <c r="K63" s="141" t="s">
        <v>608</v>
      </c>
      <c r="L63" s="141" t="s">
        <v>609</v>
      </c>
      <c r="M63" s="141" t="s">
        <v>610</v>
      </c>
      <c r="N63" s="141" t="s">
        <v>611</v>
      </c>
      <c r="O63" s="124"/>
      <c r="P63" s="124"/>
      <c r="Q63" s="124"/>
      <c r="R63" s="124"/>
      <c r="S63" s="124"/>
      <c r="T63" s="124"/>
      <c r="U63" s="124"/>
      <c r="V63" s="125"/>
      <c r="W63" s="64"/>
    </row>
    <row r="64" spans="1:23" ht="72">
      <c r="A64" s="314"/>
      <c r="B64" s="94"/>
      <c r="C64" s="145"/>
      <c r="D64" s="327"/>
      <c r="E64" s="122"/>
      <c r="F64" s="117"/>
      <c r="G64" s="126"/>
      <c r="H64" s="204" t="s">
        <v>612</v>
      </c>
      <c r="I64" s="141" t="s">
        <v>613</v>
      </c>
      <c r="J64" s="141" t="s">
        <v>614</v>
      </c>
      <c r="K64" s="141" t="s">
        <v>615</v>
      </c>
      <c r="L64" s="141" t="s">
        <v>616</v>
      </c>
      <c r="M64" s="141" t="s">
        <v>617</v>
      </c>
      <c r="N64" s="141" t="s">
        <v>618</v>
      </c>
      <c r="O64" s="124"/>
      <c r="P64" s="124"/>
      <c r="Q64" s="124"/>
      <c r="R64" s="124"/>
      <c r="S64" s="124"/>
      <c r="T64" s="124"/>
      <c r="U64" s="124"/>
      <c r="V64" s="125"/>
      <c r="W64" s="64"/>
    </row>
    <row r="65" spans="1:23" ht="57.6">
      <c r="A65" s="314"/>
      <c r="B65" s="94"/>
      <c r="C65" s="145"/>
      <c r="D65" s="327"/>
      <c r="E65" s="122"/>
      <c r="F65" s="117"/>
      <c r="G65" s="126"/>
      <c r="H65" s="224" t="s">
        <v>619</v>
      </c>
      <c r="I65" s="141" t="s">
        <v>620</v>
      </c>
      <c r="J65" s="141" t="s">
        <v>621</v>
      </c>
      <c r="K65" s="141" t="s">
        <v>622</v>
      </c>
      <c r="L65" s="141" t="s">
        <v>623</v>
      </c>
      <c r="M65" s="141" t="s">
        <v>215</v>
      </c>
      <c r="N65" s="141" t="s">
        <v>624</v>
      </c>
      <c r="O65" s="124"/>
      <c r="P65" s="124"/>
      <c r="Q65" s="124"/>
      <c r="R65" s="124"/>
      <c r="S65" s="124"/>
      <c r="T65" s="124"/>
      <c r="U65" s="124"/>
      <c r="V65" s="125"/>
      <c r="W65" s="64"/>
    </row>
    <row r="66" spans="1:23" ht="72">
      <c r="A66" s="314"/>
      <c r="B66" s="94"/>
      <c r="C66" s="145"/>
      <c r="D66" s="327"/>
      <c r="E66" s="122"/>
      <c r="F66" s="117"/>
      <c r="G66" s="126"/>
      <c r="H66" s="204" t="s">
        <v>625</v>
      </c>
      <c r="I66" s="141" t="s">
        <v>626</v>
      </c>
      <c r="J66" s="141" t="s">
        <v>627</v>
      </c>
      <c r="K66" s="141" t="s">
        <v>628</v>
      </c>
      <c r="L66" s="141" t="s">
        <v>629</v>
      </c>
      <c r="M66" s="141" t="s">
        <v>630</v>
      </c>
      <c r="N66" s="141" t="s">
        <v>631</v>
      </c>
      <c r="O66" s="124"/>
      <c r="P66" s="124"/>
      <c r="Q66" s="124"/>
      <c r="R66" s="124"/>
      <c r="S66" s="124"/>
      <c r="T66" s="124"/>
      <c r="U66" s="124"/>
      <c r="V66" s="125"/>
      <c r="W66" s="64"/>
    </row>
    <row r="67" spans="1:23" ht="57.6">
      <c r="A67" s="314"/>
      <c r="B67" s="94"/>
      <c r="C67" s="145"/>
      <c r="D67" s="327"/>
      <c r="E67" s="122"/>
      <c r="F67" s="117"/>
      <c r="G67" s="126"/>
      <c r="H67" s="204" t="s">
        <v>632</v>
      </c>
      <c r="I67" s="141" t="s">
        <v>633</v>
      </c>
      <c r="J67" s="141" t="s">
        <v>634</v>
      </c>
      <c r="K67" s="141" t="s">
        <v>635</v>
      </c>
      <c r="L67" s="141" t="s">
        <v>636</v>
      </c>
      <c r="M67" s="141" t="s">
        <v>637</v>
      </c>
      <c r="N67" s="141" t="s">
        <v>638</v>
      </c>
      <c r="O67" s="124"/>
      <c r="P67" s="124"/>
      <c r="Q67" s="124"/>
      <c r="R67" s="124"/>
      <c r="S67" s="124"/>
      <c r="T67" s="124"/>
      <c r="U67" s="124"/>
      <c r="V67" s="125"/>
      <c r="W67" s="64"/>
    </row>
    <row r="68" spans="1:23" ht="57.6">
      <c r="A68" s="314"/>
      <c r="B68" s="164"/>
      <c r="C68" s="165"/>
      <c r="D68" s="327"/>
      <c r="E68" s="166"/>
      <c r="F68" s="167"/>
      <c r="G68" s="168"/>
      <c r="H68" s="206" t="s">
        <v>639</v>
      </c>
      <c r="I68" s="203" t="s">
        <v>640</v>
      </c>
      <c r="J68" s="203" t="s">
        <v>641</v>
      </c>
      <c r="K68" s="203" t="s">
        <v>642</v>
      </c>
      <c r="L68" s="203" t="s">
        <v>643</v>
      </c>
      <c r="M68" s="203" t="s">
        <v>644</v>
      </c>
      <c r="N68" s="203" t="s">
        <v>645</v>
      </c>
      <c r="O68" s="147"/>
      <c r="P68" s="147"/>
      <c r="Q68" s="147"/>
      <c r="R68" s="147"/>
      <c r="S68" s="147"/>
      <c r="T68" s="147"/>
      <c r="U68" s="147"/>
      <c r="V68" s="148"/>
      <c r="W68" s="64"/>
    </row>
    <row r="69" spans="1:23" s="175" customFormat="1" ht="28.8">
      <c r="A69" s="314"/>
      <c r="B69" s="170"/>
      <c r="C69" s="171"/>
      <c r="D69" s="163"/>
      <c r="E69" s="171"/>
      <c r="F69" s="171"/>
      <c r="G69" s="172"/>
      <c r="H69" s="207" t="s">
        <v>646</v>
      </c>
      <c r="I69" s="173"/>
      <c r="J69" s="174"/>
      <c r="K69" s="174"/>
      <c r="L69" s="174"/>
      <c r="M69" s="174"/>
      <c r="N69" s="174"/>
      <c r="O69" s="174"/>
      <c r="P69" s="174"/>
      <c r="Q69" s="174"/>
      <c r="R69" s="174"/>
      <c r="S69" s="174"/>
      <c r="T69" s="174"/>
      <c r="U69" s="174"/>
      <c r="V69" s="174"/>
      <c r="W69" s="174"/>
    </row>
    <row r="70" spans="1:23" ht="86.4">
      <c r="A70" s="314"/>
      <c r="B70" s="94"/>
      <c r="C70" s="144"/>
      <c r="D70" s="328" t="s">
        <v>340</v>
      </c>
      <c r="E70" s="149"/>
      <c r="F70" s="144"/>
      <c r="G70" s="169"/>
      <c r="H70" s="204" t="s">
        <v>647</v>
      </c>
      <c r="I70" s="141" t="s">
        <v>648</v>
      </c>
      <c r="J70" s="141" t="s">
        <v>649</v>
      </c>
      <c r="K70" s="141" t="s">
        <v>650</v>
      </c>
      <c r="L70" s="141" t="s">
        <v>651</v>
      </c>
      <c r="M70" s="141" t="s">
        <v>652</v>
      </c>
      <c r="N70" s="141" t="s">
        <v>653</v>
      </c>
      <c r="O70" s="124"/>
      <c r="P70" s="124"/>
      <c r="Q70" s="124"/>
      <c r="R70" s="124"/>
      <c r="S70" s="124"/>
      <c r="T70" s="124"/>
      <c r="U70" s="124"/>
      <c r="V70" s="125"/>
      <c r="W70" s="64"/>
    </row>
    <row r="71" spans="1:23" ht="86.4">
      <c r="A71" s="314"/>
      <c r="B71" s="94"/>
      <c r="C71" s="144"/>
      <c r="D71" s="326"/>
      <c r="E71" s="122"/>
      <c r="F71" s="117"/>
      <c r="G71" s="126"/>
      <c r="H71" s="204" t="s">
        <v>654</v>
      </c>
      <c r="I71" s="141" t="s">
        <v>655</v>
      </c>
      <c r="J71" s="141" t="s">
        <v>656</v>
      </c>
      <c r="K71" s="141" t="s">
        <v>657</v>
      </c>
      <c r="L71" s="141" t="s">
        <v>658</v>
      </c>
      <c r="M71" s="141" t="s">
        <v>659</v>
      </c>
      <c r="N71" s="141" t="s">
        <v>660</v>
      </c>
      <c r="O71" s="124"/>
      <c r="P71" s="124"/>
      <c r="Q71" s="124"/>
      <c r="R71" s="124"/>
      <c r="S71" s="124"/>
      <c r="T71" s="124"/>
      <c r="U71" s="124"/>
      <c r="V71" s="125"/>
      <c r="W71" s="64"/>
    </row>
    <row r="72" spans="1:23" ht="72">
      <c r="A72" s="314"/>
      <c r="B72" s="94"/>
      <c r="C72" s="144"/>
      <c r="D72" s="326"/>
      <c r="E72" s="122"/>
      <c r="F72" s="117"/>
      <c r="G72" s="126"/>
      <c r="H72" s="204" t="s">
        <v>661</v>
      </c>
      <c r="I72" s="141" t="s">
        <v>662</v>
      </c>
      <c r="J72" s="141" t="s">
        <v>663</v>
      </c>
      <c r="K72" s="141" t="s">
        <v>664</v>
      </c>
      <c r="L72" s="141" t="s">
        <v>665</v>
      </c>
      <c r="M72" s="141" t="s">
        <v>666</v>
      </c>
      <c r="N72" s="141" t="s">
        <v>667</v>
      </c>
      <c r="O72" s="124"/>
      <c r="P72" s="124"/>
      <c r="Q72" s="124"/>
      <c r="R72" s="124"/>
      <c r="S72" s="124"/>
      <c r="T72" s="124"/>
      <c r="U72" s="124"/>
      <c r="V72" s="125"/>
      <c r="W72" s="64"/>
    </row>
    <row r="73" spans="1:23" s="266" customFormat="1" ht="72">
      <c r="A73" s="314"/>
      <c r="B73" s="262"/>
      <c r="C73" s="263"/>
      <c r="D73" s="326"/>
      <c r="E73" s="264"/>
      <c r="F73" s="265"/>
      <c r="G73" s="126"/>
      <c r="H73" s="201" t="s">
        <v>668</v>
      </c>
      <c r="I73" s="141" t="s">
        <v>669</v>
      </c>
      <c r="J73" s="141" t="s">
        <v>670</v>
      </c>
      <c r="K73" s="141" t="s">
        <v>671</v>
      </c>
      <c r="L73" s="141" t="s">
        <v>672</v>
      </c>
      <c r="M73" s="141" t="s">
        <v>673</v>
      </c>
      <c r="N73" s="141" t="s">
        <v>674</v>
      </c>
      <c r="O73" s="124"/>
      <c r="P73" s="124"/>
      <c r="Q73" s="124"/>
      <c r="R73" s="124"/>
      <c r="S73" s="124"/>
      <c r="T73" s="124"/>
      <c r="U73" s="124"/>
      <c r="V73" s="125"/>
      <c r="W73" s="64"/>
    </row>
    <row r="74" spans="1:23" ht="52.95" customHeight="1">
      <c r="A74" s="314"/>
      <c r="B74" s="94"/>
      <c r="C74" s="144"/>
      <c r="D74" s="326"/>
      <c r="E74" s="122"/>
      <c r="F74" s="117"/>
      <c r="G74" s="126"/>
      <c r="H74" s="201" t="s">
        <v>675</v>
      </c>
      <c r="I74" s="141" t="s">
        <v>676</v>
      </c>
      <c r="J74" s="141" t="s">
        <v>677</v>
      </c>
      <c r="K74" s="141" t="s">
        <v>678</v>
      </c>
      <c r="L74" s="141" t="s">
        <v>679</v>
      </c>
      <c r="M74" s="141" t="s">
        <v>680</v>
      </c>
      <c r="N74" s="141" t="s">
        <v>681</v>
      </c>
      <c r="O74" s="124"/>
      <c r="P74" s="124"/>
      <c r="Q74" s="124"/>
      <c r="R74" s="124"/>
      <c r="S74" s="124"/>
      <c r="T74" s="124"/>
      <c r="U74" s="124"/>
      <c r="V74" s="125"/>
      <c r="W74" s="64"/>
    </row>
    <row r="75" spans="1:23" ht="60" customHeight="1">
      <c r="A75" s="314"/>
      <c r="B75" s="94"/>
      <c r="C75" s="144"/>
      <c r="D75" s="326"/>
      <c r="E75" s="122"/>
      <c r="F75" s="117"/>
      <c r="G75" s="126"/>
      <c r="H75" s="201" t="s">
        <v>682</v>
      </c>
      <c r="I75" s="141" t="s">
        <v>683</v>
      </c>
      <c r="J75" s="141" t="s">
        <v>684</v>
      </c>
      <c r="K75" s="141" t="s">
        <v>685</v>
      </c>
      <c r="L75" s="141" t="s">
        <v>686</v>
      </c>
      <c r="M75" s="141" t="s">
        <v>589</v>
      </c>
      <c r="N75" s="141" t="s">
        <v>687</v>
      </c>
      <c r="O75" s="124"/>
      <c r="P75" s="124"/>
      <c r="Q75" s="124"/>
      <c r="R75" s="124"/>
      <c r="S75" s="124"/>
      <c r="T75" s="124"/>
      <c r="U75" s="124"/>
      <c r="V75" s="125"/>
      <c r="W75" s="64"/>
    </row>
    <row r="76" spans="1:23" ht="72">
      <c r="A76" s="314"/>
      <c r="B76" s="164"/>
      <c r="C76" s="176"/>
      <c r="D76" s="329"/>
      <c r="E76" s="166"/>
      <c r="F76" s="167"/>
      <c r="G76" s="168"/>
      <c r="H76" s="206" t="s">
        <v>688</v>
      </c>
      <c r="I76" s="203" t="s">
        <v>689</v>
      </c>
      <c r="J76" s="203" t="s">
        <v>690</v>
      </c>
      <c r="K76" s="203" t="s">
        <v>691</v>
      </c>
      <c r="L76" s="203" t="s">
        <v>692</v>
      </c>
      <c r="M76" s="203" t="s">
        <v>215</v>
      </c>
      <c r="N76" s="203" t="s">
        <v>693</v>
      </c>
      <c r="O76" s="147"/>
      <c r="P76" s="147"/>
      <c r="Q76" s="147"/>
      <c r="R76" s="147"/>
      <c r="S76" s="147"/>
      <c r="T76" s="147"/>
      <c r="U76" s="147"/>
      <c r="V76" s="148"/>
      <c r="W76" s="64"/>
    </row>
    <row r="77" spans="1:23" s="175" customFormat="1" ht="43.2">
      <c r="A77" s="314"/>
      <c r="B77" s="170"/>
      <c r="C77" s="171"/>
      <c r="D77" s="163"/>
      <c r="E77" s="171"/>
      <c r="F77" s="171"/>
      <c r="G77" s="172"/>
      <c r="H77" s="207" t="s">
        <v>357</v>
      </c>
      <c r="I77" s="173"/>
      <c r="J77" s="174"/>
      <c r="K77" s="174"/>
      <c r="L77" s="174"/>
      <c r="M77" s="174"/>
      <c r="N77" s="174"/>
      <c r="O77" s="174"/>
      <c r="P77" s="174"/>
      <c r="Q77" s="174"/>
      <c r="R77" s="174"/>
      <c r="S77" s="174"/>
      <c r="T77" s="174"/>
      <c r="U77" s="174"/>
      <c r="V77" s="174"/>
      <c r="W77" s="174"/>
    </row>
    <row r="78" spans="1:23" ht="72">
      <c r="A78" s="314"/>
      <c r="B78" s="94"/>
      <c r="C78" s="144"/>
      <c r="D78" s="328" t="s">
        <v>355</v>
      </c>
      <c r="E78" s="149"/>
      <c r="F78" s="144"/>
      <c r="G78" s="169"/>
      <c r="H78" s="201" t="s">
        <v>694</v>
      </c>
      <c r="I78" s="201" t="s">
        <v>695</v>
      </c>
      <c r="J78" s="141" t="s">
        <v>696</v>
      </c>
      <c r="K78" s="141" t="s">
        <v>697</v>
      </c>
      <c r="L78" s="141" t="s">
        <v>698</v>
      </c>
      <c r="M78" s="141" t="s">
        <v>699</v>
      </c>
      <c r="N78" s="141" t="s">
        <v>700</v>
      </c>
      <c r="O78" s="124"/>
      <c r="P78" s="124"/>
      <c r="Q78" s="124"/>
      <c r="R78" s="124"/>
      <c r="S78" s="124"/>
      <c r="T78" s="124"/>
      <c r="U78" s="124"/>
      <c r="V78" s="125"/>
      <c r="W78" s="64"/>
    </row>
    <row r="79" spans="1:23" ht="43.2" customHeight="1">
      <c r="A79" s="314"/>
      <c r="B79" s="94"/>
      <c r="C79" s="144"/>
      <c r="D79" s="326"/>
      <c r="E79" s="122"/>
      <c r="F79" s="117"/>
      <c r="G79" s="126"/>
      <c r="H79" s="201" t="s">
        <v>701</v>
      </c>
      <c r="I79" s="201" t="s">
        <v>702</v>
      </c>
      <c r="J79" s="141" t="s">
        <v>703</v>
      </c>
      <c r="K79" s="141" t="s">
        <v>704</v>
      </c>
      <c r="L79" s="141" t="s">
        <v>705</v>
      </c>
      <c r="M79" s="141" t="s">
        <v>706</v>
      </c>
      <c r="N79" s="141" t="s">
        <v>707</v>
      </c>
      <c r="O79" s="124"/>
      <c r="P79" s="124"/>
      <c r="Q79" s="124"/>
      <c r="R79" s="124"/>
      <c r="S79" s="124"/>
      <c r="T79" s="124"/>
      <c r="U79" s="124"/>
      <c r="V79" s="125"/>
      <c r="W79" s="64"/>
    </row>
    <row r="80" spans="1:23" ht="46.5" customHeight="1">
      <c r="A80" s="314"/>
      <c r="B80" s="94"/>
      <c r="C80" s="144"/>
      <c r="D80" s="326"/>
      <c r="E80" s="122"/>
      <c r="F80" s="117"/>
      <c r="G80" s="126"/>
      <c r="H80" s="201" t="s">
        <v>708</v>
      </c>
      <c r="I80" s="201" t="s">
        <v>709</v>
      </c>
      <c r="J80" s="141" t="s">
        <v>710</v>
      </c>
      <c r="K80" s="141" t="s">
        <v>711</v>
      </c>
      <c r="L80" s="141" t="s">
        <v>712</v>
      </c>
      <c r="M80" s="141" t="s">
        <v>666</v>
      </c>
      <c r="N80" s="141" t="s">
        <v>713</v>
      </c>
      <c r="O80" s="124"/>
      <c r="P80" s="124"/>
      <c r="Q80" s="124"/>
      <c r="R80" s="124"/>
      <c r="S80" s="124"/>
      <c r="T80" s="124"/>
      <c r="U80" s="124"/>
      <c r="V80" s="125"/>
      <c r="W80" s="64"/>
    </row>
    <row r="81" spans="1:23" ht="72">
      <c r="A81" s="314"/>
      <c r="B81" s="94"/>
      <c r="C81" s="144"/>
      <c r="D81" s="326"/>
      <c r="E81" s="122"/>
      <c r="F81" s="117"/>
      <c r="G81" s="126"/>
      <c r="H81" s="204" t="s">
        <v>714</v>
      </c>
      <c r="I81" s="141" t="s">
        <v>715</v>
      </c>
      <c r="J81" s="141" t="s">
        <v>716</v>
      </c>
      <c r="K81" s="141" t="s">
        <v>717</v>
      </c>
      <c r="L81" s="141" t="s">
        <v>718</v>
      </c>
      <c r="M81" s="141" t="s">
        <v>719</v>
      </c>
      <c r="N81" s="141" t="s">
        <v>720</v>
      </c>
      <c r="O81" s="124"/>
      <c r="P81" s="124"/>
      <c r="Q81" s="124"/>
      <c r="R81" s="124"/>
      <c r="S81" s="124"/>
      <c r="T81" s="124"/>
      <c r="U81" s="124"/>
      <c r="V81" s="125"/>
      <c r="W81" s="64"/>
    </row>
    <row r="82" spans="1:23" ht="72">
      <c r="A82" s="314"/>
      <c r="B82" s="94"/>
      <c r="C82" s="144"/>
      <c r="D82" s="326"/>
      <c r="E82" s="122"/>
      <c r="F82" s="117"/>
      <c r="G82" s="126"/>
      <c r="H82" s="204" t="s">
        <v>721</v>
      </c>
      <c r="I82" s="141" t="s">
        <v>722</v>
      </c>
      <c r="J82" s="141" t="s">
        <v>723</v>
      </c>
      <c r="K82" s="141" t="s">
        <v>724</v>
      </c>
      <c r="L82" s="141" t="s">
        <v>725</v>
      </c>
      <c r="M82" s="141" t="s">
        <v>726</v>
      </c>
      <c r="N82" s="141" t="s">
        <v>727</v>
      </c>
      <c r="O82" s="124"/>
      <c r="P82" s="124"/>
      <c r="Q82" s="124"/>
      <c r="R82" s="124"/>
      <c r="S82" s="124"/>
      <c r="T82" s="124"/>
      <c r="U82" s="124"/>
      <c r="V82" s="125"/>
      <c r="W82" s="64"/>
    </row>
    <row r="83" spans="1:23" ht="46.5" customHeight="1">
      <c r="A83" s="314"/>
      <c r="B83" s="93"/>
      <c r="C83" s="89"/>
      <c r="D83" s="326"/>
      <c r="E83" s="89"/>
      <c r="F83" s="89"/>
      <c r="G83" s="126"/>
      <c r="H83" s="201" t="s">
        <v>728</v>
      </c>
      <c r="I83" s="201" t="s">
        <v>729</v>
      </c>
      <c r="J83" s="141" t="s">
        <v>730</v>
      </c>
      <c r="K83" s="141" t="s">
        <v>731</v>
      </c>
      <c r="L83" s="141" t="s">
        <v>732</v>
      </c>
      <c r="M83" s="141" t="s">
        <v>733</v>
      </c>
      <c r="N83" s="141" t="s">
        <v>734</v>
      </c>
      <c r="O83" s="124"/>
      <c r="P83" s="124"/>
      <c r="Q83" s="124"/>
      <c r="R83" s="124"/>
      <c r="S83" s="124"/>
      <c r="T83" s="124"/>
      <c r="U83" s="124"/>
      <c r="V83" s="125"/>
      <c r="W83" s="64"/>
    </row>
    <row r="84" spans="1:23" ht="62.7" customHeight="1">
      <c r="A84" s="314"/>
      <c r="B84" s="93"/>
      <c r="C84" s="89"/>
      <c r="D84" s="326"/>
      <c r="E84" s="89"/>
      <c r="F84" s="89"/>
      <c r="G84" s="126"/>
      <c r="H84" s="201" t="s">
        <v>735</v>
      </c>
      <c r="I84" s="201" t="s">
        <v>736</v>
      </c>
      <c r="J84" s="141" t="s">
        <v>737</v>
      </c>
      <c r="K84" s="141" t="s">
        <v>738</v>
      </c>
      <c r="L84" s="141" t="s">
        <v>739</v>
      </c>
      <c r="M84" s="141" t="s">
        <v>740</v>
      </c>
      <c r="N84" s="141" t="s">
        <v>741</v>
      </c>
      <c r="O84" s="124"/>
      <c r="P84" s="124"/>
      <c r="Q84" s="124"/>
      <c r="R84" s="124"/>
      <c r="S84" s="124"/>
      <c r="T84" s="124"/>
      <c r="U84" s="124"/>
      <c r="V84" s="125"/>
      <c r="W84" s="64"/>
    </row>
    <row r="85" spans="1:23" ht="72">
      <c r="A85" s="314"/>
      <c r="B85" s="93"/>
      <c r="C85" s="89"/>
      <c r="D85" s="329"/>
      <c r="E85" s="89"/>
      <c r="F85" s="89"/>
      <c r="G85" s="126"/>
      <c r="H85" s="201" t="s">
        <v>742</v>
      </c>
      <c r="I85" s="201" t="s">
        <v>743</v>
      </c>
      <c r="J85" s="141" t="s">
        <v>744</v>
      </c>
      <c r="K85" s="141" t="s">
        <v>745</v>
      </c>
      <c r="L85" s="141" t="s">
        <v>746</v>
      </c>
      <c r="M85" s="141" t="s">
        <v>747</v>
      </c>
      <c r="N85" s="141" t="s">
        <v>748</v>
      </c>
      <c r="O85" s="124"/>
      <c r="P85" s="124"/>
      <c r="Q85" s="124"/>
      <c r="R85" s="124"/>
      <c r="S85" s="124"/>
      <c r="T85" s="124"/>
      <c r="U85" s="124"/>
      <c r="V85" s="125"/>
      <c r="W85" s="64"/>
    </row>
  </sheetData>
  <autoFilter ref="A1:V85" xr:uid="{00000000-0001-0000-0600-000000000000}"/>
  <mergeCells count="135">
    <mergeCell ref="D78:D85"/>
    <mergeCell ref="N2:N4"/>
    <mergeCell ref="N5:N8"/>
    <mergeCell ref="E2:E4"/>
    <mergeCell ref="E5:E8"/>
    <mergeCell ref="N21:N22"/>
    <mergeCell ref="F2:F4"/>
    <mergeCell ref="I3:I4"/>
    <mergeCell ref="I9:I10"/>
    <mergeCell ref="N16:N17"/>
    <mergeCell ref="J14:J15"/>
    <mergeCell ref="K12:K13"/>
    <mergeCell ref="L12:L13"/>
    <mergeCell ref="M12:M13"/>
    <mergeCell ref="H24:H25"/>
    <mergeCell ref="G24:G25"/>
    <mergeCell ref="H26:H27"/>
    <mergeCell ref="G26:G27"/>
    <mergeCell ref="T12:T13"/>
    <mergeCell ref="O3:O4"/>
    <mergeCell ref="P3:P4"/>
    <mergeCell ref="Q3:Q4"/>
    <mergeCell ref="R3:R4"/>
    <mergeCell ref="S3:S4"/>
    <mergeCell ref="H14:H15"/>
    <mergeCell ref="M14:M15"/>
    <mergeCell ref="V12:V13"/>
    <mergeCell ref="U12:U13"/>
    <mergeCell ref="S14:S15"/>
    <mergeCell ref="T14:T15"/>
    <mergeCell ref="U14:U15"/>
    <mergeCell ref="V14:V15"/>
    <mergeCell ref="N14:N15"/>
    <mergeCell ref="O14:O15"/>
    <mergeCell ref="P14:P15"/>
    <mergeCell ref="Q14:Q15"/>
    <mergeCell ref="R14:R15"/>
    <mergeCell ref="U7:U8"/>
    <mergeCell ref="V7:V8"/>
    <mergeCell ref="H5:H8"/>
    <mergeCell ref="I7:I8"/>
    <mergeCell ref="J7:J8"/>
    <mergeCell ref="A24:A85"/>
    <mergeCell ref="A2:A11"/>
    <mergeCell ref="C2:C4"/>
    <mergeCell ref="B2:B4"/>
    <mergeCell ref="D2:D4"/>
    <mergeCell ref="G2:G4"/>
    <mergeCell ref="H2:H4"/>
    <mergeCell ref="G9:G10"/>
    <mergeCell ref="H9:H10"/>
    <mergeCell ref="D9:D10"/>
    <mergeCell ref="C12:C13"/>
    <mergeCell ref="D12:D13"/>
    <mergeCell ref="G12:G13"/>
    <mergeCell ref="A12:A22"/>
    <mergeCell ref="F5:F8"/>
    <mergeCell ref="F9:F10"/>
    <mergeCell ref="E9:E10"/>
    <mergeCell ref="G5:G8"/>
    <mergeCell ref="D24:D34"/>
    <mergeCell ref="D36:D42"/>
    <mergeCell ref="D44:D54"/>
    <mergeCell ref="D56:D61"/>
    <mergeCell ref="D63:D68"/>
    <mergeCell ref="D70:D76"/>
    <mergeCell ref="T3:T4"/>
    <mergeCell ref="Q7:Q8"/>
    <mergeCell ref="R7:R8"/>
    <mergeCell ref="B14:B15"/>
    <mergeCell ref="C14:C15"/>
    <mergeCell ref="D14:D15"/>
    <mergeCell ref="B9:B10"/>
    <mergeCell ref="C9:C10"/>
    <mergeCell ref="B12:B13"/>
    <mergeCell ref="B5:B8"/>
    <mergeCell ref="C5:C8"/>
    <mergeCell ref="D5:D8"/>
    <mergeCell ref="T7:T8"/>
    <mergeCell ref="K14:K15"/>
    <mergeCell ref="L14:L15"/>
    <mergeCell ref="N12:N13"/>
    <mergeCell ref="O12:O13"/>
    <mergeCell ref="P12:P13"/>
    <mergeCell ref="Q12:Q13"/>
    <mergeCell ref="R12:R13"/>
    <mergeCell ref="I12:I13"/>
    <mergeCell ref="J12:J13"/>
    <mergeCell ref="S7:S8"/>
    <mergeCell ref="I14:I15"/>
    <mergeCell ref="V3:V4"/>
    <mergeCell ref="M3:M4"/>
    <mergeCell ref="U9:U10"/>
    <mergeCell ref="V9:V10"/>
    <mergeCell ref="P9:P10"/>
    <mergeCell ref="Q9:Q10"/>
    <mergeCell ref="J3:J4"/>
    <mergeCell ref="K3:K4"/>
    <mergeCell ref="L3:L4"/>
    <mergeCell ref="R9:R10"/>
    <mergeCell ref="S9:S10"/>
    <mergeCell ref="T9:T10"/>
    <mergeCell ref="M7:M8"/>
    <mergeCell ref="O7:O8"/>
    <mergeCell ref="P7:P8"/>
    <mergeCell ref="K7:K8"/>
    <mergeCell ref="L7:L8"/>
    <mergeCell ref="M9:M10"/>
    <mergeCell ref="N9:N10"/>
    <mergeCell ref="O9:O10"/>
    <mergeCell ref="J9:J10"/>
    <mergeCell ref="K9:K10"/>
    <mergeCell ref="L9:L10"/>
    <mergeCell ref="U3:U4"/>
    <mergeCell ref="S12:S13"/>
    <mergeCell ref="B21:B22"/>
    <mergeCell ref="F21:F22"/>
    <mergeCell ref="H16:H17"/>
    <mergeCell ref="G14:G15"/>
    <mergeCell ref="G16:G17"/>
    <mergeCell ref="H12:H13"/>
    <mergeCell ref="D16:D17"/>
    <mergeCell ref="C16:C17"/>
    <mergeCell ref="B16:B17"/>
    <mergeCell ref="E21:E22"/>
    <mergeCell ref="F12:F13"/>
    <mergeCell ref="E12:E13"/>
    <mergeCell ref="F14:F15"/>
    <mergeCell ref="E14:E15"/>
    <mergeCell ref="F16:F17"/>
    <mergeCell ref="H21:H22"/>
    <mergeCell ref="G21:G22"/>
    <mergeCell ref="D21:D22"/>
    <mergeCell ref="C21:C22"/>
    <mergeCell ref="E16:E1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981"/>
  <sheetViews>
    <sheetView zoomScaleNormal="100" workbookViewId="0">
      <pane ySplit="1" topLeftCell="A4" activePane="bottomLeft" state="frozen"/>
      <selection pane="bottomLeft" activeCell="C7" sqref="C7"/>
    </sheetView>
  </sheetViews>
  <sheetFormatPr defaultColWidth="12.5546875" defaultRowHeight="15.75" customHeight="1"/>
  <cols>
    <col min="1" max="1" width="9.44140625" customWidth="1"/>
    <col min="2" max="2" width="9.33203125" customWidth="1"/>
    <col min="3" max="3" width="61.109375" style="247" customWidth="1"/>
    <col min="4" max="4" width="20.44140625" style="236" customWidth="1"/>
    <col min="5" max="5" width="15.109375" style="236" customWidth="1"/>
    <col min="6" max="6" width="17.5546875" style="236" customWidth="1"/>
    <col min="7" max="7" width="18.33203125" style="236" customWidth="1"/>
    <col min="8" max="8" width="17.44140625" style="236" customWidth="1"/>
    <col min="9" max="9" width="17.6640625" style="241" customWidth="1"/>
    <col min="10" max="10" width="19.5546875" customWidth="1"/>
    <col min="11" max="11" width="27.44140625" customWidth="1"/>
    <col min="12" max="12" width="5.44140625" customWidth="1"/>
  </cols>
  <sheetData>
    <row r="1" spans="1:12" ht="26.4">
      <c r="A1" s="65"/>
      <c r="B1" s="41" t="s">
        <v>749</v>
      </c>
      <c r="C1" s="41" t="s">
        <v>750</v>
      </c>
      <c r="D1" s="66" t="s">
        <v>751</v>
      </c>
      <c r="E1" s="66" t="s">
        <v>752</v>
      </c>
      <c r="F1" s="66" t="s">
        <v>753</v>
      </c>
      <c r="G1" s="66" t="s">
        <v>754</v>
      </c>
      <c r="H1" s="66" t="s">
        <v>755</v>
      </c>
      <c r="I1" s="66" t="s">
        <v>756</v>
      </c>
      <c r="J1" s="66" t="s">
        <v>757</v>
      </c>
      <c r="K1" s="66" t="s">
        <v>758</v>
      </c>
      <c r="L1" s="67"/>
    </row>
    <row r="2" spans="1:12" ht="46.95" customHeight="1">
      <c r="A2" s="68" t="s">
        <v>54</v>
      </c>
      <c r="B2" s="34" t="s">
        <v>759</v>
      </c>
      <c r="C2" s="244" t="s">
        <v>760</v>
      </c>
      <c r="D2" s="34"/>
      <c r="E2" s="34"/>
      <c r="F2" s="34"/>
      <c r="G2" s="34"/>
      <c r="H2" s="34"/>
      <c r="I2" s="240"/>
      <c r="J2" s="34" t="s">
        <v>761</v>
      </c>
      <c r="K2" s="34" t="s">
        <v>762</v>
      </c>
      <c r="L2" s="45"/>
    </row>
    <row r="3" spans="1:12" ht="26.4">
      <c r="A3" s="69"/>
      <c r="B3" s="69"/>
      <c r="C3" s="245" t="s">
        <v>271</v>
      </c>
      <c r="D3" s="242"/>
      <c r="E3" s="242"/>
      <c r="F3" s="242"/>
      <c r="G3" s="242"/>
      <c r="H3" s="242"/>
      <c r="I3" s="243">
        <f t="shared" ref="I3:I67" si="0">SUM(D3:H3)*1.125</f>
        <v>0</v>
      </c>
      <c r="J3" s="69"/>
      <c r="K3" s="69"/>
    </row>
    <row r="4" spans="1:12" ht="26.4">
      <c r="A4" s="69"/>
      <c r="B4" s="69"/>
      <c r="C4" s="62" t="s">
        <v>763</v>
      </c>
      <c r="D4" s="242">
        <v>75000000</v>
      </c>
      <c r="E4" s="242">
        <v>30000000</v>
      </c>
      <c r="F4" s="242">
        <v>50000000</v>
      </c>
      <c r="G4" s="242">
        <v>75000000</v>
      </c>
      <c r="H4" s="242">
        <v>50000000</v>
      </c>
      <c r="I4" s="243">
        <f t="shared" si="0"/>
        <v>315000000</v>
      </c>
      <c r="J4" s="69"/>
      <c r="K4" s="69"/>
    </row>
    <row r="5" spans="1:12" ht="26.4">
      <c r="A5" s="69"/>
      <c r="B5" s="69"/>
      <c r="C5" s="62" t="s">
        <v>764</v>
      </c>
      <c r="D5" s="242">
        <v>35000000</v>
      </c>
      <c r="E5" s="242">
        <v>40000000</v>
      </c>
      <c r="F5" s="242">
        <v>45000000</v>
      </c>
      <c r="G5" s="242">
        <v>50000000</v>
      </c>
      <c r="H5" s="242">
        <v>55000000</v>
      </c>
      <c r="I5" s="243">
        <f t="shared" si="0"/>
        <v>253125000</v>
      </c>
      <c r="J5" s="69"/>
      <c r="K5" s="69"/>
    </row>
    <row r="6" spans="1:12" ht="45.75" customHeight="1">
      <c r="A6" s="69"/>
      <c r="B6" s="69"/>
      <c r="C6" s="62" t="s">
        <v>765</v>
      </c>
      <c r="D6" s="242">
        <v>20000000</v>
      </c>
      <c r="E6" s="242">
        <v>50000000</v>
      </c>
      <c r="F6" s="242">
        <v>50000000</v>
      </c>
      <c r="G6" s="242">
        <v>50000000</v>
      </c>
      <c r="H6" s="242">
        <v>50000000</v>
      </c>
      <c r="I6" s="243">
        <f t="shared" si="0"/>
        <v>247500000</v>
      </c>
      <c r="J6" s="69"/>
      <c r="K6" s="69"/>
    </row>
    <row r="7" spans="1:12" ht="66">
      <c r="A7" s="69"/>
      <c r="B7" s="69"/>
      <c r="C7" s="62" t="s">
        <v>766</v>
      </c>
      <c r="D7" s="242">
        <v>25000000</v>
      </c>
      <c r="E7" s="242">
        <v>25000000</v>
      </c>
      <c r="F7" s="242">
        <v>25000000</v>
      </c>
      <c r="G7" s="242">
        <v>25000000</v>
      </c>
      <c r="H7" s="242">
        <v>45000000</v>
      </c>
      <c r="I7" s="243">
        <f t="shared" si="0"/>
        <v>163125000</v>
      </c>
      <c r="J7" s="69"/>
      <c r="K7" s="69"/>
    </row>
    <row r="8" spans="1:12" ht="26.4">
      <c r="A8" s="69"/>
      <c r="B8" s="69"/>
      <c r="C8" s="62" t="s">
        <v>407</v>
      </c>
      <c r="D8" s="242">
        <v>20000000</v>
      </c>
      <c r="E8" s="242">
        <v>30000000</v>
      </c>
      <c r="F8" s="242">
        <v>30000000</v>
      </c>
      <c r="G8" s="242">
        <v>30000000</v>
      </c>
      <c r="H8" s="242">
        <v>50000000</v>
      </c>
      <c r="I8" s="243">
        <f t="shared" si="0"/>
        <v>180000000</v>
      </c>
      <c r="J8" s="69"/>
      <c r="K8" s="69"/>
    </row>
    <row r="9" spans="1:12" ht="26.4">
      <c r="A9" s="69"/>
      <c r="B9" s="69"/>
      <c r="C9" s="62" t="s">
        <v>414</v>
      </c>
      <c r="D9" s="242">
        <v>20000000</v>
      </c>
      <c r="E9" s="242">
        <v>20000000</v>
      </c>
      <c r="F9" s="242">
        <v>20000000</v>
      </c>
      <c r="G9" s="242">
        <v>20000000</v>
      </c>
      <c r="H9" s="242">
        <v>30000000</v>
      </c>
      <c r="I9" s="243">
        <f t="shared" si="0"/>
        <v>123750000</v>
      </c>
      <c r="J9" s="69"/>
      <c r="K9" s="69"/>
    </row>
    <row r="10" spans="1:12" ht="26.4">
      <c r="A10" s="69"/>
      <c r="B10" s="69"/>
      <c r="C10" s="62" t="s">
        <v>421</v>
      </c>
      <c r="D10" s="242">
        <v>30000000</v>
      </c>
      <c r="E10" s="242">
        <v>50000000</v>
      </c>
      <c r="F10" s="242">
        <v>50000000</v>
      </c>
      <c r="G10" s="242">
        <v>50000000</v>
      </c>
      <c r="H10" s="242">
        <v>60000000</v>
      </c>
      <c r="I10" s="243">
        <f t="shared" si="0"/>
        <v>270000000</v>
      </c>
      <c r="J10" s="69"/>
      <c r="K10" s="69"/>
    </row>
    <row r="11" spans="1:12" ht="39.6">
      <c r="A11" s="69"/>
      <c r="B11" s="69"/>
      <c r="C11" s="62" t="s">
        <v>428</v>
      </c>
      <c r="D11" s="242">
        <v>25000000</v>
      </c>
      <c r="E11" s="242">
        <v>25000000</v>
      </c>
      <c r="F11" s="242">
        <v>25000000</v>
      </c>
      <c r="G11" s="242">
        <v>25000000</v>
      </c>
      <c r="H11" s="242">
        <v>30000000</v>
      </c>
      <c r="I11" s="243">
        <f t="shared" si="0"/>
        <v>146250000</v>
      </c>
      <c r="J11" s="69"/>
      <c r="K11" s="69"/>
    </row>
    <row r="12" spans="1:12" ht="79.2">
      <c r="A12" s="69"/>
      <c r="B12" s="69"/>
      <c r="C12" s="62" t="s">
        <v>435</v>
      </c>
      <c r="D12" s="242">
        <v>20000000</v>
      </c>
      <c r="E12" s="242">
        <v>20000000</v>
      </c>
      <c r="F12" s="242">
        <v>25000000</v>
      </c>
      <c r="G12" s="242">
        <v>25000000</v>
      </c>
      <c r="H12" s="242">
        <v>30000000</v>
      </c>
      <c r="I12" s="243">
        <f t="shared" si="0"/>
        <v>135000000</v>
      </c>
      <c r="J12" s="69"/>
      <c r="K12" s="69"/>
    </row>
    <row r="13" spans="1:12" s="251" customFormat="1" ht="13.8">
      <c r="A13" s="248"/>
      <c r="B13" s="248"/>
      <c r="C13" s="249" t="s">
        <v>767</v>
      </c>
      <c r="D13" s="250">
        <f>SUM(D4:D12)</f>
        <v>270000000</v>
      </c>
      <c r="E13" s="250">
        <f t="shared" ref="E13:H13" si="1">SUM(E4:E12)</f>
        <v>290000000</v>
      </c>
      <c r="F13" s="250">
        <f t="shared" si="1"/>
        <v>320000000</v>
      </c>
      <c r="G13" s="250">
        <f t="shared" si="1"/>
        <v>350000000</v>
      </c>
      <c r="H13" s="250">
        <f t="shared" si="1"/>
        <v>400000000</v>
      </c>
      <c r="I13" s="250">
        <f>SUM(I4:I12)</f>
        <v>1833750000</v>
      </c>
      <c r="J13" s="248"/>
      <c r="K13" s="248"/>
    </row>
    <row r="14" spans="1:12" ht="26.4">
      <c r="A14" s="69"/>
      <c r="B14" s="69"/>
      <c r="C14" s="245" t="s">
        <v>281</v>
      </c>
      <c r="D14" s="242"/>
      <c r="E14" s="242"/>
      <c r="F14" s="242"/>
      <c r="G14" s="242"/>
      <c r="H14" s="242"/>
      <c r="I14" s="243">
        <f t="shared" si="0"/>
        <v>0</v>
      </c>
      <c r="J14" s="69"/>
      <c r="K14" s="69"/>
    </row>
    <row r="15" spans="1:12" ht="26.4">
      <c r="A15" s="69"/>
      <c r="B15" s="69"/>
      <c r="C15" s="62" t="s">
        <v>442</v>
      </c>
      <c r="D15" s="242">
        <v>30000000</v>
      </c>
      <c r="E15" s="242">
        <v>30000000</v>
      </c>
      <c r="F15" s="242">
        <v>30000000</v>
      </c>
      <c r="G15" s="242">
        <v>30000000</v>
      </c>
      <c r="H15" s="242">
        <v>35000000</v>
      </c>
      <c r="I15" s="243">
        <f t="shared" si="0"/>
        <v>174375000</v>
      </c>
      <c r="J15" s="69"/>
      <c r="K15" s="69"/>
    </row>
    <row r="16" spans="1:12" ht="26.4">
      <c r="A16" s="69"/>
      <c r="B16" s="69"/>
      <c r="C16" s="62" t="s">
        <v>449</v>
      </c>
      <c r="D16" s="242">
        <v>30000000</v>
      </c>
      <c r="E16" s="242">
        <v>40000000</v>
      </c>
      <c r="F16" s="242">
        <v>30000000</v>
      </c>
      <c r="G16" s="242">
        <v>30000000</v>
      </c>
      <c r="H16" s="242">
        <v>35000000</v>
      </c>
      <c r="I16" s="243">
        <f t="shared" si="0"/>
        <v>185625000</v>
      </c>
      <c r="J16" s="69"/>
      <c r="K16" s="69"/>
    </row>
    <row r="17" spans="1:11" ht="26.4">
      <c r="A17" s="69"/>
      <c r="B17" s="69"/>
      <c r="C17" s="62" t="s">
        <v>456</v>
      </c>
      <c r="D17" s="242">
        <v>35000000</v>
      </c>
      <c r="E17" s="242">
        <v>55000000</v>
      </c>
      <c r="F17" s="242">
        <v>35000000</v>
      </c>
      <c r="G17" s="242">
        <v>35000000</v>
      </c>
      <c r="H17" s="242">
        <v>40000000</v>
      </c>
      <c r="I17" s="243">
        <f t="shared" si="0"/>
        <v>225000000</v>
      </c>
      <c r="J17" s="69"/>
      <c r="K17" s="69"/>
    </row>
    <row r="18" spans="1:11" ht="26.4">
      <c r="A18" s="69"/>
      <c r="B18" s="69"/>
      <c r="C18" s="62" t="s">
        <v>464</v>
      </c>
      <c r="D18" s="242">
        <v>50000000</v>
      </c>
      <c r="E18" s="242">
        <v>60000000</v>
      </c>
      <c r="F18" s="242">
        <v>70000000</v>
      </c>
      <c r="G18" s="242">
        <v>80000000</v>
      </c>
      <c r="H18" s="242">
        <v>90000000</v>
      </c>
      <c r="I18" s="243">
        <f t="shared" si="0"/>
        <v>393750000</v>
      </c>
      <c r="J18" s="69"/>
      <c r="K18" s="69"/>
    </row>
    <row r="19" spans="1:11" ht="26.4">
      <c r="A19" s="69"/>
      <c r="B19" s="69"/>
      <c r="C19" s="62" t="s">
        <v>472</v>
      </c>
      <c r="D19" s="242">
        <v>20000000</v>
      </c>
      <c r="E19" s="242">
        <v>25000000</v>
      </c>
      <c r="F19" s="242">
        <v>25000000</v>
      </c>
      <c r="G19" s="242">
        <v>25000000</v>
      </c>
      <c r="H19" s="242">
        <v>30000000</v>
      </c>
      <c r="I19" s="243">
        <f t="shared" si="0"/>
        <v>140625000</v>
      </c>
      <c r="J19" s="69"/>
      <c r="K19" s="69"/>
    </row>
    <row r="20" spans="1:11" ht="39.6">
      <c r="A20" s="69"/>
      <c r="B20" s="69"/>
      <c r="C20" s="62" t="s">
        <v>479</v>
      </c>
      <c r="D20" s="242">
        <v>25000000</v>
      </c>
      <c r="E20" s="242">
        <v>25000000</v>
      </c>
      <c r="F20" s="242">
        <v>25000000</v>
      </c>
      <c r="G20" s="242">
        <v>25000000</v>
      </c>
      <c r="H20" s="242">
        <v>30000000</v>
      </c>
      <c r="I20" s="243">
        <f t="shared" si="0"/>
        <v>146250000</v>
      </c>
      <c r="J20" s="69"/>
      <c r="K20" s="69"/>
    </row>
    <row r="21" spans="1:11" ht="26.4">
      <c r="A21" s="69"/>
      <c r="B21" s="69"/>
      <c r="C21" s="62" t="s">
        <v>486</v>
      </c>
      <c r="D21" s="242">
        <v>25000000</v>
      </c>
      <c r="E21" s="242">
        <v>25000000</v>
      </c>
      <c r="F21" s="242">
        <v>25000000</v>
      </c>
      <c r="G21" s="242">
        <v>25000000</v>
      </c>
      <c r="H21" s="242">
        <v>30000000</v>
      </c>
      <c r="I21" s="243">
        <f t="shared" si="0"/>
        <v>146250000</v>
      </c>
      <c r="J21" s="69"/>
      <c r="K21" s="69"/>
    </row>
    <row r="22" spans="1:11" ht="39.6">
      <c r="A22" s="69"/>
      <c r="B22" s="69"/>
      <c r="C22" s="245" t="s">
        <v>289</v>
      </c>
      <c r="D22" s="242"/>
      <c r="E22" s="242"/>
      <c r="F22" s="242"/>
      <c r="G22" s="242"/>
      <c r="H22" s="242"/>
      <c r="I22" s="243">
        <f t="shared" si="0"/>
        <v>0</v>
      </c>
      <c r="J22" s="69"/>
      <c r="K22" s="69"/>
    </row>
    <row r="23" spans="1:11" s="229" customFormat="1" ht="26.4">
      <c r="A23" s="257"/>
      <c r="B23" s="257"/>
      <c r="C23" s="258" t="s">
        <v>493</v>
      </c>
      <c r="D23" s="259">
        <v>35000000</v>
      </c>
      <c r="E23" s="259">
        <v>35000000</v>
      </c>
      <c r="F23" s="259">
        <v>40000000</v>
      </c>
      <c r="G23" s="259">
        <v>50000000</v>
      </c>
      <c r="H23" s="259">
        <v>40000000</v>
      </c>
      <c r="I23" s="260">
        <f t="shared" si="0"/>
        <v>225000000</v>
      </c>
      <c r="J23" s="257"/>
      <c r="K23" s="257"/>
    </row>
    <row r="24" spans="1:11" ht="26.4">
      <c r="A24" s="69"/>
      <c r="B24" s="69"/>
      <c r="C24" s="62" t="s">
        <v>500</v>
      </c>
      <c r="D24" s="242">
        <v>25000000</v>
      </c>
      <c r="E24" s="242">
        <v>25000000</v>
      </c>
      <c r="F24" s="242">
        <v>25000000</v>
      </c>
      <c r="G24" s="242">
        <v>25000000</v>
      </c>
      <c r="H24" s="242">
        <v>35000000</v>
      </c>
      <c r="I24" s="243">
        <f t="shared" si="0"/>
        <v>151875000</v>
      </c>
      <c r="J24" s="69"/>
      <c r="K24" s="69"/>
    </row>
    <row r="25" spans="1:11" ht="26.4">
      <c r="A25" s="69"/>
      <c r="B25" s="69"/>
      <c r="C25" s="62" t="s">
        <v>768</v>
      </c>
      <c r="D25" s="242">
        <v>50000000</v>
      </c>
      <c r="E25" s="242">
        <v>60000000</v>
      </c>
      <c r="F25" s="242">
        <v>70000000</v>
      </c>
      <c r="G25" s="242">
        <v>75000000</v>
      </c>
      <c r="H25" s="242">
        <v>85000000</v>
      </c>
      <c r="I25" s="243">
        <f t="shared" si="0"/>
        <v>382500000</v>
      </c>
      <c r="J25" s="69"/>
      <c r="K25" s="69"/>
    </row>
    <row r="26" spans="1:11" ht="52.8">
      <c r="A26" s="69"/>
      <c r="B26" s="69"/>
      <c r="C26" s="62" t="s">
        <v>514</v>
      </c>
      <c r="D26" s="242">
        <v>25000000</v>
      </c>
      <c r="E26" s="242">
        <v>25000000</v>
      </c>
      <c r="F26" s="242">
        <v>25000000</v>
      </c>
      <c r="G26" s="242">
        <v>25000000</v>
      </c>
      <c r="H26" s="242">
        <v>35000000</v>
      </c>
      <c r="I26" s="243">
        <f t="shared" si="0"/>
        <v>151875000</v>
      </c>
      <c r="J26" s="69"/>
      <c r="K26" s="69"/>
    </row>
    <row r="27" spans="1:11" ht="46.5" customHeight="1">
      <c r="A27" s="69"/>
      <c r="B27" s="69"/>
      <c r="C27" s="62" t="s">
        <v>521</v>
      </c>
      <c r="D27" s="242">
        <v>40000000</v>
      </c>
      <c r="E27" s="242">
        <v>50000000</v>
      </c>
      <c r="F27" s="242">
        <v>60000000</v>
      </c>
      <c r="G27" s="242">
        <v>65000000</v>
      </c>
      <c r="H27" s="242">
        <v>75000000</v>
      </c>
      <c r="I27" s="243">
        <f t="shared" si="0"/>
        <v>326250000</v>
      </c>
      <c r="J27" s="69"/>
      <c r="K27" s="69"/>
    </row>
    <row r="28" spans="1:11" ht="13.2">
      <c r="A28" s="69"/>
      <c r="B28" s="69"/>
      <c r="C28" s="62" t="s">
        <v>528</v>
      </c>
      <c r="D28" s="242">
        <v>25000000</v>
      </c>
      <c r="E28" s="242">
        <v>25000000</v>
      </c>
      <c r="F28" s="242">
        <v>35000000</v>
      </c>
      <c r="G28" s="242">
        <v>35000000</v>
      </c>
      <c r="H28" s="242">
        <v>35000000</v>
      </c>
      <c r="I28" s="243">
        <f t="shared" si="0"/>
        <v>174375000</v>
      </c>
      <c r="J28" s="69"/>
      <c r="K28" s="69"/>
    </row>
    <row r="29" spans="1:11" ht="39.6">
      <c r="A29" s="69"/>
      <c r="B29" s="69"/>
      <c r="C29" s="62" t="s">
        <v>535</v>
      </c>
      <c r="D29" s="242">
        <v>25000000</v>
      </c>
      <c r="E29" s="242">
        <v>25000000</v>
      </c>
      <c r="F29" s="242">
        <v>25000000</v>
      </c>
      <c r="G29" s="242">
        <v>30000000</v>
      </c>
      <c r="H29" s="242">
        <v>30000000</v>
      </c>
      <c r="I29" s="243">
        <f t="shared" si="0"/>
        <v>151875000</v>
      </c>
      <c r="J29" s="69"/>
      <c r="K29" s="69"/>
    </row>
    <row r="30" spans="1:11" ht="39.6">
      <c r="A30" s="69"/>
      <c r="B30" s="69"/>
      <c r="C30" s="62" t="s">
        <v>549</v>
      </c>
      <c r="D30" s="242">
        <v>25000000</v>
      </c>
      <c r="E30" s="242">
        <v>25000000</v>
      </c>
      <c r="F30" s="242">
        <v>25000000</v>
      </c>
      <c r="G30" s="242">
        <v>30000000</v>
      </c>
      <c r="H30" s="242">
        <v>30000000</v>
      </c>
      <c r="I30" s="243">
        <f t="shared" si="0"/>
        <v>151875000</v>
      </c>
      <c r="J30" s="69"/>
      <c r="K30" s="69"/>
    </row>
    <row r="31" spans="1:11" ht="39.6">
      <c r="A31" s="69"/>
      <c r="B31" s="69"/>
      <c r="C31" s="62" t="s">
        <v>556</v>
      </c>
      <c r="D31" s="242">
        <v>25000000</v>
      </c>
      <c r="E31" s="242">
        <v>35000000</v>
      </c>
      <c r="F31" s="242">
        <v>40000000</v>
      </c>
      <c r="G31" s="242">
        <v>50000000</v>
      </c>
      <c r="H31" s="242">
        <v>70000000</v>
      </c>
      <c r="I31" s="243">
        <f t="shared" si="0"/>
        <v>247500000</v>
      </c>
      <c r="J31" s="69"/>
      <c r="K31" s="69"/>
    </row>
    <row r="32" spans="1:11" ht="65.7" customHeight="1">
      <c r="A32" s="69"/>
      <c r="B32" s="69"/>
      <c r="C32" s="62" t="s">
        <v>557</v>
      </c>
      <c r="D32" s="242">
        <v>25000000</v>
      </c>
      <c r="E32" s="242">
        <v>25000000</v>
      </c>
      <c r="F32" s="242">
        <v>25000000</v>
      </c>
      <c r="G32" s="242">
        <v>30000000</v>
      </c>
      <c r="H32" s="242">
        <v>30000000</v>
      </c>
      <c r="I32" s="243">
        <f t="shared" si="0"/>
        <v>151875000</v>
      </c>
      <c r="J32" s="69"/>
      <c r="K32" s="69"/>
    </row>
    <row r="33" spans="1:11" s="251" customFormat="1" ht="27.6">
      <c r="A33" s="248"/>
      <c r="B33" s="248"/>
      <c r="C33" s="249" t="s">
        <v>769</v>
      </c>
      <c r="D33" s="250">
        <f t="shared" ref="D33:I33" si="2">SUM(D15:D32)</f>
        <v>515000000</v>
      </c>
      <c r="E33" s="250">
        <f t="shared" si="2"/>
        <v>590000000</v>
      </c>
      <c r="F33" s="250">
        <f t="shared" si="2"/>
        <v>610000000</v>
      </c>
      <c r="G33" s="250">
        <f t="shared" si="2"/>
        <v>665000000</v>
      </c>
      <c r="H33" s="250">
        <f t="shared" si="2"/>
        <v>755000000</v>
      </c>
      <c r="I33" s="250">
        <f t="shared" si="2"/>
        <v>3526875000</v>
      </c>
      <c r="J33" s="248"/>
      <c r="K33" s="248"/>
    </row>
    <row r="34" spans="1:11" ht="26.4">
      <c r="A34" s="69"/>
      <c r="B34" s="69"/>
      <c r="C34" s="245" t="s">
        <v>314</v>
      </c>
      <c r="D34" s="242"/>
      <c r="E34" s="242"/>
      <c r="F34" s="242"/>
      <c r="G34" s="242"/>
      <c r="H34" s="242"/>
      <c r="I34" s="243">
        <f t="shared" si="0"/>
        <v>0</v>
      </c>
      <c r="J34" s="69"/>
      <c r="K34" s="69"/>
    </row>
    <row r="35" spans="1:11" ht="39.6">
      <c r="A35" s="69"/>
      <c r="B35" s="69"/>
      <c r="C35" s="62" t="s">
        <v>564</v>
      </c>
      <c r="D35" s="242">
        <v>50000000</v>
      </c>
      <c r="E35" s="242">
        <v>40000000</v>
      </c>
      <c r="F35" s="242">
        <v>50000000</v>
      </c>
      <c r="G35" s="242">
        <v>50000000</v>
      </c>
      <c r="H35" s="242">
        <v>50000000</v>
      </c>
      <c r="I35" s="243">
        <f t="shared" si="0"/>
        <v>270000000</v>
      </c>
      <c r="J35" s="69"/>
      <c r="K35" s="69"/>
    </row>
    <row r="36" spans="1:11" ht="39.6">
      <c r="A36" s="69"/>
      <c r="B36" s="69"/>
      <c r="C36" s="62" t="s">
        <v>571</v>
      </c>
      <c r="D36" s="242">
        <v>50000000</v>
      </c>
      <c r="E36" s="242">
        <v>60000000</v>
      </c>
      <c r="F36" s="242">
        <v>70000000</v>
      </c>
      <c r="G36" s="242">
        <v>80000000</v>
      </c>
      <c r="H36" s="242">
        <v>100000000</v>
      </c>
      <c r="I36" s="243">
        <f t="shared" si="0"/>
        <v>405000000</v>
      </c>
      <c r="J36" s="69"/>
      <c r="K36" s="69"/>
    </row>
    <row r="37" spans="1:11" ht="52.8">
      <c r="A37" s="69"/>
      <c r="B37" s="69"/>
      <c r="C37" s="62" t="s">
        <v>577</v>
      </c>
      <c r="D37" s="242">
        <v>25000000</v>
      </c>
      <c r="E37" s="242">
        <v>35000000</v>
      </c>
      <c r="F37" s="242">
        <v>35000000</v>
      </c>
      <c r="G37" s="242">
        <v>30000000</v>
      </c>
      <c r="H37" s="242">
        <v>30000000</v>
      </c>
      <c r="I37" s="243">
        <f t="shared" si="0"/>
        <v>174375000</v>
      </c>
      <c r="J37" s="69"/>
      <c r="K37" s="69"/>
    </row>
    <row r="38" spans="1:11" ht="39.6">
      <c r="A38" s="69"/>
      <c r="B38" s="69"/>
      <c r="C38" s="62" t="s">
        <v>584</v>
      </c>
      <c r="D38" s="242">
        <v>25000000</v>
      </c>
      <c r="E38" s="242">
        <v>25000000</v>
      </c>
      <c r="F38" s="242">
        <v>25000000</v>
      </c>
      <c r="G38" s="242">
        <v>30000000</v>
      </c>
      <c r="H38" s="242">
        <v>30000000</v>
      </c>
      <c r="I38" s="243">
        <f t="shared" si="0"/>
        <v>151875000</v>
      </c>
      <c r="J38" s="69"/>
      <c r="K38" s="69"/>
    </row>
    <row r="39" spans="1:11" ht="26.4">
      <c r="A39" s="69"/>
      <c r="B39" s="69"/>
      <c r="C39" s="62" t="s">
        <v>591</v>
      </c>
      <c r="D39" s="242">
        <v>25000000</v>
      </c>
      <c r="E39" s="242">
        <v>25000000</v>
      </c>
      <c r="F39" s="242">
        <v>25000000</v>
      </c>
      <c r="G39" s="242">
        <v>30000000</v>
      </c>
      <c r="H39" s="242">
        <v>30000000</v>
      </c>
      <c r="I39" s="243">
        <f t="shared" si="0"/>
        <v>151875000</v>
      </c>
      <c r="J39" s="69"/>
      <c r="K39" s="69"/>
    </row>
    <row r="40" spans="1:11" s="261" customFormat="1" ht="26.4">
      <c r="A40" s="69"/>
      <c r="B40" s="69"/>
      <c r="C40" s="62" t="s">
        <v>598</v>
      </c>
      <c r="D40" s="242">
        <v>30000000</v>
      </c>
      <c r="E40" s="242">
        <v>30000000</v>
      </c>
      <c r="F40" s="242">
        <v>30000000</v>
      </c>
      <c r="G40" s="242">
        <v>35000000</v>
      </c>
      <c r="H40" s="242">
        <v>35000000</v>
      </c>
      <c r="I40" s="243">
        <f t="shared" si="0"/>
        <v>180000000</v>
      </c>
      <c r="J40" s="69"/>
      <c r="K40" s="69"/>
    </row>
    <row r="41" spans="1:11" s="251" customFormat="1" ht="24.45" customHeight="1">
      <c r="A41" s="248"/>
      <c r="B41" s="248"/>
      <c r="C41" s="249" t="s">
        <v>770</v>
      </c>
      <c r="D41" s="250">
        <f t="shared" ref="D41:I41" si="3">SUM(D35:D40)</f>
        <v>205000000</v>
      </c>
      <c r="E41" s="250">
        <f t="shared" si="3"/>
        <v>215000000</v>
      </c>
      <c r="F41" s="250">
        <f t="shared" si="3"/>
        <v>235000000</v>
      </c>
      <c r="G41" s="250">
        <f t="shared" si="3"/>
        <v>255000000</v>
      </c>
      <c r="H41" s="250">
        <f t="shared" si="3"/>
        <v>275000000</v>
      </c>
      <c r="I41" s="250">
        <f t="shared" si="3"/>
        <v>1333125000</v>
      </c>
      <c r="J41" s="248"/>
      <c r="K41" s="248"/>
    </row>
    <row r="42" spans="1:11" ht="52.8">
      <c r="A42" s="69"/>
      <c r="B42" s="69"/>
      <c r="C42" s="245" t="s">
        <v>328</v>
      </c>
      <c r="D42" s="242"/>
      <c r="E42" s="242"/>
      <c r="F42" s="242"/>
      <c r="G42" s="242"/>
      <c r="H42" s="242"/>
      <c r="I42" s="243">
        <f t="shared" si="0"/>
        <v>0</v>
      </c>
      <c r="J42" s="69"/>
      <c r="K42" s="69"/>
    </row>
    <row r="43" spans="1:11" ht="52.8">
      <c r="A43" s="69"/>
      <c r="B43" s="69"/>
      <c r="C43" s="62" t="s">
        <v>771</v>
      </c>
      <c r="D43" s="242">
        <v>50000000</v>
      </c>
      <c r="E43" s="242">
        <v>50000000</v>
      </c>
      <c r="F43" s="242">
        <v>50000000</v>
      </c>
      <c r="G43" s="242">
        <v>50000000</v>
      </c>
      <c r="H43" s="242">
        <v>50000000</v>
      </c>
      <c r="I43" s="243">
        <f t="shared" si="0"/>
        <v>281250000</v>
      </c>
      <c r="J43" s="69"/>
      <c r="K43" s="69"/>
    </row>
    <row r="44" spans="1:11" ht="39.6">
      <c r="A44" s="69"/>
      <c r="B44" s="69"/>
      <c r="C44" s="62" t="s">
        <v>612</v>
      </c>
      <c r="D44" s="242">
        <v>30000000</v>
      </c>
      <c r="E44" s="242">
        <v>40000000</v>
      </c>
      <c r="F44" s="242">
        <v>40000000</v>
      </c>
      <c r="G44" s="242">
        <v>40000000</v>
      </c>
      <c r="H44" s="242">
        <v>40000000</v>
      </c>
      <c r="I44" s="243">
        <f t="shared" si="0"/>
        <v>213750000</v>
      </c>
      <c r="J44" s="69"/>
      <c r="K44" s="69"/>
    </row>
    <row r="45" spans="1:11" s="229" customFormat="1" ht="26.4">
      <c r="A45" s="257"/>
      <c r="B45" s="257"/>
      <c r="C45" s="258" t="s">
        <v>619</v>
      </c>
      <c r="D45" s="259">
        <v>40000000</v>
      </c>
      <c r="E45" s="259">
        <v>40000000</v>
      </c>
      <c r="F45" s="259">
        <v>40000000</v>
      </c>
      <c r="G45" s="259">
        <v>40000000</v>
      </c>
      <c r="H45" s="259">
        <v>40000000</v>
      </c>
      <c r="I45" s="260">
        <f t="shared" si="0"/>
        <v>225000000</v>
      </c>
      <c r="J45" s="257"/>
      <c r="K45" s="257"/>
    </row>
    <row r="46" spans="1:11" ht="39.6">
      <c r="A46" s="69"/>
      <c r="B46" s="69"/>
      <c r="C46" s="62" t="s">
        <v>625</v>
      </c>
      <c r="D46" s="242">
        <v>20000000</v>
      </c>
      <c r="E46" s="242">
        <v>30000000</v>
      </c>
      <c r="F46" s="242">
        <v>35000000</v>
      </c>
      <c r="G46" s="242">
        <v>35000000</v>
      </c>
      <c r="H46" s="242">
        <v>35000000</v>
      </c>
      <c r="I46" s="243">
        <f t="shared" si="0"/>
        <v>174375000</v>
      </c>
      <c r="J46" s="69"/>
      <c r="K46" s="69"/>
    </row>
    <row r="47" spans="1:11" ht="39.6">
      <c r="A47" s="69"/>
      <c r="B47" s="69"/>
      <c r="C47" s="62" t="s">
        <v>632</v>
      </c>
      <c r="D47" s="242">
        <v>20000000</v>
      </c>
      <c r="E47" s="242">
        <v>25000000</v>
      </c>
      <c r="F47" s="242">
        <v>20000000</v>
      </c>
      <c r="G47" s="242">
        <v>25000000</v>
      </c>
      <c r="H47" s="242">
        <v>30000000</v>
      </c>
      <c r="I47" s="243">
        <f t="shared" si="0"/>
        <v>135000000</v>
      </c>
      <c r="J47" s="69"/>
      <c r="K47" s="69"/>
    </row>
    <row r="48" spans="1:11" ht="26.4">
      <c r="A48" s="69"/>
      <c r="B48" s="69"/>
      <c r="C48" s="62" t="s">
        <v>639</v>
      </c>
      <c r="D48" s="242">
        <v>20000000</v>
      </c>
      <c r="E48" s="242">
        <v>25000000</v>
      </c>
      <c r="F48" s="242">
        <v>20000000</v>
      </c>
      <c r="G48" s="242">
        <v>20000000</v>
      </c>
      <c r="H48" s="242">
        <v>30000000</v>
      </c>
      <c r="I48" s="243">
        <f t="shared" si="0"/>
        <v>129375000</v>
      </c>
      <c r="J48" s="69"/>
      <c r="K48" s="69"/>
    </row>
    <row r="49" spans="1:11" s="251" customFormat="1" ht="46.2" customHeight="1">
      <c r="A49" s="248"/>
      <c r="B49" s="248"/>
      <c r="C49" s="249" t="s">
        <v>772</v>
      </c>
      <c r="D49" s="250">
        <f t="shared" ref="D49:I49" si="4">SUM(D43:D48)</f>
        <v>180000000</v>
      </c>
      <c r="E49" s="250">
        <f t="shared" si="4"/>
        <v>210000000</v>
      </c>
      <c r="F49" s="250">
        <f t="shared" si="4"/>
        <v>205000000</v>
      </c>
      <c r="G49" s="250">
        <f t="shared" si="4"/>
        <v>210000000</v>
      </c>
      <c r="H49" s="250">
        <f t="shared" si="4"/>
        <v>225000000</v>
      </c>
      <c r="I49" s="250">
        <f t="shared" si="4"/>
        <v>1158750000</v>
      </c>
      <c r="J49" s="248"/>
      <c r="K49" s="248"/>
    </row>
    <row r="50" spans="1:11" ht="37.950000000000003" customHeight="1">
      <c r="A50" s="69"/>
      <c r="B50" s="69"/>
      <c r="C50" s="245" t="s">
        <v>646</v>
      </c>
      <c r="D50" s="242"/>
      <c r="E50" s="242"/>
      <c r="F50" s="242"/>
      <c r="G50" s="242"/>
      <c r="H50" s="242"/>
      <c r="I50" s="243">
        <f t="shared" si="0"/>
        <v>0</v>
      </c>
      <c r="J50" s="69"/>
      <c r="K50" s="69"/>
    </row>
    <row r="51" spans="1:11" ht="39.6">
      <c r="A51" s="69"/>
      <c r="B51" s="69"/>
      <c r="C51" s="62" t="s">
        <v>647</v>
      </c>
      <c r="D51" s="242">
        <v>30000000</v>
      </c>
      <c r="E51" s="242">
        <v>30000000</v>
      </c>
      <c r="F51" s="242">
        <v>30000000</v>
      </c>
      <c r="G51" s="242">
        <v>30000000</v>
      </c>
      <c r="H51" s="242">
        <v>30000000</v>
      </c>
      <c r="I51" s="243">
        <f t="shared" si="0"/>
        <v>168750000</v>
      </c>
      <c r="J51" s="69"/>
      <c r="K51" s="69"/>
    </row>
    <row r="52" spans="1:11" ht="60.45" customHeight="1">
      <c r="A52" s="69"/>
      <c r="B52" s="69"/>
      <c r="C52" s="62" t="s">
        <v>654</v>
      </c>
      <c r="D52" s="242">
        <v>30000000</v>
      </c>
      <c r="E52" s="242">
        <v>30000000</v>
      </c>
      <c r="F52" s="242">
        <v>30000000</v>
      </c>
      <c r="G52" s="242">
        <v>30000000</v>
      </c>
      <c r="H52" s="242">
        <v>30000000</v>
      </c>
      <c r="I52" s="243">
        <f t="shared" si="0"/>
        <v>168750000</v>
      </c>
      <c r="J52" s="69"/>
      <c r="K52" s="69"/>
    </row>
    <row r="53" spans="1:11" ht="26.4">
      <c r="A53" s="69"/>
      <c r="B53" s="69"/>
      <c r="C53" s="62" t="s">
        <v>661</v>
      </c>
      <c r="D53" s="242">
        <v>25000000</v>
      </c>
      <c r="E53" s="242">
        <v>25000000</v>
      </c>
      <c r="F53" s="242">
        <v>25000000</v>
      </c>
      <c r="G53" s="242">
        <v>30000000</v>
      </c>
      <c r="H53" s="242">
        <v>30000000</v>
      </c>
      <c r="I53" s="243">
        <f t="shared" si="0"/>
        <v>151875000</v>
      </c>
      <c r="J53" s="69"/>
      <c r="K53" s="69"/>
    </row>
    <row r="54" spans="1:11" ht="26.4">
      <c r="A54" s="69"/>
      <c r="B54" s="69"/>
      <c r="C54" s="62" t="s">
        <v>668</v>
      </c>
      <c r="D54" s="242">
        <v>70000000</v>
      </c>
      <c r="E54" s="242">
        <v>80000000</v>
      </c>
      <c r="F54" s="242">
        <v>90000000</v>
      </c>
      <c r="G54" s="242">
        <v>100000000</v>
      </c>
      <c r="H54" s="242">
        <v>110000000</v>
      </c>
      <c r="I54" s="243">
        <f t="shared" si="0"/>
        <v>506250000</v>
      </c>
      <c r="J54" s="69"/>
      <c r="K54" s="69"/>
    </row>
    <row r="55" spans="1:11" ht="52.8">
      <c r="A55" s="69"/>
      <c r="B55" s="69"/>
      <c r="C55" s="62" t="s">
        <v>773</v>
      </c>
      <c r="D55" s="242">
        <v>30000000</v>
      </c>
      <c r="E55" s="242">
        <v>35000000</v>
      </c>
      <c r="F55" s="242">
        <v>40000000</v>
      </c>
      <c r="G55" s="242">
        <v>50000000</v>
      </c>
      <c r="H55" s="242">
        <v>55000000</v>
      </c>
      <c r="I55" s="243">
        <f t="shared" si="0"/>
        <v>236250000</v>
      </c>
      <c r="J55" s="69"/>
      <c r="K55" s="69"/>
    </row>
    <row r="56" spans="1:11" ht="26.4">
      <c r="A56" s="69"/>
      <c r="B56" s="69"/>
      <c r="C56" s="62" t="s">
        <v>682</v>
      </c>
      <c r="D56" s="242">
        <v>30000000</v>
      </c>
      <c r="E56" s="242">
        <v>30000000</v>
      </c>
      <c r="F56" s="242">
        <v>30000000</v>
      </c>
      <c r="G56" s="242">
        <v>30000000</v>
      </c>
      <c r="H56" s="242">
        <v>30000000</v>
      </c>
      <c r="I56" s="243">
        <f t="shared" si="0"/>
        <v>168750000</v>
      </c>
      <c r="J56" s="69"/>
      <c r="K56" s="69"/>
    </row>
    <row r="57" spans="1:11" ht="39.6">
      <c r="A57" s="69"/>
      <c r="B57" s="69"/>
      <c r="C57" s="62" t="s">
        <v>688</v>
      </c>
      <c r="D57" s="242">
        <v>25000000</v>
      </c>
      <c r="E57" s="242">
        <v>25000000</v>
      </c>
      <c r="F57" s="242">
        <v>25000000</v>
      </c>
      <c r="G57" s="242">
        <v>30000000</v>
      </c>
      <c r="H57" s="242">
        <v>30000000</v>
      </c>
      <c r="I57" s="243">
        <f t="shared" si="0"/>
        <v>151875000</v>
      </c>
      <c r="J57" s="69"/>
      <c r="K57" s="69"/>
    </row>
    <row r="58" spans="1:11" s="251" customFormat="1" ht="30.45" customHeight="1">
      <c r="A58" s="248"/>
      <c r="B58" s="248"/>
      <c r="C58" s="249" t="s">
        <v>774</v>
      </c>
      <c r="D58" s="250">
        <f>SUM(D51:D57)</f>
        <v>240000000</v>
      </c>
      <c r="E58" s="250">
        <f t="shared" ref="E58:I58" si="5">SUM(E51:E57)</f>
        <v>255000000</v>
      </c>
      <c r="F58" s="250">
        <f t="shared" si="5"/>
        <v>270000000</v>
      </c>
      <c r="G58" s="250">
        <f t="shared" si="5"/>
        <v>300000000</v>
      </c>
      <c r="H58" s="250">
        <f t="shared" si="5"/>
        <v>315000000</v>
      </c>
      <c r="I58" s="250">
        <f t="shared" si="5"/>
        <v>1552500000</v>
      </c>
      <c r="J58" s="248"/>
      <c r="K58" s="248"/>
    </row>
    <row r="59" spans="1:11" ht="45" customHeight="1">
      <c r="A59" s="69"/>
      <c r="B59" s="69"/>
      <c r="C59" s="245" t="s">
        <v>357</v>
      </c>
      <c r="D59" s="242"/>
      <c r="E59" s="242"/>
      <c r="F59" s="242"/>
      <c r="G59" s="242"/>
      <c r="H59" s="242"/>
      <c r="I59" s="243">
        <f t="shared" si="0"/>
        <v>0</v>
      </c>
      <c r="J59" s="69"/>
      <c r="K59" s="69"/>
    </row>
    <row r="60" spans="1:11" ht="54" customHeight="1">
      <c r="A60" s="69"/>
      <c r="B60" s="69"/>
      <c r="C60" s="62" t="s">
        <v>694</v>
      </c>
      <c r="D60" s="242">
        <v>30000000</v>
      </c>
      <c r="E60" s="242">
        <v>30000000</v>
      </c>
      <c r="F60" s="242">
        <v>30000000</v>
      </c>
      <c r="G60" s="242">
        <v>30000000</v>
      </c>
      <c r="H60" s="242">
        <v>30000000</v>
      </c>
      <c r="I60" s="243">
        <f t="shared" si="0"/>
        <v>168750000</v>
      </c>
      <c r="J60" s="69"/>
      <c r="K60" s="69"/>
    </row>
    <row r="61" spans="1:11" ht="26.4">
      <c r="A61" s="69"/>
      <c r="B61" s="69"/>
      <c r="C61" s="62" t="s">
        <v>701</v>
      </c>
      <c r="D61" s="242">
        <v>30000000</v>
      </c>
      <c r="E61" s="242">
        <v>30000000</v>
      </c>
      <c r="F61" s="242">
        <v>30000000</v>
      </c>
      <c r="G61" s="242">
        <v>30000000</v>
      </c>
      <c r="H61" s="242">
        <v>30000000</v>
      </c>
      <c r="I61" s="243">
        <f t="shared" si="0"/>
        <v>168750000</v>
      </c>
      <c r="J61" s="69"/>
      <c r="K61" s="69"/>
    </row>
    <row r="62" spans="1:11" ht="26.4">
      <c r="A62" s="69"/>
      <c r="B62" s="69"/>
      <c r="C62" s="62" t="s">
        <v>708</v>
      </c>
      <c r="D62" s="242">
        <v>25000000</v>
      </c>
      <c r="E62" s="242">
        <v>25000000</v>
      </c>
      <c r="F62" s="242">
        <v>25000000</v>
      </c>
      <c r="G62" s="242">
        <v>30000000</v>
      </c>
      <c r="H62" s="242">
        <v>30000000</v>
      </c>
      <c r="I62" s="243">
        <f t="shared" si="0"/>
        <v>151875000</v>
      </c>
      <c r="J62" s="69"/>
      <c r="K62" s="69"/>
    </row>
    <row r="63" spans="1:11" ht="42" customHeight="1">
      <c r="A63" s="69"/>
      <c r="B63" s="69"/>
      <c r="C63" s="62" t="s">
        <v>714</v>
      </c>
      <c r="D63" s="242">
        <v>25000000</v>
      </c>
      <c r="E63" s="242">
        <v>25000000</v>
      </c>
      <c r="F63" s="242">
        <v>25000000</v>
      </c>
      <c r="G63" s="242">
        <v>30000000</v>
      </c>
      <c r="H63" s="242">
        <v>30000000</v>
      </c>
      <c r="I63" s="243">
        <f t="shared" si="0"/>
        <v>151875000</v>
      </c>
      <c r="J63" s="69"/>
      <c r="K63" s="69"/>
    </row>
    <row r="64" spans="1:11" ht="58.2" customHeight="1">
      <c r="A64" s="69"/>
      <c r="B64" s="69"/>
      <c r="C64" s="62" t="s">
        <v>721</v>
      </c>
      <c r="D64" s="242">
        <v>25000000</v>
      </c>
      <c r="E64" s="242">
        <v>25000000</v>
      </c>
      <c r="F64" s="242">
        <v>30000000</v>
      </c>
      <c r="G64" s="242">
        <v>30000000</v>
      </c>
      <c r="H64" s="242">
        <v>30000000</v>
      </c>
      <c r="I64" s="243">
        <f t="shared" si="0"/>
        <v>157500000</v>
      </c>
      <c r="J64" s="69"/>
      <c r="K64" s="69"/>
    </row>
    <row r="65" spans="1:11" ht="26.4">
      <c r="A65" s="69"/>
      <c r="B65" s="69"/>
      <c r="C65" s="62" t="s">
        <v>728</v>
      </c>
      <c r="D65" s="242">
        <v>25000000</v>
      </c>
      <c r="E65" s="242">
        <v>25000000</v>
      </c>
      <c r="F65" s="242">
        <v>30000000</v>
      </c>
      <c r="G65" s="242">
        <v>30000000</v>
      </c>
      <c r="H65" s="242">
        <v>30000000</v>
      </c>
      <c r="I65" s="243">
        <f t="shared" si="0"/>
        <v>157500000</v>
      </c>
      <c r="J65" s="69"/>
      <c r="K65" s="69"/>
    </row>
    <row r="66" spans="1:11" ht="37.5" customHeight="1">
      <c r="A66" s="69"/>
      <c r="B66" s="69"/>
      <c r="C66" s="62" t="s">
        <v>735</v>
      </c>
      <c r="D66" s="242">
        <v>25000000</v>
      </c>
      <c r="E66" s="242">
        <v>30000000</v>
      </c>
      <c r="F66" s="242">
        <v>30000000</v>
      </c>
      <c r="G66" s="242">
        <v>30000000</v>
      </c>
      <c r="H66" s="242">
        <v>30000000</v>
      </c>
      <c r="I66" s="243">
        <f t="shared" si="0"/>
        <v>163125000</v>
      </c>
      <c r="J66" s="69"/>
      <c r="K66" s="69"/>
    </row>
    <row r="67" spans="1:11" ht="37.5" customHeight="1">
      <c r="A67" s="69"/>
      <c r="B67" s="69"/>
      <c r="C67" s="62" t="s">
        <v>742</v>
      </c>
      <c r="D67" s="242">
        <v>25000000</v>
      </c>
      <c r="E67" s="242">
        <v>25000000</v>
      </c>
      <c r="F67" s="242">
        <v>30000000</v>
      </c>
      <c r="G67" s="242">
        <v>30000000</v>
      </c>
      <c r="H67" s="242">
        <v>30000000</v>
      </c>
      <c r="I67" s="243">
        <f t="shared" si="0"/>
        <v>157500000</v>
      </c>
      <c r="J67" s="69"/>
      <c r="K67" s="69"/>
    </row>
    <row r="68" spans="1:11" s="251" customFormat="1" ht="30.45" customHeight="1">
      <c r="A68" s="248"/>
      <c r="B68" s="248"/>
      <c r="C68" s="249" t="s">
        <v>775</v>
      </c>
      <c r="D68" s="250">
        <f>SUM(D60:D67)</f>
        <v>210000000</v>
      </c>
      <c r="E68" s="250">
        <f t="shared" ref="E68:I68" si="6">SUM(E60:E67)</f>
        <v>215000000</v>
      </c>
      <c r="F68" s="250">
        <f t="shared" si="6"/>
        <v>230000000</v>
      </c>
      <c r="G68" s="250">
        <f t="shared" si="6"/>
        <v>240000000</v>
      </c>
      <c r="H68" s="250">
        <f t="shared" si="6"/>
        <v>240000000</v>
      </c>
      <c r="I68" s="250">
        <f t="shared" si="6"/>
        <v>1276875000</v>
      </c>
      <c r="J68" s="248"/>
      <c r="K68" s="248"/>
    </row>
    <row r="69" spans="1:11" ht="13.2">
      <c r="A69" s="69"/>
      <c r="B69" s="237"/>
      <c r="C69" s="237"/>
      <c r="D69" s="237"/>
      <c r="E69" s="237"/>
      <c r="F69" s="237"/>
      <c r="G69" s="237"/>
      <c r="H69" s="237"/>
      <c r="I69" s="237"/>
      <c r="J69" s="69"/>
      <c r="K69" s="69"/>
    </row>
    <row r="70" spans="1:11" s="256" customFormat="1" ht="15.6">
      <c r="A70" s="252"/>
      <c r="B70" s="253"/>
      <c r="C70" s="254" t="s">
        <v>776</v>
      </c>
      <c r="D70" s="255">
        <f>(D13+D33+D41+D49+D58+D68)*1.125</f>
        <v>1822500000</v>
      </c>
      <c r="E70" s="255">
        <f t="shared" ref="E70:H70" si="7">(E13+E33+E41+E49+E58+E68)*1.125</f>
        <v>1996875000</v>
      </c>
      <c r="F70" s="255">
        <f t="shared" si="7"/>
        <v>2103750000</v>
      </c>
      <c r="G70" s="255">
        <f t="shared" si="7"/>
        <v>2272500000</v>
      </c>
      <c r="H70" s="255">
        <f t="shared" si="7"/>
        <v>2486250000</v>
      </c>
      <c r="I70" s="255">
        <f t="shared" ref="I70" si="8">I13+I33+I41+I49+I58+I68</f>
        <v>10681875000</v>
      </c>
      <c r="J70" s="252"/>
      <c r="K70" s="252"/>
    </row>
    <row r="71" spans="1:11" ht="13.2">
      <c r="A71" s="69"/>
      <c r="B71" s="237"/>
      <c r="C71" s="237"/>
      <c r="D71" s="242">
        <f t="shared" ref="D71:I71" si="9">+D70/656</f>
        <v>2778201.2195121953</v>
      </c>
      <c r="E71" s="242">
        <f t="shared" si="9"/>
        <v>3044016.7682926827</v>
      </c>
      <c r="F71" s="242">
        <f t="shared" si="9"/>
        <v>3206935.9756097561</v>
      </c>
      <c r="G71" s="242">
        <f t="shared" si="9"/>
        <v>3464176.8292682925</v>
      </c>
      <c r="H71" s="242">
        <f t="shared" si="9"/>
        <v>3790015.2439024393</v>
      </c>
      <c r="I71" s="243">
        <f t="shared" si="9"/>
        <v>16283346.036585366</v>
      </c>
      <c r="J71" s="69"/>
      <c r="K71" s="69"/>
    </row>
    <row r="72" spans="1:11" ht="13.2">
      <c r="A72" s="69"/>
      <c r="B72" s="38"/>
      <c r="C72" s="246"/>
      <c r="D72" s="246"/>
      <c r="E72" s="238"/>
      <c r="F72" s="238"/>
      <c r="G72" s="238"/>
      <c r="H72" s="238"/>
      <c r="I72" s="239"/>
      <c r="J72" s="38"/>
      <c r="K72" s="38"/>
    </row>
    <row r="73" spans="1:11" ht="13.2">
      <c r="A73" s="69"/>
      <c r="B73" s="38"/>
      <c r="C73" s="179"/>
      <c r="D73" s="75"/>
      <c r="E73" s="75"/>
      <c r="F73" s="75"/>
      <c r="G73" s="75"/>
      <c r="H73" s="75"/>
      <c r="I73" s="76"/>
      <c r="J73" s="38"/>
      <c r="K73" s="38"/>
    </row>
    <row r="74" spans="1:11" ht="13.2">
      <c r="C74" s="63"/>
      <c r="D74" s="50"/>
      <c r="E74" s="50"/>
      <c r="F74" s="50"/>
      <c r="G74" s="50"/>
      <c r="H74" s="50"/>
    </row>
    <row r="75" spans="1:11" ht="13.2">
      <c r="C75" s="63"/>
      <c r="D75" s="50"/>
      <c r="E75" s="50"/>
      <c r="F75" s="50"/>
      <c r="G75" s="50"/>
      <c r="H75" s="50"/>
    </row>
    <row r="76" spans="1:11" ht="13.2">
      <c r="C76" s="63"/>
      <c r="D76" s="50"/>
      <c r="E76" s="50"/>
      <c r="F76" s="50"/>
      <c r="G76" s="50"/>
      <c r="H76" s="50"/>
    </row>
    <row r="77" spans="1:11" ht="13.2">
      <c r="C77" s="63"/>
      <c r="D77" s="50"/>
      <c r="E77" s="50"/>
      <c r="F77" s="50"/>
      <c r="G77" s="50"/>
      <c r="H77" s="50"/>
    </row>
    <row r="78" spans="1:11" ht="13.2">
      <c r="C78" s="63"/>
      <c r="D78" s="50"/>
      <c r="E78" s="50"/>
      <c r="F78" s="50"/>
      <c r="G78" s="50"/>
      <c r="H78" s="50"/>
    </row>
    <row r="79" spans="1:11" ht="13.2">
      <c r="C79" s="63"/>
      <c r="D79" s="50"/>
      <c r="E79" s="50"/>
      <c r="F79" s="50"/>
      <c r="G79" s="50"/>
      <c r="H79" s="50"/>
    </row>
    <row r="80" spans="1:11" ht="13.2">
      <c r="C80" s="63"/>
      <c r="D80" s="50"/>
      <c r="E80" s="50"/>
      <c r="F80" s="50"/>
      <c r="G80" s="50"/>
      <c r="H80" s="50"/>
    </row>
    <row r="81" spans="3:8" ht="13.2">
      <c r="C81" s="63"/>
      <c r="D81" s="50"/>
      <c r="E81" s="50"/>
      <c r="F81" s="50"/>
      <c r="G81" s="50"/>
      <c r="H81" s="50"/>
    </row>
    <row r="82" spans="3:8" ht="13.2">
      <c r="C82" s="63"/>
      <c r="D82" s="50"/>
      <c r="E82" s="50"/>
      <c r="F82" s="50"/>
      <c r="G82" s="50"/>
      <c r="H82" s="50"/>
    </row>
    <row r="83" spans="3:8" ht="13.2">
      <c r="C83" s="63"/>
      <c r="D83" s="50"/>
      <c r="E83" s="50"/>
      <c r="F83" s="50"/>
      <c r="G83" s="50"/>
      <c r="H83" s="50"/>
    </row>
    <row r="84" spans="3:8" ht="13.2">
      <c r="C84" s="63"/>
      <c r="D84" s="50"/>
      <c r="E84" s="50"/>
      <c r="F84" s="50"/>
      <c r="G84" s="50"/>
      <c r="H84" s="50"/>
    </row>
    <row r="85" spans="3:8" ht="13.2">
      <c r="C85" s="63"/>
      <c r="D85" s="50"/>
      <c r="E85" s="50"/>
      <c r="F85" s="50"/>
      <c r="G85" s="50"/>
      <c r="H85" s="50"/>
    </row>
    <row r="86" spans="3:8" ht="13.2">
      <c r="C86" s="63"/>
      <c r="D86" s="50"/>
      <c r="E86" s="50"/>
      <c r="F86" s="50"/>
      <c r="G86" s="50"/>
      <c r="H86" s="50"/>
    </row>
    <row r="87" spans="3:8" ht="13.2">
      <c r="C87" s="63"/>
      <c r="D87" s="50"/>
      <c r="E87" s="50"/>
      <c r="F87" s="50"/>
      <c r="G87" s="50"/>
      <c r="H87" s="50"/>
    </row>
    <row r="88" spans="3:8" ht="13.2">
      <c r="C88" s="63"/>
      <c r="D88" s="50"/>
      <c r="E88" s="50"/>
      <c r="F88" s="50"/>
      <c r="G88" s="50"/>
      <c r="H88" s="50"/>
    </row>
    <row r="89" spans="3:8" ht="13.2">
      <c r="C89" s="63"/>
      <c r="D89" s="50"/>
      <c r="E89" s="50"/>
      <c r="F89" s="50"/>
      <c r="G89" s="50"/>
      <c r="H89" s="50"/>
    </row>
    <row r="90" spans="3:8" ht="13.2">
      <c r="C90" s="63"/>
      <c r="D90" s="50"/>
      <c r="E90" s="50"/>
      <c r="F90" s="50"/>
      <c r="G90" s="50"/>
      <c r="H90" s="50"/>
    </row>
    <row r="91" spans="3:8" ht="13.2">
      <c r="C91" s="63"/>
      <c r="D91" s="50"/>
      <c r="E91" s="50"/>
      <c r="F91" s="50"/>
      <c r="G91" s="50"/>
      <c r="H91" s="50"/>
    </row>
    <row r="92" spans="3:8" ht="13.2">
      <c r="C92" s="63"/>
      <c r="D92" s="50"/>
      <c r="E92" s="50"/>
      <c r="F92" s="50"/>
      <c r="G92" s="50"/>
      <c r="H92" s="50"/>
    </row>
    <row r="93" spans="3:8" ht="13.2">
      <c r="C93" s="63"/>
      <c r="D93" s="50"/>
      <c r="E93" s="50"/>
      <c r="F93" s="50"/>
      <c r="G93" s="50"/>
      <c r="H93" s="50"/>
    </row>
    <row r="94" spans="3:8" ht="13.2">
      <c r="C94" s="63"/>
      <c r="D94" s="50"/>
      <c r="E94" s="50"/>
      <c r="F94" s="50"/>
      <c r="G94" s="50"/>
      <c r="H94" s="50"/>
    </row>
    <row r="95" spans="3:8" ht="13.2">
      <c r="C95" s="63"/>
      <c r="D95" s="50"/>
      <c r="E95" s="50"/>
      <c r="F95" s="50"/>
      <c r="G95" s="50"/>
      <c r="H95" s="50"/>
    </row>
    <row r="96" spans="3:8" ht="13.2">
      <c r="C96" s="63"/>
      <c r="D96" s="50"/>
      <c r="E96" s="50"/>
      <c r="F96" s="50"/>
      <c r="G96" s="50"/>
      <c r="H96" s="50"/>
    </row>
    <row r="97" spans="3:8" ht="13.2">
      <c r="C97" s="63"/>
      <c r="D97" s="50"/>
      <c r="E97" s="50"/>
      <c r="F97" s="50"/>
      <c r="G97" s="50"/>
      <c r="H97" s="50"/>
    </row>
    <row r="98" spans="3:8" ht="13.2">
      <c r="C98" s="63"/>
      <c r="D98" s="50"/>
      <c r="E98" s="50"/>
      <c r="F98" s="50"/>
      <c r="G98" s="50"/>
      <c r="H98" s="50"/>
    </row>
    <row r="99" spans="3:8" ht="13.2">
      <c r="C99" s="63"/>
      <c r="D99" s="50"/>
      <c r="E99" s="50"/>
      <c r="F99" s="50"/>
      <c r="G99" s="50"/>
      <c r="H99" s="50"/>
    </row>
    <row r="100" spans="3:8" ht="13.2">
      <c r="C100" s="63"/>
      <c r="D100" s="50"/>
      <c r="E100" s="50"/>
      <c r="F100" s="50"/>
      <c r="G100" s="50"/>
      <c r="H100" s="50"/>
    </row>
    <row r="101" spans="3:8" ht="13.2">
      <c r="C101" s="63"/>
      <c r="D101" s="50"/>
      <c r="E101" s="50"/>
      <c r="F101" s="50"/>
      <c r="G101" s="50"/>
      <c r="H101" s="50"/>
    </row>
    <row r="102" spans="3:8" ht="13.2">
      <c r="C102" s="63"/>
      <c r="D102" s="50"/>
      <c r="E102" s="50"/>
      <c r="F102" s="50"/>
      <c r="G102" s="50"/>
      <c r="H102" s="50"/>
    </row>
    <row r="103" spans="3:8" ht="13.2">
      <c r="C103" s="63"/>
      <c r="D103" s="50"/>
      <c r="E103" s="50"/>
      <c r="F103" s="50"/>
      <c r="G103" s="50"/>
      <c r="H103" s="50"/>
    </row>
    <row r="104" spans="3:8" ht="13.2">
      <c r="C104" s="63"/>
      <c r="D104" s="50"/>
      <c r="E104" s="50"/>
      <c r="F104" s="50"/>
      <c r="G104" s="50"/>
      <c r="H104" s="50"/>
    </row>
    <row r="105" spans="3:8" ht="13.2">
      <c r="C105" s="63"/>
      <c r="D105" s="50"/>
      <c r="E105" s="50"/>
      <c r="F105" s="50"/>
      <c r="G105" s="50"/>
      <c r="H105" s="50"/>
    </row>
    <row r="106" spans="3:8" ht="13.2">
      <c r="C106" s="63"/>
      <c r="D106" s="50"/>
      <c r="E106" s="50"/>
      <c r="F106" s="50"/>
      <c r="G106" s="50"/>
      <c r="H106" s="50"/>
    </row>
    <row r="107" spans="3:8" ht="13.2">
      <c r="C107" s="63"/>
      <c r="D107" s="50"/>
      <c r="E107" s="50"/>
      <c r="F107" s="50"/>
      <c r="G107" s="50"/>
      <c r="H107" s="50"/>
    </row>
    <row r="108" spans="3:8" ht="13.2">
      <c r="C108" s="63"/>
      <c r="D108" s="50"/>
      <c r="E108" s="50"/>
      <c r="F108" s="50"/>
      <c r="G108" s="50"/>
      <c r="H108" s="50"/>
    </row>
    <row r="109" spans="3:8" ht="13.2">
      <c r="C109" s="63"/>
      <c r="D109" s="50"/>
      <c r="E109" s="50"/>
      <c r="F109" s="50"/>
      <c r="G109" s="50"/>
      <c r="H109" s="50"/>
    </row>
    <row r="110" spans="3:8" ht="13.2">
      <c r="C110" s="63"/>
      <c r="D110" s="50"/>
      <c r="E110" s="50"/>
      <c r="F110" s="50"/>
      <c r="G110" s="50"/>
      <c r="H110" s="50"/>
    </row>
    <row r="111" spans="3:8" ht="13.2">
      <c r="C111" s="63"/>
      <c r="D111" s="50"/>
      <c r="E111" s="50"/>
      <c r="F111" s="50"/>
      <c r="G111" s="50"/>
      <c r="H111" s="50"/>
    </row>
    <row r="112" spans="3:8" ht="13.2">
      <c r="C112" s="63"/>
      <c r="D112" s="50"/>
      <c r="E112" s="50"/>
      <c r="F112" s="50"/>
      <c r="G112" s="50"/>
      <c r="H112" s="50"/>
    </row>
    <row r="113" spans="3:8" ht="13.2">
      <c r="C113" s="63"/>
      <c r="D113" s="50"/>
      <c r="E113" s="50"/>
      <c r="F113" s="50"/>
      <c r="G113" s="50"/>
      <c r="H113" s="50"/>
    </row>
    <row r="114" spans="3:8" ht="13.2">
      <c r="C114" s="63"/>
      <c r="D114" s="50"/>
      <c r="E114" s="50"/>
      <c r="F114" s="50"/>
      <c r="G114" s="50"/>
      <c r="H114" s="50"/>
    </row>
    <row r="115" spans="3:8" ht="13.2">
      <c r="C115" s="63"/>
      <c r="D115" s="50"/>
      <c r="E115" s="50"/>
      <c r="F115" s="50"/>
      <c r="G115" s="50"/>
      <c r="H115" s="50"/>
    </row>
    <row r="116" spans="3:8" ht="13.2">
      <c r="C116" s="63"/>
      <c r="D116" s="50"/>
      <c r="E116" s="50"/>
      <c r="F116" s="50"/>
      <c r="G116" s="50"/>
      <c r="H116" s="50"/>
    </row>
    <row r="117" spans="3:8" ht="13.2">
      <c r="C117" s="63"/>
      <c r="D117" s="50"/>
      <c r="E117" s="50"/>
      <c r="F117" s="50"/>
      <c r="G117" s="50"/>
      <c r="H117" s="50"/>
    </row>
    <row r="118" spans="3:8" ht="13.2">
      <c r="C118" s="63"/>
      <c r="D118" s="50"/>
      <c r="E118" s="50"/>
      <c r="F118" s="50"/>
      <c r="G118" s="50"/>
      <c r="H118" s="50"/>
    </row>
    <row r="119" spans="3:8" ht="13.2">
      <c r="C119" s="63"/>
      <c r="D119" s="50"/>
      <c r="E119" s="50"/>
      <c r="F119" s="50"/>
      <c r="G119" s="50"/>
      <c r="H119" s="50"/>
    </row>
    <row r="120" spans="3:8" ht="13.2">
      <c r="C120" s="63"/>
      <c r="D120" s="50"/>
      <c r="E120" s="50"/>
      <c r="F120" s="50"/>
      <c r="G120" s="50"/>
      <c r="H120" s="50"/>
    </row>
    <row r="121" spans="3:8" ht="13.2">
      <c r="C121" s="63"/>
      <c r="D121" s="50"/>
      <c r="E121" s="50"/>
      <c r="F121" s="50"/>
      <c r="G121" s="50"/>
      <c r="H121" s="50"/>
    </row>
    <row r="122" spans="3:8" ht="13.2">
      <c r="C122" s="63"/>
      <c r="D122" s="50"/>
      <c r="E122" s="50"/>
      <c r="F122" s="50"/>
      <c r="G122" s="50"/>
      <c r="H122" s="50"/>
    </row>
    <row r="123" spans="3:8" ht="13.2">
      <c r="C123" s="63"/>
      <c r="D123" s="50"/>
      <c r="E123" s="50"/>
      <c r="F123" s="50"/>
      <c r="G123" s="50"/>
      <c r="H123" s="50"/>
    </row>
    <row r="124" spans="3:8" ht="13.2">
      <c r="C124" s="63"/>
      <c r="D124" s="50"/>
      <c r="E124" s="50"/>
      <c r="F124" s="50"/>
      <c r="G124" s="50"/>
      <c r="H124" s="50"/>
    </row>
    <row r="125" spans="3:8" ht="13.2">
      <c r="C125" s="63"/>
      <c r="D125" s="50"/>
      <c r="E125" s="50"/>
      <c r="F125" s="50"/>
      <c r="G125" s="50"/>
      <c r="H125" s="50"/>
    </row>
    <row r="126" spans="3:8" ht="13.2">
      <c r="C126" s="63"/>
      <c r="D126" s="50"/>
      <c r="E126" s="50"/>
      <c r="F126" s="50"/>
      <c r="G126" s="50"/>
      <c r="H126" s="50"/>
    </row>
    <row r="127" spans="3:8" ht="13.2">
      <c r="C127" s="63"/>
      <c r="D127" s="50"/>
      <c r="E127" s="50"/>
      <c r="F127" s="50"/>
      <c r="G127" s="50"/>
      <c r="H127" s="50"/>
    </row>
    <row r="128" spans="3:8" ht="13.2">
      <c r="C128" s="63"/>
      <c r="D128" s="50"/>
      <c r="E128" s="50"/>
      <c r="F128" s="50"/>
      <c r="G128" s="50"/>
      <c r="H128" s="50"/>
    </row>
    <row r="129" spans="3:8" ht="13.2">
      <c r="C129" s="63"/>
      <c r="D129" s="50"/>
      <c r="E129" s="50"/>
      <c r="F129" s="50"/>
      <c r="G129" s="50"/>
      <c r="H129" s="50"/>
    </row>
    <row r="130" spans="3:8" ht="13.2">
      <c r="C130" s="63"/>
      <c r="D130" s="50"/>
      <c r="E130" s="50"/>
      <c r="F130" s="50"/>
      <c r="G130" s="50"/>
      <c r="H130" s="50"/>
    </row>
    <row r="131" spans="3:8" ht="13.2">
      <c r="C131" s="63"/>
      <c r="D131" s="50"/>
      <c r="E131" s="50"/>
      <c r="F131" s="50"/>
      <c r="G131" s="50"/>
      <c r="H131" s="50"/>
    </row>
    <row r="132" spans="3:8" ht="13.2">
      <c r="C132" s="63"/>
      <c r="D132" s="50"/>
      <c r="E132" s="50"/>
      <c r="F132" s="50"/>
      <c r="G132" s="50"/>
      <c r="H132" s="50"/>
    </row>
    <row r="133" spans="3:8" ht="13.2">
      <c r="C133" s="63"/>
      <c r="D133" s="50"/>
      <c r="E133" s="50"/>
      <c r="F133" s="50"/>
      <c r="G133" s="50"/>
      <c r="H133" s="50"/>
    </row>
    <row r="134" spans="3:8" ht="13.2">
      <c r="C134" s="63"/>
      <c r="D134" s="50"/>
      <c r="E134" s="50"/>
      <c r="F134" s="50"/>
      <c r="G134" s="50"/>
      <c r="H134" s="50"/>
    </row>
    <row r="135" spans="3:8" ht="13.2">
      <c r="C135" s="63"/>
      <c r="D135" s="50"/>
      <c r="E135" s="50"/>
      <c r="F135" s="50"/>
      <c r="G135" s="50"/>
      <c r="H135" s="50"/>
    </row>
    <row r="136" spans="3:8" ht="13.2">
      <c r="C136" s="63"/>
      <c r="D136" s="50"/>
      <c r="E136" s="50"/>
      <c r="F136" s="50"/>
      <c r="G136" s="50"/>
      <c r="H136" s="50"/>
    </row>
    <row r="137" spans="3:8" ht="13.2">
      <c r="C137" s="63"/>
      <c r="D137" s="50"/>
      <c r="E137" s="50"/>
      <c r="F137" s="50"/>
      <c r="G137" s="50"/>
      <c r="H137" s="50"/>
    </row>
    <row r="138" spans="3:8" ht="13.2">
      <c r="C138" s="63"/>
      <c r="D138" s="50"/>
      <c r="E138" s="50"/>
      <c r="F138" s="50"/>
      <c r="G138" s="50"/>
      <c r="H138" s="50"/>
    </row>
    <row r="139" spans="3:8" ht="13.2">
      <c r="C139" s="63"/>
      <c r="D139" s="50"/>
      <c r="E139" s="50"/>
      <c r="F139" s="50"/>
      <c r="G139" s="50"/>
      <c r="H139" s="50"/>
    </row>
    <row r="140" spans="3:8" ht="13.2">
      <c r="C140" s="63"/>
      <c r="D140" s="50"/>
      <c r="E140" s="50"/>
      <c r="F140" s="50"/>
      <c r="G140" s="50"/>
      <c r="H140" s="50"/>
    </row>
    <row r="141" spans="3:8" ht="13.2">
      <c r="C141" s="63"/>
      <c r="D141" s="50"/>
      <c r="E141" s="50"/>
      <c r="F141" s="50"/>
      <c r="G141" s="50"/>
      <c r="H141" s="50"/>
    </row>
    <row r="142" spans="3:8" ht="13.2">
      <c r="C142" s="63"/>
      <c r="D142" s="50"/>
      <c r="E142" s="50"/>
      <c r="F142" s="50"/>
      <c r="G142" s="50"/>
      <c r="H142" s="50"/>
    </row>
    <row r="143" spans="3:8" ht="13.2">
      <c r="C143" s="63"/>
      <c r="D143" s="50"/>
      <c r="E143" s="50"/>
      <c r="F143" s="50"/>
      <c r="G143" s="50"/>
      <c r="H143" s="50"/>
    </row>
    <row r="144" spans="3:8" ht="13.2">
      <c r="C144" s="63"/>
      <c r="D144" s="50"/>
      <c r="E144" s="50"/>
      <c r="F144" s="50"/>
      <c r="G144" s="50"/>
      <c r="H144" s="50"/>
    </row>
    <row r="145" spans="3:8" ht="13.2">
      <c r="C145" s="63"/>
      <c r="D145" s="50"/>
      <c r="E145" s="50"/>
      <c r="F145" s="50"/>
      <c r="G145" s="50"/>
      <c r="H145" s="50"/>
    </row>
    <row r="146" spans="3:8" ht="13.2">
      <c r="C146" s="63"/>
      <c r="D146" s="50"/>
      <c r="E146" s="50"/>
      <c r="F146" s="50"/>
      <c r="G146" s="50"/>
      <c r="H146" s="50"/>
    </row>
    <row r="147" spans="3:8" ht="13.2">
      <c r="C147" s="63"/>
      <c r="D147" s="50"/>
      <c r="E147" s="50"/>
      <c r="F147" s="50"/>
      <c r="G147" s="50"/>
      <c r="H147" s="50"/>
    </row>
    <row r="148" spans="3:8" ht="13.2">
      <c r="C148" s="63"/>
      <c r="D148" s="50"/>
      <c r="E148" s="50"/>
      <c r="F148" s="50"/>
      <c r="G148" s="50"/>
      <c r="H148" s="50"/>
    </row>
    <row r="149" spans="3:8" ht="13.2">
      <c r="C149" s="63"/>
      <c r="D149" s="50"/>
      <c r="E149" s="50"/>
      <c r="F149" s="50"/>
      <c r="G149" s="50"/>
      <c r="H149" s="50"/>
    </row>
    <row r="150" spans="3:8" ht="13.2">
      <c r="C150" s="63"/>
      <c r="D150" s="50"/>
      <c r="E150" s="50"/>
      <c r="F150" s="50"/>
      <c r="G150" s="50"/>
      <c r="H150" s="50"/>
    </row>
    <row r="151" spans="3:8" ht="13.2">
      <c r="C151" s="63"/>
      <c r="D151" s="50"/>
      <c r="E151" s="50"/>
      <c r="F151" s="50"/>
      <c r="G151" s="50"/>
      <c r="H151" s="50"/>
    </row>
    <row r="152" spans="3:8" ht="13.2">
      <c r="C152" s="63"/>
      <c r="D152" s="50"/>
      <c r="E152" s="50"/>
      <c r="F152" s="50"/>
      <c r="G152" s="50"/>
      <c r="H152" s="50"/>
    </row>
    <row r="153" spans="3:8" ht="13.2">
      <c r="C153" s="63"/>
      <c r="D153" s="50"/>
      <c r="E153" s="50"/>
      <c r="F153" s="50"/>
      <c r="G153" s="50"/>
      <c r="H153" s="50"/>
    </row>
    <row r="154" spans="3:8" ht="13.2">
      <c r="C154" s="63"/>
      <c r="D154" s="50"/>
      <c r="E154" s="50"/>
      <c r="F154" s="50"/>
      <c r="G154" s="50"/>
      <c r="H154" s="50"/>
    </row>
    <row r="155" spans="3:8" ht="13.2">
      <c r="C155" s="63"/>
      <c r="D155" s="50"/>
      <c r="E155" s="50"/>
      <c r="F155" s="50"/>
      <c r="G155" s="50"/>
      <c r="H155" s="50"/>
    </row>
    <row r="156" spans="3:8" ht="13.2">
      <c r="C156" s="63"/>
      <c r="D156" s="50"/>
      <c r="E156" s="50"/>
      <c r="F156" s="50"/>
      <c r="G156" s="50"/>
      <c r="H156" s="50"/>
    </row>
    <row r="157" spans="3:8" ht="13.2">
      <c r="C157" s="63"/>
      <c r="D157" s="50"/>
      <c r="E157" s="50"/>
      <c r="F157" s="50"/>
      <c r="G157" s="50"/>
      <c r="H157" s="50"/>
    </row>
    <row r="158" spans="3:8" ht="13.2">
      <c r="C158" s="63"/>
      <c r="D158" s="50"/>
      <c r="E158" s="50"/>
      <c r="F158" s="50"/>
      <c r="G158" s="50"/>
      <c r="H158" s="50"/>
    </row>
    <row r="159" spans="3:8" ht="13.2">
      <c r="C159" s="63"/>
      <c r="D159" s="50"/>
      <c r="E159" s="50"/>
      <c r="F159" s="50"/>
      <c r="G159" s="50"/>
      <c r="H159" s="50"/>
    </row>
    <row r="160" spans="3:8" ht="13.2">
      <c r="C160" s="63"/>
      <c r="D160" s="50"/>
      <c r="E160" s="50"/>
      <c r="F160" s="50"/>
      <c r="G160" s="50"/>
      <c r="H160" s="50"/>
    </row>
    <row r="161" spans="3:8" ht="13.2">
      <c r="C161" s="63"/>
      <c r="D161" s="50"/>
      <c r="E161" s="50"/>
      <c r="F161" s="50"/>
      <c r="G161" s="50"/>
      <c r="H161" s="50"/>
    </row>
    <row r="162" spans="3:8" ht="13.2">
      <c r="C162" s="63"/>
      <c r="D162" s="50"/>
      <c r="E162" s="50"/>
      <c r="F162" s="50"/>
      <c r="G162" s="50"/>
      <c r="H162" s="50"/>
    </row>
    <row r="163" spans="3:8" ht="13.2">
      <c r="C163" s="63"/>
      <c r="D163" s="50"/>
      <c r="E163" s="50"/>
      <c r="F163" s="50"/>
      <c r="G163" s="50"/>
      <c r="H163" s="50"/>
    </row>
    <row r="164" spans="3:8" ht="13.2">
      <c r="C164" s="63"/>
      <c r="D164" s="50"/>
      <c r="E164" s="50"/>
      <c r="F164" s="50"/>
      <c r="G164" s="50"/>
      <c r="H164" s="50"/>
    </row>
    <row r="165" spans="3:8" ht="13.2">
      <c r="C165" s="63"/>
      <c r="D165" s="50"/>
      <c r="E165" s="50"/>
      <c r="F165" s="50"/>
      <c r="G165" s="50"/>
      <c r="H165" s="50"/>
    </row>
    <row r="166" spans="3:8" ht="13.2">
      <c r="C166" s="63"/>
      <c r="D166" s="50"/>
      <c r="E166" s="50"/>
      <c r="F166" s="50"/>
      <c r="G166" s="50"/>
      <c r="H166" s="50"/>
    </row>
    <row r="167" spans="3:8" ht="13.2">
      <c r="C167" s="63"/>
      <c r="D167" s="50"/>
      <c r="E167" s="50"/>
      <c r="F167" s="50"/>
      <c r="G167" s="50"/>
      <c r="H167" s="50"/>
    </row>
    <row r="168" spans="3:8" ht="13.2">
      <c r="C168" s="63"/>
      <c r="D168" s="50"/>
      <c r="E168" s="50"/>
      <c r="F168" s="50"/>
      <c r="G168" s="50"/>
      <c r="H168" s="50"/>
    </row>
    <row r="169" spans="3:8" ht="13.2">
      <c r="C169" s="63"/>
      <c r="D169" s="50"/>
      <c r="E169" s="50"/>
      <c r="F169" s="50"/>
      <c r="G169" s="50"/>
      <c r="H169" s="50"/>
    </row>
    <row r="170" spans="3:8" ht="13.2">
      <c r="C170" s="63"/>
      <c r="D170" s="50"/>
      <c r="E170" s="50"/>
      <c r="F170" s="50"/>
      <c r="G170" s="50"/>
      <c r="H170" s="50"/>
    </row>
    <row r="171" spans="3:8" ht="13.2">
      <c r="C171" s="63"/>
      <c r="D171" s="50"/>
      <c r="E171" s="50"/>
      <c r="F171" s="50"/>
      <c r="G171" s="50"/>
      <c r="H171" s="50"/>
    </row>
    <row r="172" spans="3:8" ht="13.2">
      <c r="C172" s="63"/>
      <c r="D172" s="50"/>
      <c r="E172" s="50"/>
      <c r="F172" s="50"/>
      <c r="G172" s="50"/>
      <c r="H172" s="50"/>
    </row>
    <row r="173" spans="3:8" ht="13.2">
      <c r="C173" s="63"/>
      <c r="D173" s="50"/>
      <c r="E173" s="50"/>
      <c r="F173" s="50"/>
      <c r="G173" s="50"/>
      <c r="H173" s="50"/>
    </row>
    <row r="174" spans="3:8" ht="13.2">
      <c r="C174" s="63"/>
      <c r="D174" s="50"/>
      <c r="E174" s="50"/>
      <c r="F174" s="50"/>
      <c r="G174" s="50"/>
      <c r="H174" s="50"/>
    </row>
    <row r="175" spans="3:8" ht="13.2">
      <c r="C175" s="63"/>
      <c r="D175" s="50"/>
      <c r="E175" s="50"/>
      <c r="F175" s="50"/>
      <c r="G175" s="50"/>
      <c r="H175" s="50"/>
    </row>
    <row r="176" spans="3:8" ht="13.2">
      <c r="C176" s="63"/>
      <c r="D176" s="50"/>
      <c r="E176" s="50"/>
      <c r="F176" s="50"/>
      <c r="G176" s="50"/>
      <c r="H176" s="50"/>
    </row>
    <row r="177" spans="3:8" ht="13.2">
      <c r="C177" s="63"/>
      <c r="D177" s="50"/>
      <c r="E177" s="50"/>
      <c r="F177" s="50"/>
      <c r="G177" s="50"/>
      <c r="H177" s="50"/>
    </row>
    <row r="178" spans="3:8" ht="13.2">
      <c r="C178" s="63"/>
      <c r="D178" s="50"/>
      <c r="E178" s="50"/>
      <c r="F178" s="50"/>
      <c r="G178" s="50"/>
      <c r="H178" s="50"/>
    </row>
    <row r="179" spans="3:8" ht="13.2">
      <c r="C179" s="63"/>
      <c r="D179" s="50"/>
      <c r="E179" s="50"/>
      <c r="F179" s="50"/>
      <c r="G179" s="50"/>
      <c r="H179" s="50"/>
    </row>
    <row r="180" spans="3:8" ht="13.2">
      <c r="C180" s="63"/>
      <c r="D180" s="50"/>
      <c r="E180" s="50"/>
      <c r="F180" s="50"/>
      <c r="G180" s="50"/>
      <c r="H180" s="50"/>
    </row>
    <row r="181" spans="3:8" ht="13.2">
      <c r="C181" s="63"/>
      <c r="D181" s="50"/>
      <c r="E181" s="50"/>
      <c r="F181" s="50"/>
      <c r="G181" s="50"/>
      <c r="H181" s="50"/>
    </row>
    <row r="182" spans="3:8" ht="13.2">
      <c r="C182" s="63"/>
      <c r="D182" s="50"/>
      <c r="E182" s="50"/>
      <c r="F182" s="50"/>
      <c r="G182" s="50"/>
      <c r="H182" s="50"/>
    </row>
    <row r="183" spans="3:8" ht="13.2">
      <c r="C183" s="63"/>
      <c r="D183" s="50"/>
      <c r="E183" s="50"/>
      <c r="F183" s="50"/>
      <c r="G183" s="50"/>
      <c r="H183" s="50"/>
    </row>
    <row r="184" spans="3:8" ht="13.2">
      <c r="C184" s="63"/>
      <c r="D184" s="50"/>
      <c r="E184" s="50"/>
      <c r="F184" s="50"/>
      <c r="G184" s="50"/>
      <c r="H184" s="50"/>
    </row>
    <row r="185" spans="3:8" ht="13.2">
      <c r="C185" s="63"/>
      <c r="D185" s="50"/>
      <c r="E185" s="50"/>
      <c r="F185" s="50"/>
      <c r="G185" s="50"/>
      <c r="H185" s="50"/>
    </row>
    <row r="186" spans="3:8" ht="13.2">
      <c r="C186" s="63"/>
      <c r="D186" s="50"/>
      <c r="E186" s="50"/>
      <c r="F186" s="50"/>
      <c r="G186" s="50"/>
      <c r="H186" s="50"/>
    </row>
    <row r="187" spans="3:8" ht="13.2">
      <c r="C187" s="63"/>
      <c r="D187" s="50"/>
      <c r="E187" s="50"/>
      <c r="F187" s="50"/>
      <c r="G187" s="50"/>
      <c r="H187" s="50"/>
    </row>
    <row r="188" spans="3:8" ht="13.2">
      <c r="C188" s="63"/>
      <c r="D188" s="50"/>
      <c r="E188" s="50"/>
      <c r="F188" s="50"/>
      <c r="G188" s="50"/>
      <c r="H188" s="50"/>
    </row>
    <row r="189" spans="3:8" ht="13.2">
      <c r="C189" s="63"/>
      <c r="D189" s="50"/>
      <c r="E189" s="50"/>
      <c r="F189" s="50"/>
      <c r="G189" s="50"/>
      <c r="H189" s="50"/>
    </row>
    <row r="190" spans="3:8" ht="13.2">
      <c r="C190" s="63"/>
      <c r="D190" s="50"/>
      <c r="E190" s="50"/>
      <c r="F190" s="50"/>
      <c r="G190" s="50"/>
      <c r="H190" s="50"/>
    </row>
    <row r="191" spans="3:8" ht="13.2">
      <c r="C191" s="63"/>
      <c r="D191" s="50"/>
      <c r="E191" s="50"/>
      <c r="F191" s="50"/>
      <c r="G191" s="50"/>
      <c r="H191" s="50"/>
    </row>
    <row r="192" spans="3:8" ht="13.2">
      <c r="C192" s="63"/>
      <c r="D192" s="50"/>
      <c r="E192" s="50"/>
      <c r="F192" s="50"/>
      <c r="G192" s="50"/>
      <c r="H192" s="50"/>
    </row>
    <row r="193" spans="3:8" ht="13.2">
      <c r="C193" s="63"/>
      <c r="D193" s="50"/>
      <c r="E193" s="50"/>
      <c r="F193" s="50"/>
      <c r="G193" s="50"/>
      <c r="H193" s="50"/>
    </row>
    <row r="194" spans="3:8" ht="13.2">
      <c r="C194" s="63"/>
      <c r="D194" s="50"/>
      <c r="E194" s="50"/>
      <c r="F194" s="50"/>
      <c r="G194" s="50"/>
      <c r="H194" s="50"/>
    </row>
    <row r="195" spans="3:8" ht="13.2">
      <c r="C195" s="63"/>
      <c r="D195" s="50"/>
      <c r="E195" s="50"/>
      <c r="F195" s="50"/>
      <c r="G195" s="50"/>
      <c r="H195" s="50"/>
    </row>
    <row r="196" spans="3:8" ht="13.2">
      <c r="C196" s="63"/>
      <c r="D196" s="50"/>
      <c r="E196" s="50"/>
      <c r="F196" s="50"/>
      <c r="G196" s="50"/>
      <c r="H196" s="50"/>
    </row>
    <row r="197" spans="3:8" ht="13.2">
      <c r="C197" s="63"/>
      <c r="D197" s="50"/>
      <c r="E197" s="50"/>
      <c r="F197" s="50"/>
      <c r="G197" s="50"/>
      <c r="H197" s="50"/>
    </row>
    <row r="198" spans="3:8" ht="13.2">
      <c r="C198" s="63"/>
      <c r="D198" s="50"/>
      <c r="E198" s="50"/>
      <c r="F198" s="50"/>
      <c r="G198" s="50"/>
      <c r="H198" s="50"/>
    </row>
    <row r="199" spans="3:8" ht="13.2">
      <c r="C199" s="63"/>
      <c r="D199" s="50"/>
      <c r="E199" s="50"/>
      <c r="F199" s="50"/>
      <c r="G199" s="50"/>
      <c r="H199" s="50"/>
    </row>
    <row r="200" spans="3:8" ht="13.2">
      <c r="C200" s="63"/>
      <c r="D200" s="50"/>
      <c r="E200" s="50"/>
      <c r="F200" s="50"/>
      <c r="G200" s="50"/>
      <c r="H200" s="50"/>
    </row>
    <row r="201" spans="3:8" ht="13.2">
      <c r="C201" s="63"/>
      <c r="D201" s="50"/>
      <c r="E201" s="50"/>
      <c r="F201" s="50"/>
      <c r="G201" s="50"/>
      <c r="H201" s="50"/>
    </row>
    <row r="202" spans="3:8" ht="13.2">
      <c r="C202" s="63"/>
      <c r="D202" s="50"/>
      <c r="E202" s="50"/>
      <c r="F202" s="50"/>
      <c r="G202" s="50"/>
      <c r="H202" s="50"/>
    </row>
    <row r="203" spans="3:8" ht="13.2">
      <c r="C203" s="63"/>
      <c r="D203" s="50"/>
      <c r="E203" s="50"/>
      <c r="F203" s="50"/>
      <c r="G203" s="50"/>
      <c r="H203" s="50"/>
    </row>
    <row r="204" spans="3:8" ht="13.2">
      <c r="C204" s="63"/>
      <c r="D204" s="50"/>
      <c r="E204" s="50"/>
      <c r="F204" s="50"/>
      <c r="G204" s="50"/>
      <c r="H204" s="50"/>
    </row>
    <row r="205" spans="3:8" ht="13.2">
      <c r="C205" s="63"/>
      <c r="D205" s="50"/>
      <c r="E205" s="50"/>
      <c r="F205" s="50"/>
      <c r="G205" s="50"/>
      <c r="H205" s="50"/>
    </row>
    <row r="206" spans="3:8" ht="13.2">
      <c r="C206" s="63"/>
      <c r="D206" s="50"/>
      <c r="E206" s="50"/>
      <c r="F206" s="50"/>
      <c r="G206" s="50"/>
      <c r="H206" s="50"/>
    </row>
    <row r="207" spans="3:8" ht="13.2">
      <c r="C207" s="63"/>
      <c r="D207" s="50"/>
      <c r="E207" s="50"/>
      <c r="F207" s="50"/>
      <c r="G207" s="50"/>
      <c r="H207" s="50"/>
    </row>
    <row r="208" spans="3:8" ht="13.2">
      <c r="C208" s="63"/>
      <c r="D208" s="50"/>
      <c r="E208" s="50"/>
      <c r="F208" s="50"/>
      <c r="G208" s="50"/>
      <c r="H208" s="50"/>
    </row>
    <row r="209" spans="3:8" ht="13.2">
      <c r="C209" s="63"/>
      <c r="D209" s="50"/>
      <c r="E209" s="50"/>
      <c r="F209" s="50"/>
      <c r="G209" s="50"/>
      <c r="H209" s="50"/>
    </row>
    <row r="210" spans="3:8" ht="13.2">
      <c r="C210" s="63"/>
      <c r="D210" s="50"/>
      <c r="E210" s="50"/>
      <c r="F210" s="50"/>
      <c r="G210" s="50"/>
      <c r="H210" s="50"/>
    </row>
    <row r="211" spans="3:8" ht="13.2">
      <c r="C211" s="63"/>
      <c r="D211" s="50"/>
      <c r="E211" s="50"/>
      <c r="F211" s="50"/>
      <c r="G211" s="50"/>
      <c r="H211" s="50"/>
    </row>
    <row r="212" spans="3:8" ht="13.2">
      <c r="C212" s="63"/>
      <c r="D212" s="50"/>
      <c r="E212" s="50"/>
      <c r="F212" s="50"/>
      <c r="G212" s="50"/>
      <c r="H212" s="50"/>
    </row>
    <row r="213" spans="3:8" ht="13.2">
      <c r="C213" s="63"/>
      <c r="D213" s="50"/>
      <c r="E213" s="50"/>
      <c r="F213" s="50"/>
      <c r="G213" s="50"/>
      <c r="H213" s="50"/>
    </row>
    <row r="214" spans="3:8" ht="13.2">
      <c r="C214" s="63"/>
      <c r="D214" s="50"/>
      <c r="E214" s="50"/>
      <c r="F214" s="50"/>
      <c r="G214" s="50"/>
      <c r="H214" s="50"/>
    </row>
    <row r="215" spans="3:8" ht="13.2">
      <c r="C215" s="63"/>
      <c r="D215" s="50"/>
      <c r="E215" s="50"/>
      <c r="F215" s="50"/>
      <c r="G215" s="50"/>
      <c r="H215" s="50"/>
    </row>
    <row r="216" spans="3:8" ht="13.2">
      <c r="C216" s="63"/>
      <c r="D216" s="50"/>
      <c r="E216" s="50"/>
      <c r="F216" s="50"/>
      <c r="G216" s="50"/>
      <c r="H216" s="50"/>
    </row>
    <row r="217" spans="3:8" ht="13.2">
      <c r="C217" s="63"/>
      <c r="D217" s="50"/>
      <c r="E217" s="50"/>
      <c r="F217" s="50"/>
      <c r="G217" s="50"/>
      <c r="H217" s="50"/>
    </row>
    <row r="218" spans="3:8" ht="13.2">
      <c r="C218" s="63"/>
      <c r="D218" s="50"/>
      <c r="E218" s="50"/>
      <c r="F218" s="50"/>
      <c r="G218" s="50"/>
      <c r="H218" s="50"/>
    </row>
    <row r="219" spans="3:8" ht="13.2">
      <c r="C219" s="63"/>
      <c r="D219" s="50"/>
      <c r="E219" s="50"/>
      <c r="F219" s="50"/>
      <c r="G219" s="50"/>
      <c r="H219" s="50"/>
    </row>
    <row r="220" spans="3:8" ht="13.2">
      <c r="C220" s="63"/>
      <c r="D220" s="50"/>
      <c r="E220" s="50"/>
      <c r="F220" s="50"/>
      <c r="G220" s="50"/>
      <c r="H220" s="50"/>
    </row>
    <row r="221" spans="3:8" ht="13.2">
      <c r="C221" s="63"/>
      <c r="D221" s="50"/>
      <c r="E221" s="50"/>
      <c r="F221" s="50"/>
      <c r="G221" s="50"/>
      <c r="H221" s="50"/>
    </row>
    <row r="222" spans="3:8" ht="13.2">
      <c r="C222" s="63"/>
      <c r="D222" s="50"/>
      <c r="E222" s="50"/>
      <c r="F222" s="50"/>
      <c r="G222" s="50"/>
      <c r="H222" s="50"/>
    </row>
    <row r="223" spans="3:8" ht="13.2">
      <c r="C223" s="63"/>
      <c r="D223" s="50"/>
      <c r="E223" s="50"/>
      <c r="F223" s="50"/>
      <c r="G223" s="50"/>
      <c r="H223" s="50"/>
    </row>
    <row r="224" spans="3:8" ht="13.2">
      <c r="C224" s="63"/>
      <c r="D224" s="50"/>
      <c r="E224" s="50"/>
      <c r="F224" s="50"/>
      <c r="G224" s="50"/>
      <c r="H224" s="50"/>
    </row>
    <row r="225" spans="3:8" ht="13.2">
      <c r="C225" s="63"/>
      <c r="D225" s="50"/>
      <c r="E225" s="50"/>
      <c r="F225" s="50"/>
      <c r="G225" s="50"/>
      <c r="H225" s="50"/>
    </row>
    <row r="226" spans="3:8" ht="13.2">
      <c r="C226" s="63"/>
      <c r="D226" s="50"/>
      <c r="E226" s="50"/>
      <c r="F226" s="50"/>
      <c r="G226" s="50"/>
      <c r="H226" s="50"/>
    </row>
    <row r="227" spans="3:8" ht="13.2">
      <c r="C227" s="63"/>
      <c r="D227" s="50"/>
      <c r="E227" s="50"/>
      <c r="F227" s="50"/>
      <c r="G227" s="50"/>
      <c r="H227" s="50"/>
    </row>
    <row r="228" spans="3:8" ht="13.2">
      <c r="C228" s="63"/>
      <c r="D228" s="50"/>
      <c r="E228" s="50"/>
      <c r="F228" s="50"/>
      <c r="G228" s="50"/>
      <c r="H228" s="50"/>
    </row>
    <row r="229" spans="3:8" ht="13.2">
      <c r="C229" s="63"/>
      <c r="D229" s="50"/>
      <c r="E229" s="50"/>
      <c r="F229" s="50"/>
      <c r="G229" s="50"/>
      <c r="H229" s="50"/>
    </row>
    <row r="230" spans="3:8" ht="13.2">
      <c r="C230" s="63"/>
      <c r="D230" s="50"/>
      <c r="E230" s="50"/>
      <c r="F230" s="50"/>
      <c r="G230" s="50"/>
      <c r="H230" s="50"/>
    </row>
    <row r="231" spans="3:8" ht="13.2">
      <c r="C231" s="63"/>
      <c r="D231" s="50"/>
      <c r="E231" s="50"/>
      <c r="F231" s="50"/>
      <c r="G231" s="50"/>
      <c r="H231" s="50"/>
    </row>
    <row r="232" spans="3:8" ht="13.2">
      <c r="C232" s="63"/>
      <c r="D232" s="50"/>
      <c r="E232" s="50"/>
      <c r="F232" s="50"/>
      <c r="G232" s="50"/>
      <c r="H232" s="50"/>
    </row>
    <row r="233" spans="3:8" ht="13.2">
      <c r="C233" s="63"/>
      <c r="D233" s="50"/>
      <c r="E233" s="50"/>
      <c r="F233" s="50"/>
      <c r="G233" s="50"/>
      <c r="H233" s="50"/>
    </row>
    <row r="234" spans="3:8" ht="13.2">
      <c r="C234" s="63"/>
      <c r="D234" s="50"/>
      <c r="E234" s="50"/>
      <c r="F234" s="50"/>
      <c r="G234" s="50"/>
      <c r="H234" s="50"/>
    </row>
    <row r="235" spans="3:8" ht="13.2">
      <c r="C235" s="63"/>
      <c r="D235" s="50"/>
      <c r="E235" s="50"/>
      <c r="F235" s="50"/>
      <c r="G235" s="50"/>
      <c r="H235" s="50"/>
    </row>
    <row r="236" spans="3:8" ht="13.2">
      <c r="C236" s="63"/>
      <c r="D236" s="50"/>
      <c r="E236" s="50"/>
      <c r="F236" s="50"/>
      <c r="G236" s="50"/>
      <c r="H236" s="50"/>
    </row>
    <row r="237" spans="3:8" ht="13.2">
      <c r="C237" s="63"/>
      <c r="D237" s="50"/>
      <c r="E237" s="50"/>
      <c r="F237" s="50"/>
      <c r="G237" s="50"/>
      <c r="H237" s="50"/>
    </row>
    <row r="238" spans="3:8" ht="13.2">
      <c r="C238" s="63"/>
      <c r="D238" s="50"/>
      <c r="E238" s="50"/>
      <c r="F238" s="50"/>
      <c r="G238" s="50"/>
      <c r="H238" s="50"/>
    </row>
    <row r="239" spans="3:8" ht="13.2">
      <c r="C239" s="63"/>
      <c r="D239" s="50"/>
      <c r="E239" s="50"/>
      <c r="F239" s="50"/>
      <c r="G239" s="50"/>
      <c r="H239" s="50"/>
    </row>
    <row r="240" spans="3:8" ht="13.2">
      <c r="C240" s="63"/>
      <c r="D240" s="50"/>
      <c r="E240" s="50"/>
      <c r="F240" s="50"/>
      <c r="G240" s="50"/>
      <c r="H240" s="50"/>
    </row>
    <row r="241" spans="3:8" ht="13.2">
      <c r="C241" s="63"/>
      <c r="D241" s="50"/>
      <c r="E241" s="50"/>
      <c r="F241" s="50"/>
      <c r="G241" s="50"/>
      <c r="H241" s="50"/>
    </row>
    <row r="242" spans="3:8" ht="13.2">
      <c r="C242" s="63"/>
      <c r="D242" s="50"/>
      <c r="E242" s="50"/>
      <c r="F242" s="50"/>
      <c r="G242" s="50"/>
      <c r="H242" s="50"/>
    </row>
    <row r="243" spans="3:8" ht="13.2">
      <c r="C243" s="63"/>
      <c r="D243" s="50"/>
      <c r="E243" s="50"/>
      <c r="F243" s="50"/>
      <c r="G243" s="50"/>
      <c r="H243" s="50"/>
    </row>
    <row r="244" spans="3:8" ht="13.2">
      <c r="C244" s="63"/>
      <c r="D244" s="50"/>
      <c r="E244" s="50"/>
      <c r="F244" s="50"/>
      <c r="G244" s="50"/>
      <c r="H244" s="50"/>
    </row>
    <row r="245" spans="3:8" ht="13.2">
      <c r="C245" s="63"/>
      <c r="D245" s="50"/>
      <c r="E245" s="50"/>
      <c r="F245" s="50"/>
      <c r="G245" s="50"/>
      <c r="H245" s="50"/>
    </row>
    <row r="246" spans="3:8" ht="13.2">
      <c r="C246" s="63"/>
      <c r="D246" s="50"/>
      <c r="E246" s="50"/>
      <c r="F246" s="50"/>
      <c r="G246" s="50"/>
      <c r="H246" s="50"/>
    </row>
    <row r="247" spans="3:8" ht="13.2">
      <c r="C247" s="63"/>
      <c r="D247" s="50"/>
      <c r="E247" s="50"/>
      <c r="F247" s="50"/>
      <c r="G247" s="50"/>
      <c r="H247" s="50"/>
    </row>
    <row r="248" spans="3:8" ht="13.2">
      <c r="C248" s="63"/>
      <c r="D248" s="50"/>
      <c r="E248" s="50"/>
      <c r="F248" s="50"/>
      <c r="G248" s="50"/>
      <c r="H248" s="50"/>
    </row>
    <row r="249" spans="3:8" ht="13.2">
      <c r="C249" s="63"/>
      <c r="D249" s="50"/>
      <c r="E249" s="50"/>
      <c r="F249" s="50"/>
      <c r="G249" s="50"/>
      <c r="H249" s="50"/>
    </row>
    <row r="250" spans="3:8" ht="13.2">
      <c r="C250" s="63"/>
      <c r="D250" s="50"/>
      <c r="E250" s="50"/>
      <c r="F250" s="50"/>
      <c r="G250" s="50"/>
      <c r="H250" s="50"/>
    </row>
    <row r="251" spans="3:8" ht="13.2">
      <c r="C251" s="63"/>
      <c r="D251" s="50"/>
      <c r="E251" s="50"/>
      <c r="F251" s="50"/>
      <c r="G251" s="50"/>
      <c r="H251" s="50"/>
    </row>
    <row r="252" spans="3:8" ht="13.2">
      <c r="C252" s="63"/>
      <c r="D252" s="50"/>
      <c r="E252" s="50"/>
      <c r="F252" s="50"/>
      <c r="G252" s="50"/>
      <c r="H252" s="50"/>
    </row>
    <row r="253" spans="3:8" ht="13.2">
      <c r="C253" s="63"/>
      <c r="D253" s="50"/>
      <c r="E253" s="50"/>
      <c r="F253" s="50"/>
      <c r="G253" s="50"/>
      <c r="H253" s="50"/>
    </row>
    <row r="254" spans="3:8" ht="13.2">
      <c r="C254" s="63"/>
      <c r="D254" s="50"/>
      <c r="E254" s="50"/>
      <c r="F254" s="50"/>
      <c r="G254" s="50"/>
      <c r="H254" s="50"/>
    </row>
    <row r="255" spans="3:8" ht="13.2">
      <c r="C255" s="63"/>
      <c r="D255" s="50"/>
      <c r="E255" s="50"/>
      <c r="F255" s="50"/>
      <c r="G255" s="50"/>
      <c r="H255" s="50"/>
    </row>
    <row r="256" spans="3:8" ht="13.2">
      <c r="C256" s="63"/>
      <c r="D256" s="50"/>
      <c r="E256" s="50"/>
      <c r="F256" s="50"/>
      <c r="G256" s="50"/>
      <c r="H256" s="50"/>
    </row>
    <row r="257" spans="3:8" ht="13.2">
      <c r="C257" s="63"/>
      <c r="D257" s="50"/>
      <c r="E257" s="50"/>
      <c r="F257" s="50"/>
      <c r="G257" s="50"/>
      <c r="H257" s="50"/>
    </row>
    <row r="258" spans="3:8" ht="13.2">
      <c r="C258" s="63"/>
      <c r="D258" s="50"/>
      <c r="E258" s="50"/>
      <c r="F258" s="50"/>
      <c r="G258" s="50"/>
      <c r="H258" s="50"/>
    </row>
    <row r="259" spans="3:8" ht="13.2">
      <c r="C259" s="63"/>
      <c r="D259" s="50"/>
      <c r="E259" s="50"/>
      <c r="F259" s="50"/>
      <c r="G259" s="50"/>
      <c r="H259" s="50"/>
    </row>
    <row r="260" spans="3:8" ht="13.2">
      <c r="C260" s="63"/>
      <c r="D260" s="50"/>
      <c r="E260" s="50"/>
      <c r="F260" s="50"/>
      <c r="G260" s="50"/>
      <c r="H260" s="50"/>
    </row>
    <row r="261" spans="3:8" ht="13.2">
      <c r="C261" s="63"/>
      <c r="D261" s="50"/>
      <c r="E261" s="50"/>
      <c r="F261" s="50"/>
      <c r="G261" s="50"/>
      <c r="H261" s="50"/>
    </row>
    <row r="262" spans="3:8" ht="13.2">
      <c r="C262" s="63"/>
      <c r="D262" s="50"/>
      <c r="E262" s="50"/>
      <c r="F262" s="50"/>
      <c r="G262" s="50"/>
      <c r="H262" s="50"/>
    </row>
    <row r="263" spans="3:8" ht="13.2">
      <c r="C263" s="63"/>
      <c r="D263" s="50"/>
      <c r="E263" s="50"/>
      <c r="F263" s="50"/>
      <c r="G263" s="50"/>
      <c r="H263" s="50"/>
    </row>
    <row r="264" spans="3:8" ht="13.2">
      <c r="C264" s="63"/>
      <c r="D264" s="50"/>
      <c r="E264" s="50"/>
      <c r="F264" s="50"/>
      <c r="G264" s="50"/>
      <c r="H264" s="50"/>
    </row>
    <row r="265" spans="3:8" ht="13.2">
      <c r="C265" s="63"/>
      <c r="D265" s="50"/>
      <c r="E265" s="50"/>
      <c r="F265" s="50"/>
      <c r="G265" s="50"/>
      <c r="H265" s="50"/>
    </row>
    <row r="266" spans="3:8" ht="13.2">
      <c r="C266" s="63"/>
      <c r="D266" s="50"/>
      <c r="E266" s="50"/>
      <c r="F266" s="50"/>
      <c r="G266" s="50"/>
      <c r="H266" s="50"/>
    </row>
    <row r="267" spans="3:8" ht="13.2">
      <c r="C267" s="63"/>
      <c r="D267" s="50"/>
      <c r="E267" s="50"/>
      <c r="F267" s="50"/>
      <c r="G267" s="50"/>
      <c r="H267" s="50"/>
    </row>
    <row r="268" spans="3:8" ht="13.2">
      <c r="C268" s="63"/>
      <c r="D268" s="50"/>
      <c r="E268" s="50"/>
      <c r="F268" s="50"/>
      <c r="G268" s="50"/>
      <c r="H268" s="50"/>
    </row>
    <row r="269" spans="3:8" ht="13.2">
      <c r="C269" s="63"/>
      <c r="D269" s="50"/>
      <c r="E269" s="50"/>
      <c r="F269" s="50"/>
      <c r="G269" s="50"/>
      <c r="H269" s="50"/>
    </row>
    <row r="270" spans="3:8" ht="13.2">
      <c r="C270" s="63"/>
      <c r="D270" s="50"/>
      <c r="E270" s="50"/>
      <c r="F270" s="50"/>
      <c r="G270" s="50"/>
      <c r="H270" s="50"/>
    </row>
    <row r="271" spans="3:8" ht="13.2">
      <c r="C271" s="63"/>
      <c r="D271" s="50"/>
      <c r="E271" s="50"/>
      <c r="F271" s="50"/>
      <c r="G271" s="50"/>
      <c r="H271" s="50"/>
    </row>
    <row r="272" spans="3:8" ht="13.2">
      <c r="C272" s="63"/>
      <c r="D272" s="50"/>
      <c r="E272" s="50"/>
      <c r="F272" s="50"/>
      <c r="G272" s="50"/>
      <c r="H272" s="50"/>
    </row>
    <row r="273" spans="3:8" ht="13.2">
      <c r="C273" s="63"/>
      <c r="D273" s="50"/>
      <c r="E273" s="50"/>
      <c r="F273" s="50"/>
      <c r="G273" s="50"/>
      <c r="H273" s="50"/>
    </row>
    <row r="274" spans="3:8" ht="13.2">
      <c r="C274" s="63"/>
      <c r="D274" s="50"/>
      <c r="E274" s="50"/>
      <c r="F274" s="50"/>
      <c r="G274" s="50"/>
      <c r="H274" s="50"/>
    </row>
    <row r="275" spans="3:8" ht="13.2">
      <c r="C275" s="63"/>
      <c r="D275" s="50"/>
      <c r="E275" s="50"/>
      <c r="F275" s="50"/>
      <c r="G275" s="50"/>
      <c r="H275" s="50"/>
    </row>
    <row r="276" spans="3:8" ht="13.2">
      <c r="C276" s="63"/>
      <c r="D276" s="50"/>
      <c r="E276" s="50"/>
      <c r="F276" s="50"/>
      <c r="G276" s="50"/>
      <c r="H276" s="50"/>
    </row>
    <row r="277" spans="3:8" ht="13.2">
      <c r="C277" s="63"/>
      <c r="D277" s="50"/>
      <c r="E277" s="50"/>
      <c r="F277" s="50"/>
      <c r="G277" s="50"/>
      <c r="H277" s="50"/>
    </row>
    <row r="278" spans="3:8" ht="13.2">
      <c r="C278" s="63"/>
      <c r="D278" s="50"/>
      <c r="E278" s="50"/>
      <c r="F278" s="50"/>
      <c r="G278" s="50"/>
      <c r="H278" s="50"/>
    </row>
    <row r="279" spans="3:8" ht="13.2">
      <c r="C279" s="63"/>
      <c r="D279" s="50"/>
      <c r="E279" s="50"/>
      <c r="F279" s="50"/>
      <c r="G279" s="50"/>
      <c r="H279" s="50"/>
    </row>
    <row r="280" spans="3:8" ht="13.2">
      <c r="C280" s="63"/>
      <c r="D280" s="50"/>
      <c r="E280" s="50"/>
      <c r="F280" s="50"/>
      <c r="G280" s="50"/>
      <c r="H280" s="50"/>
    </row>
    <row r="281" spans="3:8" ht="13.2">
      <c r="C281" s="63"/>
      <c r="D281" s="50"/>
      <c r="E281" s="50"/>
      <c r="F281" s="50"/>
      <c r="G281" s="50"/>
      <c r="H281" s="50"/>
    </row>
    <row r="282" spans="3:8" ht="13.2">
      <c r="C282" s="63"/>
      <c r="D282" s="50"/>
      <c r="E282" s="50"/>
      <c r="F282" s="50"/>
      <c r="G282" s="50"/>
      <c r="H282" s="50"/>
    </row>
    <row r="283" spans="3:8" ht="13.2">
      <c r="C283" s="63"/>
      <c r="D283" s="50"/>
      <c r="E283" s="50"/>
      <c r="F283" s="50"/>
      <c r="G283" s="50"/>
      <c r="H283" s="50"/>
    </row>
    <row r="284" spans="3:8" ht="13.2">
      <c r="C284" s="63"/>
      <c r="D284" s="50"/>
      <c r="E284" s="50"/>
      <c r="F284" s="50"/>
      <c r="G284" s="50"/>
      <c r="H284" s="50"/>
    </row>
    <row r="285" spans="3:8" ht="13.2">
      <c r="C285" s="63"/>
      <c r="D285" s="50"/>
      <c r="E285" s="50"/>
      <c r="F285" s="50"/>
      <c r="G285" s="50"/>
      <c r="H285" s="50"/>
    </row>
    <row r="286" spans="3:8" ht="13.2">
      <c r="C286" s="63"/>
      <c r="D286" s="50"/>
      <c r="E286" s="50"/>
      <c r="F286" s="50"/>
      <c r="G286" s="50"/>
      <c r="H286" s="50"/>
    </row>
    <row r="287" spans="3:8" ht="13.2">
      <c r="C287" s="63"/>
      <c r="D287" s="50"/>
      <c r="E287" s="50"/>
      <c r="F287" s="50"/>
      <c r="G287" s="50"/>
      <c r="H287" s="50"/>
    </row>
    <row r="288" spans="3:8" ht="13.2">
      <c r="C288" s="63"/>
      <c r="D288" s="50"/>
      <c r="E288" s="50"/>
      <c r="F288" s="50"/>
      <c r="G288" s="50"/>
      <c r="H288" s="50"/>
    </row>
    <row r="289" spans="3:8" ht="13.2">
      <c r="C289" s="63"/>
      <c r="D289" s="50"/>
      <c r="E289" s="50"/>
      <c r="F289" s="50"/>
      <c r="G289" s="50"/>
      <c r="H289" s="50"/>
    </row>
    <row r="290" spans="3:8" ht="13.2">
      <c r="C290" s="63"/>
      <c r="D290" s="50"/>
      <c r="E290" s="50"/>
      <c r="F290" s="50"/>
      <c r="G290" s="50"/>
      <c r="H290" s="50"/>
    </row>
    <row r="291" spans="3:8" ht="13.2">
      <c r="C291" s="63"/>
      <c r="D291" s="50"/>
      <c r="E291" s="50"/>
      <c r="F291" s="50"/>
      <c r="G291" s="50"/>
      <c r="H291" s="50"/>
    </row>
    <row r="292" spans="3:8" ht="13.2">
      <c r="C292" s="63"/>
      <c r="D292" s="50"/>
      <c r="E292" s="50"/>
      <c r="F292" s="50"/>
      <c r="G292" s="50"/>
      <c r="H292" s="50"/>
    </row>
    <row r="293" spans="3:8" ht="13.2">
      <c r="C293" s="63"/>
      <c r="D293" s="50"/>
      <c r="E293" s="50"/>
      <c r="F293" s="50"/>
      <c r="G293" s="50"/>
      <c r="H293" s="50"/>
    </row>
    <row r="294" spans="3:8" ht="13.2">
      <c r="C294" s="63"/>
      <c r="D294" s="50"/>
      <c r="E294" s="50"/>
      <c r="F294" s="50"/>
      <c r="G294" s="50"/>
      <c r="H294" s="50"/>
    </row>
    <row r="295" spans="3:8" ht="13.2">
      <c r="C295" s="63"/>
      <c r="D295" s="50"/>
      <c r="E295" s="50"/>
      <c r="F295" s="50"/>
      <c r="G295" s="50"/>
      <c r="H295" s="50"/>
    </row>
    <row r="296" spans="3:8" ht="13.2">
      <c r="C296" s="63"/>
      <c r="D296" s="50"/>
      <c r="E296" s="50"/>
      <c r="F296" s="50"/>
      <c r="G296" s="50"/>
      <c r="H296" s="50"/>
    </row>
    <row r="297" spans="3:8" ht="13.2">
      <c r="C297" s="63"/>
      <c r="D297" s="50"/>
      <c r="E297" s="50"/>
      <c r="F297" s="50"/>
      <c r="G297" s="50"/>
      <c r="H297" s="50"/>
    </row>
    <row r="298" spans="3:8" ht="13.2">
      <c r="C298" s="63"/>
      <c r="D298" s="50"/>
      <c r="E298" s="50"/>
      <c r="F298" s="50"/>
      <c r="G298" s="50"/>
      <c r="H298" s="50"/>
    </row>
    <row r="299" spans="3:8" ht="13.2">
      <c r="C299" s="63"/>
      <c r="D299" s="50"/>
      <c r="E299" s="50"/>
      <c r="F299" s="50"/>
      <c r="G299" s="50"/>
      <c r="H299" s="50"/>
    </row>
    <row r="300" spans="3:8" ht="13.2">
      <c r="C300" s="63"/>
      <c r="D300" s="50"/>
      <c r="E300" s="50"/>
      <c r="F300" s="50"/>
      <c r="G300" s="50"/>
      <c r="H300" s="50"/>
    </row>
    <row r="301" spans="3:8" ht="13.2">
      <c r="C301" s="63"/>
      <c r="D301" s="50"/>
      <c r="E301" s="50"/>
      <c r="F301" s="50"/>
      <c r="G301" s="50"/>
      <c r="H301" s="50"/>
    </row>
    <row r="302" spans="3:8" ht="13.2">
      <c r="C302" s="63"/>
      <c r="D302" s="50"/>
      <c r="E302" s="50"/>
      <c r="F302" s="50"/>
      <c r="G302" s="50"/>
      <c r="H302" s="50"/>
    </row>
    <row r="303" spans="3:8" ht="13.2">
      <c r="C303" s="63"/>
      <c r="D303" s="50"/>
      <c r="E303" s="50"/>
      <c r="F303" s="50"/>
      <c r="G303" s="50"/>
      <c r="H303" s="50"/>
    </row>
    <row r="304" spans="3:8" ht="13.2">
      <c r="C304" s="63"/>
      <c r="D304" s="50"/>
      <c r="E304" s="50"/>
      <c r="F304" s="50"/>
      <c r="G304" s="50"/>
      <c r="H304" s="50"/>
    </row>
    <row r="305" spans="3:8" ht="13.2">
      <c r="C305" s="63"/>
      <c r="D305" s="50"/>
      <c r="E305" s="50"/>
      <c r="F305" s="50"/>
      <c r="G305" s="50"/>
      <c r="H305" s="50"/>
    </row>
    <row r="306" spans="3:8" ht="13.2">
      <c r="C306" s="63"/>
      <c r="D306" s="50"/>
      <c r="E306" s="50"/>
      <c r="F306" s="50"/>
      <c r="G306" s="50"/>
      <c r="H306" s="50"/>
    </row>
    <row r="307" spans="3:8" ht="13.2">
      <c r="C307" s="63"/>
      <c r="D307" s="50"/>
      <c r="E307" s="50"/>
      <c r="F307" s="50"/>
      <c r="G307" s="50"/>
      <c r="H307" s="50"/>
    </row>
    <row r="308" spans="3:8" ht="13.2">
      <c r="C308" s="63"/>
      <c r="D308" s="50"/>
      <c r="E308" s="50"/>
      <c r="F308" s="50"/>
      <c r="G308" s="50"/>
      <c r="H308" s="50"/>
    </row>
    <row r="309" spans="3:8" ht="13.2">
      <c r="C309" s="63"/>
      <c r="D309" s="50"/>
      <c r="E309" s="50"/>
      <c r="F309" s="50"/>
      <c r="G309" s="50"/>
      <c r="H309" s="50"/>
    </row>
    <row r="310" spans="3:8" ht="13.2">
      <c r="C310" s="63"/>
      <c r="D310" s="50"/>
      <c r="E310" s="50"/>
      <c r="F310" s="50"/>
      <c r="G310" s="50"/>
      <c r="H310" s="50"/>
    </row>
    <row r="311" spans="3:8" ht="13.2">
      <c r="C311" s="63"/>
      <c r="D311" s="50"/>
      <c r="E311" s="50"/>
      <c r="F311" s="50"/>
      <c r="G311" s="50"/>
      <c r="H311" s="50"/>
    </row>
    <row r="312" spans="3:8" ht="13.2">
      <c r="C312" s="63"/>
      <c r="D312" s="50"/>
      <c r="E312" s="50"/>
      <c r="F312" s="50"/>
      <c r="G312" s="50"/>
      <c r="H312" s="50"/>
    </row>
    <row r="313" spans="3:8" ht="13.2">
      <c r="C313" s="63"/>
      <c r="D313" s="50"/>
      <c r="E313" s="50"/>
      <c r="F313" s="50"/>
      <c r="G313" s="50"/>
      <c r="H313" s="50"/>
    </row>
    <row r="314" spans="3:8" ht="13.2">
      <c r="C314" s="63"/>
      <c r="D314" s="50"/>
      <c r="E314" s="50"/>
      <c r="F314" s="50"/>
      <c r="G314" s="50"/>
      <c r="H314" s="50"/>
    </row>
    <row r="315" spans="3:8" ht="13.2">
      <c r="C315" s="63"/>
      <c r="D315" s="50"/>
      <c r="E315" s="50"/>
      <c r="F315" s="50"/>
      <c r="G315" s="50"/>
      <c r="H315" s="50"/>
    </row>
    <row r="316" spans="3:8" ht="13.2">
      <c r="C316" s="63"/>
      <c r="D316" s="50"/>
      <c r="E316" s="50"/>
      <c r="F316" s="50"/>
      <c r="G316" s="50"/>
      <c r="H316" s="50"/>
    </row>
    <row r="317" spans="3:8" ht="13.2">
      <c r="C317" s="63"/>
      <c r="D317" s="50"/>
      <c r="E317" s="50"/>
      <c r="F317" s="50"/>
      <c r="G317" s="50"/>
      <c r="H317" s="50"/>
    </row>
    <row r="318" spans="3:8" ht="13.2">
      <c r="C318" s="63"/>
      <c r="D318" s="50"/>
      <c r="E318" s="50"/>
      <c r="F318" s="50"/>
      <c r="G318" s="50"/>
      <c r="H318" s="50"/>
    </row>
    <row r="319" spans="3:8" ht="13.2">
      <c r="C319" s="63"/>
      <c r="D319" s="50"/>
      <c r="E319" s="50"/>
      <c r="F319" s="50"/>
      <c r="G319" s="50"/>
      <c r="H319" s="50"/>
    </row>
    <row r="320" spans="3:8" ht="13.2">
      <c r="C320" s="63"/>
      <c r="D320" s="50"/>
      <c r="E320" s="50"/>
      <c r="F320" s="50"/>
      <c r="G320" s="50"/>
      <c r="H320" s="50"/>
    </row>
    <row r="321" spans="3:8" ht="13.2">
      <c r="C321" s="63"/>
      <c r="D321" s="50"/>
      <c r="E321" s="50"/>
      <c r="F321" s="50"/>
      <c r="G321" s="50"/>
      <c r="H321" s="50"/>
    </row>
    <row r="322" spans="3:8" ht="13.2">
      <c r="C322" s="63"/>
      <c r="D322" s="50"/>
      <c r="E322" s="50"/>
      <c r="F322" s="50"/>
      <c r="G322" s="50"/>
      <c r="H322" s="50"/>
    </row>
    <row r="323" spans="3:8" ht="13.2">
      <c r="C323" s="63"/>
      <c r="D323" s="50"/>
      <c r="E323" s="50"/>
      <c r="F323" s="50"/>
      <c r="G323" s="50"/>
      <c r="H323" s="50"/>
    </row>
    <row r="324" spans="3:8" ht="13.2">
      <c r="C324" s="63"/>
      <c r="D324" s="50"/>
      <c r="E324" s="50"/>
      <c r="F324" s="50"/>
      <c r="G324" s="50"/>
      <c r="H324" s="50"/>
    </row>
    <row r="325" spans="3:8" ht="13.2">
      <c r="C325" s="63"/>
      <c r="D325" s="50"/>
      <c r="E325" s="50"/>
      <c r="F325" s="50"/>
      <c r="G325" s="50"/>
      <c r="H325" s="50"/>
    </row>
    <row r="326" spans="3:8" ht="13.2">
      <c r="C326" s="63"/>
      <c r="D326" s="50"/>
      <c r="E326" s="50"/>
      <c r="F326" s="50"/>
      <c r="G326" s="50"/>
      <c r="H326" s="50"/>
    </row>
    <row r="327" spans="3:8" ht="13.2">
      <c r="C327" s="63"/>
      <c r="D327" s="50"/>
      <c r="E327" s="50"/>
      <c r="F327" s="50"/>
      <c r="G327" s="50"/>
      <c r="H327" s="50"/>
    </row>
    <row r="328" spans="3:8" ht="13.2">
      <c r="C328" s="63"/>
      <c r="D328" s="50"/>
      <c r="E328" s="50"/>
      <c r="F328" s="50"/>
      <c r="G328" s="50"/>
      <c r="H328" s="50"/>
    </row>
    <row r="329" spans="3:8" ht="13.2">
      <c r="C329" s="63"/>
      <c r="D329" s="50"/>
      <c r="E329" s="50"/>
      <c r="F329" s="50"/>
      <c r="G329" s="50"/>
      <c r="H329" s="50"/>
    </row>
    <row r="330" spans="3:8" ht="13.2">
      <c r="C330" s="63"/>
      <c r="D330" s="50"/>
      <c r="E330" s="50"/>
      <c r="F330" s="50"/>
      <c r="G330" s="50"/>
      <c r="H330" s="50"/>
    </row>
    <row r="331" spans="3:8" ht="13.2">
      <c r="C331" s="63"/>
      <c r="D331" s="50"/>
      <c r="E331" s="50"/>
      <c r="F331" s="50"/>
      <c r="G331" s="50"/>
      <c r="H331" s="50"/>
    </row>
    <row r="332" spans="3:8" ht="13.2">
      <c r="C332" s="63"/>
      <c r="D332" s="50"/>
      <c r="E332" s="50"/>
      <c r="F332" s="50"/>
      <c r="G332" s="50"/>
      <c r="H332" s="50"/>
    </row>
    <row r="333" spans="3:8" ht="13.2">
      <c r="C333" s="63"/>
      <c r="D333" s="50"/>
      <c r="E333" s="50"/>
      <c r="F333" s="50"/>
      <c r="G333" s="50"/>
      <c r="H333" s="50"/>
    </row>
    <row r="334" spans="3:8" ht="13.2">
      <c r="C334" s="63"/>
      <c r="D334" s="50"/>
      <c r="E334" s="50"/>
      <c r="F334" s="50"/>
      <c r="G334" s="50"/>
      <c r="H334" s="50"/>
    </row>
    <row r="335" spans="3:8" ht="13.2">
      <c r="C335" s="63"/>
      <c r="D335" s="50"/>
      <c r="E335" s="50"/>
      <c r="F335" s="50"/>
      <c r="G335" s="50"/>
      <c r="H335" s="50"/>
    </row>
    <row r="336" spans="3:8" ht="13.2">
      <c r="C336" s="63"/>
      <c r="D336" s="50"/>
      <c r="E336" s="50"/>
      <c r="F336" s="50"/>
      <c r="G336" s="50"/>
      <c r="H336" s="50"/>
    </row>
    <row r="337" spans="3:8" ht="13.2">
      <c r="C337" s="63"/>
      <c r="D337" s="50"/>
      <c r="E337" s="50"/>
      <c r="F337" s="50"/>
      <c r="G337" s="50"/>
      <c r="H337" s="50"/>
    </row>
    <row r="338" spans="3:8" ht="13.2">
      <c r="C338" s="63"/>
      <c r="D338" s="50"/>
      <c r="E338" s="50"/>
      <c r="F338" s="50"/>
      <c r="G338" s="50"/>
      <c r="H338" s="50"/>
    </row>
    <row r="339" spans="3:8" ht="13.2">
      <c r="C339" s="63"/>
      <c r="D339" s="50"/>
      <c r="E339" s="50"/>
      <c r="F339" s="50"/>
      <c r="G339" s="50"/>
      <c r="H339" s="50"/>
    </row>
    <row r="340" spans="3:8" ht="13.2">
      <c r="C340" s="63"/>
      <c r="D340" s="50"/>
      <c r="E340" s="50"/>
      <c r="F340" s="50"/>
      <c r="G340" s="50"/>
      <c r="H340" s="50"/>
    </row>
    <row r="341" spans="3:8" ht="13.2">
      <c r="C341" s="63"/>
      <c r="D341" s="50"/>
      <c r="E341" s="50"/>
      <c r="F341" s="50"/>
      <c r="G341" s="50"/>
      <c r="H341" s="50"/>
    </row>
    <row r="342" spans="3:8" ht="13.2">
      <c r="C342" s="63"/>
      <c r="D342" s="50"/>
      <c r="E342" s="50"/>
      <c r="F342" s="50"/>
      <c r="G342" s="50"/>
      <c r="H342" s="50"/>
    </row>
    <row r="343" spans="3:8" ht="13.2">
      <c r="C343" s="63"/>
      <c r="D343" s="50"/>
      <c r="E343" s="50"/>
      <c r="F343" s="50"/>
      <c r="G343" s="50"/>
      <c r="H343" s="50"/>
    </row>
    <row r="344" spans="3:8" ht="13.2">
      <c r="C344" s="63"/>
      <c r="D344" s="50"/>
      <c r="E344" s="50"/>
      <c r="F344" s="50"/>
      <c r="G344" s="50"/>
      <c r="H344" s="50"/>
    </row>
    <row r="345" spans="3:8" ht="13.2">
      <c r="C345" s="63"/>
      <c r="D345" s="50"/>
      <c r="E345" s="50"/>
      <c r="F345" s="50"/>
      <c r="G345" s="50"/>
      <c r="H345" s="50"/>
    </row>
    <row r="346" spans="3:8" ht="13.2">
      <c r="C346" s="63"/>
      <c r="D346" s="50"/>
      <c r="E346" s="50"/>
      <c r="F346" s="50"/>
      <c r="G346" s="50"/>
      <c r="H346" s="50"/>
    </row>
    <row r="347" spans="3:8" ht="13.2">
      <c r="C347" s="63"/>
      <c r="D347" s="50"/>
      <c r="E347" s="50"/>
      <c r="F347" s="50"/>
      <c r="G347" s="50"/>
      <c r="H347" s="50"/>
    </row>
    <row r="348" spans="3:8" ht="13.2">
      <c r="C348" s="63"/>
      <c r="D348" s="50"/>
      <c r="E348" s="50"/>
      <c r="F348" s="50"/>
      <c r="G348" s="50"/>
      <c r="H348" s="50"/>
    </row>
    <row r="349" spans="3:8" ht="13.2">
      <c r="C349" s="63"/>
      <c r="D349" s="50"/>
      <c r="E349" s="50"/>
      <c r="F349" s="50"/>
      <c r="G349" s="50"/>
      <c r="H349" s="50"/>
    </row>
    <row r="350" spans="3:8" ht="13.2">
      <c r="C350" s="63"/>
      <c r="D350" s="50"/>
      <c r="E350" s="50"/>
      <c r="F350" s="50"/>
      <c r="G350" s="50"/>
      <c r="H350" s="50"/>
    </row>
    <row r="351" spans="3:8" ht="13.2">
      <c r="C351" s="63"/>
      <c r="D351" s="50"/>
      <c r="E351" s="50"/>
      <c r="F351" s="50"/>
      <c r="G351" s="50"/>
      <c r="H351" s="50"/>
    </row>
    <row r="352" spans="3:8" ht="13.2">
      <c r="C352" s="63"/>
      <c r="D352" s="50"/>
      <c r="E352" s="50"/>
      <c r="F352" s="50"/>
      <c r="G352" s="50"/>
      <c r="H352" s="50"/>
    </row>
    <row r="353" spans="3:8" ht="13.2">
      <c r="C353" s="63"/>
      <c r="D353" s="50"/>
      <c r="E353" s="50"/>
      <c r="F353" s="50"/>
      <c r="G353" s="50"/>
      <c r="H353" s="50"/>
    </row>
    <row r="354" spans="3:8" ht="13.2">
      <c r="C354" s="63"/>
      <c r="D354" s="50"/>
      <c r="E354" s="50"/>
      <c r="F354" s="50"/>
      <c r="G354" s="50"/>
      <c r="H354" s="50"/>
    </row>
    <row r="355" spans="3:8" ht="13.2">
      <c r="C355" s="63"/>
      <c r="D355" s="50"/>
      <c r="E355" s="50"/>
      <c r="F355" s="50"/>
      <c r="G355" s="50"/>
      <c r="H355" s="50"/>
    </row>
    <row r="356" spans="3:8" ht="13.2">
      <c r="C356" s="63"/>
      <c r="D356" s="50"/>
      <c r="E356" s="50"/>
      <c r="F356" s="50"/>
      <c r="G356" s="50"/>
      <c r="H356" s="50"/>
    </row>
    <row r="357" spans="3:8" ht="13.2">
      <c r="C357" s="63"/>
      <c r="D357" s="50"/>
      <c r="E357" s="50"/>
      <c r="F357" s="50"/>
      <c r="G357" s="50"/>
      <c r="H357" s="50"/>
    </row>
    <row r="358" spans="3:8" ht="13.2">
      <c r="C358" s="63"/>
      <c r="D358" s="50"/>
      <c r="E358" s="50"/>
      <c r="F358" s="50"/>
      <c r="G358" s="50"/>
      <c r="H358" s="50"/>
    </row>
    <row r="359" spans="3:8" ht="13.2">
      <c r="C359" s="63"/>
      <c r="D359" s="50"/>
      <c r="E359" s="50"/>
      <c r="F359" s="50"/>
      <c r="G359" s="50"/>
      <c r="H359" s="50"/>
    </row>
    <row r="360" spans="3:8" ht="13.2">
      <c r="C360" s="63"/>
      <c r="D360" s="50"/>
      <c r="E360" s="50"/>
      <c r="F360" s="50"/>
      <c r="G360" s="50"/>
      <c r="H360" s="50"/>
    </row>
    <row r="361" spans="3:8" ht="13.2">
      <c r="C361" s="63"/>
      <c r="D361" s="50"/>
      <c r="E361" s="50"/>
      <c r="F361" s="50"/>
      <c r="G361" s="50"/>
      <c r="H361" s="50"/>
    </row>
    <row r="362" spans="3:8" ht="13.2">
      <c r="C362" s="63"/>
      <c r="D362" s="50"/>
      <c r="E362" s="50"/>
      <c r="F362" s="50"/>
      <c r="G362" s="50"/>
      <c r="H362" s="50"/>
    </row>
    <row r="363" spans="3:8" ht="13.2">
      <c r="C363" s="63"/>
      <c r="D363" s="50"/>
      <c r="E363" s="50"/>
      <c r="F363" s="50"/>
      <c r="G363" s="50"/>
      <c r="H363" s="50"/>
    </row>
    <row r="364" spans="3:8" ht="13.2">
      <c r="C364" s="63"/>
      <c r="D364" s="50"/>
      <c r="E364" s="50"/>
      <c r="F364" s="50"/>
      <c r="G364" s="50"/>
      <c r="H364" s="50"/>
    </row>
    <row r="365" spans="3:8" ht="13.2">
      <c r="C365" s="63"/>
      <c r="D365" s="50"/>
      <c r="E365" s="50"/>
      <c r="F365" s="50"/>
      <c r="G365" s="50"/>
      <c r="H365" s="50"/>
    </row>
    <row r="366" spans="3:8" ht="13.2">
      <c r="C366" s="63"/>
      <c r="D366" s="50"/>
      <c r="E366" s="50"/>
      <c r="F366" s="50"/>
      <c r="G366" s="50"/>
      <c r="H366" s="50"/>
    </row>
    <row r="367" spans="3:8" ht="13.2">
      <c r="C367" s="63"/>
      <c r="D367" s="50"/>
      <c r="E367" s="50"/>
      <c r="F367" s="50"/>
      <c r="G367" s="50"/>
      <c r="H367" s="50"/>
    </row>
    <row r="368" spans="3:8" ht="13.2">
      <c r="C368" s="63"/>
      <c r="D368" s="50"/>
      <c r="E368" s="50"/>
      <c r="F368" s="50"/>
      <c r="G368" s="50"/>
      <c r="H368" s="50"/>
    </row>
    <row r="369" spans="3:8" ht="13.2">
      <c r="C369" s="63"/>
      <c r="D369" s="50"/>
      <c r="E369" s="50"/>
      <c r="F369" s="50"/>
      <c r="G369" s="50"/>
      <c r="H369" s="50"/>
    </row>
    <row r="370" spans="3:8" ht="13.2">
      <c r="C370" s="63"/>
      <c r="D370" s="50"/>
      <c r="E370" s="50"/>
      <c r="F370" s="50"/>
      <c r="G370" s="50"/>
      <c r="H370" s="50"/>
    </row>
    <row r="371" spans="3:8" ht="13.2">
      <c r="C371" s="63"/>
      <c r="D371" s="50"/>
      <c r="E371" s="50"/>
      <c r="F371" s="50"/>
      <c r="G371" s="50"/>
      <c r="H371" s="50"/>
    </row>
    <row r="372" spans="3:8" ht="13.2">
      <c r="C372" s="63"/>
      <c r="D372" s="50"/>
      <c r="E372" s="50"/>
      <c r="F372" s="50"/>
      <c r="G372" s="50"/>
      <c r="H372" s="50"/>
    </row>
    <row r="373" spans="3:8" ht="13.2">
      <c r="C373" s="63"/>
      <c r="D373" s="50"/>
      <c r="E373" s="50"/>
      <c r="F373" s="50"/>
      <c r="G373" s="50"/>
      <c r="H373" s="50"/>
    </row>
    <row r="374" spans="3:8" ht="13.2">
      <c r="C374" s="63"/>
      <c r="D374" s="50"/>
      <c r="E374" s="50"/>
      <c r="F374" s="50"/>
      <c r="G374" s="50"/>
      <c r="H374" s="50"/>
    </row>
    <row r="375" spans="3:8" ht="13.2">
      <c r="C375" s="63"/>
      <c r="D375" s="50"/>
      <c r="E375" s="50"/>
      <c r="F375" s="50"/>
      <c r="G375" s="50"/>
      <c r="H375" s="50"/>
    </row>
    <row r="376" spans="3:8" ht="13.2">
      <c r="C376" s="63"/>
      <c r="D376" s="50"/>
      <c r="E376" s="50"/>
      <c r="F376" s="50"/>
      <c r="G376" s="50"/>
      <c r="H376" s="50"/>
    </row>
    <row r="377" spans="3:8" ht="13.2">
      <c r="C377" s="63"/>
      <c r="D377" s="50"/>
      <c r="E377" s="50"/>
      <c r="F377" s="50"/>
      <c r="G377" s="50"/>
      <c r="H377" s="50"/>
    </row>
    <row r="378" spans="3:8" ht="13.2">
      <c r="C378" s="63"/>
      <c r="D378" s="50"/>
      <c r="E378" s="50"/>
      <c r="F378" s="50"/>
      <c r="G378" s="50"/>
      <c r="H378" s="50"/>
    </row>
    <row r="379" spans="3:8" ht="13.2">
      <c r="C379" s="63"/>
      <c r="D379" s="50"/>
      <c r="E379" s="50"/>
      <c r="F379" s="50"/>
      <c r="G379" s="50"/>
      <c r="H379" s="50"/>
    </row>
    <row r="380" spans="3:8" ht="13.2">
      <c r="C380" s="63"/>
      <c r="D380" s="50"/>
      <c r="E380" s="50"/>
      <c r="F380" s="50"/>
      <c r="G380" s="50"/>
      <c r="H380" s="50"/>
    </row>
    <row r="381" spans="3:8" ht="13.2">
      <c r="C381" s="63"/>
      <c r="D381" s="50"/>
      <c r="E381" s="50"/>
      <c r="F381" s="50"/>
      <c r="G381" s="50"/>
      <c r="H381" s="50"/>
    </row>
    <row r="382" spans="3:8" ht="13.2">
      <c r="C382" s="63"/>
      <c r="D382" s="50"/>
      <c r="E382" s="50"/>
      <c r="F382" s="50"/>
      <c r="G382" s="50"/>
      <c r="H382" s="50"/>
    </row>
    <row r="383" spans="3:8" ht="13.2">
      <c r="C383" s="63"/>
      <c r="D383" s="50"/>
      <c r="E383" s="50"/>
      <c r="F383" s="50"/>
      <c r="G383" s="50"/>
      <c r="H383" s="50"/>
    </row>
    <row r="384" spans="3:8" ht="13.2">
      <c r="C384" s="63"/>
      <c r="D384" s="50"/>
      <c r="E384" s="50"/>
      <c r="F384" s="50"/>
      <c r="G384" s="50"/>
      <c r="H384" s="50"/>
    </row>
    <row r="385" spans="3:8" ht="13.2">
      <c r="C385" s="63"/>
      <c r="D385" s="50"/>
      <c r="E385" s="50"/>
      <c r="F385" s="50"/>
      <c r="G385" s="50"/>
      <c r="H385" s="50"/>
    </row>
    <row r="386" spans="3:8" ht="13.2">
      <c r="C386" s="63"/>
      <c r="D386" s="50"/>
      <c r="E386" s="50"/>
      <c r="F386" s="50"/>
      <c r="G386" s="50"/>
      <c r="H386" s="50"/>
    </row>
    <row r="387" spans="3:8" ht="13.2">
      <c r="C387" s="63"/>
      <c r="D387" s="50"/>
      <c r="E387" s="50"/>
      <c r="F387" s="50"/>
      <c r="G387" s="50"/>
      <c r="H387" s="50"/>
    </row>
    <row r="388" spans="3:8" ht="13.2">
      <c r="C388" s="63"/>
      <c r="D388" s="50"/>
      <c r="E388" s="50"/>
      <c r="F388" s="50"/>
      <c r="G388" s="50"/>
      <c r="H388" s="50"/>
    </row>
    <row r="389" spans="3:8" ht="13.2">
      <c r="C389" s="63"/>
      <c r="D389" s="50"/>
      <c r="E389" s="50"/>
      <c r="F389" s="50"/>
      <c r="G389" s="50"/>
      <c r="H389" s="50"/>
    </row>
    <row r="390" spans="3:8" ht="13.2">
      <c r="C390" s="63"/>
      <c r="D390" s="50"/>
      <c r="E390" s="50"/>
      <c r="F390" s="50"/>
      <c r="G390" s="50"/>
      <c r="H390" s="50"/>
    </row>
    <row r="391" spans="3:8" ht="13.2">
      <c r="C391" s="63"/>
      <c r="D391" s="50"/>
      <c r="E391" s="50"/>
      <c r="F391" s="50"/>
      <c r="G391" s="50"/>
      <c r="H391" s="50"/>
    </row>
    <row r="392" spans="3:8" ht="13.2">
      <c r="C392" s="63"/>
      <c r="D392" s="50"/>
      <c r="E392" s="50"/>
      <c r="F392" s="50"/>
      <c r="G392" s="50"/>
      <c r="H392" s="50"/>
    </row>
    <row r="393" spans="3:8" ht="13.2">
      <c r="C393" s="63"/>
      <c r="D393" s="50"/>
      <c r="E393" s="50"/>
      <c r="F393" s="50"/>
      <c r="G393" s="50"/>
      <c r="H393" s="50"/>
    </row>
    <row r="394" spans="3:8" ht="13.2">
      <c r="C394" s="63"/>
      <c r="D394" s="50"/>
      <c r="E394" s="50"/>
      <c r="F394" s="50"/>
      <c r="G394" s="50"/>
      <c r="H394" s="50"/>
    </row>
    <row r="395" spans="3:8" ht="13.2">
      <c r="C395" s="63"/>
      <c r="D395" s="50"/>
      <c r="E395" s="50"/>
      <c r="F395" s="50"/>
      <c r="G395" s="50"/>
      <c r="H395" s="50"/>
    </row>
    <row r="396" spans="3:8" ht="13.2">
      <c r="C396" s="63"/>
      <c r="D396" s="50"/>
      <c r="E396" s="50"/>
      <c r="F396" s="50"/>
      <c r="G396" s="50"/>
      <c r="H396" s="50"/>
    </row>
    <row r="397" spans="3:8" ht="13.2">
      <c r="C397" s="63"/>
      <c r="D397" s="50"/>
      <c r="E397" s="50"/>
      <c r="F397" s="50"/>
      <c r="G397" s="50"/>
      <c r="H397" s="50"/>
    </row>
    <row r="398" spans="3:8" ht="13.2">
      <c r="C398" s="63"/>
      <c r="D398" s="50"/>
      <c r="E398" s="50"/>
      <c r="F398" s="50"/>
      <c r="G398" s="50"/>
      <c r="H398" s="50"/>
    </row>
    <row r="399" spans="3:8" ht="13.2">
      <c r="C399" s="63"/>
      <c r="D399" s="50"/>
      <c r="E399" s="50"/>
      <c r="F399" s="50"/>
      <c r="G399" s="50"/>
      <c r="H399" s="50"/>
    </row>
    <row r="400" spans="3:8" ht="13.2">
      <c r="C400" s="63"/>
      <c r="D400" s="50"/>
      <c r="E400" s="50"/>
      <c r="F400" s="50"/>
      <c r="G400" s="50"/>
      <c r="H400" s="50"/>
    </row>
    <row r="401" spans="3:8" ht="13.2">
      <c r="C401" s="63"/>
      <c r="D401" s="50"/>
      <c r="E401" s="50"/>
      <c r="F401" s="50"/>
      <c r="G401" s="50"/>
      <c r="H401" s="50"/>
    </row>
    <row r="402" spans="3:8" ht="13.2">
      <c r="C402" s="63"/>
      <c r="D402" s="50"/>
      <c r="E402" s="50"/>
      <c r="F402" s="50"/>
      <c r="G402" s="50"/>
      <c r="H402" s="50"/>
    </row>
    <row r="403" spans="3:8" ht="13.2">
      <c r="C403" s="63"/>
      <c r="D403" s="50"/>
      <c r="E403" s="50"/>
      <c r="F403" s="50"/>
      <c r="G403" s="50"/>
      <c r="H403" s="50"/>
    </row>
    <row r="404" spans="3:8" ht="13.2">
      <c r="C404" s="63"/>
      <c r="D404" s="50"/>
      <c r="E404" s="50"/>
      <c r="F404" s="50"/>
      <c r="G404" s="50"/>
      <c r="H404" s="50"/>
    </row>
    <row r="405" spans="3:8" ht="13.2">
      <c r="C405" s="63"/>
      <c r="D405" s="50"/>
      <c r="E405" s="50"/>
      <c r="F405" s="50"/>
      <c r="G405" s="50"/>
      <c r="H405" s="50"/>
    </row>
    <row r="406" spans="3:8" ht="13.2">
      <c r="C406" s="63"/>
      <c r="D406" s="50"/>
      <c r="E406" s="50"/>
      <c r="F406" s="50"/>
      <c r="G406" s="50"/>
      <c r="H406" s="50"/>
    </row>
    <row r="407" spans="3:8" ht="13.2">
      <c r="C407" s="63"/>
      <c r="D407" s="50"/>
      <c r="E407" s="50"/>
      <c r="F407" s="50"/>
      <c r="G407" s="50"/>
      <c r="H407" s="50"/>
    </row>
    <row r="408" spans="3:8" ht="13.2">
      <c r="C408" s="63"/>
      <c r="D408" s="50"/>
      <c r="E408" s="50"/>
      <c r="F408" s="50"/>
      <c r="G408" s="50"/>
      <c r="H408" s="50"/>
    </row>
    <row r="409" spans="3:8" ht="13.2">
      <c r="C409" s="63"/>
      <c r="D409" s="50"/>
      <c r="E409" s="50"/>
      <c r="F409" s="50"/>
      <c r="G409" s="50"/>
      <c r="H409" s="50"/>
    </row>
    <row r="410" spans="3:8" ht="13.2">
      <c r="C410" s="63"/>
      <c r="D410" s="50"/>
      <c r="E410" s="50"/>
      <c r="F410" s="50"/>
      <c r="G410" s="50"/>
      <c r="H410" s="50"/>
    </row>
    <row r="411" spans="3:8" ht="13.2">
      <c r="C411" s="63"/>
      <c r="D411" s="50"/>
      <c r="E411" s="50"/>
      <c r="F411" s="50"/>
      <c r="G411" s="50"/>
      <c r="H411" s="50"/>
    </row>
    <row r="412" spans="3:8" ht="13.2">
      <c r="C412" s="63"/>
      <c r="D412" s="50"/>
      <c r="E412" s="50"/>
      <c r="F412" s="50"/>
      <c r="G412" s="50"/>
      <c r="H412" s="50"/>
    </row>
    <row r="413" spans="3:8" ht="13.2">
      <c r="C413" s="63"/>
      <c r="D413" s="50"/>
      <c r="E413" s="50"/>
      <c r="F413" s="50"/>
      <c r="G413" s="50"/>
      <c r="H413" s="50"/>
    </row>
    <row r="414" spans="3:8" ht="13.2">
      <c r="C414" s="63"/>
      <c r="D414" s="50"/>
      <c r="E414" s="50"/>
      <c r="F414" s="50"/>
      <c r="G414" s="50"/>
      <c r="H414" s="50"/>
    </row>
    <row r="415" spans="3:8" ht="13.2">
      <c r="C415" s="63"/>
      <c r="D415" s="50"/>
      <c r="E415" s="50"/>
      <c r="F415" s="50"/>
      <c r="G415" s="50"/>
      <c r="H415" s="50"/>
    </row>
    <row r="416" spans="3:8" ht="13.2">
      <c r="C416" s="63"/>
      <c r="D416" s="50"/>
      <c r="E416" s="50"/>
      <c r="F416" s="50"/>
      <c r="G416" s="50"/>
      <c r="H416" s="50"/>
    </row>
    <row r="417" spans="3:8" ht="13.2">
      <c r="C417" s="63"/>
      <c r="D417" s="50"/>
      <c r="E417" s="50"/>
      <c r="F417" s="50"/>
      <c r="G417" s="50"/>
      <c r="H417" s="50"/>
    </row>
    <row r="418" spans="3:8" ht="13.2">
      <c r="C418" s="63"/>
      <c r="D418" s="50"/>
      <c r="E418" s="50"/>
      <c r="F418" s="50"/>
      <c r="G418" s="50"/>
      <c r="H418" s="50"/>
    </row>
    <row r="419" spans="3:8" ht="13.2">
      <c r="C419" s="63"/>
      <c r="D419" s="50"/>
      <c r="E419" s="50"/>
      <c r="F419" s="50"/>
      <c r="G419" s="50"/>
      <c r="H419" s="50"/>
    </row>
    <row r="420" spans="3:8" ht="13.2">
      <c r="C420" s="63"/>
      <c r="D420" s="50"/>
      <c r="E420" s="50"/>
      <c r="F420" s="50"/>
      <c r="G420" s="50"/>
      <c r="H420" s="50"/>
    </row>
    <row r="421" spans="3:8" ht="13.2">
      <c r="C421" s="63"/>
      <c r="D421" s="50"/>
      <c r="E421" s="50"/>
      <c r="F421" s="50"/>
      <c r="G421" s="50"/>
      <c r="H421" s="50"/>
    </row>
    <row r="422" spans="3:8" ht="13.2">
      <c r="C422" s="63"/>
      <c r="D422" s="50"/>
      <c r="E422" s="50"/>
      <c r="F422" s="50"/>
      <c r="G422" s="50"/>
      <c r="H422" s="50"/>
    </row>
    <row r="423" spans="3:8" ht="13.2">
      <c r="C423" s="63"/>
      <c r="D423" s="50"/>
      <c r="E423" s="50"/>
      <c r="F423" s="50"/>
      <c r="G423" s="50"/>
      <c r="H423" s="50"/>
    </row>
    <row r="424" spans="3:8" ht="13.2">
      <c r="C424" s="63"/>
      <c r="D424" s="50"/>
      <c r="E424" s="50"/>
      <c r="F424" s="50"/>
      <c r="G424" s="50"/>
      <c r="H424" s="50"/>
    </row>
    <row r="425" spans="3:8" ht="13.2">
      <c r="C425" s="63"/>
      <c r="D425" s="50"/>
      <c r="E425" s="50"/>
      <c r="F425" s="50"/>
      <c r="G425" s="50"/>
      <c r="H425" s="50"/>
    </row>
    <row r="426" spans="3:8" ht="13.2">
      <c r="C426" s="63"/>
      <c r="D426" s="50"/>
      <c r="E426" s="50"/>
      <c r="F426" s="50"/>
      <c r="G426" s="50"/>
      <c r="H426" s="50"/>
    </row>
    <row r="427" spans="3:8" ht="13.2">
      <c r="C427" s="63"/>
      <c r="D427" s="50"/>
      <c r="E427" s="50"/>
      <c r="F427" s="50"/>
      <c r="G427" s="50"/>
      <c r="H427" s="50"/>
    </row>
    <row r="428" spans="3:8" ht="13.2">
      <c r="C428" s="63"/>
      <c r="D428" s="50"/>
      <c r="E428" s="50"/>
      <c r="F428" s="50"/>
      <c r="G428" s="50"/>
      <c r="H428" s="50"/>
    </row>
    <row r="429" spans="3:8" ht="13.2">
      <c r="C429" s="63"/>
      <c r="D429" s="50"/>
      <c r="E429" s="50"/>
      <c r="F429" s="50"/>
      <c r="G429" s="50"/>
      <c r="H429" s="50"/>
    </row>
    <row r="430" spans="3:8" ht="13.2">
      <c r="C430" s="63"/>
      <c r="D430" s="50"/>
      <c r="E430" s="50"/>
      <c r="F430" s="50"/>
      <c r="G430" s="50"/>
      <c r="H430" s="50"/>
    </row>
    <row r="431" spans="3:8" ht="13.2">
      <c r="C431" s="63"/>
      <c r="D431" s="50"/>
      <c r="E431" s="50"/>
      <c r="F431" s="50"/>
      <c r="G431" s="50"/>
      <c r="H431" s="50"/>
    </row>
    <row r="432" spans="3:8" ht="13.2">
      <c r="C432" s="63"/>
      <c r="D432" s="50"/>
      <c r="E432" s="50"/>
      <c r="F432" s="50"/>
      <c r="G432" s="50"/>
      <c r="H432" s="50"/>
    </row>
    <row r="433" spans="3:8" ht="13.2">
      <c r="C433" s="63"/>
      <c r="D433" s="50"/>
      <c r="E433" s="50"/>
      <c r="F433" s="50"/>
      <c r="G433" s="50"/>
      <c r="H433" s="50"/>
    </row>
    <row r="434" spans="3:8" ht="13.2">
      <c r="C434" s="63"/>
      <c r="D434" s="50"/>
      <c r="E434" s="50"/>
      <c r="F434" s="50"/>
      <c r="G434" s="50"/>
      <c r="H434" s="50"/>
    </row>
    <row r="435" spans="3:8" ht="13.2">
      <c r="C435" s="63"/>
      <c r="D435" s="50"/>
      <c r="E435" s="50"/>
      <c r="F435" s="50"/>
      <c r="G435" s="50"/>
      <c r="H435" s="50"/>
    </row>
    <row r="436" spans="3:8" ht="13.2">
      <c r="C436" s="63"/>
      <c r="D436" s="50"/>
      <c r="E436" s="50"/>
      <c r="F436" s="50"/>
      <c r="G436" s="50"/>
      <c r="H436" s="50"/>
    </row>
    <row r="437" spans="3:8" ht="13.2">
      <c r="C437" s="63"/>
      <c r="D437" s="50"/>
      <c r="E437" s="50"/>
      <c r="F437" s="50"/>
      <c r="G437" s="50"/>
      <c r="H437" s="50"/>
    </row>
    <row r="438" spans="3:8" ht="13.2">
      <c r="C438" s="63"/>
      <c r="D438" s="50"/>
      <c r="E438" s="50"/>
      <c r="F438" s="50"/>
      <c r="G438" s="50"/>
      <c r="H438" s="50"/>
    </row>
    <row r="439" spans="3:8" ht="13.2">
      <c r="C439" s="63"/>
      <c r="D439" s="50"/>
      <c r="E439" s="50"/>
      <c r="F439" s="50"/>
      <c r="G439" s="50"/>
      <c r="H439" s="50"/>
    </row>
    <row r="440" spans="3:8" ht="13.2">
      <c r="C440" s="63"/>
      <c r="D440" s="50"/>
      <c r="E440" s="50"/>
      <c r="F440" s="50"/>
      <c r="G440" s="50"/>
      <c r="H440" s="50"/>
    </row>
    <row r="441" spans="3:8" ht="13.2">
      <c r="C441" s="63"/>
      <c r="D441" s="50"/>
      <c r="E441" s="50"/>
      <c r="F441" s="50"/>
      <c r="G441" s="50"/>
      <c r="H441" s="50"/>
    </row>
    <row r="442" spans="3:8" ht="13.2">
      <c r="C442" s="63"/>
      <c r="D442" s="50"/>
      <c r="E442" s="50"/>
      <c r="F442" s="50"/>
      <c r="G442" s="50"/>
      <c r="H442" s="50"/>
    </row>
    <row r="443" spans="3:8" ht="13.2">
      <c r="C443" s="63"/>
      <c r="D443" s="50"/>
      <c r="E443" s="50"/>
      <c r="F443" s="50"/>
      <c r="G443" s="50"/>
      <c r="H443" s="50"/>
    </row>
    <row r="444" spans="3:8" ht="13.2">
      <c r="C444" s="63"/>
      <c r="D444" s="50"/>
      <c r="E444" s="50"/>
      <c r="F444" s="50"/>
      <c r="G444" s="50"/>
      <c r="H444" s="50"/>
    </row>
    <row r="445" spans="3:8" ht="13.2">
      <c r="C445" s="63"/>
      <c r="D445" s="50"/>
      <c r="E445" s="50"/>
      <c r="F445" s="50"/>
      <c r="G445" s="50"/>
      <c r="H445" s="50"/>
    </row>
    <row r="446" spans="3:8" ht="13.2">
      <c r="C446" s="63"/>
      <c r="D446" s="50"/>
      <c r="E446" s="50"/>
      <c r="F446" s="50"/>
      <c r="G446" s="50"/>
      <c r="H446" s="50"/>
    </row>
    <row r="447" spans="3:8" ht="13.2">
      <c r="C447" s="63"/>
      <c r="D447" s="50"/>
      <c r="E447" s="50"/>
      <c r="F447" s="50"/>
      <c r="G447" s="50"/>
      <c r="H447" s="50"/>
    </row>
    <row r="448" spans="3:8" ht="13.2">
      <c r="C448" s="63"/>
      <c r="D448" s="50"/>
      <c r="E448" s="50"/>
      <c r="F448" s="50"/>
      <c r="G448" s="50"/>
      <c r="H448" s="50"/>
    </row>
    <row r="449" spans="3:8" ht="13.2">
      <c r="C449" s="63"/>
      <c r="D449" s="50"/>
      <c r="E449" s="50"/>
      <c r="F449" s="50"/>
      <c r="G449" s="50"/>
      <c r="H449" s="50"/>
    </row>
    <row r="450" spans="3:8" ht="13.2">
      <c r="C450" s="63"/>
      <c r="D450" s="50"/>
      <c r="E450" s="50"/>
      <c r="F450" s="50"/>
      <c r="G450" s="50"/>
      <c r="H450" s="50"/>
    </row>
    <row r="451" spans="3:8" ht="13.2">
      <c r="C451" s="63"/>
      <c r="D451" s="50"/>
      <c r="E451" s="50"/>
      <c r="F451" s="50"/>
      <c r="G451" s="50"/>
      <c r="H451" s="50"/>
    </row>
    <row r="452" spans="3:8" ht="13.2">
      <c r="C452" s="63"/>
      <c r="D452" s="50"/>
      <c r="E452" s="50"/>
      <c r="F452" s="50"/>
      <c r="G452" s="50"/>
      <c r="H452" s="50"/>
    </row>
    <row r="453" spans="3:8" ht="13.2">
      <c r="C453" s="63"/>
      <c r="D453" s="50"/>
      <c r="E453" s="50"/>
      <c r="F453" s="50"/>
      <c r="G453" s="50"/>
      <c r="H453" s="50"/>
    </row>
    <row r="454" spans="3:8" ht="13.2">
      <c r="C454" s="63"/>
      <c r="D454" s="50"/>
      <c r="E454" s="50"/>
      <c r="F454" s="50"/>
      <c r="G454" s="50"/>
      <c r="H454" s="50"/>
    </row>
    <row r="455" spans="3:8" ht="13.2">
      <c r="C455" s="63"/>
      <c r="D455" s="50"/>
      <c r="E455" s="50"/>
      <c r="F455" s="50"/>
      <c r="G455" s="50"/>
      <c r="H455" s="50"/>
    </row>
    <row r="456" spans="3:8" ht="13.2">
      <c r="C456" s="63"/>
      <c r="D456" s="50"/>
      <c r="E456" s="50"/>
      <c r="F456" s="50"/>
      <c r="G456" s="50"/>
      <c r="H456" s="50"/>
    </row>
    <row r="457" spans="3:8" ht="13.2">
      <c r="C457" s="63"/>
      <c r="D457" s="50"/>
      <c r="E457" s="50"/>
      <c r="F457" s="50"/>
      <c r="G457" s="50"/>
      <c r="H457" s="50"/>
    </row>
    <row r="458" spans="3:8" ht="13.2">
      <c r="C458" s="63"/>
      <c r="D458" s="50"/>
      <c r="E458" s="50"/>
      <c r="F458" s="50"/>
      <c r="G458" s="50"/>
      <c r="H458" s="50"/>
    </row>
    <row r="459" spans="3:8" ht="13.2">
      <c r="C459" s="63"/>
      <c r="D459" s="50"/>
      <c r="E459" s="50"/>
      <c r="F459" s="50"/>
      <c r="G459" s="50"/>
      <c r="H459" s="50"/>
    </row>
    <row r="460" spans="3:8" ht="13.2">
      <c r="C460" s="63"/>
      <c r="D460" s="50"/>
      <c r="E460" s="50"/>
      <c r="F460" s="50"/>
      <c r="G460" s="50"/>
      <c r="H460" s="50"/>
    </row>
    <row r="461" spans="3:8" ht="13.2">
      <c r="C461" s="63"/>
      <c r="D461" s="50"/>
      <c r="E461" s="50"/>
      <c r="F461" s="50"/>
      <c r="G461" s="50"/>
      <c r="H461" s="50"/>
    </row>
    <row r="462" spans="3:8" ht="13.2">
      <c r="C462" s="63"/>
      <c r="D462" s="50"/>
      <c r="E462" s="50"/>
      <c r="F462" s="50"/>
      <c r="G462" s="50"/>
      <c r="H462" s="50"/>
    </row>
    <row r="463" spans="3:8" ht="13.2">
      <c r="C463" s="63"/>
      <c r="D463" s="50"/>
      <c r="E463" s="50"/>
      <c r="F463" s="50"/>
      <c r="G463" s="50"/>
      <c r="H463" s="50"/>
    </row>
    <row r="464" spans="3:8" ht="13.2">
      <c r="C464" s="63"/>
      <c r="D464" s="50"/>
      <c r="E464" s="50"/>
      <c r="F464" s="50"/>
      <c r="G464" s="50"/>
      <c r="H464" s="50"/>
    </row>
    <row r="465" spans="3:8" ht="13.2">
      <c r="C465" s="63"/>
      <c r="D465" s="50"/>
      <c r="E465" s="50"/>
      <c r="F465" s="50"/>
      <c r="G465" s="50"/>
      <c r="H465" s="50"/>
    </row>
    <row r="466" spans="3:8" ht="13.2">
      <c r="C466" s="63"/>
      <c r="D466" s="50"/>
      <c r="E466" s="50"/>
      <c r="F466" s="50"/>
      <c r="G466" s="50"/>
      <c r="H466" s="50"/>
    </row>
    <row r="467" spans="3:8" ht="13.2">
      <c r="C467" s="63"/>
      <c r="D467" s="50"/>
      <c r="E467" s="50"/>
      <c r="F467" s="50"/>
      <c r="G467" s="50"/>
      <c r="H467" s="50"/>
    </row>
    <row r="468" spans="3:8" ht="13.2">
      <c r="C468" s="63"/>
      <c r="D468" s="50"/>
      <c r="E468" s="50"/>
      <c r="F468" s="50"/>
      <c r="G468" s="50"/>
      <c r="H468" s="50"/>
    </row>
    <row r="469" spans="3:8" ht="13.2">
      <c r="C469" s="63"/>
      <c r="D469" s="50"/>
      <c r="E469" s="50"/>
      <c r="F469" s="50"/>
      <c r="G469" s="50"/>
      <c r="H469" s="50"/>
    </row>
    <row r="470" spans="3:8" ht="13.2">
      <c r="C470" s="63"/>
      <c r="D470" s="50"/>
      <c r="E470" s="50"/>
      <c r="F470" s="50"/>
      <c r="G470" s="50"/>
      <c r="H470" s="50"/>
    </row>
    <row r="471" spans="3:8" ht="13.2">
      <c r="C471" s="63"/>
      <c r="D471" s="50"/>
      <c r="E471" s="50"/>
      <c r="F471" s="50"/>
      <c r="G471" s="50"/>
      <c r="H471" s="50"/>
    </row>
    <row r="472" spans="3:8" ht="13.2">
      <c r="C472" s="63"/>
      <c r="D472" s="50"/>
      <c r="E472" s="50"/>
      <c r="F472" s="50"/>
      <c r="G472" s="50"/>
      <c r="H472" s="50"/>
    </row>
    <row r="473" spans="3:8" ht="13.2">
      <c r="C473" s="63"/>
      <c r="D473" s="50"/>
      <c r="E473" s="50"/>
      <c r="F473" s="50"/>
      <c r="G473" s="50"/>
      <c r="H473" s="50"/>
    </row>
    <row r="474" spans="3:8" ht="13.2">
      <c r="C474" s="63"/>
      <c r="D474" s="50"/>
      <c r="E474" s="50"/>
      <c r="F474" s="50"/>
      <c r="G474" s="50"/>
      <c r="H474" s="50"/>
    </row>
    <row r="475" spans="3:8" ht="13.2">
      <c r="C475" s="63"/>
      <c r="D475" s="50"/>
      <c r="E475" s="50"/>
      <c r="F475" s="50"/>
      <c r="G475" s="50"/>
      <c r="H475" s="50"/>
    </row>
    <row r="476" spans="3:8" ht="13.2">
      <c r="C476" s="63"/>
      <c r="D476" s="50"/>
      <c r="E476" s="50"/>
      <c r="F476" s="50"/>
      <c r="G476" s="50"/>
      <c r="H476" s="50"/>
    </row>
    <row r="477" spans="3:8" ht="13.2">
      <c r="C477" s="63"/>
      <c r="D477" s="50"/>
      <c r="E477" s="50"/>
      <c r="F477" s="50"/>
      <c r="G477" s="50"/>
      <c r="H477" s="50"/>
    </row>
    <row r="478" spans="3:8" ht="13.2">
      <c r="C478" s="63"/>
      <c r="D478" s="50"/>
      <c r="E478" s="50"/>
      <c r="F478" s="50"/>
      <c r="G478" s="50"/>
      <c r="H478" s="50"/>
    </row>
    <row r="479" spans="3:8" ht="13.2">
      <c r="C479" s="63"/>
      <c r="D479" s="50"/>
      <c r="E479" s="50"/>
      <c r="F479" s="50"/>
      <c r="G479" s="50"/>
      <c r="H479" s="50"/>
    </row>
    <row r="480" spans="3:8" ht="13.2">
      <c r="C480" s="63"/>
      <c r="D480" s="50"/>
      <c r="E480" s="50"/>
      <c r="F480" s="50"/>
      <c r="G480" s="50"/>
      <c r="H480" s="50"/>
    </row>
    <row r="481" spans="3:8" ht="13.2">
      <c r="C481" s="63"/>
      <c r="D481" s="50"/>
      <c r="E481" s="50"/>
      <c r="F481" s="50"/>
      <c r="G481" s="50"/>
      <c r="H481" s="50"/>
    </row>
    <row r="482" spans="3:8" ht="13.2">
      <c r="C482" s="63"/>
      <c r="D482" s="50"/>
      <c r="E482" s="50"/>
      <c r="F482" s="50"/>
      <c r="G482" s="50"/>
      <c r="H482" s="50"/>
    </row>
    <row r="483" spans="3:8" ht="13.2">
      <c r="C483" s="63"/>
      <c r="D483" s="50"/>
      <c r="E483" s="50"/>
      <c r="F483" s="50"/>
      <c r="G483" s="50"/>
      <c r="H483" s="50"/>
    </row>
    <row r="484" spans="3:8" ht="13.2">
      <c r="C484" s="63"/>
      <c r="D484" s="50"/>
      <c r="E484" s="50"/>
      <c r="F484" s="50"/>
      <c r="G484" s="50"/>
      <c r="H484" s="50"/>
    </row>
    <row r="485" spans="3:8" ht="13.2">
      <c r="C485" s="63"/>
      <c r="D485" s="50"/>
      <c r="E485" s="50"/>
      <c r="F485" s="50"/>
      <c r="G485" s="50"/>
      <c r="H485" s="50"/>
    </row>
    <row r="486" spans="3:8" ht="13.2">
      <c r="C486" s="63"/>
      <c r="D486" s="50"/>
      <c r="E486" s="50"/>
      <c r="F486" s="50"/>
      <c r="G486" s="50"/>
      <c r="H486" s="50"/>
    </row>
    <row r="487" spans="3:8" ht="13.2">
      <c r="C487" s="63"/>
      <c r="D487" s="50"/>
      <c r="E487" s="50"/>
      <c r="F487" s="50"/>
      <c r="G487" s="50"/>
      <c r="H487" s="50"/>
    </row>
    <row r="488" spans="3:8" ht="13.2">
      <c r="C488" s="63"/>
      <c r="D488" s="50"/>
      <c r="E488" s="50"/>
      <c r="F488" s="50"/>
      <c r="G488" s="50"/>
      <c r="H488" s="50"/>
    </row>
    <row r="489" spans="3:8" ht="13.2">
      <c r="C489" s="63"/>
      <c r="D489" s="50"/>
      <c r="E489" s="50"/>
      <c r="F489" s="50"/>
      <c r="G489" s="50"/>
      <c r="H489" s="50"/>
    </row>
    <row r="490" spans="3:8" ht="13.2">
      <c r="C490" s="63"/>
      <c r="D490" s="50"/>
      <c r="E490" s="50"/>
      <c r="F490" s="50"/>
      <c r="G490" s="50"/>
      <c r="H490" s="50"/>
    </row>
    <row r="491" spans="3:8" ht="13.2">
      <c r="C491" s="63"/>
      <c r="D491" s="50"/>
      <c r="E491" s="50"/>
      <c r="F491" s="50"/>
      <c r="G491" s="50"/>
      <c r="H491" s="50"/>
    </row>
    <row r="492" spans="3:8" ht="13.2">
      <c r="C492" s="63"/>
      <c r="D492" s="50"/>
      <c r="E492" s="50"/>
      <c r="F492" s="50"/>
      <c r="G492" s="50"/>
      <c r="H492" s="50"/>
    </row>
    <row r="493" spans="3:8" ht="13.2">
      <c r="C493" s="63"/>
      <c r="D493" s="50"/>
      <c r="E493" s="50"/>
      <c r="F493" s="50"/>
      <c r="G493" s="50"/>
      <c r="H493" s="50"/>
    </row>
    <row r="494" spans="3:8" ht="13.2">
      <c r="C494" s="63"/>
      <c r="D494" s="50"/>
      <c r="E494" s="50"/>
      <c r="F494" s="50"/>
      <c r="G494" s="50"/>
      <c r="H494" s="50"/>
    </row>
    <row r="495" spans="3:8" ht="13.2">
      <c r="C495" s="63"/>
      <c r="D495" s="50"/>
      <c r="E495" s="50"/>
      <c r="F495" s="50"/>
      <c r="G495" s="50"/>
      <c r="H495" s="50"/>
    </row>
    <row r="496" spans="3:8" ht="13.2">
      <c r="C496" s="63"/>
      <c r="D496" s="50"/>
      <c r="E496" s="50"/>
      <c r="F496" s="50"/>
      <c r="G496" s="50"/>
      <c r="H496" s="50"/>
    </row>
    <row r="497" spans="3:8" ht="13.2">
      <c r="C497" s="63"/>
      <c r="D497" s="50"/>
      <c r="E497" s="50"/>
      <c r="F497" s="50"/>
      <c r="G497" s="50"/>
      <c r="H497" s="50"/>
    </row>
    <row r="498" spans="3:8" ht="13.2">
      <c r="C498" s="63"/>
      <c r="D498" s="50"/>
      <c r="E498" s="50"/>
      <c r="F498" s="50"/>
      <c r="G498" s="50"/>
      <c r="H498" s="50"/>
    </row>
    <row r="499" spans="3:8" ht="13.2">
      <c r="C499" s="63"/>
      <c r="D499" s="50"/>
      <c r="E499" s="50"/>
      <c r="F499" s="50"/>
      <c r="G499" s="50"/>
      <c r="H499" s="50"/>
    </row>
    <row r="500" spans="3:8" ht="13.2">
      <c r="C500" s="63"/>
      <c r="D500" s="50"/>
      <c r="E500" s="50"/>
      <c r="F500" s="50"/>
      <c r="G500" s="50"/>
      <c r="H500" s="50"/>
    </row>
    <row r="501" spans="3:8" ht="13.2">
      <c r="C501" s="63"/>
      <c r="D501" s="50"/>
      <c r="E501" s="50"/>
      <c r="F501" s="50"/>
      <c r="G501" s="50"/>
      <c r="H501" s="50"/>
    </row>
    <row r="502" spans="3:8" ht="13.2">
      <c r="C502" s="63"/>
      <c r="D502" s="50"/>
      <c r="E502" s="50"/>
      <c r="F502" s="50"/>
      <c r="G502" s="50"/>
      <c r="H502" s="50"/>
    </row>
    <row r="503" spans="3:8" ht="13.2">
      <c r="C503" s="63"/>
      <c r="D503" s="50"/>
      <c r="E503" s="50"/>
      <c r="F503" s="50"/>
      <c r="G503" s="50"/>
      <c r="H503" s="50"/>
    </row>
    <row r="504" spans="3:8" ht="13.2">
      <c r="C504" s="63"/>
      <c r="D504" s="50"/>
      <c r="E504" s="50"/>
      <c r="F504" s="50"/>
      <c r="G504" s="50"/>
      <c r="H504" s="50"/>
    </row>
    <row r="505" spans="3:8" ht="13.2">
      <c r="C505" s="63"/>
      <c r="D505" s="50"/>
      <c r="E505" s="50"/>
      <c r="F505" s="50"/>
      <c r="G505" s="50"/>
      <c r="H505" s="50"/>
    </row>
    <row r="506" spans="3:8" ht="13.2">
      <c r="C506" s="63"/>
      <c r="D506" s="50"/>
      <c r="E506" s="50"/>
      <c r="F506" s="50"/>
      <c r="G506" s="50"/>
      <c r="H506" s="50"/>
    </row>
    <row r="507" spans="3:8" ht="13.2">
      <c r="C507" s="63"/>
      <c r="D507" s="50"/>
      <c r="E507" s="50"/>
      <c r="F507" s="50"/>
      <c r="G507" s="50"/>
      <c r="H507" s="50"/>
    </row>
    <row r="508" spans="3:8" ht="13.2">
      <c r="C508" s="63"/>
      <c r="D508" s="50"/>
      <c r="E508" s="50"/>
      <c r="F508" s="50"/>
      <c r="G508" s="50"/>
      <c r="H508" s="50"/>
    </row>
    <row r="509" spans="3:8" ht="13.2">
      <c r="C509" s="63"/>
      <c r="D509" s="50"/>
      <c r="E509" s="50"/>
      <c r="F509" s="50"/>
      <c r="G509" s="50"/>
      <c r="H509" s="50"/>
    </row>
    <row r="510" spans="3:8" ht="13.2">
      <c r="C510" s="63"/>
      <c r="D510" s="50"/>
      <c r="E510" s="50"/>
      <c r="F510" s="50"/>
      <c r="G510" s="50"/>
      <c r="H510" s="50"/>
    </row>
    <row r="511" spans="3:8" ht="13.2">
      <c r="C511" s="63"/>
      <c r="D511" s="50"/>
      <c r="E511" s="50"/>
      <c r="F511" s="50"/>
      <c r="G511" s="50"/>
      <c r="H511" s="50"/>
    </row>
    <row r="512" spans="3:8" ht="13.2">
      <c r="C512" s="63"/>
      <c r="D512" s="50"/>
      <c r="E512" s="50"/>
      <c r="F512" s="50"/>
      <c r="G512" s="50"/>
      <c r="H512" s="50"/>
    </row>
    <row r="513" spans="3:8" ht="13.2">
      <c r="C513" s="63"/>
      <c r="D513" s="50"/>
      <c r="E513" s="50"/>
      <c r="F513" s="50"/>
      <c r="G513" s="50"/>
      <c r="H513" s="50"/>
    </row>
    <row r="514" spans="3:8" ht="13.2">
      <c r="C514" s="63"/>
      <c r="D514" s="50"/>
      <c r="E514" s="50"/>
      <c r="F514" s="50"/>
      <c r="G514" s="50"/>
      <c r="H514" s="50"/>
    </row>
    <row r="515" spans="3:8" ht="13.2">
      <c r="C515" s="63"/>
      <c r="D515" s="50"/>
      <c r="E515" s="50"/>
      <c r="F515" s="50"/>
      <c r="G515" s="50"/>
      <c r="H515" s="50"/>
    </row>
    <row r="516" spans="3:8" ht="13.2">
      <c r="C516" s="63"/>
      <c r="D516" s="50"/>
      <c r="E516" s="50"/>
      <c r="F516" s="50"/>
      <c r="G516" s="50"/>
      <c r="H516" s="50"/>
    </row>
    <row r="517" spans="3:8" ht="13.2">
      <c r="C517" s="63"/>
      <c r="D517" s="50"/>
      <c r="E517" s="50"/>
      <c r="F517" s="50"/>
      <c r="G517" s="50"/>
      <c r="H517" s="50"/>
    </row>
    <row r="518" spans="3:8" ht="13.2">
      <c r="C518" s="63"/>
      <c r="D518" s="50"/>
      <c r="E518" s="50"/>
      <c r="F518" s="50"/>
      <c r="G518" s="50"/>
      <c r="H518" s="50"/>
    </row>
    <row r="519" spans="3:8" ht="13.2">
      <c r="C519" s="63"/>
      <c r="D519" s="50"/>
      <c r="E519" s="50"/>
      <c r="F519" s="50"/>
      <c r="G519" s="50"/>
      <c r="H519" s="50"/>
    </row>
    <row r="520" spans="3:8" ht="13.2">
      <c r="C520" s="63"/>
      <c r="D520" s="50"/>
      <c r="E520" s="50"/>
      <c r="F520" s="50"/>
      <c r="G520" s="50"/>
      <c r="H520" s="50"/>
    </row>
    <row r="521" spans="3:8" ht="13.2">
      <c r="C521" s="63"/>
      <c r="D521" s="50"/>
      <c r="E521" s="50"/>
      <c r="F521" s="50"/>
      <c r="G521" s="50"/>
      <c r="H521" s="50"/>
    </row>
    <row r="522" spans="3:8" ht="13.2">
      <c r="C522" s="63"/>
      <c r="D522" s="50"/>
      <c r="E522" s="50"/>
      <c r="F522" s="50"/>
      <c r="G522" s="50"/>
      <c r="H522" s="50"/>
    </row>
    <row r="523" spans="3:8" ht="13.2">
      <c r="C523" s="63"/>
      <c r="D523" s="50"/>
      <c r="E523" s="50"/>
      <c r="F523" s="50"/>
      <c r="G523" s="50"/>
      <c r="H523" s="50"/>
    </row>
    <row r="524" spans="3:8" ht="13.2">
      <c r="C524" s="63"/>
      <c r="D524" s="50"/>
      <c r="E524" s="50"/>
      <c r="F524" s="50"/>
      <c r="G524" s="50"/>
      <c r="H524" s="50"/>
    </row>
    <row r="525" spans="3:8" ht="13.2">
      <c r="C525" s="63"/>
      <c r="D525" s="50"/>
      <c r="E525" s="50"/>
      <c r="F525" s="50"/>
      <c r="G525" s="50"/>
      <c r="H525" s="50"/>
    </row>
    <row r="526" spans="3:8" ht="13.2">
      <c r="C526" s="63"/>
      <c r="D526" s="50"/>
      <c r="E526" s="50"/>
      <c r="F526" s="50"/>
      <c r="G526" s="50"/>
      <c r="H526" s="50"/>
    </row>
    <row r="527" spans="3:8" ht="13.2">
      <c r="C527" s="63"/>
      <c r="D527" s="50"/>
      <c r="E527" s="50"/>
      <c r="F527" s="50"/>
      <c r="G527" s="50"/>
      <c r="H527" s="50"/>
    </row>
    <row r="528" spans="3:8" ht="13.2">
      <c r="C528" s="63"/>
      <c r="D528" s="50"/>
      <c r="E528" s="50"/>
      <c r="F528" s="50"/>
      <c r="G528" s="50"/>
      <c r="H528" s="50"/>
    </row>
    <row r="529" spans="3:8" ht="13.2">
      <c r="C529" s="63"/>
      <c r="D529" s="50"/>
      <c r="E529" s="50"/>
      <c r="F529" s="50"/>
      <c r="G529" s="50"/>
      <c r="H529" s="50"/>
    </row>
    <row r="530" spans="3:8" ht="13.2">
      <c r="C530" s="63"/>
      <c r="D530" s="50"/>
      <c r="E530" s="50"/>
      <c r="F530" s="50"/>
      <c r="G530" s="50"/>
      <c r="H530" s="50"/>
    </row>
    <row r="531" spans="3:8" ht="13.2">
      <c r="C531" s="63"/>
      <c r="D531" s="50"/>
      <c r="E531" s="50"/>
      <c r="F531" s="50"/>
      <c r="G531" s="50"/>
      <c r="H531" s="50"/>
    </row>
    <row r="532" spans="3:8" ht="13.2">
      <c r="C532" s="63"/>
      <c r="D532" s="50"/>
      <c r="E532" s="50"/>
      <c r="F532" s="50"/>
      <c r="G532" s="50"/>
      <c r="H532" s="50"/>
    </row>
    <row r="533" spans="3:8" ht="13.2">
      <c r="C533" s="63"/>
      <c r="D533" s="50"/>
      <c r="E533" s="50"/>
      <c r="F533" s="50"/>
      <c r="G533" s="50"/>
      <c r="H533" s="50"/>
    </row>
    <row r="534" spans="3:8" ht="13.2">
      <c r="C534" s="63"/>
      <c r="D534" s="50"/>
      <c r="E534" s="50"/>
      <c r="F534" s="50"/>
      <c r="G534" s="50"/>
      <c r="H534" s="50"/>
    </row>
    <row r="535" spans="3:8" ht="13.2">
      <c r="C535" s="63"/>
      <c r="D535" s="50"/>
      <c r="E535" s="50"/>
      <c r="F535" s="50"/>
      <c r="G535" s="50"/>
      <c r="H535" s="50"/>
    </row>
    <row r="536" spans="3:8" ht="13.2">
      <c r="C536" s="63"/>
      <c r="D536" s="50"/>
      <c r="E536" s="50"/>
      <c r="F536" s="50"/>
      <c r="G536" s="50"/>
      <c r="H536" s="50"/>
    </row>
    <row r="537" spans="3:8" ht="13.2">
      <c r="C537" s="63"/>
      <c r="D537" s="50"/>
      <c r="E537" s="50"/>
      <c r="F537" s="50"/>
      <c r="G537" s="50"/>
      <c r="H537" s="50"/>
    </row>
    <row r="538" spans="3:8" ht="13.2">
      <c r="C538" s="63"/>
      <c r="D538" s="50"/>
      <c r="E538" s="50"/>
      <c r="F538" s="50"/>
      <c r="G538" s="50"/>
      <c r="H538" s="50"/>
    </row>
    <row r="539" spans="3:8" ht="13.2">
      <c r="C539" s="63"/>
      <c r="D539" s="50"/>
      <c r="E539" s="50"/>
      <c r="F539" s="50"/>
      <c r="G539" s="50"/>
      <c r="H539" s="50"/>
    </row>
    <row r="540" spans="3:8" ht="13.2">
      <c r="C540" s="63"/>
      <c r="D540" s="50"/>
      <c r="E540" s="50"/>
      <c r="F540" s="50"/>
      <c r="G540" s="50"/>
      <c r="H540" s="50"/>
    </row>
    <row r="541" spans="3:8" ht="13.2">
      <c r="C541" s="63"/>
      <c r="D541" s="50"/>
      <c r="E541" s="50"/>
      <c r="F541" s="50"/>
      <c r="G541" s="50"/>
      <c r="H541" s="50"/>
    </row>
    <row r="542" spans="3:8" ht="13.2">
      <c r="C542" s="63"/>
      <c r="D542" s="50"/>
      <c r="E542" s="50"/>
      <c r="F542" s="50"/>
      <c r="G542" s="50"/>
      <c r="H542" s="50"/>
    </row>
    <row r="543" spans="3:8" ht="13.2">
      <c r="C543" s="63"/>
      <c r="D543" s="50"/>
      <c r="E543" s="50"/>
      <c r="F543" s="50"/>
      <c r="G543" s="50"/>
      <c r="H543" s="50"/>
    </row>
    <row r="544" spans="3:8" ht="13.2">
      <c r="C544" s="63"/>
      <c r="D544" s="50"/>
      <c r="E544" s="50"/>
      <c r="F544" s="50"/>
      <c r="G544" s="50"/>
      <c r="H544" s="50"/>
    </row>
    <row r="545" spans="3:8" ht="13.2">
      <c r="C545" s="63"/>
      <c r="D545" s="50"/>
      <c r="E545" s="50"/>
      <c r="F545" s="50"/>
      <c r="G545" s="50"/>
      <c r="H545" s="50"/>
    </row>
    <row r="546" spans="3:8" ht="13.2">
      <c r="C546" s="63"/>
      <c r="D546" s="50"/>
      <c r="E546" s="50"/>
      <c r="F546" s="50"/>
      <c r="G546" s="50"/>
      <c r="H546" s="50"/>
    </row>
    <row r="547" spans="3:8" ht="13.2">
      <c r="C547" s="63"/>
      <c r="D547" s="50"/>
      <c r="E547" s="50"/>
      <c r="F547" s="50"/>
      <c r="G547" s="50"/>
      <c r="H547" s="50"/>
    </row>
    <row r="548" spans="3:8" ht="13.2">
      <c r="C548" s="63"/>
      <c r="D548" s="50"/>
      <c r="E548" s="50"/>
      <c r="F548" s="50"/>
      <c r="G548" s="50"/>
      <c r="H548" s="50"/>
    </row>
    <row r="549" spans="3:8" ht="13.2">
      <c r="C549" s="63"/>
      <c r="D549" s="50"/>
      <c r="E549" s="50"/>
      <c r="F549" s="50"/>
      <c r="G549" s="50"/>
      <c r="H549" s="50"/>
    </row>
    <row r="550" spans="3:8" ht="13.2">
      <c r="C550" s="63"/>
      <c r="D550" s="50"/>
      <c r="E550" s="50"/>
      <c r="F550" s="50"/>
      <c r="G550" s="50"/>
      <c r="H550" s="50"/>
    </row>
    <row r="551" spans="3:8" ht="13.2">
      <c r="C551" s="63"/>
      <c r="D551" s="50"/>
      <c r="E551" s="50"/>
      <c r="F551" s="50"/>
      <c r="G551" s="50"/>
      <c r="H551" s="50"/>
    </row>
    <row r="552" spans="3:8" ht="13.2">
      <c r="C552" s="63"/>
      <c r="D552" s="50"/>
      <c r="E552" s="50"/>
      <c r="F552" s="50"/>
      <c r="G552" s="50"/>
      <c r="H552" s="50"/>
    </row>
    <row r="553" spans="3:8" ht="13.2">
      <c r="C553" s="63"/>
      <c r="D553" s="50"/>
      <c r="E553" s="50"/>
      <c r="F553" s="50"/>
      <c r="G553" s="50"/>
      <c r="H553" s="50"/>
    </row>
    <row r="554" spans="3:8" ht="13.2">
      <c r="C554" s="63"/>
      <c r="D554" s="50"/>
      <c r="E554" s="50"/>
      <c r="F554" s="50"/>
      <c r="G554" s="50"/>
      <c r="H554" s="50"/>
    </row>
    <row r="555" spans="3:8" ht="13.2">
      <c r="C555" s="63"/>
      <c r="D555" s="50"/>
      <c r="E555" s="50"/>
      <c r="F555" s="50"/>
      <c r="G555" s="50"/>
      <c r="H555" s="50"/>
    </row>
    <row r="556" spans="3:8" ht="13.2">
      <c r="C556" s="63"/>
      <c r="D556" s="50"/>
      <c r="E556" s="50"/>
      <c r="F556" s="50"/>
      <c r="G556" s="50"/>
      <c r="H556" s="50"/>
    </row>
    <row r="557" spans="3:8" ht="13.2">
      <c r="C557" s="63"/>
      <c r="D557" s="50"/>
      <c r="E557" s="50"/>
      <c r="F557" s="50"/>
      <c r="G557" s="50"/>
      <c r="H557" s="50"/>
    </row>
    <row r="558" spans="3:8" ht="13.2">
      <c r="C558" s="63"/>
      <c r="D558" s="50"/>
      <c r="E558" s="50"/>
      <c r="F558" s="50"/>
      <c r="G558" s="50"/>
      <c r="H558" s="50"/>
    </row>
    <row r="559" spans="3:8" ht="13.2">
      <c r="C559" s="63"/>
      <c r="D559" s="50"/>
      <c r="E559" s="50"/>
      <c r="F559" s="50"/>
      <c r="G559" s="50"/>
      <c r="H559" s="50"/>
    </row>
    <row r="560" spans="3:8" ht="13.2">
      <c r="C560" s="63"/>
      <c r="D560" s="50"/>
      <c r="E560" s="50"/>
      <c r="F560" s="50"/>
      <c r="G560" s="50"/>
      <c r="H560" s="50"/>
    </row>
    <row r="561" spans="3:8" ht="13.2">
      <c r="C561" s="63"/>
      <c r="D561" s="50"/>
      <c r="E561" s="50"/>
      <c r="F561" s="50"/>
      <c r="G561" s="50"/>
      <c r="H561" s="50"/>
    </row>
    <row r="562" spans="3:8" ht="13.2">
      <c r="C562" s="63"/>
      <c r="D562" s="50"/>
      <c r="E562" s="50"/>
      <c r="F562" s="50"/>
      <c r="G562" s="50"/>
      <c r="H562" s="50"/>
    </row>
    <row r="563" spans="3:8" ht="13.2">
      <c r="C563" s="63"/>
      <c r="D563" s="50"/>
      <c r="E563" s="50"/>
      <c r="F563" s="50"/>
      <c r="G563" s="50"/>
      <c r="H563" s="50"/>
    </row>
    <row r="564" spans="3:8" ht="13.2">
      <c r="C564" s="63"/>
      <c r="D564" s="50"/>
      <c r="E564" s="50"/>
      <c r="F564" s="50"/>
      <c r="G564" s="50"/>
      <c r="H564" s="50"/>
    </row>
    <row r="565" spans="3:8" ht="13.2">
      <c r="C565" s="63"/>
      <c r="D565" s="50"/>
      <c r="E565" s="50"/>
      <c r="F565" s="50"/>
      <c r="G565" s="50"/>
      <c r="H565" s="50"/>
    </row>
    <row r="566" spans="3:8" ht="13.2">
      <c r="C566" s="63"/>
      <c r="D566" s="50"/>
      <c r="E566" s="50"/>
      <c r="F566" s="50"/>
      <c r="G566" s="50"/>
      <c r="H566" s="50"/>
    </row>
    <row r="567" spans="3:8" ht="13.2">
      <c r="C567" s="63"/>
      <c r="D567" s="50"/>
      <c r="E567" s="50"/>
      <c r="F567" s="50"/>
      <c r="G567" s="50"/>
      <c r="H567" s="50"/>
    </row>
    <row r="568" spans="3:8" ht="13.2">
      <c r="C568" s="63"/>
      <c r="D568" s="50"/>
      <c r="E568" s="50"/>
      <c r="F568" s="50"/>
      <c r="G568" s="50"/>
      <c r="H568" s="50"/>
    </row>
    <row r="569" spans="3:8" ht="13.2">
      <c r="C569" s="63"/>
      <c r="D569" s="50"/>
      <c r="E569" s="50"/>
      <c r="F569" s="50"/>
      <c r="G569" s="50"/>
      <c r="H569" s="50"/>
    </row>
    <row r="570" spans="3:8" ht="13.2">
      <c r="C570" s="63"/>
      <c r="D570" s="50"/>
      <c r="E570" s="50"/>
      <c r="F570" s="50"/>
      <c r="G570" s="50"/>
      <c r="H570" s="50"/>
    </row>
    <row r="571" spans="3:8" ht="13.2">
      <c r="C571" s="63"/>
      <c r="D571" s="50"/>
      <c r="E571" s="50"/>
      <c r="F571" s="50"/>
      <c r="G571" s="50"/>
      <c r="H571" s="50"/>
    </row>
    <row r="572" spans="3:8" ht="13.2">
      <c r="C572" s="63"/>
      <c r="D572" s="50"/>
      <c r="E572" s="50"/>
      <c r="F572" s="50"/>
      <c r="G572" s="50"/>
      <c r="H572" s="50"/>
    </row>
    <row r="573" spans="3:8" ht="13.2">
      <c r="C573" s="63"/>
      <c r="D573" s="50"/>
      <c r="E573" s="50"/>
      <c r="F573" s="50"/>
      <c r="G573" s="50"/>
      <c r="H573" s="50"/>
    </row>
    <row r="574" spans="3:8" ht="13.2">
      <c r="C574" s="63"/>
      <c r="D574" s="50"/>
      <c r="E574" s="50"/>
      <c r="F574" s="50"/>
      <c r="G574" s="50"/>
      <c r="H574" s="50"/>
    </row>
    <row r="575" spans="3:8" ht="13.2">
      <c r="C575" s="63"/>
      <c r="D575" s="50"/>
      <c r="E575" s="50"/>
      <c r="F575" s="50"/>
      <c r="G575" s="50"/>
      <c r="H575" s="50"/>
    </row>
    <row r="576" spans="3:8" ht="13.2">
      <c r="C576" s="63"/>
      <c r="D576" s="50"/>
      <c r="E576" s="50"/>
      <c r="F576" s="50"/>
      <c r="G576" s="50"/>
      <c r="H576" s="50"/>
    </row>
    <row r="577" spans="3:8" ht="13.2">
      <c r="C577" s="63"/>
      <c r="D577" s="50"/>
      <c r="E577" s="50"/>
      <c r="F577" s="50"/>
      <c r="G577" s="50"/>
      <c r="H577" s="50"/>
    </row>
    <row r="578" spans="3:8" ht="13.2">
      <c r="C578" s="63"/>
      <c r="D578" s="50"/>
      <c r="E578" s="50"/>
      <c r="F578" s="50"/>
      <c r="G578" s="50"/>
      <c r="H578" s="50"/>
    </row>
    <row r="579" spans="3:8" ht="13.2">
      <c r="C579" s="63"/>
      <c r="D579" s="50"/>
      <c r="E579" s="50"/>
      <c r="F579" s="50"/>
      <c r="G579" s="50"/>
      <c r="H579" s="50"/>
    </row>
    <row r="580" spans="3:8" ht="13.2">
      <c r="C580" s="63"/>
      <c r="D580" s="50"/>
      <c r="E580" s="50"/>
      <c r="F580" s="50"/>
      <c r="G580" s="50"/>
      <c r="H580" s="50"/>
    </row>
    <row r="581" spans="3:8" ht="13.2">
      <c r="C581" s="63"/>
      <c r="D581" s="50"/>
      <c r="E581" s="50"/>
      <c r="F581" s="50"/>
      <c r="G581" s="50"/>
      <c r="H581" s="50"/>
    </row>
    <row r="582" spans="3:8" ht="13.2">
      <c r="C582" s="63"/>
      <c r="D582" s="50"/>
      <c r="E582" s="50"/>
      <c r="F582" s="50"/>
      <c r="G582" s="50"/>
      <c r="H582" s="50"/>
    </row>
    <row r="583" spans="3:8" ht="13.2">
      <c r="C583" s="63"/>
      <c r="D583" s="50"/>
      <c r="E583" s="50"/>
      <c r="F583" s="50"/>
      <c r="G583" s="50"/>
      <c r="H583" s="50"/>
    </row>
    <row r="584" spans="3:8" ht="13.2">
      <c r="C584" s="63"/>
      <c r="D584" s="50"/>
      <c r="E584" s="50"/>
      <c r="F584" s="50"/>
      <c r="G584" s="50"/>
      <c r="H584" s="50"/>
    </row>
    <row r="585" spans="3:8" ht="13.2">
      <c r="C585" s="63"/>
      <c r="D585" s="50"/>
      <c r="E585" s="50"/>
      <c r="F585" s="50"/>
      <c r="G585" s="50"/>
      <c r="H585" s="50"/>
    </row>
    <row r="586" spans="3:8" ht="13.2">
      <c r="C586" s="63"/>
      <c r="D586" s="50"/>
      <c r="E586" s="50"/>
      <c r="F586" s="50"/>
      <c r="G586" s="50"/>
      <c r="H586" s="50"/>
    </row>
    <row r="587" spans="3:8" ht="13.2">
      <c r="C587" s="63"/>
      <c r="D587" s="50"/>
      <c r="E587" s="50"/>
      <c r="F587" s="50"/>
      <c r="G587" s="50"/>
      <c r="H587" s="50"/>
    </row>
    <row r="588" spans="3:8" ht="13.2">
      <c r="C588" s="63"/>
      <c r="D588" s="50"/>
      <c r="E588" s="50"/>
      <c r="F588" s="50"/>
      <c r="G588" s="50"/>
      <c r="H588" s="50"/>
    </row>
    <row r="589" spans="3:8" ht="13.2">
      <c r="C589" s="63"/>
      <c r="D589" s="50"/>
      <c r="E589" s="50"/>
      <c r="F589" s="50"/>
      <c r="G589" s="50"/>
      <c r="H589" s="50"/>
    </row>
    <row r="590" spans="3:8" ht="13.2">
      <c r="C590" s="63"/>
      <c r="D590" s="50"/>
      <c r="E590" s="50"/>
      <c r="F590" s="50"/>
      <c r="G590" s="50"/>
      <c r="H590" s="50"/>
    </row>
    <row r="591" spans="3:8" ht="13.2">
      <c r="C591" s="63"/>
      <c r="D591" s="50"/>
      <c r="E591" s="50"/>
      <c r="F591" s="50"/>
      <c r="G591" s="50"/>
      <c r="H591" s="50"/>
    </row>
    <row r="592" spans="3:8" ht="13.2">
      <c r="C592" s="63"/>
      <c r="D592" s="50"/>
      <c r="E592" s="50"/>
      <c r="F592" s="50"/>
      <c r="G592" s="50"/>
      <c r="H592" s="50"/>
    </row>
    <row r="593" spans="3:8" ht="13.2">
      <c r="C593" s="63"/>
      <c r="D593" s="50"/>
      <c r="E593" s="50"/>
      <c r="F593" s="50"/>
      <c r="G593" s="50"/>
      <c r="H593" s="50"/>
    </row>
    <row r="594" spans="3:8" ht="13.2">
      <c r="C594" s="63"/>
      <c r="D594" s="50"/>
      <c r="E594" s="50"/>
      <c r="F594" s="50"/>
      <c r="G594" s="50"/>
      <c r="H594" s="50"/>
    </row>
    <row r="595" spans="3:8" ht="13.2">
      <c r="C595" s="63"/>
      <c r="D595" s="50"/>
      <c r="E595" s="50"/>
      <c r="F595" s="50"/>
      <c r="G595" s="50"/>
      <c r="H595" s="50"/>
    </row>
    <row r="596" spans="3:8" ht="13.2">
      <c r="C596" s="63"/>
      <c r="D596" s="50"/>
      <c r="E596" s="50"/>
      <c r="F596" s="50"/>
      <c r="G596" s="50"/>
      <c r="H596" s="50"/>
    </row>
    <row r="597" spans="3:8" ht="13.2">
      <c r="C597" s="63"/>
      <c r="D597" s="50"/>
      <c r="E597" s="50"/>
      <c r="F597" s="50"/>
      <c r="G597" s="50"/>
      <c r="H597" s="50"/>
    </row>
    <row r="598" spans="3:8" ht="13.2">
      <c r="C598" s="63"/>
      <c r="D598" s="50"/>
      <c r="E598" s="50"/>
      <c r="F598" s="50"/>
      <c r="G598" s="50"/>
      <c r="H598" s="50"/>
    </row>
    <row r="599" spans="3:8" ht="13.2">
      <c r="C599" s="63"/>
      <c r="D599" s="50"/>
      <c r="E599" s="50"/>
      <c r="F599" s="50"/>
      <c r="G599" s="50"/>
      <c r="H599" s="50"/>
    </row>
    <row r="600" spans="3:8" ht="13.2">
      <c r="C600" s="63"/>
      <c r="D600" s="50"/>
      <c r="E600" s="50"/>
      <c r="F600" s="50"/>
      <c r="G600" s="50"/>
      <c r="H600" s="50"/>
    </row>
    <row r="601" spans="3:8" ht="13.2">
      <c r="C601" s="63"/>
      <c r="D601" s="50"/>
      <c r="E601" s="50"/>
      <c r="F601" s="50"/>
      <c r="G601" s="50"/>
      <c r="H601" s="50"/>
    </row>
    <row r="602" spans="3:8" ht="13.2">
      <c r="C602" s="63"/>
      <c r="D602" s="50"/>
      <c r="E602" s="50"/>
      <c r="F602" s="50"/>
      <c r="G602" s="50"/>
      <c r="H602" s="50"/>
    </row>
    <row r="603" spans="3:8" ht="13.2">
      <c r="C603" s="63"/>
      <c r="D603" s="50"/>
      <c r="E603" s="50"/>
      <c r="F603" s="50"/>
      <c r="G603" s="50"/>
      <c r="H603" s="50"/>
    </row>
    <row r="604" spans="3:8" ht="13.2">
      <c r="C604" s="63"/>
      <c r="D604" s="50"/>
      <c r="E604" s="50"/>
      <c r="F604" s="50"/>
      <c r="G604" s="50"/>
      <c r="H604" s="50"/>
    </row>
    <row r="605" spans="3:8" ht="13.2">
      <c r="C605" s="63"/>
      <c r="D605" s="50"/>
      <c r="E605" s="50"/>
      <c r="F605" s="50"/>
      <c r="G605" s="50"/>
      <c r="H605" s="50"/>
    </row>
    <row r="606" spans="3:8" ht="13.2">
      <c r="C606" s="63"/>
      <c r="D606" s="50"/>
      <c r="E606" s="50"/>
      <c r="F606" s="50"/>
      <c r="G606" s="50"/>
      <c r="H606" s="50"/>
    </row>
    <row r="607" spans="3:8" ht="13.2">
      <c r="C607" s="63"/>
      <c r="D607" s="50"/>
      <c r="E607" s="50"/>
      <c r="F607" s="50"/>
      <c r="G607" s="50"/>
      <c r="H607" s="50"/>
    </row>
    <row r="608" spans="3:8" ht="13.2">
      <c r="C608" s="63"/>
      <c r="D608" s="50"/>
      <c r="E608" s="50"/>
      <c r="F608" s="50"/>
      <c r="G608" s="50"/>
      <c r="H608" s="50"/>
    </row>
    <row r="609" spans="3:8" ht="13.2">
      <c r="C609" s="63"/>
      <c r="D609" s="50"/>
      <c r="E609" s="50"/>
      <c r="F609" s="50"/>
      <c r="G609" s="50"/>
      <c r="H609" s="50"/>
    </row>
    <row r="610" spans="3:8" ht="13.2">
      <c r="C610" s="63"/>
      <c r="D610" s="50"/>
      <c r="E610" s="50"/>
      <c r="F610" s="50"/>
      <c r="G610" s="50"/>
      <c r="H610" s="50"/>
    </row>
    <row r="611" spans="3:8" ht="13.2">
      <c r="C611" s="63"/>
      <c r="D611" s="50"/>
      <c r="E611" s="50"/>
      <c r="F611" s="50"/>
      <c r="G611" s="50"/>
      <c r="H611" s="50"/>
    </row>
    <row r="612" spans="3:8" ht="13.2">
      <c r="C612" s="63"/>
      <c r="D612" s="50"/>
      <c r="E612" s="50"/>
      <c r="F612" s="50"/>
      <c r="G612" s="50"/>
      <c r="H612" s="50"/>
    </row>
    <row r="613" spans="3:8" ht="13.2">
      <c r="C613" s="63"/>
      <c r="D613" s="50"/>
      <c r="E613" s="50"/>
      <c r="F613" s="50"/>
      <c r="G613" s="50"/>
      <c r="H613" s="50"/>
    </row>
    <row r="614" spans="3:8" ht="13.2">
      <c r="C614" s="63"/>
      <c r="D614" s="50"/>
      <c r="E614" s="50"/>
      <c r="F614" s="50"/>
      <c r="G614" s="50"/>
      <c r="H614" s="50"/>
    </row>
    <row r="615" spans="3:8" ht="13.2">
      <c r="C615" s="63"/>
      <c r="D615" s="50"/>
      <c r="E615" s="50"/>
      <c r="F615" s="50"/>
      <c r="G615" s="50"/>
      <c r="H615" s="50"/>
    </row>
    <row r="616" spans="3:8" ht="13.2">
      <c r="C616" s="63"/>
      <c r="D616" s="50"/>
      <c r="E616" s="50"/>
      <c r="F616" s="50"/>
      <c r="G616" s="50"/>
      <c r="H616" s="50"/>
    </row>
    <row r="617" spans="3:8" ht="13.2">
      <c r="C617" s="63"/>
      <c r="D617" s="50"/>
      <c r="E617" s="50"/>
      <c r="F617" s="50"/>
      <c r="G617" s="50"/>
      <c r="H617" s="50"/>
    </row>
    <row r="618" spans="3:8" ht="13.2">
      <c r="C618" s="63"/>
      <c r="D618" s="50"/>
      <c r="E618" s="50"/>
      <c r="F618" s="50"/>
      <c r="G618" s="50"/>
      <c r="H618" s="50"/>
    </row>
    <row r="619" spans="3:8" ht="13.2">
      <c r="C619" s="63"/>
      <c r="D619" s="50"/>
      <c r="E619" s="50"/>
      <c r="F619" s="50"/>
      <c r="G619" s="50"/>
      <c r="H619" s="50"/>
    </row>
    <row r="620" spans="3:8" ht="13.2">
      <c r="C620" s="63"/>
      <c r="D620" s="50"/>
      <c r="E620" s="50"/>
      <c r="F620" s="50"/>
      <c r="G620" s="50"/>
      <c r="H620" s="50"/>
    </row>
    <row r="621" spans="3:8" ht="13.2">
      <c r="C621" s="63"/>
      <c r="D621" s="50"/>
      <c r="E621" s="50"/>
      <c r="F621" s="50"/>
      <c r="G621" s="50"/>
      <c r="H621" s="50"/>
    </row>
    <row r="622" spans="3:8" ht="13.2">
      <c r="C622" s="63"/>
      <c r="D622" s="50"/>
      <c r="E622" s="50"/>
      <c r="F622" s="50"/>
      <c r="G622" s="50"/>
      <c r="H622" s="50"/>
    </row>
    <row r="623" spans="3:8" ht="13.2">
      <c r="C623" s="63"/>
      <c r="D623" s="50"/>
      <c r="E623" s="50"/>
      <c r="F623" s="50"/>
      <c r="G623" s="50"/>
      <c r="H623" s="50"/>
    </row>
    <row r="624" spans="3:8" ht="13.2">
      <c r="C624" s="63"/>
      <c r="D624" s="50"/>
      <c r="E624" s="50"/>
      <c r="F624" s="50"/>
      <c r="G624" s="50"/>
      <c r="H624" s="50"/>
    </row>
    <row r="625" spans="3:8" ht="13.2">
      <c r="C625" s="63"/>
      <c r="D625" s="50"/>
      <c r="E625" s="50"/>
      <c r="F625" s="50"/>
      <c r="G625" s="50"/>
      <c r="H625" s="50"/>
    </row>
    <row r="626" spans="3:8" ht="13.2">
      <c r="C626" s="63"/>
      <c r="D626" s="50"/>
      <c r="E626" s="50"/>
      <c r="F626" s="50"/>
      <c r="G626" s="50"/>
      <c r="H626" s="50"/>
    </row>
    <row r="627" spans="3:8" ht="13.2">
      <c r="C627" s="63"/>
      <c r="D627" s="50"/>
      <c r="E627" s="50"/>
      <c r="F627" s="50"/>
      <c r="G627" s="50"/>
      <c r="H627" s="50"/>
    </row>
    <row r="628" spans="3:8" ht="13.2">
      <c r="C628" s="63"/>
      <c r="D628" s="50"/>
      <c r="E628" s="50"/>
      <c r="F628" s="50"/>
      <c r="G628" s="50"/>
      <c r="H628" s="50"/>
    </row>
    <row r="629" spans="3:8" ht="13.2">
      <c r="C629" s="63"/>
      <c r="D629" s="50"/>
      <c r="E629" s="50"/>
      <c r="F629" s="50"/>
      <c r="G629" s="50"/>
      <c r="H629" s="50"/>
    </row>
    <row r="630" spans="3:8" ht="13.2">
      <c r="C630" s="63"/>
      <c r="D630" s="50"/>
      <c r="E630" s="50"/>
      <c r="F630" s="50"/>
      <c r="G630" s="50"/>
      <c r="H630" s="50"/>
    </row>
    <row r="631" spans="3:8" ht="13.2">
      <c r="C631" s="63"/>
      <c r="D631" s="50"/>
      <c r="E631" s="50"/>
      <c r="F631" s="50"/>
      <c r="G631" s="50"/>
      <c r="H631" s="50"/>
    </row>
    <row r="632" spans="3:8" ht="13.2">
      <c r="C632" s="63"/>
      <c r="D632" s="50"/>
      <c r="E632" s="50"/>
      <c r="F632" s="50"/>
      <c r="G632" s="50"/>
      <c r="H632" s="50"/>
    </row>
    <row r="633" spans="3:8" ht="13.2">
      <c r="C633" s="63"/>
      <c r="D633" s="50"/>
      <c r="E633" s="50"/>
      <c r="F633" s="50"/>
      <c r="G633" s="50"/>
      <c r="H633" s="50"/>
    </row>
    <row r="634" spans="3:8" ht="13.2">
      <c r="C634" s="63"/>
      <c r="D634" s="50"/>
      <c r="E634" s="50"/>
      <c r="F634" s="50"/>
      <c r="G634" s="50"/>
      <c r="H634" s="50"/>
    </row>
    <row r="635" spans="3:8" ht="13.2">
      <c r="C635" s="63"/>
      <c r="D635" s="50"/>
      <c r="E635" s="50"/>
      <c r="F635" s="50"/>
      <c r="G635" s="50"/>
      <c r="H635" s="50"/>
    </row>
    <row r="636" spans="3:8" ht="13.2">
      <c r="C636" s="63"/>
      <c r="D636" s="50"/>
      <c r="E636" s="50"/>
      <c r="F636" s="50"/>
      <c r="G636" s="50"/>
      <c r="H636" s="50"/>
    </row>
    <row r="637" spans="3:8" ht="13.2">
      <c r="C637" s="63"/>
      <c r="D637" s="50"/>
      <c r="E637" s="50"/>
      <c r="F637" s="50"/>
      <c r="G637" s="50"/>
      <c r="H637" s="50"/>
    </row>
    <row r="638" spans="3:8" ht="13.2">
      <c r="C638" s="63"/>
      <c r="D638" s="50"/>
      <c r="E638" s="50"/>
      <c r="F638" s="50"/>
      <c r="G638" s="50"/>
      <c r="H638" s="50"/>
    </row>
    <row r="639" spans="3:8" ht="13.2">
      <c r="C639" s="63"/>
      <c r="D639" s="50"/>
      <c r="E639" s="50"/>
      <c r="F639" s="50"/>
      <c r="G639" s="50"/>
      <c r="H639" s="50"/>
    </row>
    <row r="640" spans="3:8" ht="13.2">
      <c r="C640" s="63"/>
      <c r="D640" s="50"/>
      <c r="E640" s="50"/>
      <c r="F640" s="50"/>
      <c r="G640" s="50"/>
      <c r="H640" s="50"/>
    </row>
    <row r="641" spans="3:8" ht="13.2">
      <c r="C641" s="63"/>
      <c r="D641" s="50"/>
      <c r="E641" s="50"/>
      <c r="F641" s="50"/>
      <c r="G641" s="50"/>
      <c r="H641" s="50"/>
    </row>
    <row r="642" spans="3:8" ht="13.2">
      <c r="C642" s="63"/>
      <c r="D642" s="50"/>
      <c r="E642" s="50"/>
      <c r="F642" s="50"/>
      <c r="G642" s="50"/>
      <c r="H642" s="50"/>
    </row>
    <row r="643" spans="3:8" ht="13.2">
      <c r="C643" s="63"/>
      <c r="D643" s="50"/>
      <c r="E643" s="50"/>
      <c r="F643" s="50"/>
      <c r="G643" s="50"/>
      <c r="H643" s="50"/>
    </row>
    <row r="644" spans="3:8" ht="13.2">
      <c r="C644" s="63"/>
      <c r="D644" s="50"/>
      <c r="E644" s="50"/>
      <c r="F644" s="50"/>
      <c r="G644" s="50"/>
      <c r="H644" s="50"/>
    </row>
    <row r="645" spans="3:8" ht="13.2">
      <c r="C645" s="63"/>
      <c r="D645" s="50"/>
      <c r="E645" s="50"/>
      <c r="F645" s="50"/>
      <c r="G645" s="50"/>
      <c r="H645" s="50"/>
    </row>
    <row r="646" spans="3:8" ht="13.2">
      <c r="C646" s="63"/>
      <c r="D646" s="50"/>
      <c r="E646" s="50"/>
      <c r="F646" s="50"/>
      <c r="G646" s="50"/>
      <c r="H646" s="50"/>
    </row>
    <row r="647" spans="3:8" ht="13.2">
      <c r="C647" s="63"/>
      <c r="D647" s="50"/>
      <c r="E647" s="50"/>
      <c r="F647" s="50"/>
      <c r="G647" s="50"/>
      <c r="H647" s="50"/>
    </row>
    <row r="648" spans="3:8" ht="13.2">
      <c r="C648" s="63"/>
      <c r="D648" s="50"/>
      <c r="E648" s="50"/>
      <c r="F648" s="50"/>
      <c r="G648" s="50"/>
      <c r="H648" s="50"/>
    </row>
    <row r="649" spans="3:8" ht="13.2">
      <c r="C649" s="63"/>
      <c r="D649" s="50"/>
      <c r="E649" s="50"/>
      <c r="F649" s="50"/>
      <c r="G649" s="50"/>
      <c r="H649" s="50"/>
    </row>
    <row r="650" spans="3:8" ht="13.2">
      <c r="C650" s="63"/>
      <c r="D650" s="50"/>
      <c r="E650" s="50"/>
      <c r="F650" s="50"/>
      <c r="G650" s="50"/>
      <c r="H650" s="50"/>
    </row>
    <row r="651" spans="3:8" ht="13.2">
      <c r="C651" s="63"/>
      <c r="D651" s="50"/>
      <c r="E651" s="50"/>
      <c r="F651" s="50"/>
      <c r="G651" s="50"/>
      <c r="H651" s="50"/>
    </row>
    <row r="652" spans="3:8" ht="13.2">
      <c r="C652" s="63"/>
      <c r="D652" s="50"/>
      <c r="E652" s="50"/>
      <c r="F652" s="50"/>
      <c r="G652" s="50"/>
      <c r="H652" s="50"/>
    </row>
    <row r="653" spans="3:8" ht="13.2">
      <c r="C653" s="63"/>
      <c r="D653" s="50"/>
      <c r="E653" s="50"/>
      <c r="F653" s="50"/>
      <c r="G653" s="50"/>
      <c r="H653" s="50"/>
    </row>
    <row r="654" spans="3:8" ht="13.2">
      <c r="C654" s="63"/>
      <c r="D654" s="50"/>
      <c r="E654" s="50"/>
      <c r="F654" s="50"/>
      <c r="G654" s="50"/>
      <c r="H654" s="50"/>
    </row>
    <row r="655" spans="3:8" ht="13.2">
      <c r="C655" s="63"/>
      <c r="D655" s="50"/>
      <c r="E655" s="50"/>
      <c r="F655" s="50"/>
      <c r="G655" s="50"/>
      <c r="H655" s="50"/>
    </row>
    <row r="656" spans="3:8" ht="13.2">
      <c r="C656" s="63"/>
      <c r="D656" s="50"/>
      <c r="E656" s="50"/>
      <c r="F656" s="50"/>
      <c r="G656" s="50"/>
      <c r="H656" s="50"/>
    </row>
    <row r="657" spans="3:8" ht="13.2">
      <c r="C657" s="63"/>
      <c r="D657" s="50"/>
      <c r="E657" s="50"/>
      <c r="F657" s="50"/>
      <c r="G657" s="50"/>
      <c r="H657" s="50"/>
    </row>
    <row r="658" spans="3:8" ht="13.2">
      <c r="C658" s="63"/>
      <c r="D658" s="50"/>
      <c r="E658" s="50"/>
      <c r="F658" s="50"/>
      <c r="G658" s="50"/>
      <c r="H658" s="50"/>
    </row>
    <row r="659" spans="3:8" ht="13.2">
      <c r="C659" s="63"/>
      <c r="D659" s="50"/>
      <c r="E659" s="50"/>
      <c r="F659" s="50"/>
      <c r="G659" s="50"/>
      <c r="H659" s="50"/>
    </row>
    <row r="660" spans="3:8" ht="13.2">
      <c r="C660" s="63"/>
      <c r="D660" s="50"/>
      <c r="E660" s="50"/>
      <c r="F660" s="50"/>
      <c r="G660" s="50"/>
      <c r="H660" s="50"/>
    </row>
    <row r="661" spans="3:8" ht="13.2">
      <c r="C661" s="63"/>
      <c r="D661" s="50"/>
      <c r="E661" s="50"/>
      <c r="F661" s="50"/>
      <c r="G661" s="50"/>
      <c r="H661" s="50"/>
    </row>
    <row r="662" spans="3:8" ht="13.2">
      <c r="C662" s="63"/>
      <c r="D662" s="50"/>
      <c r="E662" s="50"/>
      <c r="F662" s="50"/>
      <c r="G662" s="50"/>
      <c r="H662" s="50"/>
    </row>
    <row r="663" spans="3:8" ht="13.2">
      <c r="C663" s="63"/>
      <c r="D663" s="50"/>
      <c r="E663" s="50"/>
      <c r="F663" s="50"/>
      <c r="G663" s="50"/>
      <c r="H663" s="50"/>
    </row>
    <row r="664" spans="3:8" ht="13.2">
      <c r="C664" s="63"/>
      <c r="D664" s="50"/>
      <c r="E664" s="50"/>
      <c r="F664" s="50"/>
      <c r="G664" s="50"/>
      <c r="H664" s="50"/>
    </row>
    <row r="665" spans="3:8" ht="13.2">
      <c r="C665" s="63"/>
      <c r="D665" s="50"/>
      <c r="E665" s="50"/>
      <c r="F665" s="50"/>
      <c r="G665" s="50"/>
      <c r="H665" s="50"/>
    </row>
    <row r="666" spans="3:8" ht="13.2">
      <c r="C666" s="63"/>
      <c r="D666" s="50"/>
      <c r="E666" s="50"/>
      <c r="F666" s="50"/>
      <c r="G666" s="50"/>
      <c r="H666" s="50"/>
    </row>
    <row r="667" spans="3:8" ht="13.2">
      <c r="C667" s="63"/>
      <c r="D667" s="50"/>
      <c r="E667" s="50"/>
      <c r="F667" s="50"/>
      <c r="G667" s="50"/>
      <c r="H667" s="50"/>
    </row>
    <row r="668" spans="3:8" ht="13.2">
      <c r="C668" s="63"/>
      <c r="D668" s="50"/>
      <c r="E668" s="50"/>
      <c r="F668" s="50"/>
      <c r="G668" s="50"/>
      <c r="H668" s="50"/>
    </row>
    <row r="669" spans="3:8" ht="13.2">
      <c r="C669" s="63"/>
      <c r="D669" s="50"/>
      <c r="E669" s="50"/>
      <c r="F669" s="50"/>
      <c r="G669" s="50"/>
      <c r="H669" s="50"/>
    </row>
    <row r="670" spans="3:8" ht="13.2">
      <c r="C670" s="63"/>
      <c r="D670" s="50"/>
      <c r="E670" s="50"/>
      <c r="F670" s="50"/>
      <c r="G670" s="50"/>
      <c r="H670" s="50"/>
    </row>
    <row r="671" spans="3:8" ht="13.2">
      <c r="C671" s="63"/>
      <c r="D671" s="50"/>
      <c r="E671" s="50"/>
      <c r="F671" s="50"/>
      <c r="G671" s="50"/>
      <c r="H671" s="50"/>
    </row>
    <row r="672" spans="3:8" ht="13.2">
      <c r="C672" s="63"/>
      <c r="D672" s="50"/>
      <c r="E672" s="50"/>
      <c r="F672" s="50"/>
      <c r="G672" s="50"/>
      <c r="H672" s="50"/>
    </row>
    <row r="673" spans="3:8" ht="13.2">
      <c r="C673" s="63"/>
      <c r="D673" s="50"/>
      <c r="E673" s="50"/>
      <c r="F673" s="50"/>
      <c r="G673" s="50"/>
      <c r="H673" s="50"/>
    </row>
    <row r="674" spans="3:8" ht="13.2">
      <c r="C674" s="63"/>
      <c r="D674" s="50"/>
      <c r="E674" s="50"/>
      <c r="F674" s="50"/>
      <c r="G674" s="50"/>
      <c r="H674" s="50"/>
    </row>
    <row r="675" spans="3:8" ht="13.2">
      <c r="C675" s="63"/>
      <c r="D675" s="50"/>
      <c r="E675" s="50"/>
      <c r="F675" s="50"/>
      <c r="G675" s="50"/>
      <c r="H675" s="50"/>
    </row>
    <row r="676" spans="3:8" ht="13.2">
      <c r="C676" s="63"/>
      <c r="D676" s="50"/>
      <c r="E676" s="50"/>
      <c r="F676" s="50"/>
      <c r="G676" s="50"/>
      <c r="H676" s="50"/>
    </row>
    <row r="677" spans="3:8" ht="13.2">
      <c r="C677" s="63"/>
      <c r="D677" s="50"/>
      <c r="E677" s="50"/>
      <c r="F677" s="50"/>
      <c r="G677" s="50"/>
      <c r="H677" s="50"/>
    </row>
    <row r="678" spans="3:8" ht="13.2">
      <c r="C678" s="63"/>
      <c r="D678" s="50"/>
      <c r="E678" s="50"/>
      <c r="F678" s="50"/>
      <c r="G678" s="50"/>
      <c r="H678" s="50"/>
    </row>
    <row r="679" spans="3:8" ht="13.2">
      <c r="C679" s="63"/>
      <c r="D679" s="50"/>
      <c r="E679" s="50"/>
      <c r="F679" s="50"/>
      <c r="G679" s="50"/>
      <c r="H679" s="50"/>
    </row>
    <row r="680" spans="3:8" ht="13.2">
      <c r="C680" s="63"/>
      <c r="D680" s="50"/>
      <c r="E680" s="50"/>
      <c r="F680" s="50"/>
      <c r="G680" s="50"/>
      <c r="H680" s="50"/>
    </row>
    <row r="681" spans="3:8" ht="13.2">
      <c r="C681" s="63"/>
      <c r="D681" s="50"/>
      <c r="E681" s="50"/>
      <c r="F681" s="50"/>
      <c r="G681" s="50"/>
      <c r="H681" s="50"/>
    </row>
    <row r="682" spans="3:8" ht="13.2">
      <c r="C682" s="63"/>
      <c r="D682" s="50"/>
      <c r="E682" s="50"/>
      <c r="F682" s="50"/>
      <c r="G682" s="50"/>
      <c r="H682" s="50"/>
    </row>
    <row r="683" spans="3:8" ht="13.2">
      <c r="C683" s="63"/>
      <c r="D683" s="50"/>
      <c r="E683" s="50"/>
      <c r="F683" s="50"/>
      <c r="G683" s="50"/>
      <c r="H683" s="50"/>
    </row>
    <row r="684" spans="3:8" ht="13.2">
      <c r="C684" s="63"/>
      <c r="D684" s="50"/>
      <c r="E684" s="50"/>
      <c r="F684" s="50"/>
      <c r="G684" s="50"/>
      <c r="H684" s="50"/>
    </row>
    <row r="685" spans="3:8" ht="13.2">
      <c r="C685" s="63"/>
      <c r="D685" s="50"/>
      <c r="E685" s="50"/>
      <c r="F685" s="50"/>
      <c r="G685" s="50"/>
      <c r="H685" s="50"/>
    </row>
    <row r="686" spans="3:8" ht="13.2">
      <c r="C686" s="63"/>
      <c r="D686" s="50"/>
      <c r="E686" s="50"/>
      <c r="F686" s="50"/>
      <c r="G686" s="50"/>
      <c r="H686" s="50"/>
    </row>
    <row r="687" spans="3:8" ht="13.2">
      <c r="C687" s="63"/>
      <c r="D687" s="50"/>
      <c r="E687" s="50"/>
      <c r="F687" s="50"/>
      <c r="G687" s="50"/>
      <c r="H687" s="50"/>
    </row>
    <row r="688" spans="3:8" ht="13.2">
      <c r="C688" s="63"/>
      <c r="D688" s="50"/>
      <c r="E688" s="50"/>
      <c r="F688" s="50"/>
      <c r="G688" s="50"/>
      <c r="H688" s="50"/>
    </row>
    <row r="689" spans="3:8" ht="13.2">
      <c r="C689" s="63"/>
      <c r="D689" s="50"/>
      <c r="E689" s="50"/>
      <c r="F689" s="50"/>
      <c r="G689" s="50"/>
      <c r="H689" s="50"/>
    </row>
    <row r="690" spans="3:8" ht="13.2">
      <c r="C690" s="63"/>
      <c r="D690" s="50"/>
      <c r="E690" s="50"/>
      <c r="F690" s="50"/>
      <c r="G690" s="50"/>
      <c r="H690" s="50"/>
    </row>
    <row r="691" spans="3:8" ht="13.2">
      <c r="C691" s="63"/>
      <c r="D691" s="50"/>
      <c r="E691" s="50"/>
      <c r="F691" s="50"/>
      <c r="G691" s="50"/>
      <c r="H691" s="50"/>
    </row>
    <row r="692" spans="3:8" ht="13.2">
      <c r="C692" s="63"/>
      <c r="D692" s="50"/>
      <c r="E692" s="50"/>
      <c r="F692" s="50"/>
      <c r="G692" s="50"/>
      <c r="H692" s="50"/>
    </row>
    <row r="693" spans="3:8" ht="13.2">
      <c r="C693" s="63"/>
      <c r="D693" s="50"/>
      <c r="E693" s="50"/>
      <c r="F693" s="50"/>
      <c r="G693" s="50"/>
      <c r="H693" s="50"/>
    </row>
    <row r="694" spans="3:8" ht="13.2">
      <c r="C694" s="63"/>
      <c r="D694" s="50"/>
      <c r="E694" s="50"/>
      <c r="F694" s="50"/>
      <c r="G694" s="50"/>
      <c r="H694" s="50"/>
    </row>
    <row r="695" spans="3:8" ht="13.2">
      <c r="C695" s="63"/>
      <c r="D695" s="50"/>
      <c r="E695" s="50"/>
      <c r="F695" s="50"/>
      <c r="G695" s="50"/>
      <c r="H695" s="50"/>
    </row>
    <row r="696" spans="3:8" ht="13.2">
      <c r="C696" s="63"/>
      <c r="D696" s="50"/>
      <c r="E696" s="50"/>
      <c r="F696" s="50"/>
      <c r="G696" s="50"/>
      <c r="H696" s="50"/>
    </row>
    <row r="697" spans="3:8" ht="13.2">
      <c r="C697" s="63"/>
      <c r="D697" s="50"/>
      <c r="E697" s="50"/>
      <c r="F697" s="50"/>
      <c r="G697" s="50"/>
      <c r="H697" s="50"/>
    </row>
    <row r="698" spans="3:8" ht="13.2">
      <c r="C698" s="63"/>
      <c r="D698" s="50"/>
      <c r="E698" s="50"/>
      <c r="F698" s="50"/>
      <c r="G698" s="50"/>
      <c r="H698" s="50"/>
    </row>
    <row r="699" spans="3:8" ht="13.2">
      <c r="C699" s="63"/>
      <c r="D699" s="50"/>
      <c r="E699" s="50"/>
      <c r="F699" s="50"/>
      <c r="G699" s="50"/>
      <c r="H699" s="50"/>
    </row>
    <row r="700" spans="3:8" ht="13.2">
      <c r="C700" s="63"/>
      <c r="D700" s="50"/>
      <c r="E700" s="50"/>
      <c r="F700" s="50"/>
      <c r="G700" s="50"/>
      <c r="H700" s="50"/>
    </row>
    <row r="701" spans="3:8" ht="13.2">
      <c r="C701" s="63"/>
      <c r="D701" s="50"/>
      <c r="E701" s="50"/>
      <c r="F701" s="50"/>
      <c r="G701" s="50"/>
      <c r="H701" s="50"/>
    </row>
    <row r="702" spans="3:8" ht="13.2">
      <c r="C702" s="63"/>
      <c r="D702" s="50"/>
      <c r="E702" s="50"/>
      <c r="F702" s="50"/>
      <c r="G702" s="50"/>
      <c r="H702" s="50"/>
    </row>
    <row r="703" spans="3:8" ht="13.2">
      <c r="C703" s="63"/>
      <c r="D703" s="50"/>
      <c r="E703" s="50"/>
      <c r="F703" s="50"/>
      <c r="G703" s="50"/>
      <c r="H703" s="50"/>
    </row>
    <row r="704" spans="3:8" ht="13.2">
      <c r="C704" s="63"/>
      <c r="D704" s="50"/>
      <c r="E704" s="50"/>
      <c r="F704" s="50"/>
      <c r="G704" s="50"/>
      <c r="H704" s="50"/>
    </row>
    <row r="705" spans="3:8" ht="13.2">
      <c r="C705" s="63"/>
      <c r="D705" s="50"/>
      <c r="E705" s="50"/>
      <c r="F705" s="50"/>
      <c r="G705" s="50"/>
      <c r="H705" s="50"/>
    </row>
    <row r="706" spans="3:8" ht="13.2">
      <c r="C706" s="63"/>
      <c r="D706" s="50"/>
      <c r="E706" s="50"/>
      <c r="F706" s="50"/>
      <c r="G706" s="50"/>
      <c r="H706" s="50"/>
    </row>
    <row r="707" spans="3:8" ht="13.2">
      <c r="C707" s="63"/>
      <c r="D707" s="50"/>
      <c r="E707" s="50"/>
      <c r="F707" s="50"/>
      <c r="G707" s="50"/>
      <c r="H707" s="50"/>
    </row>
    <row r="708" spans="3:8" ht="13.2">
      <c r="C708" s="63"/>
      <c r="D708" s="50"/>
      <c r="E708" s="50"/>
      <c r="F708" s="50"/>
      <c r="G708" s="50"/>
      <c r="H708" s="50"/>
    </row>
    <row r="709" spans="3:8" ht="13.2">
      <c r="C709" s="63"/>
      <c r="D709" s="50"/>
      <c r="E709" s="50"/>
      <c r="F709" s="50"/>
      <c r="G709" s="50"/>
      <c r="H709" s="50"/>
    </row>
    <row r="710" spans="3:8" ht="13.2">
      <c r="C710" s="63"/>
      <c r="D710" s="50"/>
      <c r="E710" s="50"/>
      <c r="F710" s="50"/>
      <c r="G710" s="50"/>
      <c r="H710" s="50"/>
    </row>
    <row r="711" spans="3:8" ht="13.2">
      <c r="C711" s="63"/>
      <c r="D711" s="50"/>
      <c r="E711" s="50"/>
      <c r="F711" s="50"/>
      <c r="G711" s="50"/>
      <c r="H711" s="50"/>
    </row>
    <row r="712" spans="3:8" ht="13.2">
      <c r="C712" s="63"/>
      <c r="D712" s="50"/>
      <c r="E712" s="50"/>
      <c r="F712" s="50"/>
      <c r="G712" s="50"/>
      <c r="H712" s="50"/>
    </row>
    <row r="713" spans="3:8" ht="13.2">
      <c r="C713" s="63"/>
      <c r="D713" s="50"/>
      <c r="E713" s="50"/>
      <c r="F713" s="50"/>
      <c r="G713" s="50"/>
      <c r="H713" s="50"/>
    </row>
    <row r="714" spans="3:8" ht="13.2">
      <c r="C714" s="63"/>
      <c r="D714" s="50"/>
      <c r="E714" s="50"/>
      <c r="F714" s="50"/>
      <c r="G714" s="50"/>
      <c r="H714" s="50"/>
    </row>
    <row r="715" spans="3:8" ht="13.2">
      <c r="C715" s="63"/>
      <c r="D715" s="50"/>
      <c r="E715" s="50"/>
      <c r="F715" s="50"/>
      <c r="G715" s="50"/>
      <c r="H715" s="50"/>
    </row>
    <row r="716" spans="3:8" ht="13.2">
      <c r="C716" s="63"/>
      <c r="D716" s="50"/>
      <c r="E716" s="50"/>
      <c r="F716" s="50"/>
      <c r="G716" s="50"/>
      <c r="H716" s="50"/>
    </row>
    <row r="717" spans="3:8" ht="13.2">
      <c r="C717" s="63"/>
      <c r="D717" s="50"/>
      <c r="E717" s="50"/>
      <c r="F717" s="50"/>
      <c r="G717" s="50"/>
      <c r="H717" s="50"/>
    </row>
    <row r="718" spans="3:8" ht="13.2">
      <c r="C718" s="63"/>
      <c r="D718" s="50"/>
      <c r="E718" s="50"/>
      <c r="F718" s="50"/>
      <c r="G718" s="50"/>
      <c r="H718" s="50"/>
    </row>
    <row r="719" spans="3:8" ht="13.2">
      <c r="C719" s="63"/>
      <c r="D719" s="50"/>
      <c r="E719" s="50"/>
      <c r="F719" s="50"/>
      <c r="G719" s="50"/>
      <c r="H719" s="50"/>
    </row>
    <row r="720" spans="3:8" ht="13.2">
      <c r="C720" s="63"/>
      <c r="D720" s="50"/>
      <c r="E720" s="50"/>
      <c r="F720" s="50"/>
      <c r="G720" s="50"/>
      <c r="H720" s="50"/>
    </row>
    <row r="721" spans="3:8" ht="13.2">
      <c r="C721" s="63"/>
      <c r="D721" s="50"/>
      <c r="E721" s="50"/>
      <c r="F721" s="50"/>
      <c r="G721" s="50"/>
      <c r="H721" s="50"/>
    </row>
    <row r="722" spans="3:8" ht="13.2">
      <c r="C722" s="63"/>
      <c r="D722" s="50"/>
      <c r="E722" s="50"/>
      <c r="F722" s="50"/>
      <c r="G722" s="50"/>
      <c r="H722" s="50"/>
    </row>
    <row r="723" spans="3:8" ht="13.2">
      <c r="C723" s="63"/>
      <c r="D723" s="50"/>
      <c r="E723" s="50"/>
      <c r="F723" s="50"/>
      <c r="G723" s="50"/>
      <c r="H723" s="50"/>
    </row>
    <row r="724" spans="3:8" ht="13.2">
      <c r="C724" s="63"/>
      <c r="D724" s="50"/>
      <c r="E724" s="50"/>
      <c r="F724" s="50"/>
      <c r="G724" s="50"/>
      <c r="H724" s="50"/>
    </row>
    <row r="725" spans="3:8" ht="13.2">
      <c r="C725" s="63"/>
      <c r="D725" s="50"/>
      <c r="E725" s="50"/>
      <c r="F725" s="50"/>
      <c r="G725" s="50"/>
      <c r="H725" s="50"/>
    </row>
    <row r="726" spans="3:8" ht="13.2">
      <c r="C726" s="63"/>
      <c r="D726" s="50"/>
      <c r="E726" s="50"/>
      <c r="F726" s="50"/>
      <c r="G726" s="50"/>
      <c r="H726" s="50"/>
    </row>
    <row r="727" spans="3:8" ht="13.2">
      <c r="C727" s="63"/>
      <c r="D727" s="50"/>
      <c r="E727" s="50"/>
      <c r="F727" s="50"/>
      <c r="G727" s="50"/>
      <c r="H727" s="50"/>
    </row>
    <row r="728" spans="3:8" ht="13.2">
      <c r="C728" s="63"/>
      <c r="D728" s="50"/>
      <c r="E728" s="50"/>
      <c r="F728" s="50"/>
      <c r="G728" s="50"/>
      <c r="H728" s="50"/>
    </row>
    <row r="729" spans="3:8" ht="13.2">
      <c r="C729" s="63"/>
      <c r="D729" s="50"/>
      <c r="E729" s="50"/>
      <c r="F729" s="50"/>
      <c r="G729" s="50"/>
      <c r="H729" s="50"/>
    </row>
    <row r="730" spans="3:8" ht="13.2">
      <c r="C730" s="63"/>
      <c r="D730" s="50"/>
      <c r="E730" s="50"/>
      <c r="F730" s="50"/>
      <c r="G730" s="50"/>
      <c r="H730" s="50"/>
    </row>
    <row r="731" spans="3:8" ht="13.2">
      <c r="C731" s="63"/>
      <c r="D731" s="50"/>
      <c r="E731" s="50"/>
      <c r="F731" s="50"/>
      <c r="G731" s="50"/>
      <c r="H731" s="50"/>
    </row>
    <row r="732" spans="3:8" ht="13.2">
      <c r="C732" s="63"/>
      <c r="D732" s="50"/>
      <c r="E732" s="50"/>
      <c r="F732" s="50"/>
      <c r="G732" s="50"/>
      <c r="H732" s="50"/>
    </row>
    <row r="733" spans="3:8" ht="13.2">
      <c r="C733" s="63"/>
      <c r="D733" s="50"/>
      <c r="E733" s="50"/>
      <c r="F733" s="50"/>
      <c r="G733" s="50"/>
      <c r="H733" s="50"/>
    </row>
    <row r="734" spans="3:8" ht="13.2">
      <c r="C734" s="63"/>
      <c r="D734" s="50"/>
      <c r="E734" s="50"/>
      <c r="F734" s="50"/>
      <c r="G734" s="50"/>
      <c r="H734" s="50"/>
    </row>
    <row r="735" spans="3:8" ht="13.2">
      <c r="C735" s="63"/>
      <c r="D735" s="50"/>
      <c r="E735" s="50"/>
      <c r="F735" s="50"/>
      <c r="G735" s="50"/>
      <c r="H735" s="50"/>
    </row>
    <row r="736" spans="3:8" ht="13.2">
      <c r="C736" s="63"/>
      <c r="D736" s="50"/>
      <c r="E736" s="50"/>
      <c r="F736" s="50"/>
      <c r="G736" s="50"/>
      <c r="H736" s="50"/>
    </row>
    <row r="737" spans="3:8" ht="13.2">
      <c r="C737" s="63"/>
      <c r="D737" s="50"/>
      <c r="E737" s="50"/>
      <c r="F737" s="50"/>
      <c r="G737" s="50"/>
      <c r="H737" s="50"/>
    </row>
    <row r="738" spans="3:8" ht="13.2">
      <c r="C738" s="63"/>
      <c r="D738" s="50"/>
      <c r="E738" s="50"/>
      <c r="F738" s="50"/>
      <c r="G738" s="50"/>
      <c r="H738" s="50"/>
    </row>
    <row r="739" spans="3:8" ht="13.2">
      <c r="C739" s="63"/>
      <c r="D739" s="50"/>
      <c r="E739" s="50"/>
      <c r="F739" s="50"/>
      <c r="G739" s="50"/>
      <c r="H739" s="50"/>
    </row>
    <row r="740" spans="3:8" ht="13.2">
      <c r="C740" s="63"/>
      <c r="D740" s="50"/>
      <c r="E740" s="50"/>
      <c r="F740" s="50"/>
      <c r="G740" s="50"/>
      <c r="H740" s="50"/>
    </row>
    <row r="741" spans="3:8" ht="13.2">
      <c r="C741" s="63"/>
      <c r="D741" s="50"/>
      <c r="E741" s="50"/>
      <c r="F741" s="50"/>
      <c r="G741" s="50"/>
      <c r="H741" s="50"/>
    </row>
    <row r="742" spans="3:8" ht="13.2">
      <c r="C742" s="63"/>
      <c r="D742" s="50"/>
      <c r="E742" s="50"/>
      <c r="F742" s="50"/>
      <c r="G742" s="50"/>
      <c r="H742" s="50"/>
    </row>
    <row r="743" spans="3:8" ht="13.2">
      <c r="C743" s="63"/>
      <c r="D743" s="50"/>
      <c r="E743" s="50"/>
      <c r="F743" s="50"/>
      <c r="G743" s="50"/>
      <c r="H743" s="50"/>
    </row>
    <row r="744" spans="3:8" ht="13.2">
      <c r="C744" s="63"/>
      <c r="D744" s="50"/>
      <c r="E744" s="50"/>
      <c r="F744" s="50"/>
      <c r="G744" s="50"/>
      <c r="H744" s="50"/>
    </row>
    <row r="745" spans="3:8" ht="13.2">
      <c r="C745" s="63"/>
      <c r="D745" s="50"/>
      <c r="E745" s="50"/>
      <c r="F745" s="50"/>
      <c r="G745" s="50"/>
      <c r="H745" s="50"/>
    </row>
    <row r="746" spans="3:8" ht="13.2">
      <c r="C746" s="63"/>
      <c r="D746" s="50"/>
      <c r="E746" s="50"/>
      <c r="F746" s="50"/>
      <c r="G746" s="50"/>
      <c r="H746" s="50"/>
    </row>
    <row r="747" spans="3:8" ht="13.2">
      <c r="C747" s="63"/>
      <c r="D747" s="50"/>
      <c r="E747" s="50"/>
      <c r="F747" s="50"/>
      <c r="G747" s="50"/>
      <c r="H747" s="50"/>
    </row>
    <row r="748" spans="3:8" ht="13.2">
      <c r="C748" s="63"/>
      <c r="D748" s="50"/>
      <c r="E748" s="50"/>
      <c r="F748" s="50"/>
      <c r="G748" s="50"/>
      <c r="H748" s="50"/>
    </row>
    <row r="749" spans="3:8" ht="13.2">
      <c r="C749" s="63"/>
      <c r="D749" s="50"/>
      <c r="E749" s="50"/>
      <c r="F749" s="50"/>
      <c r="G749" s="50"/>
      <c r="H749" s="50"/>
    </row>
    <row r="750" spans="3:8" ht="13.2">
      <c r="C750" s="63"/>
      <c r="D750" s="50"/>
      <c r="E750" s="50"/>
      <c r="F750" s="50"/>
      <c r="G750" s="50"/>
      <c r="H750" s="50"/>
    </row>
    <row r="751" spans="3:8" ht="13.2">
      <c r="C751" s="63"/>
      <c r="D751" s="50"/>
      <c r="E751" s="50"/>
      <c r="F751" s="50"/>
      <c r="G751" s="50"/>
      <c r="H751" s="50"/>
    </row>
    <row r="752" spans="3:8" ht="13.2">
      <c r="C752" s="63"/>
      <c r="D752" s="50"/>
      <c r="E752" s="50"/>
      <c r="F752" s="50"/>
      <c r="G752" s="50"/>
      <c r="H752" s="50"/>
    </row>
    <row r="753" spans="3:8" ht="13.2">
      <c r="C753" s="63"/>
      <c r="D753" s="50"/>
      <c r="E753" s="50"/>
      <c r="F753" s="50"/>
      <c r="G753" s="50"/>
      <c r="H753" s="50"/>
    </row>
    <row r="754" spans="3:8" ht="13.2">
      <c r="C754" s="63"/>
      <c r="D754" s="50"/>
      <c r="E754" s="50"/>
      <c r="F754" s="50"/>
      <c r="G754" s="50"/>
      <c r="H754" s="50"/>
    </row>
    <row r="755" spans="3:8" ht="13.2">
      <c r="C755" s="63"/>
      <c r="D755" s="50"/>
      <c r="E755" s="50"/>
      <c r="F755" s="50"/>
      <c r="G755" s="50"/>
      <c r="H755" s="50"/>
    </row>
    <row r="756" spans="3:8" ht="13.2">
      <c r="C756" s="63"/>
      <c r="D756" s="50"/>
      <c r="E756" s="50"/>
      <c r="F756" s="50"/>
      <c r="G756" s="50"/>
      <c r="H756" s="50"/>
    </row>
    <row r="757" spans="3:8" ht="13.2">
      <c r="C757" s="63"/>
      <c r="D757" s="50"/>
      <c r="E757" s="50"/>
      <c r="F757" s="50"/>
      <c r="G757" s="50"/>
      <c r="H757" s="50"/>
    </row>
    <row r="758" spans="3:8" ht="13.2">
      <c r="C758" s="63"/>
      <c r="D758" s="50"/>
      <c r="E758" s="50"/>
      <c r="F758" s="50"/>
      <c r="G758" s="50"/>
      <c r="H758" s="50"/>
    </row>
    <row r="759" spans="3:8" ht="13.2">
      <c r="C759" s="63"/>
      <c r="D759" s="50"/>
      <c r="E759" s="50"/>
      <c r="F759" s="50"/>
      <c r="G759" s="50"/>
      <c r="H759" s="50"/>
    </row>
    <row r="760" spans="3:8" ht="13.2">
      <c r="C760" s="63"/>
      <c r="D760" s="50"/>
      <c r="E760" s="50"/>
      <c r="F760" s="50"/>
      <c r="G760" s="50"/>
      <c r="H760" s="50"/>
    </row>
    <row r="761" spans="3:8" ht="13.2">
      <c r="C761" s="63"/>
      <c r="D761" s="50"/>
      <c r="E761" s="50"/>
      <c r="F761" s="50"/>
      <c r="G761" s="50"/>
      <c r="H761" s="50"/>
    </row>
    <row r="762" spans="3:8" ht="13.2">
      <c r="C762" s="63"/>
      <c r="D762" s="50"/>
      <c r="E762" s="50"/>
      <c r="F762" s="50"/>
      <c r="G762" s="50"/>
      <c r="H762" s="50"/>
    </row>
    <row r="763" spans="3:8" ht="13.2">
      <c r="C763" s="63"/>
      <c r="D763" s="50"/>
      <c r="E763" s="50"/>
      <c r="F763" s="50"/>
      <c r="G763" s="50"/>
      <c r="H763" s="50"/>
    </row>
    <row r="764" spans="3:8" ht="13.2">
      <c r="C764" s="63"/>
      <c r="D764" s="50"/>
      <c r="E764" s="50"/>
      <c r="F764" s="50"/>
      <c r="G764" s="50"/>
      <c r="H764" s="50"/>
    </row>
    <row r="765" spans="3:8" ht="13.2">
      <c r="C765" s="63"/>
      <c r="D765" s="50"/>
      <c r="E765" s="50"/>
      <c r="F765" s="50"/>
      <c r="G765" s="50"/>
      <c r="H765" s="50"/>
    </row>
    <row r="766" spans="3:8" ht="13.2">
      <c r="C766" s="63"/>
      <c r="D766" s="50"/>
      <c r="E766" s="50"/>
      <c r="F766" s="50"/>
      <c r="G766" s="50"/>
      <c r="H766" s="50"/>
    </row>
    <row r="767" spans="3:8" ht="13.2">
      <c r="C767" s="63"/>
      <c r="D767" s="50"/>
      <c r="E767" s="50"/>
      <c r="F767" s="50"/>
      <c r="G767" s="50"/>
      <c r="H767" s="50"/>
    </row>
    <row r="768" spans="3:8" ht="13.2">
      <c r="C768" s="63"/>
      <c r="D768" s="50"/>
      <c r="E768" s="50"/>
      <c r="F768" s="50"/>
      <c r="G768" s="50"/>
      <c r="H768" s="50"/>
    </row>
    <row r="769" spans="3:8" ht="13.2">
      <c r="C769" s="63"/>
      <c r="D769" s="50"/>
      <c r="E769" s="50"/>
      <c r="F769" s="50"/>
      <c r="G769" s="50"/>
      <c r="H769" s="50"/>
    </row>
    <row r="770" spans="3:8" ht="13.2">
      <c r="C770" s="63"/>
      <c r="D770" s="50"/>
      <c r="E770" s="50"/>
      <c r="F770" s="50"/>
      <c r="G770" s="50"/>
      <c r="H770" s="50"/>
    </row>
    <row r="771" spans="3:8" ht="13.2">
      <c r="C771" s="63"/>
      <c r="D771" s="50"/>
      <c r="E771" s="50"/>
      <c r="F771" s="50"/>
      <c r="G771" s="50"/>
      <c r="H771" s="50"/>
    </row>
    <row r="772" spans="3:8" ht="13.2">
      <c r="C772" s="63"/>
      <c r="D772" s="50"/>
      <c r="E772" s="50"/>
      <c r="F772" s="50"/>
      <c r="G772" s="50"/>
      <c r="H772" s="50"/>
    </row>
    <row r="773" spans="3:8" ht="13.2">
      <c r="C773" s="63"/>
      <c r="D773" s="50"/>
      <c r="E773" s="50"/>
      <c r="F773" s="50"/>
      <c r="G773" s="50"/>
      <c r="H773" s="50"/>
    </row>
    <row r="774" spans="3:8" ht="13.2">
      <c r="C774" s="63"/>
      <c r="D774" s="50"/>
      <c r="E774" s="50"/>
      <c r="F774" s="50"/>
      <c r="G774" s="50"/>
      <c r="H774" s="50"/>
    </row>
    <row r="775" spans="3:8" ht="13.2">
      <c r="C775" s="63"/>
      <c r="D775" s="50"/>
      <c r="E775" s="50"/>
      <c r="F775" s="50"/>
      <c r="G775" s="50"/>
      <c r="H775" s="50"/>
    </row>
    <row r="776" spans="3:8" ht="13.2">
      <c r="C776" s="63"/>
      <c r="D776" s="50"/>
      <c r="E776" s="50"/>
      <c r="F776" s="50"/>
      <c r="G776" s="50"/>
      <c r="H776" s="50"/>
    </row>
    <row r="777" spans="3:8" ht="13.2">
      <c r="C777" s="63"/>
      <c r="D777" s="50"/>
      <c r="E777" s="50"/>
      <c r="F777" s="50"/>
      <c r="G777" s="50"/>
      <c r="H777" s="50"/>
    </row>
    <row r="778" spans="3:8" ht="13.2">
      <c r="C778" s="63"/>
      <c r="D778" s="50"/>
      <c r="E778" s="50"/>
      <c r="F778" s="50"/>
      <c r="G778" s="50"/>
      <c r="H778" s="50"/>
    </row>
    <row r="779" spans="3:8" ht="13.2">
      <c r="C779" s="63"/>
      <c r="D779" s="50"/>
      <c r="E779" s="50"/>
      <c r="F779" s="50"/>
      <c r="G779" s="50"/>
      <c r="H779" s="50"/>
    </row>
    <row r="780" spans="3:8" ht="13.2">
      <c r="C780" s="63"/>
      <c r="D780" s="50"/>
      <c r="E780" s="50"/>
      <c r="F780" s="50"/>
      <c r="G780" s="50"/>
      <c r="H780" s="50"/>
    </row>
    <row r="781" spans="3:8" ht="13.2">
      <c r="C781" s="63"/>
      <c r="D781" s="50"/>
      <c r="E781" s="50"/>
      <c r="F781" s="50"/>
      <c r="G781" s="50"/>
      <c r="H781" s="50"/>
    </row>
    <row r="782" spans="3:8" ht="13.2">
      <c r="C782" s="63"/>
      <c r="D782" s="50"/>
      <c r="E782" s="50"/>
      <c r="F782" s="50"/>
      <c r="G782" s="50"/>
      <c r="H782" s="50"/>
    </row>
    <row r="783" spans="3:8" ht="13.2">
      <c r="C783" s="63"/>
      <c r="D783" s="50"/>
      <c r="E783" s="50"/>
      <c r="F783" s="50"/>
      <c r="G783" s="50"/>
      <c r="H783" s="50"/>
    </row>
    <row r="784" spans="3:8" ht="13.2">
      <c r="C784" s="63"/>
      <c r="D784" s="50"/>
      <c r="E784" s="50"/>
      <c r="F784" s="50"/>
      <c r="G784" s="50"/>
      <c r="H784" s="50"/>
    </row>
    <row r="785" spans="3:8" ht="13.2">
      <c r="C785" s="63"/>
      <c r="D785" s="50"/>
      <c r="E785" s="50"/>
      <c r="F785" s="50"/>
      <c r="G785" s="50"/>
      <c r="H785" s="50"/>
    </row>
    <row r="786" spans="3:8" ht="13.2">
      <c r="C786" s="63"/>
      <c r="D786" s="50"/>
      <c r="E786" s="50"/>
      <c r="F786" s="50"/>
      <c r="G786" s="50"/>
      <c r="H786" s="50"/>
    </row>
    <row r="787" spans="3:8" ht="13.2">
      <c r="C787" s="63"/>
      <c r="D787" s="50"/>
      <c r="E787" s="50"/>
      <c r="F787" s="50"/>
      <c r="G787" s="50"/>
      <c r="H787" s="50"/>
    </row>
    <row r="788" spans="3:8" ht="13.2">
      <c r="C788" s="63"/>
      <c r="D788" s="50"/>
      <c r="E788" s="50"/>
      <c r="F788" s="50"/>
      <c r="G788" s="50"/>
      <c r="H788" s="50"/>
    </row>
    <row r="789" spans="3:8" ht="13.2">
      <c r="C789" s="63"/>
      <c r="D789" s="50"/>
      <c r="E789" s="50"/>
      <c r="F789" s="50"/>
      <c r="G789" s="50"/>
      <c r="H789" s="50"/>
    </row>
    <row r="790" spans="3:8" ht="13.2">
      <c r="C790" s="63"/>
      <c r="D790" s="50"/>
      <c r="E790" s="50"/>
      <c r="F790" s="50"/>
      <c r="G790" s="50"/>
      <c r="H790" s="50"/>
    </row>
    <row r="791" spans="3:8" ht="13.2">
      <c r="C791" s="63"/>
      <c r="D791" s="50"/>
      <c r="E791" s="50"/>
      <c r="F791" s="50"/>
      <c r="G791" s="50"/>
      <c r="H791" s="50"/>
    </row>
    <row r="792" spans="3:8" ht="13.2">
      <c r="C792" s="63"/>
      <c r="D792" s="50"/>
      <c r="E792" s="50"/>
      <c r="F792" s="50"/>
      <c r="G792" s="50"/>
      <c r="H792" s="50"/>
    </row>
    <row r="793" spans="3:8" ht="13.2">
      <c r="C793" s="63"/>
      <c r="D793" s="50"/>
      <c r="E793" s="50"/>
      <c r="F793" s="50"/>
      <c r="G793" s="50"/>
      <c r="H793" s="50"/>
    </row>
    <row r="794" spans="3:8" ht="13.2">
      <c r="C794" s="63"/>
      <c r="D794" s="50"/>
      <c r="E794" s="50"/>
      <c r="F794" s="50"/>
      <c r="G794" s="50"/>
      <c r="H794" s="50"/>
    </row>
    <row r="795" spans="3:8" ht="13.2">
      <c r="C795" s="63"/>
      <c r="D795" s="50"/>
      <c r="E795" s="50"/>
      <c r="F795" s="50"/>
      <c r="G795" s="50"/>
      <c r="H795" s="50"/>
    </row>
    <row r="796" spans="3:8" ht="13.2">
      <c r="C796" s="63"/>
      <c r="D796" s="50"/>
      <c r="E796" s="50"/>
      <c r="F796" s="50"/>
      <c r="G796" s="50"/>
      <c r="H796" s="50"/>
    </row>
    <row r="797" spans="3:8" ht="13.2">
      <c r="C797" s="63"/>
      <c r="D797" s="50"/>
      <c r="E797" s="50"/>
      <c r="F797" s="50"/>
      <c r="G797" s="50"/>
      <c r="H797" s="50"/>
    </row>
    <row r="798" spans="3:8" ht="13.2">
      <c r="C798" s="63"/>
      <c r="D798" s="50"/>
      <c r="E798" s="50"/>
      <c r="F798" s="50"/>
      <c r="G798" s="50"/>
      <c r="H798" s="50"/>
    </row>
    <row r="799" spans="3:8" ht="13.2">
      <c r="C799" s="63"/>
      <c r="D799" s="50"/>
      <c r="E799" s="50"/>
      <c r="F799" s="50"/>
      <c r="G799" s="50"/>
      <c r="H799" s="50"/>
    </row>
    <row r="800" spans="3:8" ht="13.2">
      <c r="C800" s="63"/>
      <c r="D800" s="50"/>
      <c r="E800" s="50"/>
      <c r="F800" s="50"/>
      <c r="G800" s="50"/>
      <c r="H800" s="50"/>
    </row>
    <row r="801" spans="3:8" ht="13.2">
      <c r="C801" s="63"/>
      <c r="D801" s="50"/>
      <c r="E801" s="50"/>
      <c r="F801" s="50"/>
      <c r="G801" s="50"/>
      <c r="H801" s="50"/>
    </row>
    <row r="802" spans="3:8" ht="13.2">
      <c r="C802" s="63"/>
      <c r="D802" s="50"/>
      <c r="E802" s="50"/>
      <c r="F802" s="50"/>
      <c r="G802" s="50"/>
      <c r="H802" s="50"/>
    </row>
    <row r="803" spans="3:8" ht="13.2">
      <c r="C803" s="63"/>
      <c r="D803" s="50"/>
      <c r="E803" s="50"/>
      <c r="F803" s="50"/>
      <c r="G803" s="50"/>
      <c r="H803" s="50"/>
    </row>
    <row r="804" spans="3:8" ht="13.2">
      <c r="C804" s="63"/>
      <c r="D804" s="50"/>
      <c r="E804" s="50"/>
      <c r="F804" s="50"/>
      <c r="G804" s="50"/>
      <c r="H804" s="50"/>
    </row>
    <row r="805" spans="3:8" ht="13.2">
      <c r="C805" s="63"/>
      <c r="D805" s="50"/>
      <c r="E805" s="50"/>
      <c r="F805" s="50"/>
      <c r="G805" s="50"/>
      <c r="H805" s="50"/>
    </row>
    <row r="806" spans="3:8" ht="13.2">
      <c r="C806" s="63"/>
      <c r="D806" s="50"/>
      <c r="E806" s="50"/>
      <c r="F806" s="50"/>
      <c r="G806" s="50"/>
      <c r="H806" s="50"/>
    </row>
    <row r="807" spans="3:8" ht="13.2">
      <c r="C807" s="63"/>
      <c r="D807" s="50"/>
      <c r="E807" s="50"/>
      <c r="F807" s="50"/>
      <c r="G807" s="50"/>
      <c r="H807" s="50"/>
    </row>
    <row r="808" spans="3:8" ht="13.2">
      <c r="C808" s="63"/>
      <c r="D808" s="50"/>
      <c r="E808" s="50"/>
      <c r="F808" s="50"/>
      <c r="G808" s="50"/>
      <c r="H808" s="50"/>
    </row>
    <row r="809" spans="3:8" ht="13.2">
      <c r="C809" s="63"/>
      <c r="D809" s="50"/>
      <c r="E809" s="50"/>
      <c r="F809" s="50"/>
      <c r="G809" s="50"/>
      <c r="H809" s="50"/>
    </row>
    <row r="810" spans="3:8" ht="13.2">
      <c r="C810" s="63"/>
      <c r="D810" s="50"/>
      <c r="E810" s="50"/>
      <c r="F810" s="50"/>
      <c r="G810" s="50"/>
      <c r="H810" s="50"/>
    </row>
    <row r="811" spans="3:8" ht="13.2">
      <c r="C811" s="63"/>
      <c r="D811" s="50"/>
      <c r="E811" s="50"/>
      <c r="F811" s="50"/>
      <c r="G811" s="50"/>
      <c r="H811" s="50"/>
    </row>
    <row r="812" spans="3:8" ht="13.2">
      <c r="C812" s="63"/>
      <c r="D812" s="50"/>
      <c r="E812" s="50"/>
      <c r="F812" s="50"/>
      <c r="G812" s="50"/>
      <c r="H812" s="50"/>
    </row>
    <row r="813" spans="3:8" ht="13.2">
      <c r="C813" s="63"/>
      <c r="D813" s="50"/>
      <c r="E813" s="50"/>
      <c r="F813" s="50"/>
      <c r="G813" s="50"/>
      <c r="H813" s="50"/>
    </row>
    <row r="814" spans="3:8" ht="13.2">
      <c r="C814" s="63"/>
      <c r="D814" s="50"/>
      <c r="E814" s="50"/>
      <c r="F814" s="50"/>
      <c r="G814" s="50"/>
      <c r="H814" s="50"/>
    </row>
    <row r="815" spans="3:8" ht="13.2">
      <c r="C815" s="63"/>
      <c r="D815" s="50"/>
      <c r="E815" s="50"/>
      <c r="F815" s="50"/>
      <c r="G815" s="50"/>
      <c r="H815" s="50"/>
    </row>
    <row r="816" spans="3:8" ht="13.2">
      <c r="C816" s="63"/>
      <c r="D816" s="50"/>
      <c r="E816" s="50"/>
      <c r="F816" s="50"/>
      <c r="G816" s="50"/>
      <c r="H816" s="50"/>
    </row>
    <row r="817" spans="3:8" ht="13.2">
      <c r="C817" s="63"/>
      <c r="D817" s="50"/>
      <c r="E817" s="50"/>
      <c r="F817" s="50"/>
      <c r="G817" s="50"/>
      <c r="H817" s="50"/>
    </row>
    <row r="818" spans="3:8" ht="13.2">
      <c r="C818" s="63"/>
      <c r="D818" s="50"/>
      <c r="E818" s="50"/>
      <c r="F818" s="50"/>
      <c r="G818" s="50"/>
      <c r="H818" s="50"/>
    </row>
    <row r="819" spans="3:8" ht="13.2">
      <c r="C819" s="63"/>
      <c r="D819" s="50"/>
      <c r="E819" s="50"/>
      <c r="F819" s="50"/>
      <c r="G819" s="50"/>
      <c r="H819" s="50"/>
    </row>
    <row r="820" spans="3:8" ht="13.2">
      <c r="C820" s="63"/>
      <c r="D820" s="50"/>
      <c r="E820" s="50"/>
      <c r="F820" s="50"/>
      <c r="G820" s="50"/>
      <c r="H820" s="50"/>
    </row>
    <row r="821" spans="3:8" ht="13.2">
      <c r="C821" s="63"/>
      <c r="D821" s="50"/>
      <c r="E821" s="50"/>
      <c r="F821" s="50"/>
      <c r="G821" s="50"/>
      <c r="H821" s="50"/>
    </row>
    <row r="822" spans="3:8" ht="13.2">
      <c r="C822" s="63"/>
      <c r="D822" s="50"/>
      <c r="E822" s="50"/>
      <c r="F822" s="50"/>
      <c r="G822" s="50"/>
      <c r="H822" s="50"/>
    </row>
    <row r="823" spans="3:8" ht="13.2">
      <c r="C823" s="63"/>
      <c r="D823" s="50"/>
      <c r="E823" s="50"/>
      <c r="F823" s="50"/>
      <c r="G823" s="50"/>
      <c r="H823" s="50"/>
    </row>
    <row r="824" spans="3:8" ht="13.2">
      <c r="C824" s="63"/>
      <c r="D824" s="50"/>
      <c r="E824" s="50"/>
      <c r="F824" s="50"/>
      <c r="G824" s="50"/>
      <c r="H824" s="50"/>
    </row>
    <row r="825" spans="3:8" ht="13.2">
      <c r="C825" s="63"/>
      <c r="D825" s="50"/>
      <c r="E825" s="50"/>
      <c r="F825" s="50"/>
      <c r="G825" s="50"/>
      <c r="H825" s="50"/>
    </row>
    <row r="826" spans="3:8" ht="13.2">
      <c r="C826" s="63"/>
      <c r="D826" s="50"/>
      <c r="E826" s="50"/>
      <c r="F826" s="50"/>
      <c r="G826" s="50"/>
      <c r="H826" s="50"/>
    </row>
    <row r="827" spans="3:8" ht="13.2">
      <c r="C827" s="63"/>
      <c r="D827" s="50"/>
      <c r="E827" s="50"/>
      <c r="F827" s="50"/>
      <c r="G827" s="50"/>
      <c r="H827" s="50"/>
    </row>
    <row r="828" spans="3:8" ht="13.2">
      <c r="C828" s="63"/>
      <c r="D828" s="50"/>
      <c r="E828" s="50"/>
      <c r="F828" s="50"/>
      <c r="G828" s="50"/>
      <c r="H828" s="50"/>
    </row>
    <row r="829" spans="3:8" ht="13.2">
      <c r="C829" s="63"/>
      <c r="D829" s="50"/>
      <c r="E829" s="50"/>
      <c r="F829" s="50"/>
      <c r="G829" s="50"/>
      <c r="H829" s="50"/>
    </row>
    <row r="830" spans="3:8" ht="13.2">
      <c r="C830" s="63"/>
      <c r="D830" s="50"/>
      <c r="E830" s="50"/>
      <c r="F830" s="50"/>
      <c r="G830" s="50"/>
      <c r="H830" s="50"/>
    </row>
    <row r="831" spans="3:8" ht="13.2">
      <c r="C831" s="63"/>
      <c r="D831" s="50"/>
      <c r="E831" s="50"/>
      <c r="F831" s="50"/>
      <c r="G831" s="50"/>
      <c r="H831" s="50"/>
    </row>
    <row r="832" spans="3:8" ht="13.2">
      <c r="C832" s="63"/>
      <c r="D832" s="50"/>
      <c r="E832" s="50"/>
      <c r="F832" s="50"/>
      <c r="G832" s="50"/>
      <c r="H832" s="50"/>
    </row>
    <row r="833" spans="3:8" ht="13.2">
      <c r="C833" s="63"/>
      <c r="D833" s="50"/>
      <c r="E833" s="50"/>
      <c r="F833" s="50"/>
      <c r="G833" s="50"/>
      <c r="H833" s="50"/>
    </row>
    <row r="834" spans="3:8" ht="13.2">
      <c r="C834" s="63"/>
      <c r="D834" s="50"/>
      <c r="E834" s="50"/>
      <c r="F834" s="50"/>
      <c r="G834" s="50"/>
      <c r="H834" s="50"/>
    </row>
    <row r="835" spans="3:8" ht="13.2">
      <c r="C835" s="63"/>
      <c r="D835" s="50"/>
      <c r="E835" s="50"/>
      <c r="F835" s="50"/>
      <c r="G835" s="50"/>
      <c r="H835" s="50"/>
    </row>
    <row r="836" spans="3:8" ht="13.2">
      <c r="C836" s="63"/>
      <c r="D836" s="50"/>
      <c r="E836" s="50"/>
      <c r="F836" s="50"/>
      <c r="G836" s="50"/>
      <c r="H836" s="50"/>
    </row>
    <row r="837" spans="3:8" ht="13.2">
      <c r="C837" s="63"/>
      <c r="D837" s="50"/>
      <c r="E837" s="50"/>
      <c r="F837" s="50"/>
      <c r="G837" s="50"/>
      <c r="H837" s="50"/>
    </row>
    <row r="838" spans="3:8" ht="13.2">
      <c r="C838" s="63"/>
      <c r="D838" s="50"/>
      <c r="E838" s="50"/>
      <c r="F838" s="50"/>
      <c r="G838" s="50"/>
      <c r="H838" s="50"/>
    </row>
    <row r="839" spans="3:8" ht="13.2">
      <c r="C839" s="63"/>
      <c r="D839" s="50"/>
      <c r="E839" s="50"/>
      <c r="F839" s="50"/>
      <c r="G839" s="50"/>
      <c r="H839" s="50"/>
    </row>
    <row r="840" spans="3:8" ht="13.2">
      <c r="C840" s="63"/>
      <c r="D840" s="50"/>
      <c r="E840" s="50"/>
      <c r="F840" s="50"/>
      <c r="G840" s="50"/>
      <c r="H840" s="50"/>
    </row>
    <row r="841" spans="3:8" ht="13.2">
      <c r="C841" s="63"/>
      <c r="D841" s="50"/>
      <c r="E841" s="50"/>
      <c r="F841" s="50"/>
      <c r="G841" s="50"/>
      <c r="H841" s="50"/>
    </row>
    <row r="842" spans="3:8" ht="13.2">
      <c r="C842" s="63"/>
      <c r="D842" s="50"/>
      <c r="E842" s="50"/>
      <c r="F842" s="50"/>
      <c r="G842" s="50"/>
      <c r="H842" s="50"/>
    </row>
    <row r="843" spans="3:8" ht="13.2">
      <c r="C843" s="63"/>
      <c r="D843" s="50"/>
      <c r="E843" s="50"/>
      <c r="F843" s="50"/>
      <c r="G843" s="50"/>
      <c r="H843" s="50"/>
    </row>
    <row r="844" spans="3:8" ht="13.2">
      <c r="C844" s="63"/>
      <c r="D844" s="50"/>
      <c r="E844" s="50"/>
      <c r="F844" s="50"/>
      <c r="G844" s="50"/>
      <c r="H844" s="50"/>
    </row>
    <row r="845" spans="3:8" ht="13.2">
      <c r="C845" s="63"/>
      <c r="D845" s="50"/>
      <c r="E845" s="50"/>
      <c r="F845" s="50"/>
      <c r="G845" s="50"/>
      <c r="H845" s="50"/>
    </row>
    <row r="846" spans="3:8" ht="13.2">
      <c r="C846" s="63"/>
      <c r="D846" s="50"/>
      <c r="E846" s="50"/>
      <c r="F846" s="50"/>
      <c r="G846" s="50"/>
      <c r="H846" s="50"/>
    </row>
    <row r="847" spans="3:8" ht="13.2">
      <c r="C847" s="63"/>
      <c r="D847" s="50"/>
      <c r="E847" s="50"/>
      <c r="F847" s="50"/>
      <c r="G847" s="50"/>
      <c r="H847" s="50"/>
    </row>
    <row r="848" spans="3:8" ht="13.2">
      <c r="C848" s="63"/>
      <c r="D848" s="50"/>
      <c r="E848" s="50"/>
      <c r="F848" s="50"/>
      <c r="G848" s="50"/>
      <c r="H848" s="50"/>
    </row>
    <row r="849" spans="3:8" ht="13.2">
      <c r="C849" s="63"/>
      <c r="D849" s="50"/>
      <c r="E849" s="50"/>
      <c r="F849" s="50"/>
      <c r="G849" s="50"/>
      <c r="H849" s="50"/>
    </row>
    <row r="850" spans="3:8" ht="13.2">
      <c r="C850" s="63"/>
      <c r="D850" s="50"/>
      <c r="E850" s="50"/>
      <c r="F850" s="50"/>
      <c r="G850" s="50"/>
      <c r="H850" s="50"/>
    </row>
    <row r="851" spans="3:8" ht="13.2">
      <c r="C851" s="63"/>
      <c r="D851" s="50"/>
      <c r="E851" s="50"/>
      <c r="F851" s="50"/>
      <c r="G851" s="50"/>
      <c r="H851" s="50"/>
    </row>
    <row r="852" spans="3:8" ht="13.2">
      <c r="C852" s="63"/>
      <c r="D852" s="50"/>
      <c r="E852" s="50"/>
      <c r="F852" s="50"/>
      <c r="G852" s="50"/>
      <c r="H852" s="50"/>
    </row>
    <row r="853" spans="3:8" ht="13.2">
      <c r="C853" s="63"/>
      <c r="D853" s="50"/>
      <c r="E853" s="50"/>
      <c r="F853" s="50"/>
      <c r="G853" s="50"/>
      <c r="H853" s="50"/>
    </row>
    <row r="854" spans="3:8" ht="13.2">
      <c r="C854" s="63"/>
      <c r="D854" s="50"/>
      <c r="E854" s="50"/>
      <c r="F854" s="50"/>
      <c r="G854" s="50"/>
      <c r="H854" s="50"/>
    </row>
    <row r="855" spans="3:8" ht="13.2">
      <c r="C855" s="63"/>
      <c r="D855" s="50"/>
      <c r="E855" s="50"/>
      <c r="F855" s="50"/>
      <c r="G855" s="50"/>
      <c r="H855" s="50"/>
    </row>
    <row r="856" spans="3:8" ht="13.2">
      <c r="C856" s="63"/>
      <c r="D856" s="50"/>
      <c r="E856" s="50"/>
      <c r="F856" s="50"/>
      <c r="G856" s="50"/>
      <c r="H856" s="50"/>
    </row>
    <row r="857" spans="3:8" ht="13.2">
      <c r="C857" s="63"/>
      <c r="D857" s="50"/>
      <c r="E857" s="50"/>
      <c r="F857" s="50"/>
      <c r="G857" s="50"/>
      <c r="H857" s="50"/>
    </row>
    <row r="858" spans="3:8" ht="13.2">
      <c r="C858" s="63"/>
      <c r="D858" s="50"/>
      <c r="E858" s="50"/>
      <c r="F858" s="50"/>
      <c r="G858" s="50"/>
      <c r="H858" s="50"/>
    </row>
    <row r="859" spans="3:8" ht="13.2">
      <c r="C859" s="63"/>
      <c r="D859" s="50"/>
      <c r="E859" s="50"/>
      <c r="F859" s="50"/>
      <c r="G859" s="50"/>
      <c r="H859" s="50"/>
    </row>
    <row r="860" spans="3:8" ht="13.2">
      <c r="C860" s="63"/>
      <c r="D860" s="50"/>
      <c r="E860" s="50"/>
      <c r="F860" s="50"/>
      <c r="G860" s="50"/>
      <c r="H860" s="50"/>
    </row>
    <row r="861" spans="3:8" ht="13.2">
      <c r="C861" s="63"/>
      <c r="D861" s="50"/>
      <c r="E861" s="50"/>
      <c r="F861" s="50"/>
      <c r="G861" s="50"/>
      <c r="H861" s="50"/>
    </row>
    <row r="862" spans="3:8" ht="13.2">
      <c r="C862" s="63"/>
      <c r="D862" s="50"/>
      <c r="E862" s="50"/>
      <c r="F862" s="50"/>
      <c r="G862" s="50"/>
      <c r="H862" s="50"/>
    </row>
    <row r="863" spans="3:8" ht="13.2">
      <c r="C863" s="63"/>
      <c r="D863" s="50"/>
      <c r="E863" s="50"/>
      <c r="F863" s="50"/>
      <c r="G863" s="50"/>
      <c r="H863" s="50"/>
    </row>
    <row r="864" spans="3:8" ht="13.2">
      <c r="C864" s="63"/>
      <c r="D864" s="50"/>
      <c r="E864" s="50"/>
      <c r="F864" s="50"/>
      <c r="G864" s="50"/>
      <c r="H864" s="50"/>
    </row>
    <row r="865" spans="3:8" ht="13.2">
      <c r="C865" s="63"/>
      <c r="D865" s="50"/>
      <c r="E865" s="50"/>
      <c r="F865" s="50"/>
      <c r="G865" s="50"/>
      <c r="H865" s="50"/>
    </row>
    <row r="866" spans="3:8" ht="13.2">
      <c r="C866" s="63"/>
      <c r="D866" s="50"/>
      <c r="E866" s="50"/>
      <c r="F866" s="50"/>
      <c r="G866" s="50"/>
      <c r="H866" s="50"/>
    </row>
    <row r="867" spans="3:8" ht="13.2">
      <c r="C867" s="63"/>
      <c r="D867" s="50"/>
      <c r="E867" s="50"/>
      <c r="F867" s="50"/>
      <c r="G867" s="50"/>
      <c r="H867" s="50"/>
    </row>
    <row r="868" spans="3:8" ht="13.2">
      <c r="C868" s="63"/>
      <c r="D868" s="50"/>
      <c r="E868" s="50"/>
      <c r="F868" s="50"/>
      <c r="G868" s="50"/>
      <c r="H868" s="50"/>
    </row>
    <row r="869" spans="3:8" ht="13.2">
      <c r="C869" s="63"/>
      <c r="D869" s="50"/>
      <c r="E869" s="50"/>
      <c r="F869" s="50"/>
      <c r="G869" s="50"/>
      <c r="H869" s="50"/>
    </row>
    <row r="870" spans="3:8" ht="13.2">
      <c r="C870" s="63"/>
      <c r="D870" s="50"/>
      <c r="E870" s="50"/>
      <c r="F870" s="50"/>
      <c r="G870" s="50"/>
      <c r="H870" s="50"/>
    </row>
    <row r="871" spans="3:8" ht="13.2">
      <c r="C871" s="63"/>
      <c r="D871" s="50"/>
      <c r="E871" s="50"/>
      <c r="F871" s="50"/>
      <c r="G871" s="50"/>
      <c r="H871" s="50"/>
    </row>
    <row r="872" spans="3:8" ht="13.2">
      <c r="C872" s="63"/>
      <c r="D872" s="50"/>
      <c r="E872" s="50"/>
      <c r="F872" s="50"/>
      <c r="G872" s="50"/>
      <c r="H872" s="50"/>
    </row>
    <row r="873" spans="3:8" ht="13.2">
      <c r="C873" s="63"/>
      <c r="D873" s="50"/>
      <c r="E873" s="50"/>
      <c r="F873" s="50"/>
      <c r="G873" s="50"/>
      <c r="H873" s="50"/>
    </row>
    <row r="874" spans="3:8" ht="13.2">
      <c r="C874" s="63"/>
      <c r="D874" s="50"/>
      <c r="E874" s="50"/>
      <c r="F874" s="50"/>
      <c r="G874" s="50"/>
      <c r="H874" s="50"/>
    </row>
    <row r="875" spans="3:8" ht="13.2">
      <c r="C875" s="63"/>
      <c r="D875" s="50"/>
      <c r="E875" s="50"/>
      <c r="F875" s="50"/>
      <c r="G875" s="50"/>
      <c r="H875" s="50"/>
    </row>
    <row r="876" spans="3:8" ht="13.2">
      <c r="C876" s="63"/>
      <c r="D876" s="50"/>
      <c r="E876" s="50"/>
      <c r="F876" s="50"/>
      <c r="G876" s="50"/>
      <c r="H876" s="50"/>
    </row>
    <row r="877" spans="3:8" ht="13.2">
      <c r="C877" s="63"/>
      <c r="D877" s="50"/>
      <c r="E877" s="50"/>
      <c r="F877" s="50"/>
      <c r="G877" s="50"/>
      <c r="H877" s="50"/>
    </row>
    <row r="878" spans="3:8" ht="13.2">
      <c r="C878" s="63"/>
      <c r="D878" s="50"/>
      <c r="E878" s="50"/>
      <c r="F878" s="50"/>
      <c r="G878" s="50"/>
      <c r="H878" s="50"/>
    </row>
    <row r="879" spans="3:8" ht="13.2">
      <c r="C879" s="63"/>
      <c r="D879" s="50"/>
      <c r="E879" s="50"/>
      <c r="F879" s="50"/>
      <c r="G879" s="50"/>
      <c r="H879" s="50"/>
    </row>
    <row r="880" spans="3:8" ht="13.2">
      <c r="C880" s="63"/>
      <c r="D880" s="50"/>
      <c r="E880" s="50"/>
      <c r="F880" s="50"/>
      <c r="G880" s="50"/>
      <c r="H880" s="50"/>
    </row>
    <row r="881" spans="3:8" ht="13.2">
      <c r="C881" s="63"/>
      <c r="D881" s="50"/>
      <c r="E881" s="50"/>
      <c r="F881" s="50"/>
      <c r="G881" s="50"/>
      <c r="H881" s="50"/>
    </row>
    <row r="882" spans="3:8" ht="13.2">
      <c r="C882" s="63"/>
      <c r="D882" s="50"/>
      <c r="E882" s="50"/>
      <c r="F882" s="50"/>
      <c r="G882" s="50"/>
      <c r="H882" s="50"/>
    </row>
    <row r="883" spans="3:8" ht="13.2">
      <c r="C883" s="63"/>
      <c r="D883" s="50"/>
      <c r="E883" s="50"/>
      <c r="F883" s="50"/>
      <c r="G883" s="50"/>
      <c r="H883" s="50"/>
    </row>
    <row r="884" spans="3:8" ht="13.2">
      <c r="C884" s="63"/>
      <c r="D884" s="50"/>
      <c r="E884" s="50"/>
      <c r="F884" s="50"/>
      <c r="G884" s="50"/>
      <c r="H884" s="50"/>
    </row>
    <row r="885" spans="3:8" ht="13.2">
      <c r="C885" s="63"/>
      <c r="D885" s="50"/>
      <c r="E885" s="50"/>
      <c r="F885" s="50"/>
      <c r="G885" s="50"/>
      <c r="H885" s="50"/>
    </row>
    <row r="886" spans="3:8" ht="13.2">
      <c r="C886" s="63"/>
      <c r="D886" s="50"/>
      <c r="E886" s="50"/>
      <c r="F886" s="50"/>
      <c r="G886" s="50"/>
      <c r="H886" s="50"/>
    </row>
    <row r="887" spans="3:8" ht="13.2">
      <c r="C887" s="63"/>
      <c r="D887" s="50"/>
      <c r="E887" s="50"/>
      <c r="F887" s="50"/>
      <c r="G887" s="50"/>
      <c r="H887" s="50"/>
    </row>
    <row r="888" spans="3:8" ht="13.2">
      <c r="C888" s="63"/>
      <c r="D888" s="50"/>
      <c r="E888" s="50"/>
      <c r="F888" s="50"/>
      <c r="G888" s="50"/>
      <c r="H888" s="50"/>
    </row>
    <row r="889" spans="3:8" ht="13.2">
      <c r="C889" s="63"/>
      <c r="D889" s="50"/>
      <c r="E889" s="50"/>
      <c r="F889" s="50"/>
      <c r="G889" s="50"/>
      <c r="H889" s="50"/>
    </row>
    <row r="890" spans="3:8" ht="13.2">
      <c r="C890" s="63"/>
      <c r="D890" s="50"/>
      <c r="E890" s="50"/>
      <c r="F890" s="50"/>
      <c r="G890" s="50"/>
      <c r="H890" s="50"/>
    </row>
    <row r="891" spans="3:8" ht="13.2">
      <c r="C891" s="63"/>
      <c r="D891" s="50"/>
      <c r="E891" s="50"/>
      <c r="F891" s="50"/>
      <c r="G891" s="50"/>
      <c r="H891" s="50"/>
    </row>
    <row r="892" spans="3:8" ht="13.2">
      <c r="C892" s="63"/>
      <c r="D892" s="50"/>
      <c r="E892" s="50"/>
      <c r="F892" s="50"/>
      <c r="G892" s="50"/>
      <c r="H892" s="50"/>
    </row>
    <row r="893" spans="3:8" ht="13.2">
      <c r="C893" s="63"/>
      <c r="D893" s="50"/>
      <c r="E893" s="50"/>
      <c r="F893" s="50"/>
      <c r="G893" s="50"/>
      <c r="H893" s="50"/>
    </row>
    <row r="894" spans="3:8" ht="13.2">
      <c r="C894" s="63"/>
      <c r="D894" s="50"/>
      <c r="E894" s="50"/>
      <c r="F894" s="50"/>
      <c r="G894" s="50"/>
      <c r="H894" s="50"/>
    </row>
    <row r="895" spans="3:8" ht="13.2">
      <c r="C895" s="63"/>
      <c r="D895" s="50"/>
      <c r="E895" s="50"/>
      <c r="F895" s="50"/>
      <c r="G895" s="50"/>
      <c r="H895" s="50"/>
    </row>
    <row r="896" spans="3:8" ht="13.2">
      <c r="C896" s="63"/>
      <c r="D896" s="50"/>
      <c r="E896" s="50"/>
      <c r="F896" s="50"/>
      <c r="G896" s="50"/>
      <c r="H896" s="50"/>
    </row>
    <row r="897" spans="3:8" ht="13.2">
      <c r="C897" s="63"/>
      <c r="D897" s="50"/>
      <c r="E897" s="50"/>
      <c r="F897" s="50"/>
      <c r="G897" s="50"/>
      <c r="H897" s="50"/>
    </row>
    <row r="898" spans="3:8" ht="13.2">
      <c r="C898" s="63"/>
      <c r="D898" s="50"/>
      <c r="E898" s="50"/>
      <c r="F898" s="50"/>
      <c r="G898" s="50"/>
      <c r="H898" s="50"/>
    </row>
    <row r="899" spans="3:8" ht="13.2">
      <c r="C899" s="63"/>
      <c r="D899" s="50"/>
      <c r="E899" s="50"/>
      <c r="F899" s="50"/>
      <c r="G899" s="50"/>
      <c r="H899" s="50"/>
    </row>
    <row r="900" spans="3:8" ht="13.2">
      <c r="C900" s="63"/>
      <c r="D900" s="50"/>
      <c r="E900" s="50"/>
      <c r="F900" s="50"/>
      <c r="G900" s="50"/>
      <c r="H900" s="50"/>
    </row>
    <row r="901" spans="3:8" ht="13.2">
      <c r="C901" s="63"/>
      <c r="D901" s="50"/>
      <c r="E901" s="50"/>
      <c r="F901" s="50"/>
      <c r="G901" s="50"/>
      <c r="H901" s="50"/>
    </row>
    <row r="902" spans="3:8" ht="13.2">
      <c r="C902" s="63"/>
      <c r="D902" s="50"/>
      <c r="E902" s="50"/>
      <c r="F902" s="50"/>
      <c r="G902" s="50"/>
      <c r="H902" s="50"/>
    </row>
    <row r="903" spans="3:8" ht="13.2">
      <c r="C903" s="63"/>
      <c r="D903" s="50"/>
      <c r="E903" s="50"/>
      <c r="F903" s="50"/>
      <c r="G903" s="50"/>
      <c r="H903" s="50"/>
    </row>
    <row r="904" spans="3:8" ht="13.2">
      <c r="C904" s="63"/>
      <c r="D904" s="50"/>
      <c r="E904" s="50"/>
      <c r="F904" s="50"/>
      <c r="G904" s="50"/>
      <c r="H904" s="50"/>
    </row>
    <row r="905" spans="3:8" ht="13.2">
      <c r="C905" s="63"/>
      <c r="D905" s="50"/>
      <c r="E905" s="50"/>
      <c r="F905" s="50"/>
      <c r="G905" s="50"/>
      <c r="H905" s="50"/>
    </row>
    <row r="906" spans="3:8" ht="13.2">
      <c r="C906" s="63"/>
      <c r="D906" s="50"/>
      <c r="E906" s="50"/>
      <c r="F906" s="50"/>
      <c r="G906" s="50"/>
      <c r="H906" s="50"/>
    </row>
    <row r="907" spans="3:8" ht="13.2">
      <c r="C907" s="63"/>
      <c r="D907" s="50"/>
      <c r="E907" s="50"/>
      <c r="F907" s="50"/>
      <c r="G907" s="50"/>
      <c r="H907" s="50"/>
    </row>
    <row r="908" spans="3:8" ht="13.2">
      <c r="C908" s="63"/>
      <c r="D908" s="50"/>
      <c r="E908" s="50"/>
      <c r="F908" s="50"/>
      <c r="G908" s="50"/>
      <c r="H908" s="50"/>
    </row>
    <row r="909" spans="3:8" ht="13.2">
      <c r="C909" s="63"/>
      <c r="D909" s="50"/>
      <c r="E909" s="50"/>
      <c r="F909" s="50"/>
      <c r="G909" s="50"/>
      <c r="H909" s="50"/>
    </row>
    <row r="910" spans="3:8" ht="13.2">
      <c r="C910" s="63"/>
      <c r="D910" s="50"/>
      <c r="E910" s="50"/>
      <c r="F910" s="50"/>
      <c r="G910" s="50"/>
      <c r="H910" s="50"/>
    </row>
    <row r="911" spans="3:8" ht="13.2">
      <c r="C911" s="63"/>
      <c r="D911" s="50"/>
      <c r="E911" s="50"/>
      <c r="F911" s="50"/>
      <c r="G911" s="50"/>
      <c r="H911" s="50"/>
    </row>
    <row r="912" spans="3:8" ht="13.2">
      <c r="C912" s="63"/>
      <c r="D912" s="50"/>
      <c r="E912" s="50"/>
      <c r="F912" s="50"/>
      <c r="G912" s="50"/>
      <c r="H912" s="50"/>
    </row>
    <row r="913" spans="3:8" ht="13.2">
      <c r="C913" s="63"/>
      <c r="D913" s="50"/>
      <c r="E913" s="50"/>
      <c r="F913" s="50"/>
      <c r="G913" s="50"/>
      <c r="H913" s="50"/>
    </row>
    <row r="914" spans="3:8" ht="13.2">
      <c r="C914" s="63"/>
      <c r="D914" s="50"/>
      <c r="E914" s="50"/>
      <c r="F914" s="50"/>
      <c r="G914" s="50"/>
      <c r="H914" s="50"/>
    </row>
    <row r="915" spans="3:8" ht="13.2">
      <c r="C915" s="63"/>
      <c r="D915" s="50"/>
      <c r="E915" s="50"/>
      <c r="F915" s="50"/>
      <c r="G915" s="50"/>
      <c r="H915" s="50"/>
    </row>
    <row r="916" spans="3:8" ht="13.2">
      <c r="C916" s="63"/>
      <c r="D916" s="50"/>
      <c r="E916" s="50"/>
      <c r="F916" s="50"/>
      <c r="G916" s="50"/>
      <c r="H916" s="50"/>
    </row>
    <row r="917" spans="3:8" ht="13.2">
      <c r="C917" s="63"/>
      <c r="D917" s="50"/>
      <c r="E917" s="50"/>
      <c r="F917" s="50"/>
      <c r="G917" s="50"/>
      <c r="H917" s="50"/>
    </row>
    <row r="918" spans="3:8" ht="13.2">
      <c r="C918" s="63"/>
      <c r="D918" s="50"/>
      <c r="E918" s="50"/>
      <c r="F918" s="50"/>
      <c r="G918" s="50"/>
      <c r="H918" s="50"/>
    </row>
    <row r="919" spans="3:8" ht="13.2">
      <c r="C919" s="63"/>
      <c r="D919" s="50"/>
      <c r="E919" s="50"/>
      <c r="F919" s="50"/>
      <c r="G919" s="50"/>
      <c r="H919" s="50"/>
    </row>
    <row r="920" spans="3:8" ht="13.2">
      <c r="C920" s="63"/>
      <c r="D920" s="50"/>
      <c r="E920" s="50"/>
      <c r="F920" s="50"/>
      <c r="G920" s="50"/>
      <c r="H920" s="50"/>
    </row>
    <row r="921" spans="3:8" ht="13.2">
      <c r="C921" s="63"/>
      <c r="D921" s="50"/>
      <c r="E921" s="50"/>
      <c r="F921" s="50"/>
      <c r="G921" s="50"/>
      <c r="H921" s="50"/>
    </row>
    <row r="922" spans="3:8" ht="13.2">
      <c r="C922" s="63"/>
      <c r="D922" s="50"/>
      <c r="E922" s="50"/>
      <c r="F922" s="50"/>
      <c r="G922" s="50"/>
      <c r="H922" s="50"/>
    </row>
    <row r="923" spans="3:8" ht="13.2">
      <c r="C923" s="63"/>
      <c r="D923" s="50"/>
      <c r="E923" s="50"/>
      <c r="F923" s="50"/>
      <c r="G923" s="50"/>
      <c r="H923" s="50"/>
    </row>
    <row r="924" spans="3:8" ht="13.2">
      <c r="C924" s="63"/>
      <c r="D924" s="50"/>
      <c r="E924" s="50"/>
      <c r="F924" s="50"/>
      <c r="G924" s="50"/>
      <c r="H924" s="50"/>
    </row>
    <row r="925" spans="3:8" ht="13.2">
      <c r="C925" s="63"/>
      <c r="D925" s="50"/>
      <c r="E925" s="50"/>
      <c r="F925" s="50"/>
      <c r="G925" s="50"/>
      <c r="H925" s="50"/>
    </row>
    <row r="926" spans="3:8" ht="13.2">
      <c r="C926" s="63"/>
      <c r="D926" s="50"/>
      <c r="E926" s="50"/>
      <c r="F926" s="50"/>
      <c r="G926" s="50"/>
      <c r="H926" s="50"/>
    </row>
    <row r="927" spans="3:8" ht="13.2">
      <c r="C927" s="63"/>
      <c r="D927" s="50"/>
      <c r="E927" s="50"/>
      <c r="F927" s="50"/>
      <c r="G927" s="50"/>
      <c r="H927" s="50"/>
    </row>
    <row r="928" spans="3:8" ht="13.2">
      <c r="C928" s="63"/>
      <c r="D928" s="50"/>
      <c r="E928" s="50"/>
      <c r="F928" s="50"/>
      <c r="G928" s="50"/>
      <c r="H928" s="50"/>
    </row>
    <row r="929" spans="3:8" ht="13.2">
      <c r="C929" s="63"/>
      <c r="D929" s="50"/>
      <c r="E929" s="50"/>
      <c r="F929" s="50"/>
      <c r="G929" s="50"/>
      <c r="H929" s="50"/>
    </row>
    <row r="930" spans="3:8" ht="13.2">
      <c r="C930" s="63"/>
      <c r="D930" s="50"/>
      <c r="E930" s="50"/>
      <c r="F930" s="50"/>
      <c r="G930" s="50"/>
      <c r="H930" s="50"/>
    </row>
    <row r="931" spans="3:8" ht="13.2">
      <c r="C931" s="63"/>
      <c r="D931" s="50"/>
      <c r="E931" s="50"/>
      <c r="F931" s="50"/>
      <c r="G931" s="50"/>
      <c r="H931" s="50"/>
    </row>
    <row r="932" spans="3:8" ht="13.2">
      <c r="C932" s="63"/>
      <c r="D932" s="50"/>
      <c r="E932" s="50"/>
      <c r="F932" s="50"/>
      <c r="G932" s="50"/>
      <c r="H932" s="50"/>
    </row>
    <row r="933" spans="3:8" ht="13.2">
      <c r="C933" s="63"/>
      <c r="D933" s="50"/>
      <c r="E933" s="50"/>
      <c r="F933" s="50"/>
      <c r="G933" s="50"/>
      <c r="H933" s="50"/>
    </row>
    <row r="934" spans="3:8" ht="13.2">
      <c r="C934" s="63"/>
      <c r="D934" s="50"/>
      <c r="E934" s="50"/>
      <c r="F934" s="50"/>
      <c r="G934" s="50"/>
      <c r="H934" s="50"/>
    </row>
    <row r="935" spans="3:8" ht="13.2">
      <c r="C935" s="63"/>
      <c r="D935" s="50"/>
      <c r="E935" s="50"/>
      <c r="F935" s="50"/>
      <c r="G935" s="50"/>
      <c r="H935" s="50"/>
    </row>
    <row r="936" spans="3:8" ht="13.2">
      <c r="C936" s="63"/>
      <c r="D936" s="50"/>
      <c r="E936" s="50"/>
      <c r="F936" s="50"/>
      <c r="G936" s="50"/>
      <c r="H936" s="50"/>
    </row>
    <row r="937" spans="3:8" ht="13.2">
      <c r="C937" s="63"/>
      <c r="D937" s="50"/>
      <c r="E937" s="50"/>
      <c r="F937" s="50"/>
      <c r="G937" s="50"/>
      <c r="H937" s="50"/>
    </row>
    <row r="938" spans="3:8" ht="13.2">
      <c r="C938" s="63"/>
      <c r="D938" s="50"/>
      <c r="E938" s="50"/>
      <c r="F938" s="50"/>
      <c r="G938" s="50"/>
      <c r="H938" s="50"/>
    </row>
    <row r="939" spans="3:8" ht="13.2">
      <c r="C939" s="63"/>
      <c r="D939" s="50"/>
      <c r="E939" s="50"/>
      <c r="F939" s="50"/>
      <c r="G939" s="50"/>
      <c r="H939" s="50"/>
    </row>
    <row r="940" spans="3:8" ht="13.2">
      <c r="C940" s="63"/>
      <c r="D940" s="50"/>
      <c r="E940" s="50"/>
      <c r="F940" s="50"/>
      <c r="G940" s="50"/>
      <c r="H940" s="50"/>
    </row>
    <row r="941" spans="3:8" ht="13.2">
      <c r="C941" s="63"/>
      <c r="D941" s="50"/>
      <c r="E941" s="50"/>
      <c r="F941" s="50"/>
      <c r="G941" s="50"/>
      <c r="H941" s="50"/>
    </row>
    <row r="942" spans="3:8" ht="13.2">
      <c r="C942" s="63"/>
      <c r="D942" s="50"/>
      <c r="E942" s="50"/>
      <c r="F942" s="50"/>
      <c r="G942" s="50"/>
      <c r="H942" s="50"/>
    </row>
    <row r="943" spans="3:8" ht="13.2">
      <c r="C943" s="63"/>
      <c r="D943" s="50"/>
      <c r="E943" s="50"/>
      <c r="F943" s="50"/>
      <c r="G943" s="50"/>
      <c r="H943" s="50"/>
    </row>
    <row r="944" spans="3:8" ht="13.2">
      <c r="C944" s="63"/>
      <c r="D944" s="50"/>
      <c r="E944" s="50"/>
      <c r="F944" s="50"/>
      <c r="G944" s="50"/>
      <c r="H944" s="50"/>
    </row>
    <row r="945" spans="3:8" ht="13.2">
      <c r="C945" s="63"/>
      <c r="D945" s="50"/>
      <c r="E945" s="50"/>
      <c r="F945" s="50"/>
      <c r="G945" s="50"/>
      <c r="H945" s="50"/>
    </row>
    <row r="946" spans="3:8" ht="13.2">
      <c r="C946" s="63"/>
      <c r="D946" s="50"/>
      <c r="E946" s="50"/>
      <c r="F946" s="50"/>
      <c r="G946" s="50"/>
      <c r="H946" s="50"/>
    </row>
    <row r="947" spans="3:8" ht="13.2">
      <c r="C947" s="63"/>
      <c r="D947" s="50"/>
      <c r="E947" s="50"/>
      <c r="F947" s="50"/>
      <c r="G947" s="50"/>
      <c r="H947" s="50"/>
    </row>
    <row r="948" spans="3:8" ht="13.2">
      <c r="C948" s="63"/>
      <c r="D948" s="50"/>
      <c r="E948" s="50"/>
      <c r="F948" s="50"/>
      <c r="G948" s="50"/>
      <c r="H948" s="50"/>
    </row>
    <row r="949" spans="3:8" ht="13.2">
      <c r="C949" s="63"/>
      <c r="D949" s="50"/>
      <c r="E949" s="50"/>
      <c r="F949" s="50"/>
      <c r="G949" s="50"/>
      <c r="H949" s="50"/>
    </row>
    <row r="950" spans="3:8" ht="13.2">
      <c r="C950" s="63"/>
      <c r="D950" s="50"/>
      <c r="E950" s="50"/>
      <c r="F950" s="50"/>
      <c r="G950" s="50"/>
      <c r="H950" s="50"/>
    </row>
    <row r="951" spans="3:8" ht="13.2">
      <c r="C951" s="63"/>
      <c r="D951" s="50"/>
      <c r="E951" s="50"/>
      <c r="F951" s="50"/>
      <c r="G951" s="50"/>
      <c r="H951" s="50"/>
    </row>
    <row r="952" spans="3:8" ht="13.2">
      <c r="C952" s="63"/>
      <c r="D952" s="50"/>
      <c r="E952" s="50"/>
      <c r="F952" s="50"/>
      <c r="G952" s="50"/>
      <c r="H952" s="50"/>
    </row>
    <row r="953" spans="3:8" ht="13.2">
      <c r="C953" s="63"/>
      <c r="D953" s="50"/>
      <c r="E953" s="50"/>
      <c r="F953" s="50"/>
      <c r="G953" s="50"/>
      <c r="H953" s="50"/>
    </row>
    <row r="954" spans="3:8" ht="13.2">
      <c r="C954" s="63"/>
      <c r="D954" s="50"/>
      <c r="E954" s="50"/>
      <c r="F954" s="50"/>
      <c r="G954" s="50"/>
      <c r="H954" s="50"/>
    </row>
    <row r="955" spans="3:8" ht="13.2">
      <c r="C955" s="63"/>
      <c r="D955" s="50"/>
      <c r="E955" s="50"/>
      <c r="F955" s="50"/>
      <c r="G955" s="50"/>
      <c r="H955" s="50"/>
    </row>
    <row r="956" spans="3:8" ht="13.2">
      <c r="C956" s="63"/>
      <c r="D956" s="50"/>
      <c r="E956" s="50"/>
      <c r="F956" s="50"/>
      <c r="G956" s="50"/>
      <c r="H956" s="50"/>
    </row>
    <row r="957" spans="3:8" ht="13.2">
      <c r="C957" s="63"/>
      <c r="D957" s="50"/>
      <c r="E957" s="50"/>
      <c r="F957" s="50"/>
      <c r="G957" s="50"/>
      <c r="H957" s="50"/>
    </row>
    <row r="958" spans="3:8" ht="13.2">
      <c r="C958" s="63"/>
      <c r="D958" s="50"/>
      <c r="E958" s="50"/>
      <c r="F958" s="50"/>
      <c r="G958" s="50"/>
      <c r="H958" s="50"/>
    </row>
    <row r="959" spans="3:8" ht="13.2">
      <c r="C959" s="63"/>
      <c r="D959" s="50"/>
      <c r="E959" s="50"/>
      <c r="F959" s="50"/>
      <c r="G959" s="50"/>
      <c r="H959" s="50"/>
    </row>
    <row r="960" spans="3:8" ht="13.2">
      <c r="C960" s="63"/>
      <c r="D960" s="50"/>
      <c r="E960" s="50"/>
      <c r="F960" s="50"/>
      <c r="G960" s="50"/>
      <c r="H960" s="50"/>
    </row>
    <row r="961" spans="3:8" ht="13.2">
      <c r="C961" s="63"/>
      <c r="D961" s="50"/>
      <c r="E961" s="50"/>
      <c r="F961" s="50"/>
      <c r="G961" s="50"/>
      <c r="H961" s="50"/>
    </row>
    <row r="962" spans="3:8" ht="13.2">
      <c r="C962" s="63"/>
      <c r="D962" s="50"/>
      <c r="E962" s="50"/>
      <c r="F962" s="50"/>
      <c r="G962" s="50"/>
      <c r="H962" s="50"/>
    </row>
    <row r="963" spans="3:8" ht="13.2">
      <c r="C963" s="63"/>
      <c r="D963" s="50"/>
      <c r="E963" s="50"/>
      <c r="F963" s="50"/>
      <c r="G963" s="50"/>
      <c r="H963" s="50"/>
    </row>
    <row r="964" spans="3:8" ht="13.2">
      <c r="C964" s="63"/>
      <c r="D964" s="50"/>
      <c r="E964" s="50"/>
      <c r="F964" s="50"/>
      <c r="G964" s="50"/>
      <c r="H964" s="50"/>
    </row>
    <row r="965" spans="3:8" ht="13.2">
      <c r="C965" s="63"/>
      <c r="D965" s="50"/>
      <c r="E965" s="50"/>
      <c r="F965" s="50"/>
      <c r="G965" s="50"/>
      <c r="H965" s="50"/>
    </row>
    <row r="966" spans="3:8" ht="13.2">
      <c r="C966" s="63"/>
      <c r="D966" s="50"/>
      <c r="E966" s="50"/>
      <c r="F966" s="50"/>
      <c r="G966" s="50"/>
      <c r="H966" s="50"/>
    </row>
    <row r="967" spans="3:8" ht="13.2">
      <c r="C967" s="63"/>
      <c r="D967" s="50"/>
      <c r="E967" s="50"/>
      <c r="F967" s="50"/>
      <c r="G967" s="50"/>
      <c r="H967" s="50"/>
    </row>
    <row r="968" spans="3:8" ht="13.2">
      <c r="C968" s="63"/>
      <c r="D968" s="50"/>
      <c r="E968" s="50"/>
      <c r="F968" s="50"/>
      <c r="G968" s="50"/>
      <c r="H968" s="50"/>
    </row>
    <row r="969" spans="3:8" ht="13.2">
      <c r="C969" s="63"/>
      <c r="D969" s="50"/>
      <c r="E969" s="50"/>
      <c r="F969" s="50"/>
      <c r="G969" s="50"/>
      <c r="H969" s="50"/>
    </row>
    <row r="970" spans="3:8" ht="13.2">
      <c r="C970" s="63"/>
      <c r="D970" s="50"/>
      <c r="E970" s="50"/>
      <c r="F970" s="50"/>
      <c r="G970" s="50"/>
      <c r="H970" s="50"/>
    </row>
    <row r="971" spans="3:8" ht="13.2">
      <c r="C971" s="63"/>
      <c r="D971" s="50"/>
      <c r="E971" s="50"/>
      <c r="F971" s="50"/>
      <c r="G971" s="50"/>
      <c r="H971" s="50"/>
    </row>
    <row r="972" spans="3:8" ht="13.2">
      <c r="C972" s="63"/>
      <c r="D972" s="50"/>
      <c r="E972" s="50"/>
      <c r="F972" s="50"/>
      <c r="G972" s="50"/>
      <c r="H972" s="50"/>
    </row>
    <row r="973" spans="3:8" ht="13.2">
      <c r="C973" s="63"/>
      <c r="D973" s="50"/>
      <c r="E973" s="50"/>
      <c r="F973" s="50"/>
      <c r="G973" s="50"/>
      <c r="H973" s="50"/>
    </row>
    <row r="974" spans="3:8" ht="13.2">
      <c r="C974" s="63"/>
      <c r="D974" s="50"/>
      <c r="E974" s="50"/>
      <c r="F974" s="50"/>
      <c r="G974" s="50"/>
      <c r="H974" s="50"/>
    </row>
    <row r="975" spans="3:8" ht="13.2">
      <c r="C975" s="63"/>
      <c r="D975" s="50"/>
      <c r="E975" s="50"/>
      <c r="F975" s="50"/>
      <c r="G975" s="50"/>
      <c r="H975" s="50"/>
    </row>
    <row r="976" spans="3:8" ht="13.2">
      <c r="C976" s="63"/>
      <c r="D976" s="50"/>
      <c r="E976" s="50"/>
      <c r="F976" s="50"/>
      <c r="G976" s="50"/>
      <c r="H976" s="50"/>
    </row>
    <row r="977" spans="3:8" ht="13.2">
      <c r="C977" s="63"/>
      <c r="D977" s="50"/>
      <c r="E977" s="50"/>
      <c r="F977" s="50"/>
      <c r="G977" s="50"/>
      <c r="H977" s="50"/>
    </row>
    <row r="978" spans="3:8" ht="13.2">
      <c r="C978" s="63"/>
      <c r="D978" s="50"/>
      <c r="E978" s="50"/>
      <c r="F978" s="50"/>
      <c r="G978" s="50"/>
      <c r="H978" s="50"/>
    </row>
    <row r="979" spans="3:8" ht="13.2">
      <c r="C979" s="63"/>
      <c r="D979" s="50"/>
      <c r="E979" s="50"/>
      <c r="F979" s="50"/>
      <c r="G979" s="50"/>
      <c r="H979" s="50"/>
    </row>
    <row r="980" spans="3:8" ht="13.2">
      <c r="C980" s="63"/>
      <c r="D980" s="50"/>
      <c r="E980" s="50"/>
      <c r="F980" s="50"/>
      <c r="G980" s="50"/>
      <c r="H980" s="50"/>
    </row>
    <row r="981" spans="3:8" ht="13.2">
      <c r="C981" s="63"/>
      <c r="D981" s="50"/>
      <c r="E981" s="50"/>
      <c r="F981" s="50"/>
      <c r="G981" s="50"/>
      <c r="H981" s="50"/>
    </row>
  </sheetData>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workbookViewId="0">
      <pane ySplit="1" topLeftCell="A2" activePane="bottomLeft" state="frozen"/>
      <selection pane="bottomLeft" activeCell="A2" sqref="A2"/>
    </sheetView>
  </sheetViews>
  <sheetFormatPr defaultColWidth="12.5546875" defaultRowHeight="15.75" customHeight="1"/>
  <cols>
    <col min="1" max="1" width="12.5546875" customWidth="1"/>
    <col min="2" max="2" width="71" customWidth="1"/>
  </cols>
  <sheetData>
    <row r="1" spans="1:2" ht="13.2">
      <c r="A1" s="70"/>
      <c r="B1" s="71" t="s">
        <v>777</v>
      </c>
    </row>
    <row r="2" spans="1:2" ht="52.8">
      <c r="A2" s="72" t="s">
        <v>54</v>
      </c>
      <c r="B2" s="34" t="s">
        <v>778</v>
      </c>
    </row>
    <row r="3" spans="1:2" ht="84" customHeight="1">
      <c r="A3" s="73" t="s">
        <v>129</v>
      </c>
      <c r="B3" s="61" t="s">
        <v>779</v>
      </c>
    </row>
    <row r="4" spans="1:2" ht="13.2">
      <c r="A4" s="69"/>
      <c r="B4" s="38"/>
    </row>
    <row r="5" spans="1:2" ht="13.2">
      <c r="A5" s="69"/>
      <c r="B5" s="38"/>
    </row>
    <row r="6" spans="1:2" ht="13.2">
      <c r="A6" s="69"/>
      <c r="B6" s="38"/>
    </row>
    <row r="7" spans="1:2" ht="13.2">
      <c r="A7" s="69"/>
      <c r="B7" s="38"/>
    </row>
    <row r="8" spans="1:2" ht="13.2">
      <c r="A8" s="69"/>
      <c r="B8" s="38"/>
    </row>
    <row r="9" spans="1:2" ht="13.2">
      <c r="A9" s="69"/>
      <c r="B9" s="38"/>
    </row>
    <row r="10" spans="1:2" ht="13.2">
      <c r="A10" s="69"/>
      <c r="B10" s="38"/>
    </row>
    <row r="11" spans="1:2" ht="13.2">
      <c r="A11" s="69"/>
      <c r="B11" s="38"/>
    </row>
    <row r="12" spans="1:2" ht="13.2">
      <c r="A12" s="69"/>
      <c r="B12" s="38"/>
    </row>
    <row r="13" spans="1:2" ht="13.2">
      <c r="A13" s="69"/>
      <c r="B13" s="38"/>
    </row>
    <row r="14" spans="1:2" ht="13.2">
      <c r="A14" s="74"/>
      <c r="B14"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Programme Profile</vt:lpstr>
      <vt:lpstr>Situation Analysis</vt:lpstr>
      <vt:lpstr>Stakeholder Analysis</vt:lpstr>
      <vt:lpstr>Focus &amp; Goals</vt:lpstr>
      <vt:lpstr>Narrative TOC</vt:lpstr>
      <vt:lpstr>Result Chain</vt:lpstr>
      <vt:lpstr>Program M&amp;E Plan</vt:lpstr>
      <vt:lpstr>Programme Implementation Plan</vt:lpstr>
      <vt:lpstr>Learning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Ntongho</dc:creator>
  <cp:keywords/>
  <dc:description/>
  <cp:lastModifiedBy>Philip Kahuho</cp:lastModifiedBy>
  <cp:revision/>
  <dcterms:created xsi:type="dcterms:W3CDTF">2025-04-30T11:31:45Z</dcterms:created>
  <dcterms:modified xsi:type="dcterms:W3CDTF">2026-04-13T10:10:14Z</dcterms:modified>
  <cp:category/>
  <cp:contentStatus/>
</cp:coreProperties>
</file>