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wwfint-my.sharepoint.com/personal/pkahuho_wwfint_org/Documents/1. CB OSP Workshop/5. CAR OSP Files/CAR OSP FIles/"/>
    </mc:Choice>
  </mc:AlternateContent>
  <xr:revisionPtr revIDLastSave="0" documentId="8_{0CD4B088-7668-4AB6-84C0-5B2AAC963874}" xr6:coauthVersionLast="47" xr6:coauthVersionMax="47" xr10:uidLastSave="{00000000-0000-0000-0000-000000000000}"/>
  <bookViews>
    <workbookView xWindow="-110" yWindow="-110" windowWidth="19420" windowHeight="10300" firstSheet="5" activeTab="5" xr2:uid="{8AFE7B13-EE81-42D7-A4BA-4D8B1937BE93}"/>
  </bookViews>
  <sheets>
    <sheet name="Programme Profile" sheetId="1" r:id="rId1"/>
    <sheet name="Situation Analysis" sheetId="2" r:id="rId2"/>
    <sheet name="Stakeholder Analysis" sheetId="3" r:id="rId3"/>
    <sheet name="Focus &amp; Goals" sheetId="4" r:id="rId4"/>
    <sheet name="Narrative TOC" sheetId="5" r:id="rId5"/>
    <sheet name="Program M&amp;E Plan" sheetId="7" r:id="rId6"/>
    <sheet name="Programme Implementation Plan" sheetId="8" r:id="rId7"/>
    <sheet name="Learning Questions" sheetId="9" r:id="rId8"/>
    <sheet name="Result Chain" sheetId="6" r:id="rId9"/>
  </sheets>
  <definedNames>
    <definedName name="_xlnm._FilterDatabase" localSheetId="5" hidden="1">'Program M&amp;E Plan'!$A$1:$X$152</definedName>
    <definedName name="_xlnm._FilterDatabase" localSheetId="6" hidden="1">'Programme Implementation Plan'!$A$1:$M$1048</definedName>
    <definedName name="_xlnm._FilterDatabase" localSheetId="8"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8" l="1"/>
  <c r="I12" i="8"/>
  <c r="F72" i="8"/>
  <c r="G72" i="8"/>
  <c r="H72" i="8"/>
  <c r="E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5" i="8"/>
  <c r="I6" i="8"/>
  <c r="I7" i="8"/>
  <c r="I8" i="8"/>
  <c r="I9" i="8"/>
  <c r="I10" i="8"/>
  <c r="I13" i="8"/>
  <c r="I15" i="8"/>
  <c r="I17" i="8"/>
  <c r="I18" i="8"/>
  <c r="I19" i="8"/>
  <c r="I20" i="8"/>
  <c r="I21" i="8"/>
  <c r="I22" i="8"/>
  <c r="I23" i="8"/>
  <c r="I24" i="8"/>
  <c r="I25" i="8"/>
  <c r="I4" i="8"/>
  <c r="I3" i="8"/>
  <c r="D72" i="8" l="1"/>
  <c r="I7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tc={89D584E9-AEDB-4DEA-91D3-3A4879394335}</author>
    <author>tc={5A02D3E3-3348-4651-8CF7-F579B5108569}</author>
    <author>tc={4E3F6973-7D2B-4220-ACFC-54ACE38E53F9}</author>
  </authors>
  <commentList>
    <comment ref="N1" authorId="0" shapeId="0" xr:uid="{89D584E9-AEDB-4DEA-91D3-3A487939433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@Pierre Kafando we need to complete the risk assessment and the risk register. I am available to support </t>
      </text>
    </comment>
    <comment ref="H14" authorId="1" shapeId="0" xr:uid="{5A02D3E3-3348-4651-8CF7-F579B5108569}">
      <text>
        <t>[Threaded comment]
Your version of Excel allows you to read this threaded comment; however, any edits to it will get removed if the file is opened in a newer version of Excel. Learn more: https://go.microsoft.com/fwlink/?linkid=870924
Comment:
    Reduce to 75%</t>
      </text>
    </comment>
    <comment ref="E28" authorId="2" shapeId="0" xr:uid="{4E3F6973-7D2B-4220-ACFC-54ACE38E53F9}">
      <text>
        <t>[Threaded comment]
Your version of Excel allows you to read this threaded comment; however, any edits to it will get removed if the file is opened in a newer version of Excel. Learn more: https://go.microsoft.com/fwlink/?linkid=870924
Comment:
    @Pierre Kafando , @Bruce DEGUENE  most of the Output indicators still do not have baseline and targets. For the few that have, they are not well formatted to know which is which. I would suggest you put it as in the outcome which is excellently done.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sharedStrings.xml><?xml version="1.0" encoding="utf-8"?>
<sst xmlns="http://schemas.openxmlformats.org/spreadsheetml/2006/main" count="1892" uniqueCount="994">
  <si>
    <t>Read Me First</t>
  </si>
  <si>
    <t xml:space="preserve">Programme Name
</t>
  </si>
  <si>
    <t>Please enter the Name of the Programme (Max 20 words)
See the guidance on the approach to the Programme and Project Planning</t>
  </si>
  <si>
    <t>Forests and other habitats</t>
  </si>
  <si>
    <t>Program Lead</t>
  </si>
  <si>
    <t>Please enter the Name of the Program Lead</t>
  </si>
  <si>
    <t>Pierre Kafando</t>
  </si>
  <si>
    <t>Program Team Member</t>
  </si>
  <si>
    <t xml:space="preserve">Please list the name of Program Staff. 
This will be the list of staff who will have access to the Program information in the new PMEL system. </t>
  </si>
  <si>
    <t>Laurent Somé
Bruce Deguene
Yoann Galeran
Njunkeng Fualefac
Ghislain Bellha
Stef de Bethune
Amandine Toumbou
Antoine Edé
Frédéric Singa
Alphonsine Colombe
Claude Bengono</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</si>
  <si>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</si>
  <si>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</si>
  <si>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</si>
  <si>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</si>
  <si>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</si>
  <si>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</si>
  <si>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</si>
  <si>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</si>
  <si>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t xml:space="preserve">The Country Programme for CAR integrates species and habitat conservation across the Dzanga-Sangha Protected Areas (DSPA) and Ngotto landscapes, aiming to secure biodiversity and improve the well-being of Indigenous Peoples and Local Communities (IPLCs) by 2035. This integrated approach targets the protection of High Conservation Value (HCV) forests, forest elephants, great apes, and other threatened species through inclusive governance, sustainable livelihoods, and ecological resilience.
The programme seeks to maintain 100% forest cover in Protected Areas and 95% in non-Protected Areas, while restoring degraded habitats and reducing forest conversion. Species conservation goals include stabilizing or increasing elephant and great ape populations, reducing poaching signs by 25%, and improving community attitudes toward wildlife. Key strategies include strengthening law enforcement, promoting sustainable land use and agroforestry, and expanding ecotourism and alternative livelihoods to reduce pressure on natural resources.
In the biodiverse Ngotto landscape—including Mbaéré-Bodingué National Park (MBNP) and surrounding concessions—conservation success requires landscape-scale management due to ecological connectivity and growing human pressures. The programme emphasizes IPLC empowerment, secure land tenure, and education support, alongside policy advocacy for biodiversity protection and rights-based conservation. Together, these efforts aim to foster resilient ecosystems and empowered communities across CAR.
</t>
  </si>
  <si>
    <t>Program Focus / Focal Area</t>
  </si>
  <si>
    <t xml:space="preserve">Please select one or more Conservation and/or Human well being Focus areas that your program will be focusing on. 
Please make sure this is a subset of what's selected in the OSP. 
</t>
  </si>
  <si>
    <t>Forest Elephant
Great Apes
Dense forest
High Conservation Value forests
Adaptation to climate change
Policy and advocacy
Human well-being</t>
  </si>
  <si>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</si>
  <si>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</si>
  <si>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</si>
  <si>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</si>
  <si>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Dzanga-Sangha Protected Areas (DSPA)</t>
  </si>
  <si>
    <t xml:space="preserve">The Dzanga-Sangha Protected Areas Complex (DSPA) in the Central African Republic spans 4,381 km² and plays a vital role in biodiversity conservation and supporting local communities through sustainable practices and ecotourism. Established in 1990, it includes the Dzanga-Ndoki National Park and the Dzanga-Sangha Special Dense Forest Reserve, hosting endangered species like forest elephants, gorillas, and chimpanzees. The DSPA's diverse habitats, including tropical forests and mineral-rich clearings, are critical for ecosystem connectivity, with the Sangha River being central to local fisheries. The region's population is ethnically diverse, with the BaAka indigenous people making up 21% and the Bilo migrant population 79%. Local governance involves both formal authorities and traditional land chiefs. The economy is driven by subsistence agriculture, fishing, artisanal mining, and hunting, though illegal activities like poaching and mining threaten conservation efforts. Despite improvements in infrastructure, health and education access remains limited, with common health issues including infectious diseases and malnutrition. Conservation faces challenges from resource extraction and climate change. Ecotourism offers economic opportunities, though its financial benefits remain modest. Balancing development and conservation is essential to ensure the region's sustainability.
</t>
  </si>
  <si>
    <t>Ngotto Forest</t>
  </si>
  <si>
    <t>The Ngotto Forest Complex in southwestern Central African Republic spans approximately 780,000 hectares, comprising the Mbaéré-Bodingué National Park (MBNP) and three surrounding logging concessions, with the broader landscape potentially extending to over one million hectares when including Dzanga-Sangha National Park (DSNP). The area forms a vital transition zone between savannah and tropical forest and supports rich biodiversity, including forest elephants, great apes, endemic species, and RAMSAR-listed wetlands. A 2024 survey recorded 27 mammal species, over 900 great apes, and 323 woody plant species, though small primates have declined sharply. Around 31,000 people—among them indigenous Bofi and 18 ethnic groups—depend on the landscape for subsistence agriculture, logging, mining, and bushmeat. However, the park alone is too small to ensure ecological integrity, making a conservation focus solely on MBNP impractical. Effective conservation must include the surrounding concessions, though this significantly increases the budgetary and logistical requirements. Key threats include illegal logging, poaching, deforestation, mining, climate change, and population pressure. Despite a history of political instability and underfunded conservation, recent ecological data and a landscape-scale approach offer renewed opportunities for integrated biodiversity protection and sustainable land management.</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</si>
  <si>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</si>
  <si>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</si>
  <si>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</si>
  <si>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Forest and Other Habitats Programme</t>
  </si>
  <si>
    <t>The Forest and Other Habitat Conservation Programme in CAR focuses on the DSPA and Ngotto landscapes. It aims to secure High Conservation Value (HCV) forests and vital habitats by 2035 while enhancing the well-being of Indigenous Peoples and Local Communities (IPLCs). Guided by a theory of change that emphasizes inclusive governance, sustainable development, and community stewardship, the programme targets maintaining 100% of forest cover in Protected Areas and at least 95% in non-Protected Areas. Core strategies include enforcing forest protection laws, promoting sustainable forest and land-use practices, and restoring degraded habitats—especially ecological corridors and riparian zones—by 25% over 2025 levels. WWF and partners will empower IPLCs through secure land tenure, participatory forest governance, and alternative livelihoods such as agroforestry, sustainable agriculture, and ecotourism. These efforts aim to improve community well-being by 10%, household incomes by at least 10%, and access to essential services by 50%. Policy advocacy will drive institutional reform, with an objective to enact at least two biodiversity policies and one IPLC rights law. By 2030, 75% of logging firms should have approved management plans, and ecotourism will contribute 10% of DSPA’s operational budget. The programme envisions resilient forests and empowered communities, advancing conservation through equity, sustainability, and adaptive management.</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</si>
  <si>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</si>
  <si>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</si>
  <si>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 xml:space="preserve">•	Government Stability and Capacity: CAR has experienced prolonged political instability, conflict, and weak governance. These factors undermine effective conservation enforcement, coordination, and long-term planning.
•	Security Risks: Armed groups, cross-border poaching networks, and illegal logging are facilitated by insecurity in and around DSPAs and Ngotto, threatening both wildlife and staff safety.
•	International Partnerships: Conservation programmes in DSPAs (co-managed with WWF) benefit from political support via international conservation agreements (e.g. CITES, CBD), but local political will remains inconsistent.
•	Decentralization and Local Governance: Ongoing efforts to devolve natural resource management to local authorities and communities can enhance ownership but also face capacity and corruption challenges.
</t>
  </si>
  <si>
    <t>Social</t>
  </si>
  <si>
    <t xml:space="preserve">•	Community Engagement and Customary Rights: Indigenous groups (e.g. BaAka) and rural communities have deep ties to forest resources. Exclusion or top-down conservation approaches have led to marginalization and conflict.
•	Education and Awareness: Low literacy and environmental awareness hinder local participation in conservation programmes, though community-based education initiatives in DSPAs are improving.
•	Cultural Practices: Traditional hunting practices can conflict with species protection, but also offer opportunities for culturally grounded conservation models when communities are empowered.
•	Demographic Pressure: Population growth, migration, and returnees (post-conflict) increase pressure on forest resources around Ngotto and the DSPAs.
</t>
  </si>
  <si>
    <t>Economic</t>
  </si>
  <si>
    <t xml:space="preserve">•	Poverty and Livelihood Dependency: High poverty levels in CAR push local communities to depend on forest resources (e.g. hunting, logging) for survival, creating tension with conservation goals.
•	Donor Dependence: Conservation in DSPAs and Ngotto is heavily reliant on external funding (e.g. EU, GEF), which makes programmes vulnerable to shifting donor priorities and financial sustainability risks.
•	Ecotourism Potential: DSPAs, especially the Dzanga Bai, have high ecotourism value (e.g. lowland gorillas, forest elephants), but fragile security and poor infrastructure limit economic benefits.
•	Informal Economy and Illicit Trade: Illegal logging, bushmeat trade, and trafficking of ivory or endangered species generate informal revenues that undermine conservation and divert economic gains from legal conservation-linked ventures.
</t>
  </si>
  <si>
    <t>Climate &amp; Environmental</t>
  </si>
  <si>
    <t>Institutional</t>
  </si>
  <si>
    <t xml:space="preserve">•	Governance &amp; Institutional Framework: Co-management model in DSPAs (WWF + government), but weak government presence and institutional structures in Ngotto.
•	Capacity Issues: Limited staffing, skills gaps, and underfunded conservation institutions, particularly in remote areas like Ngotto.
•	Coordination Challenges: Weak inter-ministerial and local governance coordination; transboundary cooperation exists in DSPAs but is often fragmented.
•	Funding &amp; Sustainability: High reliance on external donors for DSPAs; Ngotto lacks stable funding and national resource allocation.
•	Legal &amp; Enforcement Gaps: Weak judicial systems, limited law enforcement capacity (e.g., eco-guards), and corruption hinder effective conservation law enforcement.
•	Community Engagement: Stronger community-based conservation initiatives in DSPAs; Ngotto has less community organization and institutional support from NGOs.
</t>
  </si>
  <si>
    <t>Stakeholder Name</t>
  </si>
  <si>
    <t>Stakeholder Description</t>
  </si>
  <si>
    <t>Stakeholder Type</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</si>
  <si>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</si>
  <si>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</si>
  <si>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</si>
  <si>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</si>
  <si>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</si>
  <si>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</si>
  <si>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</si>
  <si>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</si>
  <si>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</si>
  <si>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</si>
  <si>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MEFCP</t>
  </si>
  <si>
    <t>National authority of co-management</t>
  </si>
  <si>
    <t>Government's / Public Sector Organization</t>
  </si>
  <si>
    <t xml:space="preserve"> Responsible, within the framework of the general policy defined by the Government, for drawing up and implementing national policy in the fields of Water, Forests, Hunting and Fishing.</t>
  </si>
  <si>
    <t>MACT</t>
  </si>
  <si>
    <t>National authority of management</t>
  </si>
  <si>
    <t>MEDD</t>
  </si>
  <si>
    <t xml:space="preserve">Responsible, within the framework of the general policy defined by the Government, for drawing up and implementing national policy in the fields of Environment and Sustainable Development, </t>
  </si>
  <si>
    <t>FTNS</t>
  </si>
  <si>
    <t>UE</t>
  </si>
  <si>
    <t>MEFP</t>
  </si>
  <si>
    <t>Ndima Kali</t>
  </si>
  <si>
    <t>Indigenous People &amp; Local Communities</t>
  </si>
  <si>
    <t>Radio Njokou</t>
  </si>
  <si>
    <t>GDRNE</t>
  </si>
  <si>
    <t>Civil Society Organization</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</si>
  <si>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</si>
  <si>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</si>
  <si>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</si>
  <si>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</si>
  <si>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</si>
  <si>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</si>
  <si>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</si>
  <si>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</si>
  <si>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</si>
  <si>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</si>
  <si>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High conservation Value forest</t>
  </si>
  <si>
    <t>By 2035, at least 90% of targeted HCV forests in priority landscapes are conserved to retain their key ecological functions relative to baseline (DSPA: 2020 &amp; Ngotto: 2024)</t>
  </si>
  <si>
    <t>1. No sudden environmental disturbances that could lead to additional clearance of HCV forest surface
HCV forests are covered by legal designations or agreements that are actively enforced by competent and committed authorities.
HCV forests are resilient to climate shocks (e.g. fires, drought) through adaptation strategies and early warning systems.</t>
  </si>
  <si>
    <t>Dense forest</t>
  </si>
  <si>
    <t>By 2035, the number of ha of dense forests in the targeted landscapes is maintained 100% intact in the targeted PAs and at least 95% in the non-PAs compared to 2020</t>
  </si>
  <si>
    <t>Government agencies and local management bodies have the resources, skills, and authority to implement forest protection and respond to threats effectively.
Land-use plans in non-protected areas prioritize forest conservation through buffer zones, agroforestry, and community forest management schemes.</t>
  </si>
  <si>
    <t>Human Wellbeing</t>
  </si>
  <si>
    <t>By 2035, the well-being and resilience of targeted communities is improved by at least 10% relative to 2025 baseline</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</si>
  <si>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</si>
  <si>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</si>
  <si>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t xml:space="preserve">This theory of change aims to ensure the long-term conservation of High Conservation Value (HCV) forests and habitats in the DSPA and Ngotto landscapes, while enhancing the wellbeing of Indigenous Peoples and Local Communities (IPLCs) by 2035. It recognizes that effective conservation depends on strong governance, community stewardship, and inclusive economic development.
By 2035, the goal is to keep at least 90% of targeted HCV forests intact, with 100% preserved in Protected Areas and at least 95% in non-Protected Areas, using 2020 as the baseline. Simultaneously, targeted communities are expected to experience at least a 10% improvement in wellbeing compared to 2025. These outcomes are based on key assumptions: that no major environmental or political disruptions (such as deforestation surges, conflict, or climate disasters) occur; that legal frameworks are enforced by capable authorities; and that stakeholders—including indigenous people and local communities, government, and the private sector—remain engaged and supportive.
To achieve this, WWF and partners will promote legality and sustainable forest management, empower community forest governance, and expand sustainable agriculture and agroforestry. These efforts will halt forest conversion, restore degraded areas, and enhance livelihoods. By 2030, no HCV forests in targeted areas will be converted to other uses; at least 80% of supported farmers will apply best practices; and 75% of community forests will be sustainably managed. Habitat restoration will increase by 25% compared to 2025, assuming continued support from communities and private sector actors.
Strengthened governance and policy frameworks are critical enablers. WWF will support policy advocacy and institutional reform to improve environmental protection and IPLC rights. By 2030, at least two national biodiversity-related policies and one IPLC rights policy or law will be enacted or revised. Simultaneously, at least 75% of logging companies will have approved management plans, driven by legal incentives, certification standards, and market demands.
IPLC inclusion and empowerment are central to the change process. Rights-based conservation, fair grievance redress mechanisms, and sustainable income-generating activities will build trust and shared ownership. By 2030, conservation-related complaints will decrease by 90%, and IPLCs will increasingly view conservation efforts positively, thanks to tangible social and economic benefits. Household incomes will grow by at least 10%, and access to essential goods and services will improve by 50% compared to the 2025 baseline. Education support will result in at least 50% of pupils completing primary education and 20% completing secondary education, assuming stable community support and minimal disruption to schooling.
Sustainable tourism will also contribute to conservation financing and community benefits. By 2030, ecotourism is expected to generate 10% of the DSPA’s operating budget and support IPLC socio-economic development by an equivalent amount, assuming favorable policies, consistent visitor interest, and stable operations.
This integrated approach—linking forest conservation, inclusive governance, and sustainable development—is designed to foster resilient ecosystems, empowered communities, and long-term conservation success, underpinned by ongoing collaboration, capacity building, and adaptive management.
</t>
  </si>
  <si>
    <t>Opportunities for Innovation</t>
  </si>
  <si>
    <t>Please articulate priority areas of innovation and research where needed. Innovation and Research activities must be included in the Programme Implementation Plan, 
Max. 500 words</t>
  </si>
  <si>
    <t xml:space="preserve">We will engage with the government for conversion of logging concession into a conservation concession in the Dzanga Sangha Protected Areas landscape. This initiative aims to create a training and knowledge-transfer center that is truly rooted in the region, serving the empowerment of local populations and the preservation of natural and cultural heritage, while developing a center of excellence for inclusive socio-economic development, with national, regional and international reach in terms of training, applied research, territorial innovation and capacity-building.
</t>
  </si>
  <si>
    <t>RESULT LEVEL</t>
  </si>
  <si>
    <t>PROGRAMMES</t>
  </si>
  <si>
    <t>Relevant Geographic Scope</t>
  </si>
  <si>
    <t>PROG_ID</t>
  </si>
  <si>
    <t>FOCUS</t>
  </si>
  <si>
    <t xml:space="preserve">Priority Threats / Other Factors </t>
  </si>
  <si>
    <t>RESULT_ID</t>
  </si>
  <si>
    <t>Statement</t>
  </si>
  <si>
    <t>Indicator</t>
  </si>
  <si>
    <t>Description</t>
  </si>
  <si>
    <t>Means of Verification (Source of data)</t>
  </si>
  <si>
    <t>Data Collection &amp; Analysis Methodology</t>
  </si>
  <si>
    <t>Frequency of Measurement</t>
  </si>
  <si>
    <r>
      <t xml:space="preserve">Assumptions &amp; </t>
    </r>
    <r>
      <rPr>
        <b/>
        <sz val="12"/>
        <color rgb="FFFF0000"/>
        <rFont val="Calibri"/>
        <family val="2"/>
      </rPr>
      <t>Risks</t>
    </r>
  </si>
  <si>
    <t>Baseline</t>
  </si>
  <si>
    <t>Year 1
Target</t>
  </si>
  <si>
    <t>Year 2
Target</t>
  </si>
  <si>
    <t>Year 3
Target</t>
  </si>
  <si>
    <t>Year 4
Target</t>
  </si>
  <si>
    <t xml:space="preserve">End-line Target </t>
  </si>
  <si>
    <t>Location</t>
  </si>
  <si>
    <t>Responsible</t>
  </si>
  <si>
    <t>Notes Meenu</t>
  </si>
  <si>
    <t>GOAL</t>
  </si>
  <si>
    <t>Forests &amp; Other Habitats Conservation</t>
  </si>
  <si>
    <t>% of HCV forest that is kept intact</t>
  </si>
  <si>
    <t xml:space="preserve">Forest intactness refers to the state of a forest that is largely free from significant human disturbance and fragmentation, retaining its natural structure and function. </t>
  </si>
  <si>
    <t>Clearing and other FHCVs monitoring database</t>
  </si>
  <si>
    <t xml:space="preserve">Data collection through camera traps and permanent presence  of biomonitoring teams: Records on the size of the sites, the species present, the number of individuals visiting per species, the period of visit of species, etc.
</t>
  </si>
  <si>
    <t>Annually</t>
  </si>
  <si>
    <t>DSPA (2024) : 88 %
Ngotto (2024) : 85 %</t>
  </si>
  <si>
    <t>DSPA : 88 %
Ngotto : 85 %</t>
  </si>
  <si>
    <t>DSPA : 89 %
Ngotto : 86 %</t>
  </si>
  <si>
    <t>DSPA : 89 %
Ngotto : 87 %</t>
  </si>
  <si>
    <t>DSPA : 90 %
Ngotto : 88 %</t>
  </si>
  <si>
    <t>DSPA : 90 %
Ngotto : 90 %</t>
  </si>
  <si>
    <t>Rate of use of HCV forest clearings of wildlife</t>
  </si>
  <si>
    <t>Relates to the viability of the forest (Targeted forest include Saltflats, forest clearings, baïs)</t>
  </si>
  <si>
    <t xml:space="preserve">Data collection through camera traps and permanent presence  of biomonitoring teams: Records on the size of the sites, the species present, the number of individuals visiting per species, the period of visit of species, etc. 
Rate of use: Average number of visits per species / day over one year </t>
  </si>
  <si>
    <t>Propose to remove this indicator</t>
  </si>
  <si>
    <t>Area (ha) of targeted forests maintained intact in Non-PAs</t>
  </si>
  <si>
    <t>The number of hectares of dense forests measured in the targeted areas</t>
  </si>
  <si>
    <t>Landcover monitoring data (with linked database)</t>
  </si>
  <si>
    <t>Remote sensing</t>
  </si>
  <si>
    <t>Midline (Twice)</t>
  </si>
  <si>
    <t>Ngotto : 651000 ha
DSPA: 311860 ha</t>
  </si>
  <si>
    <t>Ngotto: 643188 ha
DSPA: 311860 ha</t>
  </si>
  <si>
    <t>Ngotto: 637980 ha
DSPA: 311860 ha</t>
  </si>
  <si>
    <t xml:space="preserve">Area (ha) of targeted forests maintained intact in PAs </t>
  </si>
  <si>
    <t>PNMB: 80000 ha
DSPA: 126000 ha</t>
  </si>
  <si>
    <t>PNMB: 80000 ha
DSPA : 126000 ha</t>
  </si>
  <si>
    <t>Ngotto: 80000 ha
DSPA : 126000 ha</t>
  </si>
  <si>
    <t>Number of tonnes of the above ground carbon dioxide (CO2) stocked</t>
  </si>
  <si>
    <t>Carbon stock in above ground biomass in the targeted PAs and non-PAs.</t>
  </si>
  <si>
    <t>Carbon stock study database and report</t>
  </si>
  <si>
    <t>Field-based study combined with remote sensing data through modelling process (Data could be used from current available data platforms like Global Forest Watch)</t>
  </si>
  <si>
    <t>Ngotto: 112 547 026 tones (2025)
DSPA: 67314720 tones (2025)</t>
  </si>
  <si>
    <t>Ngotto: 112 547 026 tones
DSPA: 67314720 tones</t>
  </si>
  <si>
    <t>DSPA &amp; Ngotto</t>
  </si>
  <si>
    <t>Wellbeing</t>
  </si>
  <si>
    <t>1,2</t>
  </si>
  <si>
    <t>Wellbeing score</t>
  </si>
  <si>
    <t>Wellbeing includes materials for good life, social cohesion, rights, access to natural resources/5 categories of wellbeing
Targeted communities - IPLCs targeted in the APDS and the Ngotto Forest</t>
  </si>
  <si>
    <t>Wellbeing survey data (with linked database)</t>
  </si>
  <si>
    <t>Socioeconomic survey related to supported wellbeing aspects</t>
  </si>
  <si>
    <t xml:space="preserve">Endline </t>
  </si>
  <si>
    <t>Ngotto (2024) : 39 %
DSPA (2025): 64%</t>
  </si>
  <si>
    <t>Ngotto (2024) : 49 %
DSPA (2025): 74%</t>
  </si>
  <si>
    <t>OUTCOME</t>
  </si>
  <si>
    <t>DSPA landscape; Ngotto landscape</t>
  </si>
  <si>
    <t>HCV forests</t>
  </si>
  <si>
    <t xml:space="preserve">
Logging (illegal and unsustainable); 
Mining (illegal or irresponsible)</t>
  </si>
  <si>
    <t>2.2.1</t>
  </si>
  <si>
    <t>By 2030, zero Ha of HCV forests converted to other land uses in targeted landscapes</t>
  </si>
  <si>
    <t>Number of Ha of HCV forests converted to other land uses</t>
  </si>
  <si>
    <t>Landcover monitoring data (with linked database) and field verification</t>
  </si>
  <si>
    <t>Remote sensing and field verification</t>
  </si>
  <si>
    <t>Endline (only measured half way and at the end)</t>
  </si>
  <si>
    <t>1. Weak regulations or poor enforcement could allow illegal or legal-but-unsustainable conversions.
2. Conflicting interests in conservation versus development intrests</t>
  </si>
  <si>
    <t xml:space="preserve">MBNP (2020): 520 ha
DSPA (2025) : 530 ha </t>
  </si>
  <si>
    <t>Ngotto : 520 ha
DSPA : 530 ha</t>
  </si>
  <si>
    <t>Weak natural resource management</t>
  </si>
  <si>
    <t>2.2.2</t>
  </si>
  <si>
    <t>By 2030, at least 80% of targeted farmers  supported in priority landscapes use best agricultural  practices.</t>
  </si>
  <si>
    <t xml:space="preserve">% of farmers who adopt and implement best agricultural practices              </t>
  </si>
  <si>
    <t>Best Agricultural Practises follow Deforestation and Carbon Free -DCF program and nature positve practices. Implementation describes the effective operationalising as how it was intended.</t>
  </si>
  <si>
    <t>Farm survey database (With validated analyses and report)</t>
  </si>
  <si>
    <t xml:space="preserve">Farm survey </t>
  </si>
  <si>
    <t>Anually</t>
  </si>
  <si>
    <t>1. The farmers will apply best management practices in managing their agricultural lands, even after the end of the support</t>
  </si>
  <si>
    <t>MBNP (2020): 0% (0/500 farmers)
DSPA (2025) : 18% (185/ 1000 farmers)</t>
  </si>
  <si>
    <t>MBNP : 16%
DSPA : 34%</t>
  </si>
  <si>
    <t>MBNP : 32 %
DSPA : 50 %</t>
  </si>
  <si>
    <t>MBNP : 48%
DSPA : 66%</t>
  </si>
  <si>
    <t>MBNP : 64%
DSPA : 82 %</t>
  </si>
  <si>
    <t>Ngotto : 80%
DSPA : 98%</t>
  </si>
  <si>
    <t>Number of hectares of agricultural land under Best Agricultural Practices</t>
  </si>
  <si>
    <t>CAR targets at least 3000 ha of targetted land in APDS and Ngotto. Best Agricultural Practises follow Deforestation and Carbon Free -DCF program and nature positve practices. Implementation describes the effective operationalising as how it was intended.</t>
  </si>
  <si>
    <t>MBNP (2020): 0 (0/1000 ha)
DSPA (2025) : 185 (185/ 2000 ha)</t>
  </si>
  <si>
    <t>MBNP: 200 ha
DSPA : 400 ha)</t>
  </si>
  <si>
    <t>MBNP: 400 ha
DSPA : 800 ha)</t>
  </si>
  <si>
    <t>MBNP: 600 ha
DSPA : 1200 ha)</t>
  </si>
  <si>
    <t>MBNP: 800 ha
DSPA :1600 ha)</t>
  </si>
  <si>
    <t>Ngotto: 1000 ha
DSPA :2000 ha)</t>
  </si>
  <si>
    <t>Updated</t>
  </si>
  <si>
    <t xml:space="preserve">2.2.3 </t>
  </si>
  <si>
    <t xml:space="preserve">By 2030, at least 75% of supported community forest are managed using best practices, relative to 2025 baseline </t>
  </si>
  <si>
    <t>% of community forest areas that are managed according to approved best practices</t>
  </si>
  <si>
    <r>
      <t xml:space="preserve">CAR targets at least 2 Community Forests of at least 10,000ha. Best practices include (PSG, in compliance with national legal procedures).
</t>
    </r>
    <r>
      <rPr>
        <b/>
        <sz val="12"/>
        <color rgb="FF000000"/>
        <rFont val="Calibri"/>
        <family val="2"/>
      </rPr>
      <t xml:space="preserve">Numerator: </t>
    </r>
    <r>
      <rPr>
        <sz val="12"/>
        <color rgb="FF000000"/>
        <rFont val="Calibri"/>
        <family val="2"/>
      </rPr>
      <t xml:space="preserve">Hacteres of community forest managed according to approved best practices
Divided by:
</t>
    </r>
    <r>
      <rPr>
        <b/>
        <sz val="12"/>
        <color rgb="FF000000"/>
        <rFont val="Calibri"/>
        <family val="2"/>
      </rPr>
      <t xml:space="preserve">Denominator: </t>
    </r>
    <r>
      <rPr>
        <sz val="12"/>
        <color rgb="FF000000"/>
        <rFont val="Calibri"/>
        <family val="2"/>
      </rPr>
      <t xml:space="preserve">Hacteres of community forest </t>
    </r>
  </si>
  <si>
    <t>Community forest database (With validated analyses and report)</t>
  </si>
  <si>
    <t>Forest area implementation survey</t>
  </si>
  <si>
    <t>1. IPLC apply best management practices in managing their community forest, even after the end of the support</t>
  </si>
  <si>
    <t>MBNP (2020): 0 (0/2)
DSPA (2025) : 50% (1/ 2)</t>
  </si>
  <si>
    <t>MBNP : 0 (0/2)
DSPA : 50% (1/ 2)</t>
  </si>
  <si>
    <t>MBNP : 0 
DSPA : 50%</t>
  </si>
  <si>
    <t>MBNP : 50% (1/2)
DSPA : 50%  (2/2)</t>
  </si>
  <si>
    <t>MBNP : 50% 
DSPA : 100%</t>
  </si>
  <si>
    <t>Ngotto : 100% (2/2)
DSPA : 100% (2/2)</t>
  </si>
  <si>
    <t>Logging (illegal and unsustainable); habitat destruction</t>
  </si>
  <si>
    <t>2.2.4</t>
  </si>
  <si>
    <t>By 2030, the area of targeted habitat restored is increased by at least 25% compared to the 2025 baseline.</t>
  </si>
  <si>
    <t>Area (in hectares) of habitat restored</t>
  </si>
  <si>
    <t>CAR targets at least 2000 ha of new degraded areas in the Community Forests and the agricultural series of the targeted forest concessions for restoration. Restored zones are in community forests and fallow lands</t>
  </si>
  <si>
    <t>Restoration database (With validated analyses and report)</t>
  </si>
  <si>
    <t>Monitoring of restoration activities: recording of restored area size</t>
  </si>
  <si>
    <t>1. The private sector is willing to carry out restoration in their concessions, with the government/ law enforcement effectively monitoring</t>
  </si>
  <si>
    <t>DSPA (2025): 220 ha
Ngotto (2025): 0ha</t>
  </si>
  <si>
    <t>DSPA : 250 ha
Ngotto : 0ha</t>
  </si>
  <si>
    <t>DSPA : 300 ha
Ngotto : 100ha</t>
  </si>
  <si>
    <t>DSPA : 400 ha
Ngotto : 300ha</t>
  </si>
  <si>
    <t>DSPA : 600 ha
Ngotto : 600ha</t>
  </si>
  <si>
    <t>DSPA : 1200 ha
Ngotto : 1000ha</t>
  </si>
  <si>
    <t xml:space="preserve">Logging (illegal and unsustainable); 
</t>
  </si>
  <si>
    <t>2.2.5</t>
  </si>
  <si>
    <t>By 2030, at least 75% of logging companies operating in target areas have approved management plans.</t>
  </si>
  <si>
    <t>% of logging companies in operation that have an approved management plans</t>
  </si>
  <si>
    <r>
      <t xml:space="preserve">Targeted areas are areas located on the periphery of the DSPA and MBNP 
</t>
    </r>
    <r>
      <rPr>
        <b/>
        <sz val="12"/>
        <color rgb="FF000000"/>
        <rFont val="Calibri"/>
        <family val="2"/>
      </rPr>
      <t>Numerator:</t>
    </r>
    <r>
      <rPr>
        <sz val="12"/>
        <color rgb="FF000000"/>
        <rFont val="Calibri"/>
        <family val="2"/>
      </rPr>
      <t xml:space="preserve"> No of logging companies with approved management plans
Divided by:
</t>
    </r>
    <r>
      <rPr>
        <b/>
        <sz val="12"/>
        <color rgb="FF000000"/>
        <rFont val="Calibri"/>
        <family val="2"/>
      </rPr>
      <t>Denominator:</t>
    </r>
    <r>
      <rPr>
        <sz val="12"/>
        <color rgb="FF000000"/>
        <rFont val="Calibri"/>
        <family val="2"/>
      </rPr>
      <t xml:space="preserve"> All logging companies in the target areas</t>
    </r>
  </si>
  <si>
    <t>Approved management plan documents</t>
  </si>
  <si>
    <t>Document review</t>
  </si>
  <si>
    <t>Midline; endline</t>
  </si>
  <si>
    <t>Operators recognize the long-term value of approved plans (e.g., legal access, market recognition) and are motivated to prepare and submit them.
International buyers and certification schemes (e.g. FSC) increasingly demand proof of sustainable forest management, influencing company behavior.</t>
  </si>
  <si>
    <t>DSPA (2025): 50% (1/2)
Ngotto (2025): 66% (2/3)</t>
  </si>
  <si>
    <t>DSPA : 50%
Ngotto : 66%</t>
  </si>
  <si>
    <t>DSPA 100%
Ngotto: 100%</t>
  </si>
  <si>
    <t>Human rights abuse</t>
  </si>
  <si>
    <t>3.1.1</t>
  </si>
  <si>
    <t>By 2030, the percentage of conservation related complaints related to WWF's supported conservation activities in target landscapes is reduced to 75% compared to the 2024 baseline</t>
  </si>
  <si>
    <t>% of conservation related complaints related to CARCO conservation activities</t>
  </si>
  <si>
    <t xml:space="preserve">This will be mesured on national level not on program level.
Numerator: Number of conservation related complaints related to CCO conservation activities
Divided by:
Denominator: Number of conservation related complaints
</t>
  </si>
  <si>
    <t>Grievance mechanism database</t>
  </si>
  <si>
    <t>Grievance mechanism system</t>
  </si>
  <si>
    <t>The GRM in place is well-managed, used and not abused</t>
  </si>
  <si>
    <t>DSPA: 100% (4/4) (2024)
Ngotto: 0 (2025)</t>
  </si>
  <si>
    <t xml:space="preserve">DSPA: 75% (3/4)
Ngotto: 0 </t>
  </si>
  <si>
    <t>DSPA: 50% (2/4)
Ngotto: 0</t>
  </si>
  <si>
    <t xml:space="preserve">DSPA: 25% (1/4)
Ngotto: 0 </t>
  </si>
  <si>
    <t>DSPA: 25% (1/4)
Ngotto: 0</t>
  </si>
  <si>
    <t>Outcome statement updates- 95% to 75%.
Trargets Updated</t>
  </si>
  <si>
    <t>Outcome statement updates- 95% to 75%</t>
  </si>
  <si>
    <t>Limited support to conservation efforts</t>
  </si>
  <si>
    <t>3.1.2</t>
  </si>
  <si>
    <t>By 2030, at least 80% of targeted IP&amp;LCs in WWF CAR-supported landscapes have a positive perception towards conservation projects/ideas.</t>
  </si>
  <si>
    <t>% of IPLCs expressing positive perception towards conervation project/ideass</t>
  </si>
  <si>
    <t>Landcapes - IP &amp; LCs living around APDS and Ngotto</t>
  </si>
  <si>
    <t>Survey data</t>
  </si>
  <si>
    <t>Perception Survey</t>
  </si>
  <si>
    <t>Conservation efforts produce tangible social or economic benefits for IPLCs (e.g., jobs, ecosystem services, access rights)</t>
  </si>
  <si>
    <t>DSPA (2021) : 70% IPLC 
Ngotto: 60%</t>
  </si>
  <si>
    <t>DSPA : 72% 
Ngotto: 64</t>
  </si>
  <si>
    <t>DSPA : 74% 
Ngotto: 68%</t>
  </si>
  <si>
    <t>DSPA : 76%
Ngotto: 72 %</t>
  </si>
  <si>
    <t>DSPA : 78 %
Ngotto: 76 %</t>
  </si>
  <si>
    <t>DSPA : 80% 
Ngotto: 80 %</t>
  </si>
  <si>
    <t xml:space="preserve">Poverty; </t>
  </si>
  <si>
    <t>3.1.3</t>
  </si>
  <si>
    <t>By 2030, at least 90% of supported pupils/students complete primary education and at least 50% complete secondary education in their respective cohort</t>
  </si>
  <si>
    <t>% supported primary school pupils that have completed their primary education</t>
  </si>
  <si>
    <t>School records</t>
  </si>
  <si>
    <t>Parents/guardians and communities value and support education—especially for girls and IPs
 No major disruptions (e.g., political instability, natural disasters, pandemics) impact schooling</t>
  </si>
  <si>
    <t>DSPA (2024) : 50% (768/1537)
Ngotto : N/A</t>
  </si>
  <si>
    <t>DSPA : 58% 
Ngotto : N/A</t>
  </si>
  <si>
    <t>DSPA : 66% 
Ngotto : N/A</t>
  </si>
  <si>
    <t>DSPA : 74%
Ngotto : N/A</t>
  </si>
  <si>
    <t>DSPA : 82%
Ngotto : N/A</t>
  </si>
  <si>
    <t>DSPA : 90% 
Ngotto : N/A</t>
  </si>
  <si>
    <t>% supported secondary school students that have completed their secondary education</t>
  </si>
  <si>
    <t>DSPA (2024) : 20 % (4/18)
Ngotto : N/A</t>
  </si>
  <si>
    <t>DSPA : 30% (5/18)
Ngotto : N/A</t>
  </si>
  <si>
    <t>DSPA : 35% (6/18)
Ngotto : N/A</t>
  </si>
  <si>
    <t>DSPA : 40% (7/18)
Ngotto : N/A</t>
  </si>
  <si>
    <t>DSPA : 45% (8/18)
Ngotto : N/A</t>
  </si>
  <si>
    <t>DSPA : 50 % (9/18)
Ngotto : N/A</t>
  </si>
  <si>
    <t>Poverty; Unemployment</t>
  </si>
  <si>
    <t>3.1.4</t>
  </si>
  <si>
    <t>By 2030, targeted IPLC gain at least a 10% increase in household income from WWF-supported activities compared to the 2025 baseline</t>
  </si>
  <si>
    <t>Average household income of targeted IPLC</t>
  </si>
  <si>
    <t>Household income could be derived from IGA value chains, tourism, etc</t>
  </si>
  <si>
    <t>Household survey data (with linked database)</t>
  </si>
  <si>
    <t>Household survey on WWF-supported activities</t>
  </si>
  <si>
    <t>Markets remain stable or grow for the products/services linked to WWF-supported activities
Climate and environmental conditions do not severely disrupt production (e.g., droughts, disease, flooding)</t>
  </si>
  <si>
    <t>DSPA : 420 000 XAF
Ngotto : 300 000 XAF</t>
  </si>
  <si>
    <t>DSPA : 4 28400 XAF
Ngotto : 306 000 XAF</t>
  </si>
  <si>
    <t>DSPA : 436800 XAF
Ngotto : 312 000 XAF</t>
  </si>
  <si>
    <t>DSPA : 445200 XAF
Ngotto : 318 000 XAF</t>
  </si>
  <si>
    <t>DSPA : 453600 XAF
Ngotto : 324 000 XAF</t>
  </si>
  <si>
    <t>DSPA : 462 000 XAF
Ngotto : 330 000 XAF</t>
  </si>
  <si>
    <t>Average total annual income gained by IPLC through direct employment in conservation related activities</t>
  </si>
  <si>
    <t xml:space="preserve">The income that is paid to IPLC directly from conservation activities </t>
  </si>
  <si>
    <t>HR salary data (with linked database)</t>
  </si>
  <si>
    <t>HR salary checks</t>
  </si>
  <si>
    <t xml:space="preserve">DSPA (2022): 1080000XAF 
Ngotto (2025) : 960000
</t>
  </si>
  <si>
    <t xml:space="preserve">DSPA: 1101600 XAF 
Ngotto : 984000 XAF
</t>
  </si>
  <si>
    <t xml:space="preserve">DSPA: 1123200 XAF 
Ngotto : 1008000 XAF
</t>
  </si>
  <si>
    <t xml:space="preserve">DSPA: 1144800 XAF 
Ngotto : 1032000 XAF
</t>
  </si>
  <si>
    <t xml:space="preserve">DSPA: 1166400 XAF 
Ngotto : 1032000 XAF
</t>
  </si>
  <si>
    <t xml:space="preserve">DSPA: 1188000 XAF 
Ngotto : 1056000 XAF
</t>
  </si>
  <si>
    <t>Poverty</t>
  </si>
  <si>
    <t>3.1.5</t>
  </si>
  <si>
    <t xml:space="preserve">By 2030, the number of targeted IPLC communities in WWF-supported landscapes having access to materials of good life has increased by at least 30% relative to the 2025 baseline </t>
  </si>
  <si>
    <t>% of targeted IPLC communities in the WWF-supported landscapes that have access to materials of good life</t>
  </si>
  <si>
    <t>Access means the ability for the targeted group to make use of the materials. Materials of good life include portable water, health care, natural resources, food, education. Communities refers to a group of people living in one village.
Numerator: Number of targeted communities with access to the materials of a good life
Divided by:
Denominator: Number of targeted communities</t>
  </si>
  <si>
    <t>Community survey as well as program data (with linked database)</t>
  </si>
  <si>
    <t>Community surveys and program progress reports</t>
  </si>
  <si>
    <t>Communities are not subjected to conflict, displacement, or governance instability that disrupt access to basic needs or services.</t>
  </si>
  <si>
    <t>DSPA : 42 % (8226/19586)
Ngotto : 30 % (9329/31097)</t>
  </si>
  <si>
    <t>DSPA : 52 % (10184/19586)
Ngotto : 40 % (12438/31097)</t>
  </si>
  <si>
    <t>DSPA : 62 % (12142/19586)
Ngotto : 50 % (15547/31097)</t>
  </si>
  <si>
    <t>DSPA : 72 % (14100/19586)
Ngotto : 60 % (18656/31097)</t>
  </si>
  <si>
    <t>Targets Updated</t>
  </si>
  <si>
    <t>3.1.6</t>
  </si>
  <si>
    <t>By 2030, the annual revenues generated by ecotourism activities contribute at least 10% of the DSPA operating budget and 10% to support socio-economic development of IPLCs</t>
  </si>
  <si>
    <t>% of annual ecotourism revenue allocated to support APDS operating budget</t>
  </si>
  <si>
    <t>Ecotourism allocation data</t>
  </si>
  <si>
    <t>1. National and local policies remain supportive of ecotourism development and revenue-sharing with conservation areas and IPLCs.
2. Domestic, regional, and international tourists maintain or increase interest in visiting the DSPA due to its unique natural and cultural offerings.
3. Major external disruptions (e.g. pandemics, conflicts, climate disasters) do not severely impact travel or DSPA operations for extended periods.</t>
  </si>
  <si>
    <t>DSPA (2024) : 9 % (37567656/417418400)
Ngotto : N/A</t>
  </si>
  <si>
    <t>DSPA : 9 % (37567656/417418400)
Ngotto : N/A</t>
  </si>
  <si>
    <t>DSPA : 9.5 % (39654748/417418400)
Ngotto : N/A</t>
  </si>
  <si>
    <t>DSPA : 10 % (41741840/417418400)
Ngotto : N/A</t>
  </si>
  <si>
    <t xml:space="preserve">DSPA </t>
  </si>
  <si>
    <t>% of annual ecotourism revenue allocated to support IPLC projects</t>
  </si>
  <si>
    <t>DSPA (2024) : 7 % (29219288/417418400)
Ngotto : N/A</t>
  </si>
  <si>
    <t>DSPA : 7 % (29219288/417418400)
Ngotto : N/A</t>
  </si>
  <si>
    <t>DSPA : 8 % (33393472/417418400)
Ngotto : N/A</t>
  </si>
  <si>
    <t>DSPA</t>
  </si>
  <si>
    <t>Weak governance</t>
  </si>
  <si>
    <t>3.1.7</t>
  </si>
  <si>
    <t>By 2030, at least one new or revised policies or decisions promoting the rights and interests of IPLC enacted with with WWF support</t>
  </si>
  <si>
    <t>Number of new or revised policy or decisions promoting the rights and intrests of IPLC enacted with with WWF support</t>
  </si>
  <si>
    <t>Policies include decrees or other circular decisions</t>
  </si>
  <si>
    <t>Policy and advocacy database (With validated analyses and report)</t>
  </si>
  <si>
    <t>Policy and advocacy activities</t>
  </si>
  <si>
    <t>The government is willing to engage WWF and partners in the propositions, enacting and reviewing process</t>
  </si>
  <si>
    <t>National</t>
  </si>
  <si>
    <t>This will be included under OM and mesured at national lebel. Please do not conside it under programs</t>
  </si>
  <si>
    <t>3.1.8</t>
  </si>
  <si>
    <t>By 2030, at least two national policies/ strategies or decrees of applications on biodiversity and environmental management are enacted or reviewed with support of WWF</t>
  </si>
  <si>
    <t>Number of decrees enacted or reviewed with support of WWF</t>
  </si>
  <si>
    <t>enacted and review is about getting a decree that supports the operationalisation of the law.</t>
  </si>
  <si>
    <t>Number of national policies, strategies enacted or reviewed with support of WWF</t>
  </si>
  <si>
    <t>This also includes international conventions (COPs) and national laws/decrees (NBSAP, NDC, CBD30x30).</t>
  </si>
  <si>
    <t>Please write your output here &gt;&gt;&gt;&gt;
 Add more rows if needed</t>
  </si>
  <si>
    <t>2.2.1.1</t>
  </si>
  <si>
    <t>By December 2028, at least 500 hectares of cocoa, coffee and food crops are cultivated by smallholder farmers in designated non-HCV areas</t>
  </si>
  <si>
    <t>Total hectares of cocoa, coffee, and food crops cultivated by smallholder farmers in non-HCV areas</t>
  </si>
  <si>
    <t>Measures the cumulative land area under cultivation for the specified crops by smallholders in approved zones.</t>
  </si>
  <si>
    <t>GIS maps, annual report</t>
  </si>
  <si>
    <t>DSPA: 220 (2024)
Ngotto : 400 (2024)</t>
  </si>
  <si>
    <t>DSPA: 260
Ngotto : 400</t>
  </si>
  <si>
    <t>DSPA: 360
Ngotto : 450</t>
  </si>
  <si>
    <t>DSPA: 440
Ngotto : 550</t>
  </si>
  <si>
    <t>DSPA: 540
Ngotto : 650</t>
  </si>
  <si>
    <t>DSPA: 640
Ngotto : 750</t>
  </si>
  <si>
    <t>Targets updated</t>
  </si>
  <si>
    <t>2.2.1.2</t>
  </si>
  <si>
    <t>By june 2027, a strategy for planting coffee, cocoa and food crops outside High Conservation Values is developed.</t>
  </si>
  <si>
    <t>Number of agricultural strategy available</t>
  </si>
  <si>
    <t>Strategy document, final report</t>
  </si>
  <si>
    <t>2.2.1.3</t>
  </si>
  <si>
    <t>By June 2028,  at least 500 smallholder farmers have completed a certified training program on sustainable agriculture practices</t>
  </si>
  <si>
    <t>Number of farmers issued certificates of completion</t>
  </si>
  <si>
    <t xml:space="preserve">Attendance sheets, training reports, pre/post training assessments
</t>
  </si>
  <si>
    <t>DSPA : 0 (2025)
Ngotto : 0 (2025)</t>
  </si>
  <si>
    <t>DSPA : 0
Ngotto : 0</t>
  </si>
  <si>
    <t>DSPA : 50 
Ngotto : 50</t>
  </si>
  <si>
    <t>DSPA : 50
Ngotto : 100</t>
  </si>
  <si>
    <t>2.2.1.4</t>
  </si>
  <si>
    <t>By December 2027, 300 households in the target communities have adopted vegetable farming, evidenced by the establishment of home gardens or small plots</t>
  </si>
  <si>
    <t>Number of households with established home gardens or small vegetable plots</t>
  </si>
  <si>
    <t>Counts the households that have visibly set up and are actively maintaining vegetable gardens, either at home or on nearby plots.</t>
  </si>
  <si>
    <t>Quaterly &amp; annuals reports, periodic survey report</t>
  </si>
  <si>
    <t>DSPA 0 (2025)
Ngotto : 0 (2025)</t>
  </si>
  <si>
    <t>DSPA : 30
Ngotto : 20</t>
  </si>
  <si>
    <t>DSPA : 50
Ngotto : 50</t>
  </si>
  <si>
    <t>DSPA : 50
Ngotto: 50</t>
  </si>
  <si>
    <t>DSPA : 20
Ngotto : 30</t>
  </si>
  <si>
    <t>Species Conservation</t>
  </si>
  <si>
    <t>2.2.2.1</t>
  </si>
  <si>
    <t>By December 2026, at least 300 farmers in the target communities are trained and equipped with deforestation-free agricultural best practices, with 80% receiving starter kits (e.g., agroforestry seedlings, composting tools), and demonstration plots established in each community to support adoption.</t>
  </si>
  <si>
    <t xml:space="preserve">Number of farmers receiving and using starter kits
</t>
  </si>
  <si>
    <t xml:space="preserve">This indicator measures the number of trained farmers who have received and are actively using starter kits provided to support the adoption of deforestation-free agricultural practices. </t>
  </si>
  <si>
    <t>Annuals reports, GIS maps</t>
  </si>
  <si>
    <r>
      <t xml:space="preserve">Target Updated. PI statement- Number of farmers actively applying starter kit inputs in their fields </t>
    </r>
    <r>
      <rPr>
        <sz val="12"/>
        <color rgb="FFFF0000"/>
        <rFont val="Arial"/>
        <family val="2"/>
        <scheme val="minor"/>
      </rPr>
      <t>( Should this be updated?)</t>
    </r>
  </si>
  <si>
    <t>Number of demonstration plots established</t>
  </si>
  <si>
    <t>This indicator tracks the number of demonstration plots set up in target communities to showcase deforestation-free agricultural practices</t>
  </si>
  <si>
    <t>DSPA : 3
Ngotto : 0</t>
  </si>
  <si>
    <t>DSPA : 3
Ngotto : 2</t>
  </si>
  <si>
    <t>DSPA : 5
Ngotto : 5</t>
  </si>
  <si>
    <t>Targets updated. Number of agricultural demonstration plots established</t>
  </si>
  <si>
    <t>2.2.2.2</t>
  </si>
  <si>
    <t>By June 2027, three agricultural partnership models (e.g., contract farming, cooperative marketing, public-private partnerships) are piloted with at least 300 farmers, and one model scaled to an additional 300 farmers</t>
  </si>
  <si>
    <t xml:space="preserve">Number of agricultural partnership models piloted
</t>
  </si>
  <si>
    <t>Contracts documents, attendance sheets, quaterly &amp; yearly reports</t>
  </si>
  <si>
    <t>DSPA : 1
Ngotto : 0</t>
  </si>
  <si>
    <t>DSPA : 1
Ngotto : 1</t>
  </si>
  <si>
    <t>Targets updated barring endline. Please clarify if 3 applies to boyth landscapes</t>
  </si>
  <si>
    <t>Number of farmers participating in each partnership model</t>
  </si>
  <si>
    <t>DSPA (2025): 0
Ngotto (2025) : 0</t>
  </si>
  <si>
    <t>DSPA : 100
Ngotto : 100</t>
  </si>
  <si>
    <t>DSPA : 150
Ngotto : 150</t>
  </si>
  <si>
    <t>Targets updated. New indicator created for Ngotto</t>
  </si>
  <si>
    <t>2.2.2.3</t>
  </si>
  <si>
    <t>By September 2027, value chain support interventions (e.g., infrastructure, market access, processing facilities) are implemented in at least 5 areas</t>
  </si>
  <si>
    <t xml:space="preserve">Number of value chain facilities (e.g., storage, processing) established
</t>
  </si>
  <si>
    <t xml:space="preserve">Reports documents, value chain document, </t>
  </si>
  <si>
    <t>DSPA : 2
Ngotto : 2</t>
  </si>
  <si>
    <t>2.2.3 .1</t>
  </si>
  <si>
    <t>By 2029, at least three community forests / OECMs  are created and the management plans developed and implemented</t>
  </si>
  <si>
    <t xml:space="preserve"># of management plans developed
</t>
  </si>
  <si>
    <t>DSPA : 1 (2024)
Ngotto : 0 (2025)</t>
  </si>
  <si>
    <t xml:space="preserve">DSPA : 1
Ngotto : 0 </t>
  </si>
  <si>
    <t>DSPA : 2
Ngotto : 3</t>
  </si>
  <si>
    <r>
      <t xml:space="preserve">PI indicator- Number of simplified forest management plans developed and validated for community forests </t>
    </r>
    <r>
      <rPr>
        <sz val="12"/>
        <color rgb="FFFF0000"/>
        <rFont val="Arial"/>
        <family val="2"/>
        <scheme val="minor"/>
      </rPr>
      <t>( Should it be updated?)</t>
    </r>
    <r>
      <rPr>
        <sz val="12"/>
        <color rgb="FF000000"/>
        <rFont val="Arial"/>
        <family val="2"/>
        <scheme val="minor"/>
      </rPr>
      <t xml:space="preserve">
</t>
    </r>
    <r>
      <rPr>
        <b/>
        <sz val="12"/>
        <color rgb="FF000000"/>
        <rFont val="Arial"/>
        <family val="2"/>
        <scheme val="minor"/>
      </rPr>
      <t xml:space="preserve">Blue font output updated in PI </t>
    </r>
  </si>
  <si>
    <t># of community forests / OECMs duly registered</t>
  </si>
  <si>
    <t>Didn't find indicator</t>
  </si>
  <si>
    <t>2.2.3.2_1</t>
  </si>
  <si>
    <t>By December 2027, a comprehensive set of context-specific forest management best practices is developed, validated with stakeholders, and distributed to all supported community forests.</t>
  </si>
  <si>
    <t>Number of community forests that have received and adopted the forest management best practice guidelines.</t>
  </si>
  <si>
    <t>2.2.3.2_2</t>
  </si>
  <si>
    <t>By December 2026, community forest managers and governance bodies receive targeted training and ongoing technical support on implementing best practices in forest management.</t>
  </si>
  <si>
    <t>Number of community forest managers and governance members trained on forest management best practices.</t>
  </si>
  <si>
    <t>DSPA (2025): 10
Ngotto (2025) : 10</t>
  </si>
  <si>
    <t>DSPA (2025): 20
Ngotto (2025) : 20</t>
  </si>
  <si>
    <t>DSPA (2025): 20
Ngotto (2025) : 30</t>
  </si>
  <si>
    <t>2.2.3.3</t>
  </si>
  <si>
    <t>By December 2026, at least two non-timber forest product (NTFP) value chain  are developed in partnership with Indigenous Peoples and Local Communities (IPLC)</t>
  </si>
  <si>
    <t xml:space="preserve">Number of NTFP value chains co-developed with IPLCs
</t>
  </si>
  <si>
    <t>Value chain document, attendance sheets, annual report</t>
  </si>
  <si>
    <t>Number of IPLC members engaged in value chain development activities</t>
  </si>
  <si>
    <t>DSPA : 30
Ngotto : 0</t>
  </si>
  <si>
    <t>2.2.3.4</t>
  </si>
  <si>
    <t>By December 2028, at least 50 NTFP-based enterprises in IPLC areas are supported and strengthened through capacity building, access to markets, and financial services</t>
  </si>
  <si>
    <t>Number of NTFP enterprises receiving capacity-building support</t>
  </si>
  <si>
    <t>Annuals reports, contract doc withs locales company</t>
  </si>
  <si>
    <r>
      <t>PI outpout says 2026 and 10 NTFP (</t>
    </r>
    <r>
      <rPr>
        <sz val="12"/>
        <color rgb="FFFF0000"/>
        <rFont val="Arial"/>
        <family val="2"/>
        <scheme val="minor"/>
      </rPr>
      <t>Needs updating?) Ngotto needs adding but first clarity on output name</t>
    </r>
  </si>
  <si>
    <t>Number of NTFP enterprises accessing new markets or financial services</t>
  </si>
  <si>
    <r>
      <t>PI outpout says 2026 and 10 NTFP (</t>
    </r>
    <r>
      <rPr>
        <sz val="12"/>
        <color rgb="FFFF0000"/>
        <rFont val="Arial"/>
        <family val="2"/>
        <scheme val="minor"/>
      </rPr>
      <t>Needs updating?) DSPA needs adding but first clarity on output name</t>
    </r>
  </si>
  <si>
    <t>2.2.3.5</t>
  </si>
  <si>
    <r>
      <t xml:space="preserve">By June 2027, sustainable production systems for </t>
    </r>
    <r>
      <rPr>
        <i/>
        <sz val="12"/>
        <color rgb="FF4285F4"/>
        <rFont val="Calibri"/>
        <family val="2"/>
      </rPr>
      <t>Gnetum africanum</t>
    </r>
    <r>
      <rPr>
        <sz val="12"/>
        <color rgb="FF4285F4"/>
        <rFont val="Calibri"/>
        <family val="2"/>
      </rPr>
      <t xml:space="preserve"> are established and promoted in at least 5 IPLC communities</t>
    </r>
  </si>
  <si>
    <t>Number of sustainable Gnetum africanum production systems established</t>
  </si>
  <si>
    <t>Training report, attendance sheet</t>
  </si>
  <si>
    <t>DSPA : 0
Ngotto : 1</t>
  </si>
  <si>
    <t>target Updated</t>
  </si>
  <si>
    <t>Number of IPLC communities with established and operational Gnetum africanum production systems</t>
  </si>
  <si>
    <t>DSPA : 1
Ngotto : 2</t>
  </si>
  <si>
    <t>Number of IPLC farmers trained and applying sustainable Gnetum africanum cultivation practices</t>
  </si>
  <si>
    <t>DSPA : 0
Ngotto : 20</t>
  </si>
  <si>
    <t>DSPA : 10
Ngotto : 20</t>
  </si>
  <si>
    <t>2.2.3.6</t>
  </si>
  <si>
    <t>By December 2026, the beekeeping value chain is promoted and strengthened in at least 10 IPLC communities through training, provision of equipment, and market linkages</t>
  </si>
  <si>
    <t>Number of IPLC communities supported with beekeeping training and equipment
Number of beekeepers linked to markets or buyers</t>
  </si>
  <si>
    <t>DSPA : 0
Ngotto : 2</t>
  </si>
  <si>
    <t>DSPA : 1
Ngotto : 3</t>
  </si>
  <si>
    <t>DSPA : 3
Ngotto : 7</t>
  </si>
  <si>
    <r>
      <t>PI outpiut- By September 2026, at least 300 beekeepers are trained and equipped with modern hives and processing- (</t>
    </r>
    <r>
      <rPr>
        <sz val="12"/>
        <color rgb="FFFF0000"/>
        <rFont val="Arial"/>
        <family val="2"/>
        <scheme val="minor"/>
      </rPr>
      <t>which is correct?). Ngotto needs updating</t>
    </r>
  </si>
  <si>
    <t>2.2.4.1</t>
  </si>
  <si>
    <t>By December 2030, forest and landscape restoration pilots are implemented in 5 degraded sites, covering at least 2,000 hectares, with scaling strategies developed and documented.</t>
  </si>
  <si>
    <t># of hectares under active restoration through pilot interventions</t>
  </si>
  <si>
    <t>GIS maps, annual report, partenersh agreement with IPLC, FLR management plan</t>
  </si>
  <si>
    <t>DSPA (2025): 220
Ngotto (2025) : 0</t>
  </si>
  <si>
    <t>DSPA : 260
Ngotto : 0</t>
  </si>
  <si>
    <t>DSPA : 360
Ngotto : 100</t>
  </si>
  <si>
    <t>DSPA :400
Ngotto : 300</t>
  </si>
  <si>
    <t>DSPA : 600
Ngotto : 500</t>
  </si>
  <si>
    <t>DSPA : 800
Ngotto : 1200</t>
  </si>
  <si>
    <t>Targets updated, Ngotto added</t>
  </si>
  <si>
    <t>Number of forest and landscape restoration pilot sites implemented</t>
  </si>
  <si>
    <t>DSPA (2025): 3
Ngotto (2025) : 0</t>
  </si>
  <si>
    <t>DSPA : 3
Ngotto : 1</t>
  </si>
  <si>
    <t>2.2.4.2</t>
  </si>
  <si>
    <t>By June 2030, 10 community forest management groups are supported with restoration plans, tools, and training, and at least 1000 hectares will be under active restoration.</t>
  </si>
  <si>
    <t>Number of community forest management groups supported with restoration plans, tools and training</t>
  </si>
  <si>
    <t>Community forest FLAR management plan, GIS maps</t>
  </si>
  <si>
    <t>DSPA : 4
Ngotto : 3</t>
  </si>
  <si>
    <t>Number of hectares under active restoration by supported groups</t>
  </si>
  <si>
    <t>DSPA : 40
Ngotto : 0</t>
  </si>
  <si>
    <t>DSPA : 200
Ngotto : 200</t>
  </si>
  <si>
    <t>DSPA : 300
Ngotto : 350</t>
  </si>
  <si>
    <t>DSPA : 500
Ngotto : 500</t>
  </si>
  <si>
    <t>2.2.4.3</t>
  </si>
  <si>
    <t>By June 2030, 100,000 seedlings of caterpillar-host tree species are raised and planted across 20 community-managed sites</t>
  </si>
  <si>
    <t>Number of seedlings planted and geo-tagged</t>
  </si>
  <si>
    <t>Anual report, community record, beneficiary survey</t>
  </si>
  <si>
    <t>DSPA : 10000
Ngotto : 0</t>
  </si>
  <si>
    <t>DSPA : 25000
Ngotto : 25000</t>
  </si>
  <si>
    <t>DSPA : 50000
Ngotto : 50000</t>
  </si>
  <si>
    <r>
      <t xml:space="preserve">Targets updated, but </t>
    </r>
    <r>
      <rPr>
        <sz val="12"/>
        <color rgb="FFFF0000"/>
        <rFont val="Arial"/>
        <family val="2"/>
        <scheme val="minor"/>
      </rPr>
      <t>output says Auguest in PI</t>
    </r>
  </si>
  <si>
    <t>Number of community managed sites participating</t>
  </si>
  <si>
    <t>DSPA : 3
Ngotto : 3</t>
  </si>
  <si>
    <t>DSPA : 6
Ngotto : 8</t>
  </si>
  <si>
    <t>DSPA : 10
Ngotto : 10</t>
  </si>
  <si>
    <t>2.2.5.1</t>
  </si>
  <si>
    <t>By December 2028,  at least 5 forestry companies receive training and technical support on sustainable logging practices</t>
  </si>
  <si>
    <t>Number of forestry companies completing training</t>
  </si>
  <si>
    <t>DSPA : 1
Ngotto :3</t>
  </si>
  <si>
    <r>
      <t xml:space="preserve">PI indicator- </t>
    </r>
    <r>
      <rPr>
        <sz val="12"/>
        <color rgb="FFFF0000"/>
        <rFont val="Arial"/>
        <family val="2"/>
        <scheme val="minor"/>
      </rPr>
      <t xml:space="preserve">Number of forestry companies completing training on sustainable logging practice. </t>
    </r>
  </si>
  <si>
    <t>2.2.5.2</t>
  </si>
  <si>
    <t>By December 2029, simplified forest management plans are developed and validated for 5 community forests, with local committees trained on implementation.</t>
  </si>
  <si>
    <t>Number of simplified forest management plans developed and validated for community forests</t>
  </si>
  <si>
    <t>Document of forest management plan, annual report</t>
  </si>
  <si>
    <t>DSPA (2025): 1
Ngotto (2025) : 0</t>
  </si>
  <si>
    <t xml:space="preserve">DSPA : 1
Ngotto : 2 </t>
  </si>
  <si>
    <t xml:space="preserve">DSPA : 2
Ngotto : 3 </t>
  </si>
  <si>
    <t>Target updated</t>
  </si>
  <si>
    <t>Number of local forest management committee members trained on implementation of forest management plans</t>
  </si>
  <si>
    <t xml:space="preserve">DSPA : 0
Ngotto : 0 </t>
  </si>
  <si>
    <t xml:space="preserve">DSPA : 2
Ngotto : 2 </t>
  </si>
  <si>
    <t xml:space="preserve">Ngotto pending - couldn't find output </t>
  </si>
  <si>
    <t>2.2.5.3</t>
  </si>
  <si>
    <t>By March 2030, ecosystem service valuation tools are applied in 5 districts, and results integrated into local development plans and livelihood strategies.</t>
  </si>
  <si>
    <t>Number of districts where ecosystem service valuation tools have been applied</t>
  </si>
  <si>
    <t>Document of Local Development Plan, periodics report, reviews reports</t>
  </si>
  <si>
    <t>Number of local development plans and livelihood strategies integrating ecosystem service valuation results</t>
  </si>
  <si>
    <t>2.2.5.4</t>
  </si>
  <si>
    <t>By June 2030, monitoring protocols and By June 2030, monitoring protocols and patrol systems are established in 5 logging concessions to protect intact forest landscapes are established in 5 logging concessions to protect intact forest landscapes</t>
  </si>
  <si>
    <t>Number of logging concessions with operational monitoring protocols and patrol systems</t>
  </si>
  <si>
    <t>Doc of partnership agreement, patrols reports, quaterly and yearly reports</t>
  </si>
  <si>
    <t>2.2.5.5</t>
  </si>
  <si>
    <t>By December 2027, at least 50 government staff are trained on forest law enforcement, monitoring, and reporting systems</t>
  </si>
  <si>
    <t>Number of government staff trained on forest law enforcement, monitoring, and reporting systems</t>
  </si>
  <si>
    <t>National (2025): 0</t>
  </si>
  <si>
    <t>National: 0</t>
  </si>
  <si>
    <t>National: 20</t>
  </si>
  <si>
    <t>National: 30</t>
  </si>
  <si>
    <t>National: 50</t>
  </si>
  <si>
    <t>Clarify Landscape</t>
  </si>
  <si>
    <t>2.2.5.6</t>
  </si>
  <si>
    <t>By December 2028, 10 civil society organizations are trained and equipped for independent forest monitoring</t>
  </si>
  <si>
    <t>Number of civil society organizations trained and equipped for independent forest monitoring</t>
  </si>
  <si>
    <t>National: 10</t>
  </si>
  <si>
    <t>By 2030, the percentage of conservation related complaints related to WWF's supported conservation activities in target landscapes is reduced by at least 90% compared to the 2024 baseline</t>
  </si>
  <si>
    <t>Human Well Being</t>
  </si>
  <si>
    <t>3.1.1.1</t>
  </si>
  <si>
    <t>By December 2026, Local Development Plans are implemented in 20 IPLC communities with at least 70% community participation in planning and monitoring processes</t>
  </si>
  <si>
    <t xml:space="preserve">Number of IPLC communities with Local Development Plans implemented
</t>
  </si>
  <si>
    <t>Community survey report, annual report</t>
  </si>
  <si>
    <t xml:space="preserve">DSPA : 3
Ngotto : 3 </t>
  </si>
  <si>
    <t xml:space="preserve">DSPA : 5
Ngotto : 8 </t>
  </si>
  <si>
    <t>DSPA : 8
Ngotto : 12</t>
  </si>
  <si>
    <t>Percentage of community members participating in planning and monitoring activities</t>
  </si>
  <si>
    <t>DSPA (2025): 0
Ngotto (2025) : 1</t>
  </si>
  <si>
    <t xml:space="preserve">DSPA : 50
Ngotto : 50 </t>
  </si>
  <si>
    <t xml:space="preserve">DSPA : 70
Ngotto : 70 </t>
  </si>
  <si>
    <t>Clarify numerator and denominator</t>
  </si>
  <si>
    <t>3.1.1.2</t>
  </si>
  <si>
    <t>By June 2026, community-based conflict management and resolution mechanisms are operational in 15 target communities</t>
  </si>
  <si>
    <t xml:space="preserve">Number of communities with operational conflict resolution committees or structures
</t>
  </si>
  <si>
    <t>Training report, attendance sheet, activities report</t>
  </si>
  <si>
    <t>DSPA (2025): 1
Ngotto (2025) : 1</t>
  </si>
  <si>
    <t>DSPA : 3
Ngotto : 5</t>
  </si>
  <si>
    <t>DSPA : 4
Ngotto : 7</t>
  </si>
  <si>
    <t>DSPA : 6
Ngotto : 9</t>
  </si>
  <si>
    <t>Number of community members trained in conflict resolution and mediation</t>
  </si>
  <si>
    <t>DSPA (2025): 7
Ngotto (2025) : 7</t>
  </si>
  <si>
    <t>DSPA : 7
Ngotto : 7</t>
  </si>
  <si>
    <t>DSPA : 14
Ngotto : 21</t>
  </si>
  <si>
    <t>DSPA : 21
Ngotto : 35</t>
  </si>
  <si>
    <t>DSPA : 28
Ngotto : 49</t>
  </si>
  <si>
    <t>DSPA : 42
Ngotto : 63</t>
  </si>
  <si>
    <t>3.1.1.3</t>
  </si>
  <si>
    <t>By December2026, a functional grievance and escalation system for human rights and GBV is established in all intervention areas</t>
  </si>
  <si>
    <t xml:space="preserve">Number of intervention areas with functional grievance and escalation mechanisms
</t>
  </si>
  <si>
    <t>Number of grievances received through the system</t>
  </si>
  <si>
    <t>DSPA (2025): 4
Ngotto (2025) : 1</t>
  </si>
  <si>
    <t>DSPA : 2
Ngotto : 1</t>
  </si>
  <si>
    <t>PI Indicator- % of grievances received through the system that are addressed 9 Clarify N/D)</t>
  </si>
  <si>
    <t>Number of grievances addressed through the system</t>
  </si>
  <si>
    <t>Indicator not found</t>
  </si>
  <si>
    <t>3.1.1.4</t>
  </si>
  <si>
    <t>By December 2025, standardized data monitoring systems are established and operational in 10 partner institutions</t>
  </si>
  <si>
    <t xml:space="preserve">Number of partner institutions using standardized data monitoring tools
</t>
  </si>
  <si>
    <t>National (2025) : 0</t>
  </si>
  <si>
    <t>Number of staff from partner institutions trained in data collection and reporting protocols</t>
  </si>
  <si>
    <t>3.1.1.5</t>
  </si>
  <si>
    <t>By December 2028, at least 10 human rights awareness campaigns are conducted across intervention areas</t>
  </si>
  <si>
    <t>Number of human rights awareness campaigns conducted</t>
  </si>
  <si>
    <t xml:space="preserve">DSPA (2025): 1
Ngotto (2025) : 0
</t>
  </si>
  <si>
    <t xml:space="preserve">DSPA : 3
Ngotto : 0
</t>
  </si>
  <si>
    <t xml:space="preserve">DSPA : 3
Ngotto : 1
</t>
  </si>
  <si>
    <t xml:space="preserve">DSPA : 3
Ngotto : 2
</t>
  </si>
  <si>
    <t>Estimated number of community members reached through campaigns</t>
  </si>
  <si>
    <t xml:space="preserve">DSPA (2025): 1000
Ngotto (2025) : 0
</t>
  </si>
  <si>
    <t xml:space="preserve">DSPA : 3000
Ngotto : 0
</t>
  </si>
  <si>
    <t xml:space="preserve">DSPA : 4000
Ngotto : 500
</t>
  </si>
  <si>
    <t xml:space="preserve">DSPA : 4000
Ngotto : 1000
</t>
  </si>
  <si>
    <t xml:space="preserve">DSPA : 4000
Ngotto : 1500
</t>
  </si>
  <si>
    <t xml:space="preserve">DSPA : 4000
Ngotto : 2000
</t>
  </si>
  <si>
    <r>
      <rPr>
        <sz val="12"/>
        <color rgb="FFFF0000"/>
        <rFont val="Arial"/>
        <family val="2"/>
        <scheme val="minor"/>
      </rPr>
      <t>Is this PI indicator correct-</t>
    </r>
    <r>
      <rPr>
        <sz val="12"/>
        <color rgb="FF000000"/>
        <rFont val="Arial"/>
        <family val="2"/>
        <scheme val="minor"/>
      </rPr>
      <t xml:space="preserve"> Number of Ba’Aka community members reached through campaigns?</t>
    </r>
  </si>
  <si>
    <t>3.1.1.6</t>
  </si>
  <si>
    <t>By June 2028, a comprehensive GBV action plan is developed and implemented in all target communities</t>
  </si>
  <si>
    <t xml:space="preserve">Number of target communities with GBV action plans developed
</t>
  </si>
  <si>
    <t xml:space="preserve">DSPA (2025): 0
Ngotto (2025) : 0
</t>
  </si>
  <si>
    <t xml:space="preserve">DSPA : 1
Ngotto : 0
</t>
  </si>
  <si>
    <t xml:space="preserve">DSPA : 1
Ngotto : 1
</t>
  </si>
  <si>
    <t xml:space="preserve">DSPA : 2
Ngotto : 1
</t>
  </si>
  <si>
    <t>Complete targets?</t>
  </si>
  <si>
    <t>Number of GBV prevention and response activities implemented under the action plans developed</t>
  </si>
  <si>
    <t>By 2030, at least XX% of targeted IP&amp;LCs in WWF CAR-supported landscapes have a positive perception towards conservation projects/ideas.</t>
  </si>
  <si>
    <t>3.1.2.1</t>
  </si>
  <si>
    <t>By December 2026, at least 10 conservation awareness and education campaigns are conducted annually in IP&amp;LC communities</t>
  </si>
  <si>
    <t xml:space="preserve">Number of conservation awareness campaigns conducted per year
</t>
  </si>
  <si>
    <t>Estimated number of IPLC community members reached through campaigns</t>
  </si>
  <si>
    <t>3.1.2.2</t>
  </si>
  <si>
    <t>By December 2027, participatory decision-making frameworks are established and operational in at least 10 conservation sites</t>
  </si>
  <si>
    <t xml:space="preserve">Number of operational participatory decision-making frameworks established
</t>
  </si>
  <si>
    <t>Number of sites with operational participatory decision-making frameworks</t>
  </si>
  <si>
    <t xml:space="preserve">DSPA (2025): 2
Ngotto (2025) : 0
</t>
  </si>
  <si>
    <t xml:space="preserve">DSPA : 4
Ngotto : 3
</t>
  </si>
  <si>
    <t xml:space="preserve">DSPA : 5
Ngotto : 5
</t>
  </si>
  <si>
    <t>3.1.2.3</t>
  </si>
  <si>
    <t>By March 2026, at least 10 culturally appropriate communication tools (e.g., visual aids, local language materials, storytelling formats) are developed and used in all target IP&amp;LC communities</t>
  </si>
  <si>
    <t xml:space="preserve">Number of culturally appropriate communication tools developed
</t>
  </si>
  <si>
    <t xml:space="preserve">DSPA : 2
Ngotto : 0
</t>
  </si>
  <si>
    <t xml:space="preserve">DSPA : 4
Ngotto : 1
</t>
  </si>
  <si>
    <t xml:space="preserve">DSPA : 5
Ngotto : 2
</t>
  </si>
  <si>
    <t xml:space="preserve">DSPA : 6
Ngotto : 4
</t>
  </si>
  <si>
    <t>Number of IPLC members using the tools in conservation education or engagement</t>
  </si>
  <si>
    <t>DSPA (2025) : 1000
Ngotto (2025) : 0</t>
  </si>
  <si>
    <t>DSPA : 3000
Ngotto : 0</t>
  </si>
  <si>
    <t>DSPA : 4000
Ngotto : 0</t>
  </si>
  <si>
    <t>DSPA : 4000
Ngotto : 1000</t>
  </si>
  <si>
    <t>DSPA : 4000 
Ngotto : 2000</t>
  </si>
  <si>
    <t>DSPA : 4000
Ngotto : 3000</t>
  </si>
  <si>
    <t>3.1.2.4</t>
  </si>
  <si>
    <t>By December 2026, co-management structures involving community representatives are established in two protected areas</t>
  </si>
  <si>
    <t xml:space="preserve">Number of protected areas with formal co-management structures involving IPLCs
</t>
  </si>
  <si>
    <t>DSPA (2019) : 1
Ngotto (2025) : 0</t>
  </si>
  <si>
    <t>Number of IPLC  representatives participating in co-management bodies</t>
  </si>
  <si>
    <t>DSPA (2019) : 11
Ngotto (2025) : 0</t>
  </si>
  <si>
    <t>DSPA : 11
Ngotto : 0</t>
  </si>
  <si>
    <t>DSPA : 11
Ngotto : 18</t>
  </si>
  <si>
    <t>3.1.2.5</t>
  </si>
  <si>
    <t>By June 2027, at least 5 livelihood improvement initiatives (e.g., eco-tourism, sustainable harvesting, agroforestry) targetting 1000 households are implemented in target communities</t>
  </si>
  <si>
    <t xml:space="preserve">Number of livelihood initiatives implemented in target communities
</t>
  </si>
  <si>
    <t>DSPA (2025) : 1
Ngotto (2025) : 0</t>
  </si>
  <si>
    <t>DSPA : 2
Ngotto : 0</t>
  </si>
  <si>
    <t xml:space="preserve">Number of households implementing at least one livelihood improvement initiative in target communities </t>
  </si>
  <si>
    <t>DSPA : 220
Ngotto : 0</t>
  </si>
  <si>
    <t>DSPA : 320
Ngotto : 0</t>
  </si>
  <si>
    <t>DSPA : 500
Ngotto : 100</t>
  </si>
  <si>
    <t>DSPA : 600
Ngotto : 200</t>
  </si>
  <si>
    <t>DSPA : 700
Ngotto : 300</t>
  </si>
  <si>
    <t>3.1.2.6</t>
  </si>
  <si>
    <t>By March 2026, functional and accessible feedback and grievance mechanisms are established in all target landscapes</t>
  </si>
  <si>
    <t xml:space="preserve">Number of target landscapes with operational feedback and grievance mechanisms
</t>
  </si>
  <si>
    <t>DSPA (2025) : 1
Ngotto (2025) : 1</t>
  </si>
  <si>
    <t>3.1.2.7</t>
  </si>
  <si>
    <t>By December 2026, traditional ecological knowledge from IP&amp;LCs is documented and integrated into conservation strategies</t>
  </si>
  <si>
    <t>Number of landscapes where traditional ecological knowledge has been documented</t>
  </si>
  <si>
    <t>Number of conservation strategies incorporating traditional knowledge</t>
  </si>
  <si>
    <t>By 2030, at least 50% of supported pupils/students complete primary education and at least 20% complete secondary education in their respective cohort</t>
  </si>
  <si>
    <t>3.1.3.1</t>
  </si>
  <si>
    <t>By December 2027, at least one Memorandum of Understanding (MoU) will be signed and operationalized between WWF and key education stakeholders to secure sustainable school funding mechanisms</t>
  </si>
  <si>
    <t xml:space="preserve">Number of MoUs signed with education stakeholders
</t>
  </si>
  <si>
    <t>DSPA (2025) : 0
Ngotto : N/A</t>
  </si>
  <si>
    <t>DSPA : 1
Ngotto : N/A</t>
  </si>
  <si>
    <t>Amount of funding secured/mobilised based on the MoUs</t>
  </si>
  <si>
    <t>DSPA : XAF 50000000
Ngotto : N/A</t>
  </si>
  <si>
    <t>DSPA : XAF 55000000
Ngotto : N/A</t>
  </si>
  <si>
    <t>DSPA : XAF 60000000
Ngotto : N/A</t>
  </si>
  <si>
    <t>3.1.3.2</t>
  </si>
  <si>
    <t>By June 2026, at least 10 qualified teachers will be recruited and deployed to target schools in WWF priority landscapes</t>
  </si>
  <si>
    <t xml:space="preserve">Number of qualified teachers recruited and deployed to target schools
</t>
  </si>
  <si>
    <t>DSPA (2024) : 0
Ngotto : N/A</t>
  </si>
  <si>
    <t>DSPA : 0
Ngotto : N/A</t>
  </si>
  <si>
    <t>DSPA : 3
Ngotto : N/A</t>
  </si>
  <si>
    <t>DSPA : 6
Ngotto : N/A</t>
  </si>
  <si>
    <t>DSPA : 10
Ngotto : N/A</t>
  </si>
  <si>
    <t>3.1.3.3</t>
  </si>
  <si>
    <t>By the end of each school cycle, school fees and essential learning-related costs will be fully covered for at least 50 Ba’Aka and other vulnerable children in WWF-supported landscapes</t>
  </si>
  <si>
    <t>Number of Ba’Aka and other vulnerable children receiving full education support</t>
  </si>
  <si>
    <t>DSPA (2024) : 1603
Ngotto : N/A</t>
  </si>
  <si>
    <t>DSPA : 1693
Ngotto : N/A</t>
  </si>
  <si>
    <t>DSPA : 1750
Ngotto : N/A</t>
  </si>
  <si>
    <t>DSPA : 1800
Ngotto : N/A</t>
  </si>
  <si>
    <t>DSPA  : 1900
Ngotto : N/A</t>
  </si>
  <si>
    <t>DSPA : 2000
Ngotto : N/A</t>
  </si>
  <si>
    <t>3.1.3.4</t>
  </si>
  <si>
    <t>By December 2029, at least 10 target schools in WWF priority areas will receive comprehensive teaching and learning materials, including textbooks, stationery, and classroom supplies.</t>
  </si>
  <si>
    <t xml:space="preserve">Number of schools receiving comprehensive sets of teaching and learning materials
</t>
  </si>
  <si>
    <t>DSPA (2025) : 20
Ngotto : N/A</t>
  </si>
  <si>
    <t>DSPA : 25
Ngotto : N/A</t>
  </si>
  <si>
    <t>DSPA  : 30
Ngotto : N/A</t>
  </si>
  <si>
    <t>DSPA : 30
Ngotto : N/A</t>
  </si>
  <si>
    <t>3.1.3.5</t>
  </si>
  <si>
    <t>By December 2030, five annual awareness campaigns will have been conducted in Ba’Aka communities to promote school enrollment</t>
  </si>
  <si>
    <t>Number of school enrollment awareness campaigns conducted annually</t>
  </si>
  <si>
    <t>DSPA (2025) : 1
Ngotto : N/A</t>
  </si>
  <si>
    <t>DSPA : 2
Ngotto : N/A</t>
  </si>
  <si>
    <t>DSPA  : 3
Ngotto : N/A</t>
  </si>
  <si>
    <t>DSPA : 5
Ngotto : N/A</t>
  </si>
  <si>
    <t>Number of Ba’Aka community members reached through campaigns</t>
  </si>
  <si>
    <t>DSPA (2025) : 2400
Ngotto : N/A</t>
  </si>
  <si>
    <t>DSPA : 2500
Ngotto : N/A</t>
  </si>
  <si>
    <t>DSPA : 2800
Ngotto : N/A</t>
  </si>
  <si>
    <t>DSPA : 3000
Ngotto : N/A</t>
  </si>
  <si>
    <t>DSPA  : 3500
Ngotto : N/A</t>
  </si>
  <si>
    <t>DSPA : 4000
Ngotto : N/A</t>
  </si>
  <si>
    <t>3.1.3.6</t>
  </si>
  <si>
    <t>By June 2028, environmental education modules will have been developed and officially integrated into the school curriculum in Yobé-Sangha, Nola, and Salo areas</t>
  </si>
  <si>
    <t>Number of environmental education modules developed and approved</t>
  </si>
  <si>
    <t>DSPA  : 1
Ngotto : N/A</t>
  </si>
  <si>
    <t>Status of curriculum integration evidenced by the modules approved and used</t>
  </si>
  <si>
    <t>3.1.3.7</t>
  </si>
  <si>
    <t>By December 2026, at least two exchange visits will have been organized for APDS community representatives to share best practices in education and conservation engagement across WWF-supported regions</t>
  </si>
  <si>
    <t>Number of exchange visits conducted for APDS community representatives</t>
  </si>
  <si>
    <t>DSPA  : 2
Ngotto : N/A</t>
  </si>
  <si>
    <t>DSPA : 2
Ngotto : N/A</t>
  </si>
  <si>
    <t>Number of APDS representatives participating in exchange visits</t>
  </si>
  <si>
    <t>DSPA (2025) : 2
Ngotto : N/A</t>
  </si>
  <si>
    <t>DSPA  : 0
Ngotto : N/A</t>
  </si>
  <si>
    <t>3.1.3.8</t>
  </si>
  <si>
    <t>By June 2028, at least 30 Nature Clubs will have been established and actively running in target schools or communities</t>
  </si>
  <si>
    <t xml:space="preserve">Number of Nature Clubs established in target schools or communities
</t>
  </si>
  <si>
    <t>DSPA (2025) : 3
Ngotto : N/A</t>
  </si>
  <si>
    <t>DSPA : 20
Ngotto : N/A</t>
  </si>
  <si>
    <t>DSPA  : 25
Ngotto : N/A</t>
  </si>
  <si>
    <t>Number of environmental activities conducted by Nature Clubs annually</t>
  </si>
  <si>
    <t>DSPA (2025) : 4
Ngotto : N/A</t>
  </si>
  <si>
    <t>DSPA : 4
Ngotto : N/A</t>
  </si>
  <si>
    <t>DSPA  : 5
Ngotto : N/A</t>
  </si>
  <si>
    <t>3.1.4.1</t>
  </si>
  <si>
    <t>By June2026, a comprehensive baseline assessment of existing income-generating initiatives will be completed in all target communities within target areas</t>
  </si>
  <si>
    <t xml:space="preserve">Number of target communities with completed baseline assessments
</t>
  </si>
  <si>
    <t>DSPA (2025) : 0
Ngotto (2025) : 0</t>
  </si>
  <si>
    <t>DSPA  : 1
Ngotto : 1</t>
  </si>
  <si>
    <t>3.1.4.2</t>
  </si>
  <si>
    <t>By December 2026, a digital and community-based monitoring system will have been established and fully operational to track progress and impact of income-generating initiatives in at least 10 target communities.</t>
  </si>
  <si>
    <t xml:space="preserve">Community based digital monitoring system available as evidenced by data outputs
</t>
  </si>
  <si>
    <t>Number of target communities using the digital monitoring system</t>
  </si>
  <si>
    <t>DSPA : 2
Ngotto : 4</t>
  </si>
  <si>
    <t>DSPA  : 8
Ngotto : 6</t>
  </si>
  <si>
    <t>3.1.4.3</t>
  </si>
  <si>
    <t>By December 2026, at least 300 vulnerable households and 20 functional community groups will have been identified and validated for support within the target communities</t>
  </si>
  <si>
    <t># of beneficiary households identified for support</t>
  </si>
  <si>
    <t>DSPA : 320
Ngotto : 100</t>
  </si>
  <si>
    <t>DSPA : 400
Ngotto : 200</t>
  </si>
  <si>
    <t>DSPA  : 450
Ngotto : 250</t>
  </si>
  <si>
    <t>DSPA : 500
Ngotto : 300</t>
  </si>
  <si>
    <t># of functional community groups identified for support</t>
  </si>
  <si>
    <t>DSPA : 15
Ngotto : 5</t>
  </si>
  <si>
    <t>DSPA : 20
Ngotto : 10</t>
  </si>
  <si>
    <t>DSPA  : 22
Ngotto : 12</t>
  </si>
  <si>
    <t>DSPA : 25
Ngotto : 15</t>
  </si>
  <si>
    <t>3.1.4.4</t>
  </si>
  <si>
    <t>By June 2030, all identified households and community groups will have received essential inputs, technical training, and veterinary supplies</t>
  </si>
  <si>
    <t># of household benefiting</t>
  </si>
  <si>
    <t>DSPA : 2000
Ngotto : 0</t>
  </si>
  <si>
    <t>DSPA : 3000
Ngotto : 1000</t>
  </si>
  <si>
    <t>DSPA : 3000 
Ngotto : 2000</t>
  </si>
  <si>
    <t>3.1.4.5</t>
  </si>
  <si>
    <t>By December 2030, at least 200 individuals (50% women and youth) will have been trained in vocational skills such as tailoring, carpentry, soap-making, mototaxi mechanics, hospitality, and electrical work</t>
  </si>
  <si>
    <t># of IPLC women trained in vocational skills</t>
  </si>
  <si>
    <t>DSPA (2024) : 10
Ngotto : N/A</t>
  </si>
  <si>
    <t>DSPA : 40 
Ngotto : N/A</t>
  </si>
  <si>
    <t>DSPA : 50
Ngotto : N/A</t>
  </si>
  <si>
    <t># of IPLC men trained in vocational skills</t>
  </si>
  <si>
    <t>DSPA : 40
Ngotto : N/A</t>
  </si>
  <si>
    <t>DSPA : 60
Ngotto : N/A</t>
  </si>
  <si>
    <t>DSPA : 80 
Ngotto : N/A</t>
  </si>
  <si>
    <t>DSPA : 100
Ngotto : N/A</t>
  </si>
  <si>
    <t># of IPLC youth trained in vocational skills</t>
  </si>
  <si>
    <t>3.1.4.6</t>
  </si>
  <si>
    <t>By March 2026, a market assessment report will be completed analyzing demand, pricing, and value chains for non-timber forest products (NTFPs) and bushmeat in local and regional markets</t>
  </si>
  <si>
    <t>Evidence of a market assessment report</t>
  </si>
  <si>
    <t>DSPA (2024) : 0
Ngotto (2025) : 0</t>
  </si>
  <si>
    <t>3.1.4.7</t>
  </si>
  <si>
    <t>By December 2026, key components of the ZCC (Zone Cynégétique à Usage Contrôlé)  management plan will be implemented, including community patrols, zoning, and sustainable hunting practices in collaboration with local authorities</t>
  </si>
  <si>
    <t>Number of community patrols conducted per quarter in the ZCC</t>
  </si>
  <si>
    <t>Tracks the frequency and consistency of community-led patrols within the ZCC.</t>
  </si>
  <si>
    <t>DSPA : 48100 (2025)</t>
  </si>
  <si>
    <t>DSAP: 48100</t>
  </si>
  <si>
    <t>DSPA : 48100</t>
  </si>
  <si>
    <t>Percentage of hunting activities in ZCC compliant with sustainable hunting guidelines</t>
  </si>
  <si>
    <t>Proportion of recorded hunting activities that adhere to established quotas, seasons, and species restrictions.</t>
  </si>
  <si>
    <t>DSPA : TBD</t>
  </si>
  <si>
    <t>DSPA : 50%</t>
  </si>
  <si>
    <t>DSPA : 55%</t>
  </si>
  <si>
    <t>DSPA : 60%</t>
  </si>
  <si>
    <t>DSPA : 70</t>
  </si>
  <si>
    <t>DSPA : 75%</t>
  </si>
  <si>
    <t>3.1.4.8</t>
  </si>
  <si>
    <t xml:space="preserve">By December 2027, an inclusive agricultural strategy promoting agroforestry, cocoa, and Gnetum cultivation among others will have been developed and piloted in at least five target communities </t>
  </si>
  <si>
    <t>Number of inclusive agricultural strategy documents developed and validated</t>
  </si>
  <si>
    <t>Measures the completion and formal approval of the strategy document that integrates agroforestry, cocoa, Gnetum, and other crops.</t>
  </si>
  <si>
    <t>Number of target communities piloting the inclusive agricultural strategy</t>
  </si>
  <si>
    <t>Tracks the number of communities where the strategy has been implemented on a pilot basis.</t>
  </si>
  <si>
    <t>3.1.4.9</t>
  </si>
  <si>
    <t>By December 2026, small-scale livestock farming (goats, poultry, pigs) will have been introduced and supported in at least 150 households through training, starter kits, and veterinary follow-up</t>
  </si>
  <si>
    <t> Number of households receiving livestock starter kits and training</t>
  </si>
  <si>
    <t>Tracks how many households have been equipped with animals (goats, poultry, pigs), basic inputs, and training to begin small-scale livestock farming.</t>
  </si>
  <si>
    <t>DSPA (2024) : 0
Ngotto (2025) : N/A</t>
  </si>
  <si>
    <t>DSPA : 80
Ngotto : N/A</t>
  </si>
  <si>
    <t>DSPA : 120
Ngotto : N/A</t>
  </si>
  <si>
    <t>DSPA : 150
Ngotto : N/A</t>
  </si>
  <si>
    <t>Percentage of supported households receiving at least one veterinary follow-up visit within six months</t>
  </si>
  <si>
    <t>Assesses the extent of veterinary support provided to ensure animal health and sustainability of the initiative.</t>
  </si>
  <si>
    <t>DSPA : 100%
Ngotto : N/A</t>
  </si>
  <si>
    <t xml:space="preserve">By 2030, the number of targeted IPLC communities in WWF-supported landscapes having access to materials of good life has increased by at least 50% relative to the 2025 baseline </t>
  </si>
  <si>
    <t>3.1.5.1</t>
  </si>
  <si>
    <t xml:space="preserve">By December 2027, essential medical equipment and small supplies will have been procured and delivered to the secondary hospital </t>
  </si>
  <si>
    <t>Number of essential medical equipment and supply items procured and delivered</t>
  </si>
  <si>
    <t>Tracks the total quantity of distinct equipment and supply items successfully delivered to the hospital.</t>
  </si>
  <si>
    <t>DSPA (2025) : 2
Ngotto (2025) : N/A</t>
  </si>
  <si>
    <t xml:space="preserve">Updated
</t>
  </si>
  <si>
    <t xml:space="preserve">Baseline is more than targets </t>
  </si>
  <si>
    <t># of patients treated in different health entities (hospital, FOSA, mobile clinic, private entities) (ref: gender, age class, ethnicity)</t>
  </si>
  <si>
    <t>DSPA (2025) : 2207
Ngotto (2025) : N/A</t>
  </si>
  <si>
    <t>DSPA : 2750
Ngotto : N/A</t>
  </si>
  <si>
    <t>3.1.5.2</t>
  </si>
  <si>
    <t>By December 2027, at least 30 COGES (Helath Committee) members will be trained in health governance, planning, and accountability to enhance community participation in health service management</t>
  </si>
  <si>
    <t xml:space="preserve"># of COGES members trained on health governance, planning, and accountability </t>
  </si>
  <si>
    <t>DSPA (2025) : 0
Ngotto (2025) : N/A</t>
  </si>
  <si>
    <t>DSPA : 15
Ngotto : N/A</t>
  </si>
  <si>
    <t>3.1.5.3</t>
  </si>
  <si>
    <t>By December 2028, a monitoring system will have been established and operational for at least 10 satellite health facilities (FOSA) in DSPA</t>
  </si>
  <si>
    <t>Number of FOSA with functional monitoring systems established</t>
  </si>
  <si>
    <t>Counts the number of satellite health facilities where the monitoring system (tools, processes, and personnel) has been set up and is operational.</t>
  </si>
  <si>
    <t>DSPA : 7
Ngotto : N/A</t>
  </si>
  <si>
    <t>3.1.5.4</t>
  </si>
  <si>
    <t>By December 2028, at least 90% of BaAka newborns delivered in supported health facilities will have received birth certificates through collaboration with municipal civil registration services</t>
  </si>
  <si>
    <t>Percentage of BaAka newborns delivered in supported health facilities who receive birth certificates</t>
  </si>
  <si>
    <t>Measures the proportion of BaAka newborns who are officially registered and issued birth certificates through collaboration with municipal civil registration services.</t>
  </si>
  <si>
    <t>DSPA (2023) :123
Ngotto : N/A</t>
  </si>
  <si>
    <t>DSPA : 200
Ngotto : N/A</t>
  </si>
  <si>
    <t>DSPA : 250
Ngotto : N/A</t>
  </si>
  <si>
    <t>DSPA : 800
Ngotto : N/A</t>
  </si>
  <si>
    <t>3.1.5.5</t>
  </si>
  <si>
    <t>By June 2026, at least one BaAka staff member will be recruited and integrated into each WWF-supported health facility to improve cultural sensitivity and trust in healthcare delivery</t>
  </si>
  <si>
    <t>*# of Ba'aka staff recruited and trained in the health programme</t>
  </si>
  <si>
    <t>3.1.5.6</t>
  </si>
  <si>
    <t>By December 2029, at least four outreach health campaigns and two rounds of national vaccination drives will have been supported and implemented in BaAka communities</t>
  </si>
  <si>
    <t>Number of outreach health campaigns conducted in BaAka communities</t>
  </si>
  <si>
    <t>DSPA : 9
Ngotto : N/A</t>
  </si>
  <si>
    <t>DSPA : 12
Ngotto : N/A</t>
  </si>
  <si>
    <t>Number of national vaccination drive rounds supported and implemented in BaAka communities</t>
  </si>
  <si>
    <t>Tracks the number of vaccination rounds that were successfully carried out with support in BaAka areas.</t>
  </si>
  <si>
    <t>3.1.5.7</t>
  </si>
  <si>
    <t>By December 2028, medical consultation fees and mobile clinic services will have been covered for at least 1,000 BaAka individuals across all WWF-supported areas</t>
  </si>
  <si>
    <t>Number of BaAka individuals who received free medical consultations or mobile clinic services</t>
  </si>
  <si>
    <t>Counts the unique individuals who accessed services without paying fees, either at fixed health facilities or through mobile clinics.</t>
  </si>
  <si>
    <t>DSPA (2025) : 403
Ngotto : N/A</t>
  </si>
  <si>
    <t>DSPA : 500
Ngotto : N/A</t>
  </si>
  <si>
    <t>DSPA : 600
Ngotto : N/A</t>
  </si>
  <si>
    <t>DSPA : 750
Ngotto : N/A</t>
  </si>
  <si>
    <t>DSPA : 850
Ngotto : N/A</t>
  </si>
  <si>
    <t>DSPA : 1000
Ngotto : N/A</t>
  </si>
  <si>
    <t>Number of mobile clinic visits conducted in WWF-supported areas</t>
  </si>
  <si>
    <t>Tracks the number of mobile clinic deployments to BaAka communities within the supported zones.</t>
  </si>
  <si>
    <t>DSPA (2025) : 6
Ngotto : N/A</t>
  </si>
  <si>
    <t>DSPA : 8
Ngotto : N/A</t>
  </si>
  <si>
    <t>3.1.6.1</t>
  </si>
  <si>
    <t>By December 2027, foundational infrastructure and governance frameworks for sustainable tourism will have been established in the target areas</t>
  </si>
  <si>
    <t>Number of sustainable tourism governance frameworks developed and endorsed</t>
  </si>
  <si>
    <t>Tracks the creation and formal approval of policies, guidelines, or institutional arrangements that support sustainable tourism.</t>
  </si>
  <si>
    <t>DSPA (2024) : 0
Ngotto: N/A</t>
  </si>
  <si>
    <t>Ngotto</t>
  </si>
  <si>
    <t>3.1.6.2</t>
  </si>
  <si>
    <t>By December 2028, Doli Lodge’s profitability will be increased by at least 20% through improved financial management, staff training, and enhanced guest services</t>
  </si>
  <si>
    <t>Percentage increase in net profit margin of Doli Lodge</t>
  </si>
  <si>
    <t>Measures the change in profitability by comparing net profit margins before and after interventions.</t>
  </si>
  <si>
    <t>3.1.6.3</t>
  </si>
  <si>
    <t>By December 2026, a digital marketing and reservation platform will have been launched and operational to improve online visibility and bookings for tourism services in the target area</t>
  </si>
  <si>
    <t>Evidence of a digital platform launched and fully operational</t>
  </si>
  <si>
    <t>Confirms the platform (website or app) is live, functional, and accessible to users, with core features such as service listings, booking functionality, and contact information.</t>
  </si>
  <si>
    <t>3.1.6.4</t>
  </si>
  <si>
    <t>By December 2028, at least five community-based tourism initiatives will have been established and supported, with local communities trained and actively participating in guiding, hospitality, and cultural experiences.</t>
  </si>
  <si>
    <t>Number of community-based tourism initiatives established and supported</t>
  </si>
  <si>
    <t>Counts the total number of distinct tourism initiatives (e.g., eco-guiding, homestays, cultural performances) that have been formally launched with community involvement.</t>
  </si>
  <si>
    <t>DSPA  : 1
Ngotto: N/A</t>
  </si>
  <si>
    <t>DSPA  : 2
Ngotto: N/A</t>
  </si>
  <si>
    <t>DSPA  : 3
Ngotto: N/A</t>
  </si>
  <si>
    <t>DSPA  : 4
Ngotto: N/A</t>
  </si>
  <si>
    <t>DSPA  : 5
Ngotto: N/A</t>
  </si>
  <si>
    <t>Number of community members trained and actively participating in tourism services</t>
  </si>
  <si>
    <t>Tracks individuals from local communities who have received training and are engaged in guiding, hospitality, or cultural experience delivery.</t>
  </si>
  <si>
    <t>DSPA  : 50
Ngotto: N/A</t>
  </si>
  <si>
    <t>DSPA  : 100
Ngotto: N/A</t>
  </si>
  <si>
    <t>DSPA  : 150
Ngotto: N/A</t>
  </si>
  <si>
    <t>DSPA  : 200
Ngotto: N/A</t>
  </si>
  <si>
    <t>DSPA  : 300
Ngotto: N/A</t>
  </si>
  <si>
    <t>3.1.7.1</t>
  </si>
  <si>
    <t>By December 2028, at least three CSO networks or coordination platforms will have been revitalized and actively functioning in WWF intervention landscapes in CAR</t>
  </si>
  <si>
    <t># of CSO networks revitalized</t>
  </si>
  <si>
    <t>National (2024) : 1</t>
  </si>
  <si>
    <t>National : 1</t>
  </si>
  <si>
    <t>National : 2</t>
  </si>
  <si>
    <t>National : 3</t>
  </si>
  <si>
    <t># of MoU with CSO network</t>
  </si>
  <si>
    <t>National (2024) : 0</t>
  </si>
  <si>
    <t>National : 0</t>
  </si>
  <si>
    <t>3.1.7.2</t>
  </si>
  <si>
    <t>By December 2029, at least 50 CSO representatives are trained in advocacy, organizational management, and lobbying</t>
  </si>
  <si>
    <t>Number of CSO representatives trained in advocacy, organizational management, and lobbying</t>
  </si>
  <si>
    <t>National : 25</t>
  </si>
  <si>
    <t>National : 50</t>
  </si>
  <si>
    <t>Number of training sessions conducted on advocacy, organizational management, and lobbying</t>
  </si>
  <si>
    <t>3.1.7.3</t>
  </si>
  <si>
    <t>By June 2030, at least 10 functional women’s associations will have received technical and financial support to implement or scale up local initiatives in conservation, livelihoods, or community development</t>
  </si>
  <si>
    <t xml:space="preserve">Number of women’s associations receiving technical and financial support
</t>
  </si>
  <si>
    <t>National : 5</t>
  </si>
  <si>
    <t>National : 10</t>
  </si>
  <si>
    <t>Number of local initiatives implemented or scaled up by supported women’s associations</t>
  </si>
  <si>
    <t>3.1.7.4</t>
  </si>
  <si>
    <t>By December 2029, CSOs from WWF-supported landscapes will participate in at least five local or national policy or planning forums related to environmental governance and community rights</t>
  </si>
  <si>
    <t># of CSOs participating in local and national initiatives with WWF support</t>
  </si>
  <si>
    <t>3.1.7.5</t>
  </si>
  <si>
    <t>By December 2030, at least five collaborative initiatives with Civil Society Organizations (CSOs) will have been developed and implemented in priority regions to promote the sustainable management and protection of natural resources</t>
  </si>
  <si>
    <t xml:space="preserve">Number of collaborative initiatives with CSOs developed and implemented
</t>
  </si>
  <si>
    <t>Counts the total number of joint projects or programs launched with CSOs that focus on sustainable natural resource management and protection.</t>
  </si>
  <si>
    <t># of projects implemented jointly with CSOs</t>
  </si>
  <si>
    <t>Output number</t>
  </si>
  <si>
    <t>Output Statement</t>
  </si>
  <si>
    <t>FY26 Cost</t>
  </si>
  <si>
    <t>FY27 Cost</t>
  </si>
  <si>
    <t>FY28 Cost</t>
  </si>
  <si>
    <t>FY29 Cost</t>
  </si>
  <si>
    <t>FY30 Cost</t>
  </si>
  <si>
    <t>Total Output Cost + Management fee</t>
  </si>
  <si>
    <t>Current Project (CPM Project #)</t>
  </si>
  <si>
    <t xml:space="preserve">Target Funding Source </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</si>
  <si>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programme outputs can be estimated, which will be used to estimate the cost of total OSP implementation and the development of the financial plan.  
Please make sure to include activities related to M&amp;E, ESSF and other risk mitigation, etc. 
"Please indicate the type of activities:
- Programmatic
- Innovation (ideation &amp; prototyping &amp; scale up)
- M&amp;E and Research
- Risk mitigation/management (including ESSF)
</t>
  </si>
  <si>
    <t xml:space="preserve">If the activity is already funded, please indicate the relevant CPM number(s). </t>
  </si>
  <si>
    <t xml:space="preserve">If there is a funding gap and have prospective funding sources, please indicate the source. </t>
  </si>
  <si>
    <t>By 2029, at least three community forests / OECMs  are created and the simple management plans developed and implemented</t>
  </si>
  <si>
    <t>2.2.3 .2_1</t>
  </si>
  <si>
    <t>2.2.3 .2_2</t>
  </si>
  <si>
    <t>By December 2028, at least 10 NTFP-based enterprises in IPLC areas are supported and strengthened through capacity building, access to markets, and financial services</t>
  </si>
  <si>
    <t>2.2.3 .5</t>
  </si>
  <si>
    <r>
      <t xml:space="preserve">By June 2027, sustainable production systems for </t>
    </r>
    <r>
      <rPr>
        <i/>
        <sz val="11"/>
        <color theme="4"/>
        <rFont val="Calibri"/>
        <family val="2"/>
      </rPr>
      <t>Gnetum africanum</t>
    </r>
    <r>
      <rPr>
        <sz val="11"/>
        <color theme="4"/>
        <rFont val="Calibri"/>
        <family val="2"/>
      </rPr>
      <t xml:space="preserve"> are established and promoted in at least 5 IPLC communities</t>
    </r>
  </si>
  <si>
    <t>By August 2030, 100,000 seedlings of caterpillar-host tree species are raised and planted across 20 community-managed sites</t>
  </si>
  <si>
    <t>By June 2030, monitoring protocols and patrol systems are established in 5 logging concessions to protect intact forest landscapes</t>
  </si>
  <si>
    <t>By December 2025, standardized data monitoring systems are established and operational iin 10 partner institutions</t>
  </si>
  <si>
    <t>By December 2026, at least 10 human rights awareness campaigns are conducted across intervention areas</t>
  </si>
  <si>
    <t>By June 2026, a comprehensive GBV action plan is developed and implemented in all target communities</t>
  </si>
  <si>
    <t>By December 2026, at least one Memorandum of Understanding (MoU) will be signed and operationalized between WWF and key education stakeholders to secure sustainable school funding mechanisms</t>
  </si>
  <si>
    <t>By June 2028, environmental education modules will have been developed and officially integrated into the school curriculum in Yobé-Sangha, Nola, and Salo</t>
  </si>
  <si>
    <t>By June 2028, at least 5 Nature Clubs will have been established and actively running in target schools or communities</t>
  </si>
  <si>
    <t>By December 2025, at least 300 vulnerable households and 20 functional community groups will have been identified and validated for support within the target communities</t>
  </si>
  <si>
    <t>By December 2028, a monitoring system will have been established and operational for at least 10 satellite health facilities (FOSA)</t>
  </si>
  <si>
    <t>Total Annual Cost + Management Fee</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</si>
  <si>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</si>
  <si>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</si>
  <si>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</si>
  <si>
    <t xml:space="preserve">Conservation Focus of the Programme
</t>
  </si>
  <si>
    <t>Result ID</t>
  </si>
  <si>
    <t>Program Outcomes</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</si>
  <si>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</si>
  <si>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</si>
  <si>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</si>
  <si>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</si>
  <si>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</si>
  <si>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</si>
  <si>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</si>
  <si>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</si>
  <si>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</si>
  <si>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</si>
  <si>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 xml:space="preserve">Please Describe the desired reduction of threats (or changes to the identified factors). Please make sure the statement is SMART.
</t>
  </si>
  <si>
    <t xml:space="preserve">Please indicate the relevant Geographic Scope for each Outcome statement. 
Ensure to use one of the Geographic scope identified in the Scope tab of OSP Design Template. </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</si>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</sst>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 #,##0.00_-;_-* &quot;-&quot;??_-;_-@_-"/>
  </numFmts>
  <fonts count="51">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sz val="11"/>
      <color theme="1"/>
      <name val="Calibri"/>
      <family val="2"/>
    </font>
    <font>
      <b/>
      <i/>
      <sz val="10"/>
      <color rgb="FF980000"/>
      <name val="Arial"/>
      <family val="2"/>
    </font>
    <font>
      <i/>
      <u/>
      <sz val="10"/>
      <color rgb="FF1155CC"/>
      <name val="Arial"/>
      <family val="2"/>
    </font>
    <font>
      <b/>
      <sz val="10"/>
      <color rgb="FFFF0000"/>
      <name val="Arial"/>
      <family val="2"/>
    </font>
    <font>
      <i/>
      <sz val="10"/>
      <color rgb="FFFF0000"/>
      <name val="Arial"/>
      <family val="2"/>
    </font>
    <font>
      <sz val="10"/>
      <color rgb="FF000000"/>
      <name val="Arial"/>
      <family val="2"/>
      <scheme val="minor"/>
    </font>
    <font>
      <sz val="8"/>
      <name val="Arial"/>
      <family val="2"/>
      <scheme val="minor"/>
    </font>
    <font>
      <b/>
      <sz val="12"/>
      <color theme="1"/>
      <name val="Arial"/>
      <family val="2"/>
      <scheme val="minor"/>
    </font>
    <font>
      <sz val="12"/>
      <color rgb="FF000000"/>
      <name val="Arial"/>
      <family val="2"/>
      <scheme val="minor"/>
    </font>
    <font>
      <sz val="11"/>
      <color rgb="FF000000"/>
      <name val="Calibri"/>
      <family val="2"/>
    </font>
    <font>
      <sz val="11"/>
      <color theme="4"/>
      <name val="Calibri"/>
      <family val="2"/>
    </font>
    <font>
      <sz val="10"/>
      <color theme="4"/>
      <name val="Arial"/>
      <family val="2"/>
      <scheme val="minor"/>
    </font>
    <font>
      <sz val="10"/>
      <color rgb="FF000000"/>
      <name val="Arial"/>
      <family val="2"/>
    </font>
    <font>
      <i/>
      <sz val="11"/>
      <color theme="4"/>
      <name val="Calibri"/>
      <family val="2"/>
    </font>
    <font>
      <sz val="12"/>
      <color theme="1"/>
      <name val="Calibri"/>
      <family val="2"/>
    </font>
    <font>
      <b/>
      <sz val="12"/>
      <color rgb="FFFFFFFF"/>
      <name val="Calibri"/>
      <family val="2"/>
    </font>
    <font>
      <b/>
      <sz val="12"/>
      <color rgb="FFFF0000"/>
      <name val="Calibri"/>
      <family val="2"/>
    </font>
    <font>
      <b/>
      <sz val="12"/>
      <color theme="1"/>
      <name val="Calibri"/>
      <family val="2"/>
    </font>
    <font>
      <sz val="12"/>
      <color rgb="FF000000"/>
      <name val="Calibri"/>
      <family val="2"/>
    </font>
    <font>
      <sz val="12"/>
      <color rgb="FFFF0000"/>
      <name val="Calibri"/>
      <family val="2"/>
    </font>
    <font>
      <sz val="12"/>
      <name val="Calibri"/>
      <family val="2"/>
    </font>
    <font>
      <b/>
      <sz val="12"/>
      <color rgb="FF000000"/>
      <name val="Calibri"/>
      <family val="2"/>
    </font>
    <font>
      <b/>
      <sz val="12"/>
      <color theme="4"/>
      <name val="Calibri"/>
      <family val="2"/>
    </font>
    <font>
      <sz val="12"/>
      <color theme="4"/>
      <name val="Calibri"/>
      <family val="2"/>
    </font>
    <font>
      <sz val="12"/>
      <color theme="4"/>
      <name val="Arial"/>
      <family val="2"/>
      <scheme val="minor"/>
    </font>
    <font>
      <sz val="12"/>
      <color theme="0"/>
      <name val="Calibri"/>
      <family val="2"/>
    </font>
    <font>
      <sz val="12"/>
      <color rgb="FFFF0000"/>
      <name val="Arial"/>
      <family val="2"/>
      <scheme val="minor"/>
    </font>
    <font>
      <b/>
      <sz val="12"/>
      <color rgb="FF000000"/>
      <name val="Arial"/>
      <family val="2"/>
      <scheme val="minor"/>
    </font>
    <font>
      <sz val="12"/>
      <color rgb="FF4285F4"/>
      <name val="Calibri"/>
      <family val="2"/>
    </font>
    <font>
      <i/>
      <sz val="12"/>
      <color rgb="FF4285F4"/>
      <name val="Calibri"/>
      <family val="2"/>
    </font>
    <font>
      <sz val="12"/>
      <color rgb="FF000000"/>
      <name val="Arial"/>
      <family val="2"/>
    </font>
    <font>
      <strike/>
      <sz val="12"/>
      <color rgb="FFFF0000"/>
      <name val="Calibri"/>
      <family val="2"/>
    </font>
    <font>
      <sz val="12"/>
      <name val="Arial"/>
      <family val="2"/>
    </font>
  </fonts>
  <fills count="23">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0" tint="-0.14999847407452621"/>
        <bgColor indexed="64"/>
      </patternFill>
    </fill>
    <fill>
      <patternFill patternType="solid">
        <fgColor theme="6"/>
        <bgColor rgb="FFFEF2CB"/>
      </patternFill>
    </fill>
    <fill>
      <patternFill patternType="solid">
        <fgColor rgb="FFE2EFD9"/>
        <bgColor indexed="64"/>
      </patternFill>
    </fill>
    <fill>
      <patternFill patternType="solid">
        <fgColor theme="0" tint="-0.249977111117893"/>
        <bgColor indexed="64"/>
      </patternFill>
    </fill>
    <fill>
      <patternFill patternType="solid">
        <fgColor rgb="FF00B0F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79998168889431442"/>
        <bgColor rgb="FFE2EFD9"/>
      </patternFill>
    </fill>
    <fill>
      <patternFill patternType="solid">
        <fgColor theme="5" tint="0.79998168889431442"/>
        <bgColor indexed="64"/>
      </patternFill>
    </fill>
    <fill>
      <patternFill patternType="solid">
        <fgColor theme="4"/>
        <bgColor rgb="FF1F3864"/>
      </patternFill>
    </fill>
  </fills>
  <borders count="69">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right/>
      <top/>
      <bottom style="thin">
        <color rgb="FF000000"/>
      </bottom>
      <diagonal/>
    </border>
    <border>
      <left style="hair">
        <color indexed="64"/>
      </left>
      <right style="hair">
        <color indexed="64"/>
      </right>
      <top style="hair">
        <color indexed="64"/>
      </top>
      <bottom style="hair">
        <color indexed="64"/>
      </bottom>
      <diagonal/>
    </border>
    <border>
      <left/>
      <right/>
      <top style="hair">
        <color indexed="64"/>
      </top>
      <bottom style="hair">
        <color rgb="FF000000"/>
      </bottom>
      <diagonal/>
    </border>
    <border>
      <left/>
      <right style="hair">
        <color rgb="FF000000"/>
      </right>
      <top style="hair">
        <color indexed="64"/>
      </top>
      <bottom style="hair">
        <color rgb="FF000000"/>
      </bottom>
      <diagonal/>
    </border>
    <border>
      <left style="thin">
        <color rgb="FF000000"/>
      </left>
      <right style="thin">
        <color rgb="FF000000"/>
      </right>
      <top style="thin">
        <color indexed="64"/>
      </top>
      <bottom/>
      <diagonal/>
    </border>
    <border>
      <left style="thin">
        <color rgb="FFCCCCCC"/>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indexed="64"/>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right style="medium">
        <color rgb="FF000000"/>
      </right>
      <top/>
      <bottom/>
      <diagonal/>
    </border>
    <border>
      <left style="thin">
        <color rgb="FF000000"/>
      </left>
      <right/>
      <top/>
      <bottom/>
      <diagonal/>
    </border>
    <border>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style="thin">
        <color rgb="FFCCCCCC"/>
      </left>
      <right/>
      <top style="thin">
        <color rgb="FFCCCCCC"/>
      </top>
      <bottom style="thin">
        <color rgb="FF000000"/>
      </bottom>
      <diagonal/>
    </border>
    <border>
      <left style="thin">
        <color rgb="FFCCCCCC"/>
      </left>
      <right style="thin">
        <color rgb="FF000000"/>
      </right>
      <top/>
      <bottom/>
      <diagonal/>
    </border>
  </borders>
  <cellStyleXfs count="2">
    <xf numFmtId="0" fontId="0" fillId="0" borderId="0"/>
    <xf numFmtId="164" fontId="23" fillId="0" borderId="0" applyFont="0" applyFill="0" applyBorder="0" applyAlignment="0" applyProtection="0"/>
  </cellStyleXfs>
  <cellXfs count="410">
    <xf numFmtId="0" fontId="0" fillId="0" borderId="0" xfId="0"/>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8" fillId="0" borderId="9" xfId="0" applyFont="1" applyBorder="1" applyAlignment="1">
      <alignment horizontal="right" vertical="top"/>
    </xf>
    <xf numFmtId="0" fontId="8" fillId="0" borderId="10" xfId="0" applyFont="1" applyBorder="1" applyAlignment="1">
      <alignment vertical="top"/>
    </xf>
    <xf numFmtId="0" fontId="8" fillId="0" borderId="0" xfId="0" applyFont="1"/>
    <xf numFmtId="0" fontId="8" fillId="0" borderId="13" xfId="0" applyFont="1" applyBorder="1" applyAlignment="1">
      <alignment horizontal="right" vertical="top"/>
    </xf>
    <xf numFmtId="0" fontId="8" fillId="0" borderId="14" xfId="0" applyFont="1" applyBorder="1" applyAlignment="1">
      <alignment vertical="top"/>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8" fillId="0" borderId="12" xfId="0" applyFont="1" applyBorder="1" applyAlignment="1">
      <alignment vertical="top"/>
    </xf>
    <xf numFmtId="0" fontId="8" fillId="0" borderId="16" xfId="0" applyFont="1" applyBorder="1" applyAlignment="1">
      <alignment vertical="top"/>
    </xf>
    <xf numFmtId="0" fontId="8" fillId="0" borderId="18" xfId="0" applyFont="1" applyBorder="1" applyAlignment="1">
      <alignment vertical="top"/>
    </xf>
    <xf numFmtId="0" fontId="8" fillId="0" borderId="13" xfId="0" applyFont="1" applyBorder="1" applyAlignment="1">
      <alignment vertical="top"/>
    </xf>
    <xf numFmtId="0" fontId="1" fillId="0" borderId="0" xfId="0" applyFont="1" applyAlignment="1">
      <alignment horizontal="left" vertical="center" wrapText="1"/>
    </xf>
    <xf numFmtId="0" fontId="1" fillId="0" borderId="0" xfId="0" applyFont="1" applyAlignment="1">
      <alignment vertical="center"/>
    </xf>
    <xf numFmtId="0" fontId="2" fillId="2" borderId="2" xfId="0" applyFont="1" applyFill="1" applyBorder="1" applyAlignment="1">
      <alignment horizontal="center" vertical="top" wrapText="1"/>
    </xf>
    <xf numFmtId="0" fontId="1" fillId="0" borderId="20" xfId="0" applyFont="1" applyBorder="1"/>
    <xf numFmtId="0" fontId="1" fillId="0" borderId="22" xfId="0" applyFont="1" applyBorder="1"/>
    <xf numFmtId="0" fontId="4" fillId="3" borderId="24" xfId="0" applyFont="1" applyFill="1" applyBorder="1" applyAlignment="1">
      <alignment horizontal="left" vertical="center" wrapText="1"/>
    </xf>
    <xf numFmtId="0" fontId="1" fillId="0" borderId="26" xfId="0" applyFont="1" applyBorder="1"/>
    <xf numFmtId="0" fontId="11" fillId="0" borderId="0" xfId="0" applyFont="1" applyAlignment="1">
      <alignment horizontal="left" vertical="top" wrapText="1"/>
    </xf>
    <xf numFmtId="0" fontId="1" fillId="0" borderId="0" xfId="0" applyFont="1" applyAlignment="1">
      <alignment vertical="top"/>
    </xf>
    <xf numFmtId="0" fontId="12" fillId="0" borderId="0" xfId="0" applyFont="1" applyAlignment="1">
      <alignment horizontal="center" vertical="top" wrapText="1"/>
    </xf>
    <xf numFmtId="0" fontId="8" fillId="0" borderId="1" xfId="0" applyFont="1" applyBorder="1" applyAlignment="1">
      <alignment vertical="center"/>
    </xf>
    <xf numFmtId="0" fontId="6" fillId="3" borderId="27" xfId="0" applyFont="1" applyFill="1" applyBorder="1" applyAlignment="1">
      <alignment vertical="top"/>
    </xf>
    <xf numFmtId="0" fontId="13" fillId="3" borderId="27" xfId="0" applyFont="1" applyFill="1" applyBorder="1" applyAlignment="1">
      <alignment vertical="top" wrapText="1"/>
    </xf>
    <xf numFmtId="0" fontId="6" fillId="3" borderId="28" xfId="0" applyFont="1" applyFill="1" applyBorder="1" applyAlignment="1">
      <alignment vertical="top"/>
    </xf>
    <xf numFmtId="0" fontId="8" fillId="0" borderId="0" xfId="0" applyFont="1" applyAlignment="1">
      <alignment vertical="top"/>
    </xf>
    <xf numFmtId="0" fontId="2" fillId="2" borderId="5" xfId="0" applyFont="1" applyFill="1" applyBorder="1" applyAlignment="1">
      <alignment vertical="center" wrapText="1"/>
    </xf>
    <xf numFmtId="0" fontId="7" fillId="2" borderId="9" xfId="0" applyFont="1" applyFill="1" applyBorder="1" applyAlignment="1">
      <alignment vertical="top" wrapText="1"/>
    </xf>
    <xf numFmtId="0" fontId="5" fillId="2" borderId="29" xfId="0" applyFont="1" applyFill="1" applyBorder="1" applyAlignment="1">
      <alignment horizontal="left" vertical="top" wrapText="1"/>
    </xf>
    <xf numFmtId="0" fontId="5" fillId="2" borderId="29" xfId="0" applyFont="1" applyFill="1" applyBorder="1" applyAlignment="1">
      <alignment vertical="top" wrapText="1"/>
    </xf>
    <xf numFmtId="0" fontId="5" fillId="0" borderId="0" xfId="0" applyFont="1"/>
    <xf numFmtId="0" fontId="1" fillId="0" borderId="5" xfId="0" applyFont="1" applyBorder="1" applyAlignment="1">
      <alignment vertical="top"/>
    </xf>
    <xf numFmtId="0" fontId="11" fillId="0" borderId="29" xfId="0" applyFont="1" applyBorder="1" applyAlignment="1">
      <alignment horizontal="left" vertical="top" wrapText="1"/>
    </xf>
    <xf numFmtId="0" fontId="1" fillId="0" borderId="29" xfId="0" applyFont="1" applyBorder="1"/>
    <xf numFmtId="0" fontId="1" fillId="0" borderId="24" xfId="0" applyFont="1" applyBorder="1" applyAlignment="1">
      <alignment vertical="top"/>
    </xf>
    <xf numFmtId="0" fontId="11" fillId="0" borderId="30" xfId="0" applyFont="1" applyBorder="1" applyAlignment="1">
      <alignment horizontal="left" vertical="top" wrapText="1"/>
    </xf>
    <xf numFmtId="0" fontId="14" fillId="0" borderId="12" xfId="0" applyFont="1" applyBorder="1" applyAlignment="1">
      <alignment vertical="center" wrapText="1"/>
    </xf>
    <xf numFmtId="0" fontId="4" fillId="3" borderId="31" xfId="0" applyFont="1" applyFill="1" applyBorder="1" applyAlignment="1">
      <alignment vertical="center" wrapText="1"/>
    </xf>
    <xf numFmtId="0" fontId="4" fillId="3" borderId="31" xfId="0" applyFont="1" applyFill="1" applyBorder="1" applyAlignment="1">
      <alignment horizontal="center" vertical="top" wrapText="1"/>
    </xf>
    <xf numFmtId="0" fontId="15" fillId="0" borderId="0" xfId="0" applyFont="1" applyAlignment="1">
      <alignment vertical="center" wrapText="1"/>
    </xf>
    <xf numFmtId="0" fontId="2" fillId="2" borderId="9" xfId="0" applyFont="1" applyFill="1" applyBorder="1" applyAlignment="1">
      <alignment vertical="top" wrapText="1"/>
    </xf>
    <xf numFmtId="0" fontId="16" fillId="0" borderId="0" xfId="0" applyFont="1" applyAlignment="1">
      <alignment vertical="top"/>
    </xf>
    <xf numFmtId="0" fontId="5" fillId="2" borderId="29" xfId="0" applyFont="1" applyFill="1" applyBorder="1" applyAlignment="1">
      <alignment vertical="top"/>
    </xf>
    <xf numFmtId="0" fontId="1" fillId="0" borderId="9" xfId="0" applyFont="1" applyBorder="1" applyAlignment="1">
      <alignment wrapText="1"/>
    </xf>
    <xf numFmtId="0" fontId="1" fillId="0" borderId="8" xfId="0" applyFont="1" applyBorder="1" applyAlignment="1">
      <alignment wrapText="1"/>
    </xf>
    <xf numFmtId="0" fontId="1" fillId="0" borderId="21" xfId="0" applyFont="1" applyBorder="1"/>
    <xf numFmtId="0" fontId="1" fillId="0" borderId="0" xfId="0" applyFont="1" applyAlignment="1">
      <alignment wrapText="1"/>
    </xf>
    <xf numFmtId="0" fontId="1" fillId="0" borderId="1" xfId="0" applyFont="1" applyBorder="1" applyAlignment="1">
      <alignment horizontal="center" vertical="top"/>
    </xf>
    <xf numFmtId="0" fontId="4" fillId="3" borderId="5" xfId="0" applyFont="1" applyFill="1" applyBorder="1" applyAlignment="1">
      <alignment horizontal="center" vertical="top"/>
    </xf>
    <xf numFmtId="0" fontId="14" fillId="0" borderId="12" xfId="0" applyFont="1" applyBorder="1" applyAlignment="1">
      <alignment horizontal="center" vertical="center" wrapText="1"/>
    </xf>
    <xf numFmtId="0" fontId="6" fillId="3" borderId="31" xfId="0" applyFont="1" applyFill="1" applyBorder="1" applyAlignment="1">
      <alignment horizontal="center" vertical="top" wrapText="1"/>
    </xf>
    <xf numFmtId="0" fontId="6" fillId="3" borderId="12" xfId="0" applyFont="1" applyFill="1" applyBorder="1" applyAlignment="1">
      <alignment horizontal="center" vertical="top" wrapText="1"/>
    </xf>
    <xf numFmtId="0" fontId="4" fillId="3" borderId="0" xfId="0" applyFont="1" applyFill="1" applyAlignment="1">
      <alignment horizontal="center" vertical="top" wrapText="1"/>
    </xf>
    <xf numFmtId="0" fontId="15" fillId="0" borderId="0" xfId="0" applyFont="1" applyAlignment="1">
      <alignment horizontal="center" vertical="top" wrapText="1"/>
    </xf>
    <xf numFmtId="0" fontId="2" fillId="2" borderId="9" xfId="0" applyFont="1" applyFill="1" applyBorder="1" applyAlignment="1">
      <alignment vertical="center" wrapText="1"/>
    </xf>
    <xf numFmtId="0" fontId="7" fillId="2" borderId="31" xfId="0" applyFont="1" applyFill="1" applyBorder="1" applyAlignment="1">
      <alignment vertical="top" wrapText="1"/>
    </xf>
    <xf numFmtId="0" fontId="7" fillId="2" borderId="12" xfId="0" applyFont="1" applyFill="1" applyBorder="1" applyAlignment="1">
      <alignment vertical="top" wrapText="1"/>
    </xf>
    <xf numFmtId="0" fontId="11" fillId="2" borderId="29" xfId="0" applyFont="1" applyFill="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4" fillId="3" borderId="12" xfId="0" applyFont="1" applyFill="1" applyBorder="1" applyAlignment="1">
      <alignment vertical="center" wrapText="1"/>
    </xf>
    <xf numFmtId="0" fontId="4" fillId="3" borderId="0" xfId="0" applyFont="1" applyFill="1" applyAlignment="1">
      <alignment vertical="center" wrapText="1"/>
    </xf>
    <xf numFmtId="0" fontId="15" fillId="0" borderId="0" xfId="0" applyFont="1" applyAlignment="1">
      <alignment wrapText="1"/>
    </xf>
    <xf numFmtId="0" fontId="1" fillId="0" borderId="9" xfId="0" applyFont="1" applyBorder="1"/>
    <xf numFmtId="0" fontId="1" fillId="0" borderId="29" xfId="0" applyFont="1" applyBorder="1" applyAlignment="1">
      <alignment wrapText="1"/>
    </xf>
    <xf numFmtId="0" fontId="14" fillId="0" borderId="12" xfId="0" applyFont="1" applyBorder="1" applyAlignment="1">
      <alignment wrapText="1"/>
    </xf>
    <xf numFmtId="0" fontId="4" fillId="3" borderId="31" xfId="0" applyFont="1" applyFill="1" applyBorder="1" applyAlignment="1">
      <alignment wrapText="1"/>
    </xf>
    <xf numFmtId="0" fontId="2" fillId="2" borderId="9" xfId="0" applyFont="1" applyFill="1" applyBorder="1" applyAlignment="1">
      <alignment vertical="top"/>
    </xf>
    <xf numFmtId="0" fontId="12" fillId="2" borderId="9" xfId="0" applyFont="1" applyFill="1" applyBorder="1" applyAlignment="1">
      <alignment vertical="center"/>
    </xf>
    <xf numFmtId="0" fontId="1" fillId="0" borderId="8" xfId="0" applyFont="1" applyBorder="1"/>
    <xf numFmtId="0" fontId="26" fillId="0" borderId="0" xfId="0" applyFont="1" applyAlignment="1">
      <alignment vertical="center"/>
    </xf>
    <xf numFmtId="3" fontId="15" fillId="0" borderId="29" xfId="1" applyNumberFormat="1" applyFont="1" applyBorder="1"/>
    <xf numFmtId="3" fontId="25" fillId="11" borderId="29" xfId="1" applyNumberFormat="1" applyFont="1" applyFill="1" applyBorder="1" applyAlignment="1">
      <alignment vertical="center" wrapText="1"/>
    </xf>
    <xf numFmtId="0" fontId="18" fillId="0" borderId="0" xfId="0" applyFont="1" applyAlignment="1">
      <alignment vertical="center"/>
    </xf>
    <xf numFmtId="0" fontId="0" fillId="0" borderId="0" xfId="0" applyAlignment="1">
      <alignment vertical="center"/>
    </xf>
    <xf numFmtId="0" fontId="9" fillId="2" borderId="29" xfId="0" applyFont="1" applyFill="1" applyBorder="1" applyAlignment="1">
      <alignment vertical="top" wrapText="1"/>
    </xf>
    <xf numFmtId="0" fontId="9" fillId="2" borderId="22" xfId="0" applyFont="1" applyFill="1" applyBorder="1" applyAlignment="1">
      <alignment vertical="top" wrapText="1"/>
    </xf>
    <xf numFmtId="0" fontId="9" fillId="2" borderId="29" xfId="0" applyFont="1" applyFill="1" applyBorder="1" applyAlignment="1">
      <alignment horizontal="left" vertical="top" wrapText="1"/>
    </xf>
    <xf numFmtId="0" fontId="9" fillId="2" borderId="9" xfId="0" applyFont="1" applyFill="1" applyBorder="1" applyAlignment="1">
      <alignment vertical="top" wrapText="1"/>
    </xf>
    <xf numFmtId="0" fontId="9" fillId="2" borderId="0" xfId="0" applyFont="1" applyFill="1" applyAlignment="1">
      <alignment vertical="top" wrapText="1"/>
    </xf>
    <xf numFmtId="0" fontId="0" fillId="0" borderId="0" xfId="0" applyAlignment="1">
      <alignment horizontal="center" vertical="center"/>
    </xf>
    <xf numFmtId="0" fontId="0" fillId="0" borderId="0" xfId="0" applyAlignment="1">
      <alignment horizontal="center"/>
    </xf>
    <xf numFmtId="0" fontId="3" fillId="0" borderId="31" xfId="0" applyFont="1" applyBorder="1"/>
    <xf numFmtId="0" fontId="11" fillId="2" borderId="21" xfId="0" applyFont="1" applyFill="1" applyBorder="1" applyAlignment="1">
      <alignment vertical="center" wrapText="1"/>
    </xf>
    <xf numFmtId="0" fontId="0" fillId="0" borderId="0" xfId="0" applyAlignment="1">
      <alignment vertical="top" wrapText="1"/>
    </xf>
    <xf numFmtId="0" fontId="8" fillId="0" borderId="17" xfId="0" applyFont="1" applyBorder="1" applyAlignment="1">
      <alignment vertical="top" wrapText="1"/>
    </xf>
    <xf numFmtId="0" fontId="8" fillId="0" borderId="12" xfId="0" applyFont="1" applyBorder="1" applyAlignment="1">
      <alignment vertical="top" wrapText="1"/>
    </xf>
    <xf numFmtId="0" fontId="1" fillId="0" borderId="22" xfId="0" applyFont="1" applyBorder="1" applyAlignment="1">
      <alignment wrapText="1"/>
    </xf>
    <xf numFmtId="0" fontId="1" fillId="0" borderId="26" xfId="0" applyFont="1" applyBorder="1" applyAlignment="1">
      <alignment wrapText="1"/>
    </xf>
    <xf numFmtId="0" fontId="29" fillId="0" borderId="0" xfId="0" applyFont="1" applyAlignment="1">
      <alignment vertical="center"/>
    </xf>
    <xf numFmtId="0" fontId="0" fillId="0" borderId="0" xfId="0" applyAlignment="1">
      <alignment vertical="center" wrapText="1"/>
    </xf>
    <xf numFmtId="0" fontId="0" fillId="0" borderId="0" xfId="0" applyAlignment="1">
      <alignment wrapText="1"/>
    </xf>
    <xf numFmtId="0" fontId="30" fillId="0" borderId="29" xfId="0" applyFont="1" applyBorder="1" applyAlignment="1">
      <alignment wrapText="1"/>
    </xf>
    <xf numFmtId="0" fontId="1" fillId="0" borderId="29" xfId="0" applyFont="1" applyBorder="1" applyAlignment="1">
      <alignment vertical="top" wrapText="1"/>
    </xf>
    <xf numFmtId="0" fontId="30" fillId="0" borderId="31" xfId="0" applyFont="1" applyBorder="1" applyAlignment="1">
      <alignment wrapText="1"/>
    </xf>
    <xf numFmtId="0" fontId="1" fillId="0" borderId="30" xfId="0" applyFont="1" applyBorder="1" applyAlignment="1">
      <alignment vertical="top" wrapText="1"/>
    </xf>
    <xf numFmtId="0" fontId="1" fillId="0" borderId="30" xfId="0" applyFont="1" applyBorder="1" applyAlignment="1">
      <alignment wrapText="1"/>
    </xf>
    <xf numFmtId="0" fontId="1" fillId="0" borderId="29" xfId="0" applyFont="1" applyBorder="1" applyAlignment="1">
      <alignment vertical="center" wrapText="1"/>
    </xf>
    <xf numFmtId="0" fontId="1" fillId="0" borderId="29" xfId="0" applyFont="1" applyBorder="1" applyAlignment="1">
      <alignment vertic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19" fillId="2" borderId="8" xfId="0" applyFont="1" applyFill="1" applyBorder="1" applyAlignment="1">
      <alignment vertical="top"/>
    </xf>
    <xf numFmtId="0" fontId="5" fillId="2" borderId="21" xfId="0" applyFont="1" applyFill="1" applyBorder="1" applyAlignment="1">
      <alignment vertical="top" wrapText="1"/>
    </xf>
    <xf numFmtId="0" fontId="1" fillId="0" borderId="53" xfId="0" applyFont="1" applyBorder="1"/>
    <xf numFmtId="0" fontId="18" fillId="0" borderId="53" xfId="0" applyFont="1" applyBorder="1" applyAlignment="1">
      <alignment vertical="center" wrapText="1"/>
    </xf>
    <xf numFmtId="3" fontId="1" fillId="0" borderId="53" xfId="0" applyNumberFormat="1" applyFont="1" applyBorder="1" applyAlignment="1">
      <alignment vertical="center" wrapText="1"/>
    </xf>
    <xf numFmtId="3" fontId="15" fillId="0" borderId="53" xfId="1" applyNumberFormat="1" applyFont="1" applyFill="1" applyBorder="1" applyAlignment="1">
      <alignment vertical="center"/>
    </xf>
    <xf numFmtId="0" fontId="27" fillId="0" borderId="53" xfId="0" applyFont="1" applyBorder="1" applyAlignment="1">
      <alignment vertical="center" readingOrder="1"/>
    </xf>
    <xf numFmtId="0" fontId="25" fillId="14" borderId="54" xfId="0" applyFont="1" applyFill="1" applyBorder="1" applyAlignment="1">
      <alignment horizontal="left" vertical="center"/>
    </xf>
    <xf numFmtId="0" fontId="25" fillId="14" borderId="55" xfId="0" applyFont="1" applyFill="1" applyBorder="1" applyAlignment="1">
      <alignment horizontal="left" vertical="center"/>
    </xf>
    <xf numFmtId="0" fontId="28" fillId="0" borderId="53" xfId="0" applyFont="1" applyBorder="1" applyAlignment="1">
      <alignment vertical="center" wrapText="1" readingOrder="1"/>
    </xf>
    <xf numFmtId="0" fontId="18" fillId="15" borderId="53" xfId="0" applyFont="1" applyFill="1" applyBorder="1" applyAlignment="1">
      <alignment vertical="center" wrapText="1"/>
    </xf>
    <xf numFmtId="0" fontId="18" fillId="16" borderId="53" xfId="0" applyFont="1" applyFill="1" applyBorder="1" applyAlignment="1">
      <alignment vertical="center" wrapText="1"/>
    </xf>
    <xf numFmtId="0" fontId="32" fillId="10" borderId="14" xfId="0" applyFont="1" applyFill="1" applyBorder="1" applyAlignment="1">
      <alignment vertical="center" wrapText="1"/>
    </xf>
    <xf numFmtId="0" fontId="32" fillId="10" borderId="14" xfId="0" applyFont="1" applyFill="1" applyBorder="1" applyAlignment="1">
      <alignment vertical="center"/>
    </xf>
    <xf numFmtId="0" fontId="33" fillId="4" borderId="38" xfId="0" applyFont="1" applyFill="1" applyBorder="1" applyAlignment="1">
      <alignment horizontal="center" vertical="center"/>
    </xf>
    <xf numFmtId="0" fontId="33" fillId="4" borderId="38" xfId="0" applyFont="1" applyFill="1" applyBorder="1" applyAlignment="1">
      <alignment horizontal="center" vertical="center" wrapText="1"/>
    </xf>
    <xf numFmtId="0" fontId="32" fillId="0" borderId="0" xfId="0" applyFont="1" applyAlignment="1">
      <alignment vertical="center"/>
    </xf>
    <xf numFmtId="0" fontId="26" fillId="0" borderId="0" xfId="0" applyFont="1" applyAlignment="1">
      <alignment vertical="center" wrapText="1"/>
    </xf>
    <xf numFmtId="0" fontId="35" fillId="5" borderId="39" xfId="0" applyFont="1" applyFill="1" applyBorder="1" applyAlignment="1">
      <alignment vertical="center"/>
    </xf>
    <xf numFmtId="0" fontId="32" fillId="6" borderId="38" xfId="0" applyFont="1" applyFill="1" applyBorder="1" applyAlignment="1">
      <alignment horizontal="center" vertical="center" wrapText="1"/>
    </xf>
    <xf numFmtId="0" fontId="32" fillId="6" borderId="39" xfId="0" applyFont="1" applyFill="1" applyBorder="1" applyAlignment="1">
      <alignment horizontal="center" vertical="center" wrapText="1"/>
    </xf>
    <xf numFmtId="0" fontId="32" fillId="6" borderId="39" xfId="0" applyFont="1" applyFill="1" applyBorder="1" applyAlignment="1">
      <alignment horizontal="center" vertical="center"/>
    </xf>
    <xf numFmtId="0" fontId="32" fillId="17" borderId="38" xfId="0" applyFont="1" applyFill="1" applyBorder="1" applyAlignment="1">
      <alignment vertical="top" wrapText="1"/>
    </xf>
    <xf numFmtId="0" fontId="32" fillId="6" borderId="38" xfId="0" applyFont="1" applyFill="1" applyBorder="1" applyAlignment="1">
      <alignment vertical="center" wrapText="1"/>
    </xf>
    <xf numFmtId="0" fontId="32" fillId="6" borderId="38" xfId="0" applyFont="1" applyFill="1" applyBorder="1" applyAlignment="1">
      <alignment vertical="center"/>
    </xf>
    <xf numFmtId="0" fontId="36" fillId="18" borderId="38" xfId="0" applyFont="1" applyFill="1" applyBorder="1" applyAlignment="1">
      <alignment vertical="center" wrapText="1"/>
    </xf>
    <xf numFmtId="0" fontId="32" fillId="6" borderId="38" xfId="0" quotePrefix="1" applyFont="1" applyFill="1" applyBorder="1" applyAlignment="1">
      <alignment vertical="center" wrapText="1"/>
    </xf>
    <xf numFmtId="0" fontId="32" fillId="6" borderId="38" xfId="0" quotePrefix="1" applyFont="1" applyFill="1" applyBorder="1" applyAlignment="1">
      <alignment vertical="center"/>
    </xf>
    <xf numFmtId="0" fontId="32" fillId="6" borderId="40" xfId="0" applyFont="1" applyFill="1" applyBorder="1" applyAlignment="1">
      <alignment horizontal="left" vertical="top" wrapText="1"/>
    </xf>
    <xf numFmtId="0" fontId="32" fillId="6" borderId="38" xfId="0" applyFont="1" applyFill="1" applyBorder="1" applyAlignment="1">
      <alignment vertical="top" wrapText="1"/>
    </xf>
    <xf numFmtId="0" fontId="32" fillId="6" borderId="39" xfId="0" applyFont="1" applyFill="1" applyBorder="1" applyAlignment="1">
      <alignment vertical="center" wrapText="1"/>
    </xf>
    <xf numFmtId="0" fontId="37" fillId="8" borderId="38" xfId="0" applyFont="1" applyFill="1" applyBorder="1" applyAlignment="1">
      <alignment vertical="center" wrapText="1"/>
    </xf>
    <xf numFmtId="0" fontId="32" fillId="17" borderId="39" xfId="0" applyFont="1" applyFill="1" applyBorder="1" applyAlignment="1">
      <alignment vertical="top" wrapText="1"/>
    </xf>
    <xf numFmtId="0" fontId="32" fillId="18" borderId="38" xfId="0" applyFont="1" applyFill="1" applyBorder="1" applyAlignment="1">
      <alignment vertical="center" wrapText="1"/>
    </xf>
    <xf numFmtId="0" fontId="32" fillId="6" borderId="38" xfId="0" applyFont="1" applyFill="1" applyBorder="1" applyAlignment="1">
      <alignment vertical="top"/>
    </xf>
    <xf numFmtId="0" fontId="32" fillId="6" borderId="38" xfId="0" applyFont="1" applyFill="1" applyBorder="1" applyAlignment="1">
      <alignment horizontal="left" vertical="top" wrapText="1"/>
    </xf>
    <xf numFmtId="0" fontId="32" fillId="6" borderId="38" xfId="0" applyFont="1" applyFill="1" applyBorder="1" applyAlignment="1">
      <alignment horizontal="left" vertical="top"/>
    </xf>
    <xf numFmtId="0" fontId="35" fillId="7" borderId="38" xfId="0" applyFont="1" applyFill="1" applyBorder="1" applyAlignment="1">
      <alignment vertical="center"/>
    </xf>
    <xf numFmtId="0" fontId="32" fillId="8" borderId="38" xfId="0" applyFont="1" applyFill="1" applyBorder="1" applyAlignment="1">
      <alignment horizontal="center" vertical="center" wrapText="1"/>
    </xf>
    <xf numFmtId="0" fontId="32" fillId="8" borderId="38" xfId="0" applyFont="1" applyFill="1" applyBorder="1" applyAlignment="1">
      <alignment horizontal="center" vertical="center"/>
    </xf>
    <xf numFmtId="0" fontId="32" fillId="8" borderId="38" xfId="0" applyFont="1" applyFill="1" applyBorder="1" applyAlignment="1">
      <alignment horizontal="center" vertical="top" wrapText="1"/>
    </xf>
    <xf numFmtId="0" fontId="32" fillId="17" borderId="38" xfId="0" applyFont="1" applyFill="1" applyBorder="1" applyAlignment="1">
      <alignment horizontal="center" vertical="center"/>
    </xf>
    <xf numFmtId="0" fontId="32" fillId="8" borderId="38" xfId="0" applyFont="1" applyFill="1" applyBorder="1" applyAlignment="1">
      <alignment vertical="top" wrapText="1"/>
    </xf>
    <xf numFmtId="0" fontId="32" fillId="19" borderId="38" xfId="0" applyFont="1" applyFill="1" applyBorder="1" applyAlignment="1">
      <alignment vertical="top" wrapText="1"/>
    </xf>
    <xf numFmtId="0" fontId="36" fillId="8" borderId="38" xfId="0" applyFont="1" applyFill="1" applyBorder="1" applyAlignment="1">
      <alignment vertical="top" wrapText="1"/>
    </xf>
    <xf numFmtId="0" fontId="32" fillId="8" borderId="38" xfId="0" applyFont="1" applyFill="1" applyBorder="1" applyAlignment="1">
      <alignment vertical="center" wrapText="1"/>
    </xf>
    <xf numFmtId="0" fontId="32" fillId="8" borderId="38" xfId="0" quotePrefix="1" applyFont="1" applyFill="1" applyBorder="1" applyAlignment="1">
      <alignment vertical="center" wrapText="1"/>
    </xf>
    <xf numFmtId="0" fontId="32" fillId="8" borderId="38" xfId="0" quotePrefix="1" applyFont="1" applyFill="1" applyBorder="1" applyAlignment="1">
      <alignment vertical="center"/>
    </xf>
    <xf numFmtId="0" fontId="32" fillId="8" borderId="39" xfId="0" applyFont="1" applyFill="1" applyBorder="1" applyAlignment="1">
      <alignment horizontal="left" vertical="top" wrapText="1"/>
    </xf>
    <xf numFmtId="0" fontId="32" fillId="18" borderId="38" xfId="0" applyFont="1" applyFill="1" applyBorder="1" applyAlignment="1">
      <alignment vertical="top" wrapText="1"/>
    </xf>
    <xf numFmtId="0" fontId="32" fillId="8" borderId="40" xfId="0" applyFont="1" applyFill="1" applyBorder="1" applyAlignment="1">
      <alignment horizontal="left" vertical="top" wrapText="1"/>
    </xf>
    <xf numFmtId="0" fontId="38" fillId="19" borderId="43" xfId="0" applyFont="1" applyFill="1" applyBorder="1" applyAlignment="1">
      <alignment vertical="top" wrapText="1"/>
    </xf>
    <xf numFmtId="0" fontId="36" fillId="8" borderId="0" xfId="0" applyFont="1" applyFill="1" applyAlignment="1">
      <alignment vertical="top" wrapText="1"/>
    </xf>
    <xf numFmtId="0" fontId="38" fillId="8" borderId="38" xfId="0" applyFont="1" applyFill="1" applyBorder="1" applyAlignment="1">
      <alignment vertical="top" wrapText="1"/>
    </xf>
    <xf numFmtId="0" fontId="38" fillId="18" borderId="38" xfId="0" applyFont="1" applyFill="1" applyBorder="1" applyAlignment="1">
      <alignment vertical="top" wrapText="1"/>
    </xf>
    <xf numFmtId="0" fontId="38" fillId="8" borderId="38" xfId="0" quotePrefix="1" applyFont="1" applyFill="1" applyBorder="1" applyAlignment="1">
      <alignment vertical="center" wrapText="1"/>
    </xf>
    <xf numFmtId="0" fontId="32" fillId="8" borderId="38" xfId="0" applyFont="1" applyFill="1" applyBorder="1" applyAlignment="1">
      <alignment horizontal="center" vertical="top"/>
    </xf>
    <xf numFmtId="0" fontId="32" fillId="8" borderId="43" xfId="0" applyFont="1" applyFill="1" applyBorder="1" applyAlignment="1">
      <alignment vertical="top" wrapText="1"/>
    </xf>
    <xf numFmtId="0" fontId="32" fillId="18" borderId="43" xfId="0" applyFont="1" applyFill="1" applyBorder="1" applyAlignment="1">
      <alignment vertical="top" wrapText="1"/>
    </xf>
    <xf numFmtId="0" fontId="32" fillId="8" borderId="44" xfId="0" applyFont="1" applyFill="1" applyBorder="1" applyAlignment="1">
      <alignment horizontal="left" vertical="top" wrapText="1"/>
    </xf>
    <xf numFmtId="0" fontId="32" fillId="8" borderId="38" xfId="0" applyFont="1" applyFill="1" applyBorder="1" applyAlignment="1">
      <alignment horizontal="left" vertical="top" wrapText="1"/>
    </xf>
    <xf numFmtId="0" fontId="38" fillId="18" borderId="38" xfId="0" applyFont="1" applyFill="1" applyBorder="1" applyAlignment="1">
      <alignment vertical="center" wrapText="1"/>
    </xf>
    <xf numFmtId="0" fontId="32" fillId="8" borderId="44" xfId="0" applyFont="1" applyFill="1" applyBorder="1" applyAlignment="1">
      <alignment vertical="top" wrapText="1"/>
    </xf>
    <xf numFmtId="0" fontId="32" fillId="8" borderId="18" xfId="0" applyFont="1" applyFill="1" applyBorder="1" applyAlignment="1">
      <alignment horizontal="left" vertical="top" wrapText="1"/>
    </xf>
    <xf numFmtId="0" fontId="32" fillId="8" borderId="39" xfId="0" applyFont="1" applyFill="1" applyBorder="1" applyAlignment="1">
      <alignment horizontal="left" vertical="top"/>
    </xf>
    <xf numFmtId="0" fontId="32" fillId="8" borderId="39" xfId="0" applyFont="1" applyFill="1" applyBorder="1" applyAlignment="1">
      <alignment vertical="center" wrapText="1"/>
    </xf>
    <xf numFmtId="0" fontId="32" fillId="18" borderId="39" xfId="0" applyFont="1" applyFill="1" applyBorder="1" applyAlignment="1">
      <alignment vertical="center" wrapText="1"/>
    </xf>
    <xf numFmtId="0" fontId="32" fillId="8" borderId="39" xfId="0" quotePrefix="1" applyFont="1" applyFill="1" applyBorder="1" applyAlignment="1">
      <alignment vertical="center" wrapText="1"/>
    </xf>
    <xf numFmtId="0" fontId="32" fillId="8" borderId="39" xfId="0" quotePrefix="1" applyFont="1" applyFill="1" applyBorder="1" applyAlignment="1">
      <alignment vertical="center"/>
    </xf>
    <xf numFmtId="0" fontId="32" fillId="17" borderId="38" xfId="0" applyFont="1" applyFill="1" applyBorder="1" applyAlignment="1">
      <alignment horizontal="center" vertical="top"/>
    </xf>
    <xf numFmtId="0" fontId="32" fillId="8" borderId="38" xfId="0" applyFont="1" applyFill="1" applyBorder="1" applyAlignment="1">
      <alignment horizontal="left" vertical="top"/>
    </xf>
    <xf numFmtId="9" fontId="32" fillId="8" borderId="38" xfId="0" applyNumberFormat="1" applyFont="1" applyFill="1" applyBorder="1" applyAlignment="1">
      <alignment vertical="center"/>
    </xf>
    <xf numFmtId="0" fontId="38" fillId="8" borderId="38" xfId="0" applyFont="1" applyFill="1" applyBorder="1" applyAlignment="1">
      <alignment horizontal="left" vertical="top" wrapText="1"/>
    </xf>
    <xf numFmtId="0" fontId="38" fillId="8" borderId="38" xfId="0" applyFont="1" applyFill="1" applyBorder="1" applyAlignment="1">
      <alignment horizontal="left" vertical="top"/>
    </xf>
    <xf numFmtId="0" fontId="38" fillId="8" borderId="38" xfId="0" applyFont="1" applyFill="1" applyBorder="1" applyAlignment="1">
      <alignment vertical="center" wrapText="1"/>
    </xf>
    <xf numFmtId="0" fontId="32" fillId="8" borderId="38" xfId="0" applyFont="1" applyFill="1" applyBorder="1" applyAlignment="1">
      <alignment vertical="center"/>
    </xf>
    <xf numFmtId="0" fontId="37" fillId="8" borderId="38" xfId="0" applyFont="1" applyFill="1" applyBorder="1" applyAlignment="1">
      <alignment wrapText="1"/>
    </xf>
    <xf numFmtId="9" fontId="38" fillId="18" borderId="38" xfId="0" applyNumberFormat="1" applyFont="1" applyFill="1" applyBorder="1" applyAlignment="1">
      <alignment vertical="center" wrapText="1"/>
    </xf>
    <xf numFmtId="10" fontId="38" fillId="18" borderId="38" xfId="0" applyNumberFormat="1" applyFont="1" applyFill="1" applyBorder="1" applyAlignment="1">
      <alignment vertical="center" wrapText="1"/>
    </xf>
    <xf numFmtId="9" fontId="32" fillId="18" borderId="38" xfId="0" applyNumberFormat="1" applyFont="1" applyFill="1" applyBorder="1" applyAlignment="1">
      <alignment vertical="center" wrapText="1"/>
    </xf>
    <xf numFmtId="0" fontId="32" fillId="19" borderId="38" xfId="0" applyFont="1" applyFill="1" applyBorder="1" applyAlignment="1">
      <alignment vertical="center" wrapText="1"/>
    </xf>
    <xf numFmtId="0" fontId="37" fillId="18" borderId="38" xfId="0" applyFont="1" applyFill="1" applyBorder="1" applyAlignment="1">
      <alignment vertical="top" wrapText="1"/>
    </xf>
    <xf numFmtId="0" fontId="37" fillId="8" borderId="38" xfId="0" applyFont="1" applyFill="1" applyBorder="1" applyAlignment="1">
      <alignment vertical="top" wrapText="1"/>
    </xf>
    <xf numFmtId="0" fontId="37" fillId="8" borderId="38" xfId="0" applyFont="1" applyFill="1" applyBorder="1" applyAlignment="1">
      <alignment vertical="center"/>
    </xf>
    <xf numFmtId="0" fontId="37" fillId="8" borderId="38" xfId="0" applyFont="1" applyFill="1" applyBorder="1" applyAlignment="1">
      <alignment horizontal="left" vertical="top" wrapText="1"/>
    </xf>
    <xf numFmtId="0" fontId="37" fillId="18" borderId="38" xfId="0" applyFont="1" applyFill="1" applyBorder="1" applyAlignment="1">
      <alignment vertical="center" wrapText="1"/>
    </xf>
    <xf numFmtId="0" fontId="38" fillId="19" borderId="38" xfId="0" applyFont="1" applyFill="1" applyBorder="1" applyAlignment="1">
      <alignment vertical="center" wrapText="1"/>
    </xf>
    <xf numFmtId="0" fontId="32" fillId="18" borderId="38" xfId="0" applyFont="1" applyFill="1" applyBorder="1" applyAlignment="1">
      <alignment horizontal="center" vertical="center"/>
    </xf>
    <xf numFmtId="0" fontId="40" fillId="7" borderId="38" xfId="0" applyFont="1" applyFill="1" applyBorder="1" applyAlignment="1">
      <alignment vertical="center"/>
    </xf>
    <xf numFmtId="0" fontId="41" fillId="19" borderId="38" xfId="0" applyFont="1" applyFill="1" applyBorder="1" applyAlignment="1">
      <alignment vertical="top" wrapText="1"/>
    </xf>
    <xf numFmtId="0" fontId="41" fillId="8" borderId="38" xfId="0" applyFont="1" applyFill="1" applyBorder="1" applyAlignment="1">
      <alignment vertical="top" wrapText="1"/>
    </xf>
    <xf numFmtId="0" fontId="41" fillId="8" borderId="38" xfId="0" applyFont="1" applyFill="1" applyBorder="1" applyAlignment="1">
      <alignment horizontal="left" vertical="top" wrapText="1"/>
    </xf>
    <xf numFmtId="0" fontId="41" fillId="8" borderId="38" xfId="0" applyFont="1" applyFill="1" applyBorder="1" applyAlignment="1">
      <alignment horizontal="center" vertical="center"/>
    </xf>
    <xf numFmtId="0" fontId="41" fillId="8" borderId="38" xfId="0" quotePrefix="1" applyFont="1" applyFill="1" applyBorder="1" applyAlignment="1">
      <alignment vertical="center" wrapText="1"/>
    </xf>
    <xf numFmtId="0" fontId="41" fillId="8" borderId="38" xfId="0" quotePrefix="1" applyFont="1" applyFill="1" applyBorder="1" applyAlignment="1">
      <alignment vertical="center"/>
    </xf>
    <xf numFmtId="0" fontId="41" fillId="0" borderId="0" xfId="0" applyFont="1" applyAlignment="1">
      <alignment vertical="center"/>
    </xf>
    <xf numFmtId="0" fontId="42" fillId="0" borderId="0" xfId="0" applyFont="1" applyAlignment="1">
      <alignment vertical="center" wrapText="1"/>
    </xf>
    <xf numFmtId="0" fontId="32" fillId="10" borderId="14" xfId="0" applyFont="1" applyFill="1" applyBorder="1" applyAlignment="1">
      <alignment horizontal="center" vertical="center" wrapText="1"/>
    </xf>
    <xf numFmtId="0" fontId="32" fillId="10" borderId="14" xfId="0" applyFont="1" applyFill="1" applyBorder="1" applyAlignment="1">
      <alignment horizontal="center" vertical="center"/>
    </xf>
    <xf numFmtId="0" fontId="38" fillId="12" borderId="38" xfId="0" applyFont="1" applyFill="1" applyBorder="1" applyAlignment="1">
      <alignment horizontal="center" vertical="center" wrapText="1"/>
    </xf>
    <xf numFmtId="0" fontId="43" fillId="12" borderId="38" xfId="0" applyFont="1" applyFill="1" applyBorder="1" applyAlignment="1">
      <alignment vertical="center" wrapText="1"/>
    </xf>
    <xf numFmtId="0" fontId="41" fillId="10" borderId="42" xfId="0" applyFont="1" applyFill="1" applyBorder="1" applyAlignment="1">
      <alignment horizontal="center" vertical="center" wrapText="1"/>
    </xf>
    <xf numFmtId="0" fontId="38" fillId="10" borderId="14" xfId="0" applyFont="1" applyFill="1" applyBorder="1" applyAlignment="1">
      <alignment horizontal="center" vertical="center" wrapText="1"/>
    </xf>
    <xf numFmtId="0" fontId="32" fillId="10" borderId="35" xfId="0" applyFont="1" applyFill="1" applyBorder="1" applyAlignment="1">
      <alignment vertical="center"/>
    </xf>
    <xf numFmtId="0" fontId="41" fillId="10" borderId="46" xfId="0" applyFont="1" applyFill="1" applyBorder="1" applyAlignment="1">
      <alignment horizontal="center" vertical="center" wrapText="1"/>
    </xf>
    <xf numFmtId="0" fontId="38" fillId="13" borderId="49" xfId="0" applyFont="1" applyFill="1" applyBorder="1" applyAlignment="1">
      <alignment horizontal="center" wrapText="1" readingOrder="1"/>
    </xf>
    <xf numFmtId="0" fontId="37" fillId="13" borderId="49" xfId="0" applyFont="1" applyFill="1" applyBorder="1" applyAlignment="1">
      <alignment wrapText="1" readingOrder="1"/>
    </xf>
    <xf numFmtId="0" fontId="32" fillId="10" borderId="42" xfId="0" applyFont="1" applyFill="1" applyBorder="1" applyAlignment="1">
      <alignment horizontal="left" vertical="center" wrapText="1"/>
    </xf>
    <xf numFmtId="0" fontId="32" fillId="20" borderId="14" xfId="0" applyFont="1" applyFill="1" applyBorder="1" applyAlignment="1">
      <alignment vertical="center"/>
    </xf>
    <xf numFmtId="0" fontId="38" fillId="12" borderId="0" xfId="0" applyFont="1" applyFill="1" applyAlignment="1">
      <alignment horizontal="center" vertical="center" wrapText="1"/>
    </xf>
    <xf numFmtId="0" fontId="43" fillId="12" borderId="0" xfId="0" applyFont="1" applyFill="1" applyAlignment="1">
      <alignment vertical="center" wrapText="1"/>
    </xf>
    <xf numFmtId="0" fontId="36" fillId="12" borderId="45" xfId="0" applyFont="1" applyFill="1" applyBorder="1" applyAlignment="1">
      <alignment vertical="center" wrapText="1"/>
    </xf>
    <xf numFmtId="0" fontId="32" fillId="10" borderId="18" xfId="0" applyFont="1" applyFill="1" applyBorder="1" applyAlignment="1">
      <alignment horizontal="center" vertical="center" wrapText="1"/>
    </xf>
    <xf numFmtId="0" fontId="32" fillId="10" borderId="18" xfId="0" applyFont="1" applyFill="1" applyBorder="1" applyAlignment="1">
      <alignment horizontal="center" vertical="center"/>
    </xf>
    <xf numFmtId="0" fontId="36" fillId="13" borderId="47" xfId="0" applyFont="1" applyFill="1" applyBorder="1" applyAlignment="1">
      <alignment wrapText="1" readingOrder="1"/>
    </xf>
    <xf numFmtId="0" fontId="38" fillId="13" borderId="45" xfId="0" applyFont="1" applyFill="1" applyBorder="1" applyAlignment="1">
      <alignment horizontal="center" wrapText="1" readingOrder="1"/>
    </xf>
    <xf numFmtId="0" fontId="41" fillId="13" borderId="45" xfId="0" applyFont="1" applyFill="1" applyBorder="1" applyAlignment="1">
      <alignment wrapText="1" readingOrder="1"/>
    </xf>
    <xf numFmtId="0" fontId="36" fillId="13" borderId="14" xfId="0" applyFont="1" applyFill="1" applyBorder="1" applyAlignment="1">
      <alignment vertical="center" wrapText="1" readingOrder="1"/>
    </xf>
    <xf numFmtId="0" fontId="38" fillId="10" borderId="18" xfId="0" applyFont="1" applyFill="1" applyBorder="1" applyAlignment="1">
      <alignment vertical="center" wrapText="1"/>
    </xf>
    <xf numFmtId="0" fontId="41" fillId="10" borderId="18" xfId="0" applyFont="1" applyFill="1" applyBorder="1" applyAlignment="1">
      <alignment horizontal="center" vertical="center" wrapText="1"/>
    </xf>
    <xf numFmtId="0" fontId="32" fillId="10" borderId="0" xfId="0" applyFont="1" applyFill="1" applyAlignment="1">
      <alignment vertical="center"/>
    </xf>
    <xf numFmtId="0" fontId="32" fillId="10" borderId="0" xfId="0" applyFont="1" applyFill="1" applyAlignment="1">
      <alignment vertical="center" wrapText="1"/>
    </xf>
    <xf numFmtId="0" fontId="36" fillId="10" borderId="14" xfId="0" applyFont="1" applyFill="1" applyBorder="1" applyAlignment="1">
      <alignment vertical="center" wrapText="1"/>
    </xf>
    <xf numFmtId="0" fontId="32" fillId="10" borderId="45" xfId="0" applyFont="1" applyFill="1" applyBorder="1" applyAlignment="1">
      <alignment vertical="center" wrapText="1"/>
    </xf>
    <xf numFmtId="0" fontId="43" fillId="12" borderId="40" xfId="0" applyFont="1" applyFill="1" applyBorder="1" applyAlignment="1">
      <alignment vertical="center" wrapText="1"/>
    </xf>
    <xf numFmtId="0" fontId="32" fillId="10" borderId="18" xfId="0" applyFont="1" applyFill="1" applyBorder="1" applyAlignment="1">
      <alignment vertical="center" wrapText="1"/>
    </xf>
    <xf numFmtId="0" fontId="32" fillId="10" borderId="18" xfId="0" applyFont="1" applyFill="1" applyBorder="1" applyAlignment="1">
      <alignment vertical="center"/>
    </xf>
    <xf numFmtId="0" fontId="32" fillId="10" borderId="63" xfId="0" applyFont="1" applyFill="1" applyBorder="1" applyAlignment="1">
      <alignment vertical="center"/>
    </xf>
    <xf numFmtId="0" fontId="32" fillId="10" borderId="45" xfId="0" applyFont="1" applyFill="1" applyBorder="1" applyAlignment="1">
      <alignment vertical="center"/>
    </xf>
    <xf numFmtId="0" fontId="38" fillId="12" borderId="40" xfId="0" applyFont="1" applyFill="1" applyBorder="1" applyAlignment="1">
      <alignment horizontal="center" vertical="center" wrapText="1"/>
    </xf>
    <xf numFmtId="0" fontId="32" fillId="10" borderId="52" xfId="0" applyFont="1" applyFill="1" applyBorder="1" applyAlignment="1">
      <alignment vertical="center" wrapText="1"/>
    </xf>
    <xf numFmtId="0" fontId="41" fillId="10" borderId="47"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36" fillId="17" borderId="14" xfId="0" applyFont="1" applyFill="1" applyBorder="1" applyAlignment="1">
      <alignment vertical="center" wrapText="1"/>
    </xf>
    <xf numFmtId="0" fontId="32" fillId="17" borderId="14" xfId="0" applyFont="1" applyFill="1" applyBorder="1" applyAlignment="1">
      <alignment vertical="center"/>
    </xf>
    <xf numFmtId="0" fontId="32" fillId="17" borderId="14" xfId="0" applyFont="1" applyFill="1" applyBorder="1" applyAlignment="1">
      <alignment vertical="center" wrapText="1"/>
    </xf>
    <xf numFmtId="0" fontId="36" fillId="13" borderId="49" xfId="0" applyFont="1" applyFill="1" applyBorder="1" applyAlignment="1">
      <alignment wrapText="1" readingOrder="1"/>
    </xf>
    <xf numFmtId="0" fontId="36" fillId="13" borderId="61" xfId="0" applyFont="1" applyFill="1" applyBorder="1" applyAlignment="1">
      <alignment wrapText="1" readingOrder="1"/>
    </xf>
    <xf numFmtId="0" fontId="41" fillId="10" borderId="52" xfId="0" applyFont="1" applyFill="1" applyBorder="1" applyAlignment="1">
      <alignment horizontal="center" vertical="center" wrapText="1"/>
    </xf>
    <xf numFmtId="0" fontId="36" fillId="10" borderId="38" xfId="0" applyFont="1" applyFill="1" applyBorder="1" applyAlignment="1">
      <alignment vertical="center" wrapText="1"/>
    </xf>
    <xf numFmtId="0" fontId="32" fillId="10" borderId="52" xfId="0" applyFont="1" applyFill="1" applyBorder="1" applyAlignment="1">
      <alignment vertical="center"/>
    </xf>
    <xf numFmtId="0" fontId="36" fillId="13" borderId="45" xfId="0" applyFont="1" applyFill="1" applyBorder="1" applyAlignment="1">
      <alignment wrapText="1" readingOrder="1"/>
    </xf>
    <xf numFmtId="0" fontId="48" fillId="13" borderId="45" xfId="0" applyFont="1" applyFill="1" applyBorder="1" applyAlignment="1">
      <alignment readingOrder="1"/>
    </xf>
    <xf numFmtId="0" fontId="36" fillId="13" borderId="50" xfId="0" applyFont="1" applyFill="1" applyBorder="1" applyAlignment="1">
      <alignment wrapText="1" readingOrder="1"/>
    </xf>
    <xf numFmtId="0" fontId="36" fillId="13" borderId="51" xfId="0" applyFont="1" applyFill="1" applyBorder="1" applyAlignment="1">
      <alignment wrapText="1" readingOrder="1"/>
    </xf>
    <xf numFmtId="0" fontId="36" fillId="13" borderId="51" xfId="0" applyFont="1" applyFill="1" applyBorder="1" applyAlignment="1">
      <alignment vertical="center" wrapText="1" readingOrder="1"/>
    </xf>
    <xf numFmtId="0" fontId="36" fillId="13" borderId="49" xfId="0" applyFont="1" applyFill="1" applyBorder="1" applyAlignment="1">
      <alignment vertical="center" wrapText="1" readingOrder="1"/>
    </xf>
    <xf numFmtId="0" fontId="38" fillId="10" borderId="18" xfId="0" applyFont="1" applyFill="1" applyBorder="1" applyAlignment="1">
      <alignment horizontal="center" vertical="center" wrapText="1"/>
    </xf>
    <xf numFmtId="0" fontId="36" fillId="10" borderId="18" xfId="0" applyFont="1" applyFill="1" applyBorder="1" applyAlignment="1">
      <alignment vertical="center" wrapText="1"/>
    </xf>
    <xf numFmtId="0" fontId="36" fillId="13" borderId="50" xfId="0" applyFont="1" applyFill="1" applyBorder="1" applyAlignment="1">
      <alignment readingOrder="1"/>
    </xf>
    <xf numFmtId="0" fontId="36" fillId="13" borderId="57" xfId="0" applyFont="1" applyFill="1" applyBorder="1" applyAlignment="1">
      <alignment readingOrder="1"/>
    </xf>
    <xf numFmtId="0" fontId="36" fillId="13" borderId="57" xfId="0" applyFont="1" applyFill="1" applyBorder="1" applyAlignment="1">
      <alignment vertical="center" wrapText="1" readingOrder="1"/>
    </xf>
    <xf numFmtId="0" fontId="36" fillId="10" borderId="58" xfId="0" applyFont="1" applyFill="1" applyBorder="1" applyAlignment="1">
      <alignment vertical="center" wrapText="1"/>
    </xf>
    <xf numFmtId="0" fontId="49" fillId="10" borderId="14" xfId="0" applyFont="1" applyFill="1" applyBorder="1" applyAlignment="1">
      <alignment vertical="center" wrapText="1"/>
    </xf>
    <xf numFmtId="0" fontId="36" fillId="10" borderId="45" xfId="0" applyFont="1" applyFill="1" applyBorder="1" applyAlignment="1">
      <alignment vertical="center" wrapText="1"/>
    </xf>
    <xf numFmtId="0" fontId="36" fillId="13" borderId="61" xfId="0" applyFont="1" applyFill="1" applyBorder="1" applyAlignment="1">
      <alignment vertical="center" wrapText="1" readingOrder="1"/>
    </xf>
    <xf numFmtId="0" fontId="43" fillId="12" borderId="41" xfId="0" applyFont="1" applyFill="1" applyBorder="1" applyAlignment="1">
      <alignment vertical="center" wrapText="1"/>
    </xf>
    <xf numFmtId="0" fontId="36" fillId="13" borderId="42" xfId="0" applyFont="1" applyFill="1" applyBorder="1" applyAlignment="1">
      <alignment vertical="center" wrapText="1" readingOrder="1"/>
    </xf>
    <xf numFmtId="0" fontId="36" fillId="13" borderId="45" xfId="0" applyFont="1" applyFill="1" applyBorder="1" applyAlignment="1">
      <alignment vertical="center" wrapText="1" readingOrder="1"/>
    </xf>
    <xf numFmtId="0" fontId="36" fillId="13" borderId="51" xfId="0" applyFont="1" applyFill="1" applyBorder="1" applyAlignment="1">
      <alignment vertical="center" readingOrder="1"/>
    </xf>
    <xf numFmtId="0" fontId="36" fillId="13" borderId="49" xfId="0" applyFont="1" applyFill="1" applyBorder="1" applyAlignment="1">
      <alignment vertical="center" readingOrder="1"/>
    </xf>
    <xf numFmtId="0" fontId="36" fillId="13" borderId="62" xfId="0" applyFont="1" applyFill="1" applyBorder="1" applyAlignment="1">
      <alignment wrapText="1" readingOrder="1"/>
    </xf>
    <xf numFmtId="0" fontId="36" fillId="13" borderId="67" xfId="0" applyFont="1" applyFill="1" applyBorder="1" applyAlignment="1">
      <alignment vertical="center" wrapText="1" readingOrder="1"/>
    </xf>
    <xf numFmtId="0" fontId="32" fillId="10" borderId="58" xfId="0" applyFont="1" applyFill="1" applyBorder="1" applyAlignment="1">
      <alignment vertical="center"/>
    </xf>
    <xf numFmtId="0" fontId="36" fillId="13" borderId="68" xfId="0" applyFont="1" applyFill="1" applyBorder="1" applyAlignment="1">
      <alignment vertical="center" wrapText="1" readingOrder="1"/>
    </xf>
    <xf numFmtId="0" fontId="48" fillId="13" borderId="50" xfId="0" applyFont="1" applyFill="1" applyBorder="1" applyAlignment="1">
      <alignment wrapText="1" readingOrder="1"/>
    </xf>
    <xf numFmtId="0" fontId="36" fillId="13" borderId="50" xfId="0" applyFont="1" applyFill="1" applyBorder="1" applyAlignment="1">
      <alignment vertical="center" wrapText="1" readingOrder="1"/>
    </xf>
    <xf numFmtId="0" fontId="32" fillId="0" borderId="0" xfId="0" applyFont="1" applyAlignment="1">
      <alignment vertical="center" wrapText="1"/>
    </xf>
    <xf numFmtId="0" fontId="48" fillId="13" borderId="57" xfId="0" applyFont="1" applyFill="1" applyBorder="1" applyAlignment="1">
      <alignment readingOrder="1"/>
    </xf>
    <xf numFmtId="0" fontId="32" fillId="10" borderId="14" xfId="0" applyFont="1" applyFill="1" applyBorder="1" applyAlignment="1">
      <alignment horizontal="left" vertical="center" wrapText="1"/>
    </xf>
    <xf numFmtId="0" fontId="48" fillId="13" borderId="51" xfId="0" applyFont="1" applyFill="1" applyBorder="1" applyAlignment="1">
      <alignment readingOrder="1"/>
    </xf>
    <xf numFmtId="0" fontId="48" fillId="13" borderId="51" xfId="0" applyFont="1" applyFill="1" applyBorder="1" applyAlignment="1">
      <alignment wrapText="1" readingOrder="1"/>
    </xf>
    <xf numFmtId="0" fontId="36" fillId="17" borderId="49" xfId="0" applyFont="1" applyFill="1" applyBorder="1" applyAlignment="1">
      <alignment vertical="center" wrapText="1" readingOrder="1"/>
    </xf>
    <xf numFmtId="0" fontId="48" fillId="13" borderId="51" xfId="0" applyFont="1" applyFill="1" applyBorder="1" applyAlignment="1">
      <alignment vertical="center" readingOrder="1"/>
    </xf>
    <xf numFmtId="0" fontId="36" fillId="13" borderId="62" xfId="0" applyFont="1" applyFill="1" applyBorder="1" applyAlignment="1">
      <alignment vertical="center" wrapText="1" readingOrder="1"/>
    </xf>
    <xf numFmtId="0" fontId="48" fillId="13" borderId="0" xfId="0" applyFont="1" applyFill="1" applyAlignment="1">
      <alignment wrapText="1" readingOrder="1"/>
    </xf>
    <xf numFmtId="0" fontId="32" fillId="10" borderId="42" xfId="0" applyFont="1" applyFill="1" applyBorder="1" applyAlignment="1">
      <alignment vertical="center"/>
    </xf>
    <xf numFmtId="0" fontId="36" fillId="13" borderId="50" xfId="0" applyFont="1" applyFill="1" applyBorder="1" applyAlignment="1">
      <alignment vertical="center" readingOrder="1"/>
    </xf>
    <xf numFmtId="0" fontId="49" fillId="13" borderId="45" xfId="0" applyFont="1" applyFill="1" applyBorder="1" applyAlignment="1">
      <alignment vertical="top" wrapText="1" readingOrder="1"/>
    </xf>
    <xf numFmtId="0" fontId="36" fillId="17" borderId="45" xfId="0" applyFont="1" applyFill="1" applyBorder="1" applyAlignment="1">
      <alignment wrapText="1" readingOrder="1"/>
    </xf>
    <xf numFmtId="0" fontId="48" fillId="17" borderId="51" xfId="0" applyFont="1" applyFill="1" applyBorder="1" applyAlignment="1">
      <alignment readingOrder="1"/>
    </xf>
    <xf numFmtId="0" fontId="36" fillId="13" borderId="45" xfId="0" applyFont="1" applyFill="1" applyBorder="1" applyAlignment="1">
      <alignment horizontal="left" vertical="center" wrapText="1" readingOrder="1"/>
    </xf>
    <xf numFmtId="0" fontId="36" fillId="13" borderId="47" xfId="0" applyFont="1" applyFill="1" applyBorder="1" applyAlignment="1">
      <alignment vertical="center" wrapText="1" readingOrder="1"/>
    </xf>
    <xf numFmtId="0" fontId="41" fillId="10" borderId="64" xfId="0" applyFont="1" applyFill="1" applyBorder="1" applyAlignment="1">
      <alignment horizontal="center" vertical="center" wrapText="1"/>
    </xf>
    <xf numFmtId="2" fontId="32" fillId="10" borderId="37" xfId="0" applyNumberFormat="1" applyFont="1" applyFill="1" applyBorder="1" applyAlignment="1">
      <alignment horizontal="center" vertical="center"/>
    </xf>
    <xf numFmtId="2" fontId="32" fillId="10" borderId="48" xfId="0" applyNumberFormat="1" applyFont="1" applyFill="1" applyBorder="1" applyAlignment="1">
      <alignment horizontal="center" vertical="center"/>
    </xf>
    <xf numFmtId="0" fontId="36" fillId="13" borderId="65" xfId="0" applyFont="1" applyFill="1" applyBorder="1" applyAlignment="1">
      <alignment vertical="center" wrapText="1" readingOrder="1"/>
    </xf>
    <xf numFmtId="0" fontId="32" fillId="10" borderId="37" xfId="0" applyFont="1" applyFill="1" applyBorder="1" applyAlignment="1">
      <alignment vertical="center" wrapText="1"/>
    </xf>
    <xf numFmtId="0" fontId="32" fillId="10" borderId="37" xfId="0" applyFont="1" applyFill="1" applyBorder="1" applyAlignment="1">
      <alignment vertical="center"/>
    </xf>
    <xf numFmtId="0" fontId="32" fillId="10" borderId="33" xfId="0" applyFont="1" applyFill="1" applyBorder="1" applyAlignment="1">
      <alignment vertical="center"/>
    </xf>
    <xf numFmtId="0" fontId="32" fillId="0" borderId="0" xfId="0" applyFont="1" applyAlignment="1">
      <alignment horizontal="center" vertical="center"/>
    </xf>
    <xf numFmtId="0" fontId="44" fillId="0" borderId="0" xfId="0" applyFont="1" applyAlignment="1">
      <alignment vertical="center" wrapText="1"/>
    </xf>
    <xf numFmtId="0" fontId="36" fillId="21" borderId="47" xfId="0" applyFont="1" applyFill="1" applyBorder="1" applyAlignment="1">
      <alignment wrapText="1" readingOrder="1"/>
    </xf>
    <xf numFmtId="0" fontId="36" fillId="21" borderId="14" xfId="0" applyFont="1" applyFill="1" applyBorder="1" applyAlignment="1">
      <alignment vertical="center" wrapText="1" readingOrder="1"/>
    </xf>
    <xf numFmtId="0" fontId="32" fillId="21" borderId="38" xfId="0" applyFont="1" applyFill="1" applyBorder="1" applyAlignment="1">
      <alignment vertical="center" wrapText="1"/>
    </xf>
    <xf numFmtId="0" fontId="36" fillId="20" borderId="14" xfId="0" applyFont="1" applyFill="1" applyBorder="1" applyAlignment="1">
      <alignment wrapText="1"/>
    </xf>
    <xf numFmtId="0" fontId="32" fillId="20" borderId="14" xfId="0" applyFont="1" applyFill="1" applyBorder="1" applyAlignment="1">
      <alignment vertical="center" wrapText="1"/>
    </xf>
    <xf numFmtId="0" fontId="33" fillId="22" borderId="38" xfId="0" applyFont="1" applyFill="1" applyBorder="1" applyAlignment="1">
      <alignment horizontal="center" vertical="center" wrapText="1"/>
    </xf>
    <xf numFmtId="0" fontId="38" fillId="10" borderId="56" xfId="0" applyFont="1" applyFill="1" applyBorder="1" applyAlignment="1">
      <alignment horizontal="center" vertical="center" wrapText="1"/>
    </xf>
    <xf numFmtId="0" fontId="38" fillId="10" borderId="47" xfId="0" applyFont="1" applyFill="1" applyBorder="1" applyAlignment="1">
      <alignment horizontal="center" vertical="center" wrapText="1"/>
    </xf>
    <xf numFmtId="0" fontId="38" fillId="10" borderId="42" xfId="0" applyFont="1" applyFill="1" applyBorder="1" applyAlignment="1">
      <alignment horizontal="center" vertical="center" wrapText="1"/>
    </xf>
    <xf numFmtId="0" fontId="38" fillId="10" borderId="46" xfId="0" applyFont="1" applyFill="1" applyBorder="1" applyAlignment="1">
      <alignment horizontal="center" vertical="center" wrapText="1"/>
    </xf>
    <xf numFmtId="0" fontId="38" fillId="10" borderId="4" xfId="0" applyFont="1" applyFill="1" applyBorder="1" applyAlignment="1">
      <alignment horizontal="center" vertical="center" wrapText="1"/>
    </xf>
    <xf numFmtId="0" fontId="38" fillId="10" borderId="60" xfId="0" applyFont="1" applyFill="1" applyBorder="1" applyAlignment="1">
      <alignment horizontal="center" vertical="center" wrapText="1"/>
    </xf>
    <xf numFmtId="0" fontId="32" fillId="10" borderId="56" xfId="0" applyFont="1" applyFill="1" applyBorder="1" applyAlignment="1">
      <alignment horizontal="left" vertical="center" wrapText="1"/>
    </xf>
    <xf numFmtId="0" fontId="32" fillId="10" borderId="47" xfId="0" applyFont="1" applyFill="1" applyBorder="1" applyAlignment="1">
      <alignment horizontal="left" vertical="center" wrapText="1"/>
    </xf>
    <xf numFmtId="0" fontId="32" fillId="10" borderId="42" xfId="0" applyFont="1" applyFill="1" applyBorder="1" applyAlignment="1">
      <alignment horizontal="left" vertical="center" wrapText="1"/>
    </xf>
    <xf numFmtId="0" fontId="32" fillId="10" borderId="46" xfId="0" applyFont="1" applyFill="1" applyBorder="1" applyAlignment="1">
      <alignment horizontal="left" vertical="center" wrapText="1"/>
    </xf>
    <xf numFmtId="0" fontId="36" fillId="10" borderId="42" xfId="0" applyFont="1" applyFill="1" applyBorder="1" applyAlignment="1">
      <alignment horizontal="left" vertical="center" wrapText="1"/>
    </xf>
    <xf numFmtId="0" fontId="36" fillId="10" borderId="46" xfId="0" applyFont="1" applyFill="1" applyBorder="1" applyAlignment="1">
      <alignment horizontal="left" vertical="center" wrapText="1"/>
    </xf>
    <xf numFmtId="0" fontId="41" fillId="8" borderId="39" xfId="0" applyFont="1" applyFill="1" applyBorder="1" applyAlignment="1">
      <alignment horizontal="center" vertical="center" wrapText="1"/>
    </xf>
    <xf numFmtId="0" fontId="41" fillId="8" borderId="40" xfId="0" applyFont="1" applyFill="1" applyBorder="1" applyAlignment="1">
      <alignment horizontal="center" vertical="center" wrapText="1"/>
    </xf>
    <xf numFmtId="0" fontId="41" fillId="8" borderId="39" xfId="0" applyFont="1" applyFill="1" applyBorder="1" applyAlignment="1">
      <alignment horizontal="center" vertical="center"/>
    </xf>
    <xf numFmtId="0" fontId="41" fillId="8" borderId="40" xfId="0" applyFont="1" applyFill="1" applyBorder="1" applyAlignment="1">
      <alignment horizontal="center" vertical="center"/>
    </xf>
    <xf numFmtId="0" fontId="41" fillId="8" borderId="39" xfId="0" applyFont="1" applyFill="1" applyBorder="1" applyAlignment="1">
      <alignment horizontal="left" vertical="center" wrapText="1"/>
    </xf>
    <xf numFmtId="0" fontId="41" fillId="8" borderId="40" xfId="0" applyFont="1" applyFill="1" applyBorder="1" applyAlignment="1">
      <alignment horizontal="left" vertical="center" wrapText="1"/>
    </xf>
    <xf numFmtId="0" fontId="41" fillId="10" borderId="42" xfId="0" applyFont="1" applyFill="1" applyBorder="1" applyAlignment="1">
      <alignment horizontal="center" vertical="center" wrapText="1"/>
    </xf>
    <xf numFmtId="0" fontId="41" fillId="10" borderId="46" xfId="0" applyFont="1" applyFill="1" applyBorder="1" applyAlignment="1">
      <alignment horizontal="center" vertical="center" wrapText="1"/>
    </xf>
    <xf numFmtId="0" fontId="41" fillId="10" borderId="47" xfId="0" applyFont="1" applyFill="1" applyBorder="1" applyAlignment="1">
      <alignment horizontal="center" vertical="center" wrapText="1"/>
    </xf>
    <xf numFmtId="0" fontId="41" fillId="13" borderId="42" xfId="0" applyFont="1" applyFill="1" applyBorder="1" applyAlignment="1">
      <alignment horizontal="left" wrapText="1" readingOrder="1"/>
    </xf>
    <xf numFmtId="0" fontId="41" fillId="13" borderId="47" xfId="0" applyFont="1" applyFill="1" applyBorder="1" applyAlignment="1">
      <alignment horizontal="left" wrapText="1" readingOrder="1"/>
    </xf>
    <xf numFmtId="0" fontId="41" fillId="10" borderId="18" xfId="0" applyFont="1" applyFill="1" applyBorder="1" applyAlignment="1">
      <alignment horizontal="left" vertical="center" wrapText="1"/>
    </xf>
    <xf numFmtId="0" fontId="41" fillId="10" borderId="14" xfId="0" applyFont="1" applyFill="1" applyBorder="1" applyAlignment="1">
      <alignment horizontal="left" vertical="center" wrapText="1"/>
    </xf>
    <xf numFmtId="0" fontId="32" fillId="20" borderId="42" xfId="0" applyFont="1" applyFill="1" applyBorder="1" applyAlignment="1">
      <alignment horizontal="left" vertical="center" wrapText="1"/>
    </xf>
    <xf numFmtId="0" fontId="32" fillId="20" borderId="47" xfId="0" applyFont="1" applyFill="1" applyBorder="1" applyAlignment="1">
      <alignment horizontal="left" vertical="center" wrapText="1"/>
    </xf>
    <xf numFmtId="0" fontId="38" fillId="10" borderId="38" xfId="0" applyFont="1" applyFill="1" applyBorder="1" applyAlignment="1">
      <alignment horizontal="center" vertical="center" wrapText="1"/>
    </xf>
    <xf numFmtId="0" fontId="32" fillId="10" borderId="38" xfId="0" applyFont="1" applyFill="1" applyBorder="1" applyAlignment="1">
      <alignment horizontal="left" vertical="center" wrapText="1"/>
    </xf>
    <xf numFmtId="0" fontId="32" fillId="8" borderId="39" xfId="0" applyFont="1" applyFill="1" applyBorder="1" applyAlignment="1">
      <alignment horizontal="left" vertical="top" wrapText="1"/>
    </xf>
    <xf numFmtId="0" fontId="32" fillId="8" borderId="40" xfId="0" applyFont="1" applyFill="1" applyBorder="1" applyAlignment="1">
      <alignment horizontal="left" vertical="top" wrapText="1"/>
    </xf>
    <xf numFmtId="0" fontId="32" fillId="18" borderId="39" xfId="0" applyFont="1" applyFill="1" applyBorder="1" applyAlignment="1">
      <alignment horizontal="left" vertical="top" wrapText="1"/>
    </xf>
    <xf numFmtId="0" fontId="32" fillId="18" borderId="40" xfId="0" applyFont="1" applyFill="1" applyBorder="1" applyAlignment="1">
      <alignment horizontal="left" vertical="top" wrapText="1"/>
    </xf>
    <xf numFmtId="0" fontId="37" fillId="8" borderId="39" xfId="0" applyFont="1" applyFill="1" applyBorder="1" applyAlignment="1">
      <alignment horizontal="left" vertical="top" wrapText="1"/>
    </xf>
    <xf numFmtId="0" fontId="37" fillId="8" borderId="40" xfId="0" applyFont="1" applyFill="1" applyBorder="1" applyAlignment="1">
      <alignment horizontal="left" vertical="top" wrapText="1"/>
    </xf>
    <xf numFmtId="0" fontId="32" fillId="8" borderId="39" xfId="0" applyFont="1" applyFill="1" applyBorder="1" applyAlignment="1">
      <alignment horizontal="center" vertical="center" wrapText="1"/>
    </xf>
    <xf numFmtId="0" fontId="32" fillId="8" borderId="40" xfId="0" applyFont="1" applyFill="1" applyBorder="1" applyAlignment="1">
      <alignment horizontal="center" vertical="center" wrapText="1"/>
    </xf>
    <xf numFmtId="0" fontId="32" fillId="8" borderId="39" xfId="0" applyFont="1" applyFill="1" applyBorder="1" applyAlignment="1">
      <alignment horizontal="center" vertical="center"/>
    </xf>
    <xf numFmtId="0" fontId="32" fillId="8" borderId="40" xfId="0" applyFont="1" applyFill="1" applyBorder="1" applyAlignment="1">
      <alignment horizontal="center" vertical="center"/>
    </xf>
    <xf numFmtId="0" fontId="32" fillId="8" borderId="39" xfId="0" applyFont="1" applyFill="1" applyBorder="1" applyAlignment="1">
      <alignment horizontal="left" vertical="center"/>
    </xf>
    <xf numFmtId="0" fontId="32" fillId="8" borderId="40" xfId="0" applyFont="1" applyFill="1" applyBorder="1" applyAlignment="1">
      <alignment horizontal="left" vertical="center"/>
    </xf>
    <xf numFmtId="0" fontId="32" fillId="8" borderId="39" xfId="0" applyFont="1" applyFill="1" applyBorder="1" applyAlignment="1">
      <alignment horizontal="center" vertical="top"/>
    </xf>
    <xf numFmtId="0" fontId="32" fillId="8" borderId="40" xfId="0" applyFont="1" applyFill="1" applyBorder="1" applyAlignment="1">
      <alignment horizontal="center" vertical="top"/>
    </xf>
    <xf numFmtId="0" fontId="39" fillId="9" borderId="34" xfId="0" applyFont="1" applyFill="1" applyBorder="1" applyAlignment="1">
      <alignment vertical="center" wrapText="1"/>
    </xf>
    <xf numFmtId="0" fontId="50" fillId="0" borderId="36" xfId="0" applyFont="1" applyBorder="1" applyAlignment="1">
      <alignment vertical="center"/>
    </xf>
    <xf numFmtId="0" fontId="38" fillId="13" borderId="42" xfId="0" applyFont="1" applyFill="1" applyBorder="1" applyAlignment="1">
      <alignment horizontal="center" wrapText="1" readingOrder="1"/>
    </xf>
    <xf numFmtId="0" fontId="38" fillId="13" borderId="47" xfId="0" applyFont="1" applyFill="1" applyBorder="1" applyAlignment="1">
      <alignment horizontal="center" wrapText="1" readingOrder="1"/>
    </xf>
    <xf numFmtId="0" fontId="38" fillId="10" borderId="45" xfId="0" applyFont="1" applyFill="1" applyBorder="1" applyAlignment="1">
      <alignment horizontal="center" vertical="center" wrapText="1"/>
    </xf>
    <xf numFmtId="0" fontId="32" fillId="10" borderId="42" xfId="0" applyFont="1" applyFill="1" applyBorder="1" applyAlignment="1">
      <alignment horizontal="center" vertical="center" wrapText="1"/>
    </xf>
    <xf numFmtId="0" fontId="32" fillId="10" borderId="46" xfId="0" applyFont="1" applyFill="1" applyBorder="1" applyAlignment="1">
      <alignment horizontal="center" vertical="center" wrapText="1"/>
    </xf>
    <xf numFmtId="0" fontId="32" fillId="10" borderId="47" xfId="0" applyFont="1" applyFill="1" applyBorder="1" applyAlignment="1">
      <alignment horizontal="center" vertical="center" wrapText="1"/>
    </xf>
    <xf numFmtId="0" fontId="32" fillId="8" borderId="39" xfId="0" applyFont="1" applyFill="1" applyBorder="1" applyAlignment="1">
      <alignment horizontal="left" vertical="center" wrapText="1"/>
    </xf>
    <xf numFmtId="0" fontId="32" fillId="8" borderId="40" xfId="0" applyFont="1" applyFill="1" applyBorder="1" applyAlignment="1">
      <alignment horizontal="left" vertical="center" wrapText="1"/>
    </xf>
    <xf numFmtId="0" fontId="32" fillId="6" borderId="39" xfId="0" applyFont="1" applyFill="1" applyBorder="1" applyAlignment="1">
      <alignment horizontal="center" vertical="center" wrapText="1"/>
    </xf>
    <xf numFmtId="0" fontId="32" fillId="6" borderId="40" xfId="0" applyFont="1" applyFill="1" applyBorder="1" applyAlignment="1">
      <alignment horizontal="center" vertical="center" wrapText="1"/>
    </xf>
    <xf numFmtId="0" fontId="32" fillId="6" borderId="41" xfId="0" applyFont="1" applyFill="1" applyBorder="1" applyAlignment="1">
      <alignment horizontal="center" vertical="center" wrapText="1"/>
    </xf>
    <xf numFmtId="0" fontId="32" fillId="6" borderId="39" xfId="0" applyFont="1" applyFill="1" applyBorder="1" applyAlignment="1">
      <alignment horizontal="left" vertical="top" wrapText="1"/>
    </xf>
    <xf numFmtId="0" fontId="32" fillId="6" borderId="40" xfId="0" applyFont="1" applyFill="1" applyBorder="1" applyAlignment="1">
      <alignment horizontal="left" vertical="top" wrapText="1"/>
    </xf>
    <xf numFmtId="0" fontId="32" fillId="6" borderId="41" xfId="0" applyFont="1" applyFill="1" applyBorder="1" applyAlignment="1">
      <alignment horizontal="left" vertical="top" wrapText="1"/>
    </xf>
    <xf numFmtId="0" fontId="41" fillId="8" borderId="39" xfId="0" applyFont="1" applyFill="1" applyBorder="1" applyAlignment="1">
      <alignment horizontal="center" vertical="top"/>
    </xf>
    <xf numFmtId="0" fontId="41" fillId="8" borderId="40" xfId="0" applyFont="1" applyFill="1" applyBorder="1" applyAlignment="1">
      <alignment horizontal="center" vertical="top"/>
    </xf>
    <xf numFmtId="0" fontId="41" fillId="8" borderId="39" xfId="0" applyFont="1" applyFill="1" applyBorder="1" applyAlignment="1">
      <alignment horizontal="left" vertical="top" wrapText="1"/>
    </xf>
    <xf numFmtId="0" fontId="41" fillId="8" borderId="40" xfId="0" applyFont="1" applyFill="1" applyBorder="1" applyAlignment="1">
      <alignment horizontal="left" vertical="top" wrapText="1"/>
    </xf>
    <xf numFmtId="0" fontId="38" fillId="8" borderId="39" xfId="0" applyFont="1" applyFill="1" applyBorder="1" applyAlignment="1">
      <alignment horizontal="left" vertical="top" wrapText="1"/>
    </xf>
    <xf numFmtId="0" fontId="38" fillId="8" borderId="40" xfId="0" applyFont="1" applyFill="1" applyBorder="1" applyAlignment="1">
      <alignment horizontal="left" vertical="top" wrapText="1"/>
    </xf>
    <xf numFmtId="0" fontId="32" fillId="8" borderId="39" xfId="0" applyFont="1" applyFill="1" applyBorder="1" applyAlignment="1">
      <alignment horizontal="left" vertical="top"/>
    </xf>
    <xf numFmtId="0" fontId="32" fillId="8" borderId="40" xfId="0" applyFont="1" applyFill="1" applyBorder="1" applyAlignment="1">
      <alignment horizontal="left" vertical="top"/>
    </xf>
    <xf numFmtId="0" fontId="46" fillId="10" borderId="42" xfId="0" applyFont="1" applyFill="1" applyBorder="1" applyAlignment="1">
      <alignment horizontal="left" vertical="center" wrapText="1"/>
    </xf>
    <xf numFmtId="0" fontId="46" fillId="10" borderId="46" xfId="0" applyFont="1" applyFill="1" applyBorder="1" applyAlignment="1">
      <alignment horizontal="left" vertical="center" wrapText="1"/>
    </xf>
    <xf numFmtId="0" fontId="46" fillId="10" borderId="47" xfId="0" applyFont="1" applyFill="1" applyBorder="1" applyAlignment="1">
      <alignment horizontal="left" vertical="center" wrapText="1"/>
    </xf>
    <xf numFmtId="0" fontId="32" fillId="20" borderId="45" xfId="0" applyFont="1" applyFill="1" applyBorder="1" applyAlignment="1">
      <alignment horizontal="left" vertical="center" wrapText="1"/>
    </xf>
    <xf numFmtId="0" fontId="32" fillId="20" borderId="66" xfId="0" applyFont="1" applyFill="1" applyBorder="1" applyAlignment="1">
      <alignment horizontal="left" vertical="center" wrapText="1"/>
    </xf>
    <xf numFmtId="0" fontId="32" fillId="10" borderId="59" xfId="0" applyFont="1" applyFill="1" applyBorder="1" applyAlignment="1">
      <alignment horizontal="left" vertical="center" wrapText="1"/>
    </xf>
    <xf numFmtId="0" fontId="38" fillId="10" borderId="59" xfId="0" applyFont="1" applyFill="1" applyBorder="1" applyAlignment="1">
      <alignment horizontal="center" vertical="center" wrapText="1"/>
    </xf>
    <xf numFmtId="0" fontId="32" fillId="10" borderId="4" xfId="0" applyFont="1" applyFill="1" applyBorder="1" applyAlignment="1">
      <alignment horizontal="left" vertical="center" wrapText="1"/>
    </xf>
    <xf numFmtId="0" fontId="32" fillId="10" borderId="60" xfId="0" applyFont="1" applyFill="1" applyBorder="1" applyAlignment="1">
      <alignment horizontal="left" vertical="center" wrapText="1"/>
    </xf>
    <xf numFmtId="0" fontId="1" fillId="0" borderId="3" xfId="0" applyFont="1" applyBorder="1" applyAlignment="1">
      <alignment vertical="center"/>
    </xf>
    <xf numFmtId="0" fontId="3" fillId="0" borderId="4" xfId="0" applyFont="1" applyBorder="1" applyAlignment="1">
      <alignment vertical="center"/>
    </xf>
    <xf numFmtId="0" fontId="1" fillId="0" borderId="3" xfId="0" applyFont="1" applyBorder="1" applyAlignment="1">
      <alignment vertical="center" wrapText="1"/>
    </xf>
    <xf numFmtId="0" fontId="1" fillId="0" borderId="3" xfId="0" applyFont="1" applyBorder="1" applyAlignment="1">
      <alignment wrapText="1"/>
    </xf>
    <xf numFmtId="0" fontId="1" fillId="0" borderId="3" xfId="0" applyFont="1" applyBorder="1" applyAlignment="1">
      <alignment horizontal="left" vertical="top" wrapText="1"/>
    </xf>
    <xf numFmtId="0" fontId="3" fillId="0" borderId="4" xfId="0" applyFont="1" applyBorder="1" applyAlignment="1">
      <alignment horizontal="left" vertical="top"/>
    </xf>
    <xf numFmtId="0" fontId="6" fillId="3" borderId="7" xfId="0" applyFont="1" applyFill="1" applyBorder="1" applyAlignment="1">
      <alignment horizontal="left" vertical="top" wrapText="1"/>
    </xf>
    <xf numFmtId="0" fontId="9" fillId="2" borderId="8" xfId="0" applyFont="1" applyFill="1" applyBorder="1" applyAlignment="1">
      <alignment vertical="top" wrapText="1"/>
    </xf>
    <xf numFmtId="0" fontId="7" fillId="2" borderId="8" xfId="0" applyFont="1" applyFill="1" applyBorder="1" applyAlignment="1">
      <alignment vertical="top" wrapText="1"/>
    </xf>
    <xf numFmtId="0" fontId="9" fillId="2" borderId="21" xfId="0" applyFont="1" applyFill="1" applyBorder="1" applyAlignment="1">
      <alignment horizontal="left" vertical="top" wrapText="1"/>
    </xf>
    <xf numFmtId="0" fontId="17" fillId="2" borderId="16" xfId="0" applyFont="1" applyFill="1" applyBorder="1" applyAlignment="1">
      <alignment vertical="center" wrapText="1"/>
    </xf>
    <xf numFmtId="0" fontId="17" fillId="2" borderId="0" xfId="0" applyFont="1" applyFill="1" applyAlignment="1">
      <alignment vertical="center" wrapText="1"/>
    </xf>
    <xf numFmtId="0" fontId="9" fillId="2" borderId="6" xfId="0" applyFont="1" applyFill="1" applyBorder="1" applyAlignment="1">
      <alignment vertical="top" wrapText="1"/>
    </xf>
    <xf numFmtId="0" fontId="12" fillId="2" borderId="8" xfId="0" applyFont="1" applyFill="1" applyBorder="1" applyAlignment="1">
      <alignment vertical="center" wrapText="1"/>
    </xf>
    <xf numFmtId="0" fontId="11" fillId="2" borderId="21" xfId="0" applyFont="1" applyFill="1" applyBorder="1" applyAlignment="1">
      <alignment vertical="center"/>
    </xf>
    <xf numFmtId="0" fontId="11" fillId="2" borderId="21" xfId="0" applyFont="1" applyFill="1" applyBorder="1" applyAlignment="1">
      <alignment vertical="center" wrapText="1"/>
    </xf>
    <xf numFmtId="0" fontId="1" fillId="0" borderId="3" xfId="0" applyFont="1" applyBorder="1" applyAlignment="1"/>
    <xf numFmtId="0" fontId="3" fillId="0" borderId="4" xfId="0" applyFont="1" applyBorder="1" applyAlignment="1"/>
    <xf numFmtId="0" fontId="3" fillId="0" borderId="11" xfId="0" applyFont="1" applyBorder="1" applyAlignment="1"/>
    <xf numFmtId="0" fontId="3" fillId="0" borderId="12" xfId="0" applyFont="1" applyBorder="1" applyAlignment="1"/>
    <xf numFmtId="0" fontId="3" fillId="0" borderId="15" xfId="0" applyFont="1" applyBorder="1" applyAlignment="1"/>
    <xf numFmtId="0" fontId="3" fillId="0" borderId="16" xfId="0" applyFont="1" applyBorder="1" applyAlignment="1"/>
    <xf numFmtId="0" fontId="3" fillId="0" borderId="19" xfId="0" applyFont="1" applyBorder="1" applyAlignment="1"/>
    <xf numFmtId="0" fontId="3" fillId="0" borderId="13" xfId="0" applyFont="1" applyBorder="1" applyAlignment="1"/>
    <xf numFmtId="0" fontId="3" fillId="0" borderId="23" xfId="0" applyFont="1" applyBorder="1" applyAlignment="1"/>
    <xf numFmtId="0" fontId="3" fillId="0" borderId="25" xfId="0" applyFont="1" applyBorder="1" applyAlignment="1"/>
    <xf numFmtId="0" fontId="3" fillId="0" borderId="32" xfId="0" applyFont="1" applyBorder="1" applyAlignment="1"/>
    <xf numFmtId="0" fontId="3" fillId="0" borderId="9" xfId="0" applyFont="1" applyBorder="1" applyAlignment="1"/>
    <xf numFmtId="0" fontId="3" fillId="0" borderId="31" xfId="0" applyFont="1" applyBorder="1" applyAlignment="1"/>
    <xf numFmtId="0" fontId="0" fillId="0" borderId="0" xfId="0" applyAlignment="1"/>
  </cellXfs>
  <cellStyles count="2">
    <cellStyle name="Comma" xfId="1" builtinId="3"/>
    <cellStyle name="Normal" xfId="0" builtinId="0"/>
  </cellStyles>
  <dxfs count="0"/>
  <tableStyles count="1" defaultTableStyle="TableStyleMedium2" defaultPivotStyle="PivotStyleLight16">
    <tableStyle name="Invisible" pivot="0" table="0" count="0" xr9:uid="{B56834B7-E454-4D70-982E-E72E9C5BF6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9F3EAA24-3DA2-44BE-8F7E-51066A8A6C18}">
    <Anchor>
      <Comment id="{89D584E9-AEDB-4DEA-91D3-3A4879394335}"/>
    </Anchor>
    <History>
      <Event time="2025-07-08T13:33:42.01" id="{A9B5378A-3854-4116-B423-859A0AD5F36F}">
        <Attribution userId="S::anjiraini@wwfint.org::d557b7a7-4bb2-40fd-91c0-864ae5da9c3c" userName="Andrew Njiraini" userProvider="AD"/>
        <Anchor>
          <Comment id="{89D584E9-AEDB-4DEA-91D3-3A4879394335}"/>
        </Anchor>
        <Create/>
      </Event>
      <Event time="2025-07-08T13:33:42.01" id="{B86D6F3F-D694-4B9E-ACC5-094B7B43C39C}">
        <Attribution userId="S::anjiraini@wwfint.org::d557b7a7-4bb2-40fd-91c0-864ae5da9c3c" userName="Andrew Njiraini" userProvider="AD"/>
        <Anchor>
          <Comment id="{89D584E9-AEDB-4DEA-91D3-3A4879394335}"/>
        </Anchor>
        <Assign userId="S::PKafando@wwfcar.org::139461d1-960e-4033-ae13-5bb1d6d0c498" userName="Pierre Kafando" userProvider="AD"/>
      </Event>
      <Event time="2025-07-08T13:33:42.01" id="{C905D276-98BC-42DE-B537-D8FA89B7A7F3}">
        <Attribution userId="S::anjiraini@wwfint.org::d557b7a7-4bb2-40fd-91c0-864ae5da9c3c" userName="Andrew Njiraini" userProvider="AD"/>
        <Anchor>
          <Comment id="{89D584E9-AEDB-4DEA-91D3-3A4879394335}"/>
        </Anchor>
        <SetTitle title="@Pierre Kafando we need to complete the risk assessment and the risk register. I am available to support"/>
      </Event>
    </History>
  </Task>
</Tasks>
</file>

<file path=xl/persons/person.xml><?xml version="1.0" encoding="utf-8"?>
<personList xmlns="http://schemas.microsoft.com/office/spreadsheetml/2018/threadedcomments" xmlns:x="http://schemas.openxmlformats.org/spreadsheetml/2006/main">
  <person displayName="Bruce DEGUENE" id="{E241953D-006C-4BC5-A6D6-F1D7A2E2BAF9}" userId="BDeguene@wwfcar.org" providerId="PeoplePicker"/>
  <person displayName="Pierre Kafando" id="{D2CC0E75-6D17-40A9-9DE3-AB05B84BC4AB}" userId="PKafando@wwfcar.org" providerId="PeoplePicker"/>
  <person displayName="Philip Kahuho" id="{5F3BC198-F1D1-4234-989B-5131A354C946}" userId="S::Pkahuho@wwfint.org::0c4d0b07-f183-43da-9691-74f417427dc2" providerId="AD"/>
  <person displayName="Andrew Njiraini" id="{14161E79-365E-42F9-B379-BD77908C4691}" userId="S::anjiraini@wwfint.org::d557b7a7-4bb2-40fd-91c0-864ae5da9c3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 dT="2025-07-08T13:33:42.06" personId="{14161E79-365E-42F9-B379-BD77908C4691}" id="{89D584E9-AEDB-4DEA-91D3-3A4879394335}">
    <text xml:space="preserve">@Pierre Kafando we need to complete the risk assessment and the risk register. I am available to support </text>
    <mentions>
      <mention mentionpersonId="{D2CC0E75-6D17-40A9-9DE3-AB05B84BC4AB}" mentionId="{1DB98857-7BBF-4104-8132-D8E06118E1DF}" startIndex="0" length="15"/>
    </mentions>
  </threadedComment>
  <threadedComment ref="H14" dT="2026-04-13T11:40:53.27" personId="{5F3BC198-F1D1-4234-989B-5131A354C946}" id="{5A02D3E3-3348-4651-8CF7-F579B5108569}">
    <text>Reduce to 75%</text>
  </threadedComment>
  <threadedComment ref="E28" dT="2026-04-12T14:20:11.79" personId="{5F3BC198-F1D1-4234-989B-5131A354C946}" id="{4E3F6973-7D2B-4220-ACFC-54ACE38E53F9}">
    <text>@Pierre Kafando , @Bruce DEGUENE  most of the Output indicators still do not have baseline and targets. For the few that have, they are not well formatted to know which is which. I would suggest you put it as in the outcome which is excellently done.</text>
    <mentions>
      <mention mentionpersonId="{D2CC0E75-6D17-40A9-9DE3-AB05B84BC4AB}" mentionId="{BB7245A7-E265-4D17-9750-8148CC98DAAE}" startIndex="0" length="15"/>
      <mention mentionpersonId="{E241953D-006C-4BC5-A6D6-F1D7A2E2BAF9}" mentionId="{46331992-F554-4E84-8805-AB0C90DA0B0E}" startIndex="18" length="14"/>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sites.google.com/wwf.panda.org/networkstandards/policy-areas/project-and-initiative-management/2-4-guidance-by-ppms-ste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1"/>
  <sheetViews>
    <sheetView workbookViewId="0"/>
  </sheetViews>
  <sheetFormatPr defaultColWidth="12.7109375" defaultRowHeight="15.75" customHeight="1"/>
  <cols>
    <col min="1" max="1" width="14.7109375" customWidth="1"/>
    <col min="2" max="2" width="32.7109375" customWidth="1"/>
    <col min="3" max="3" width="22.28515625" customWidth="1"/>
    <col min="4" max="4" width="69.140625" customWidth="1"/>
  </cols>
  <sheetData>
    <row r="1" spans="1:26" ht="12.95">
      <c r="A1" s="1"/>
      <c r="B1" s="2" t="s">
        <v>0</v>
      </c>
      <c r="C1" s="396"/>
      <c r="D1" s="397"/>
    </row>
    <row r="2" spans="1:26" ht="65.099999999999994">
      <c r="A2" s="3" t="s">
        <v>1</v>
      </c>
      <c r="B2" s="4" t="s">
        <v>2</v>
      </c>
      <c r="C2" s="380" t="s">
        <v>3</v>
      </c>
      <c r="D2" s="381"/>
    </row>
    <row r="3" spans="1:26" ht="80.25" customHeight="1">
      <c r="A3" s="3" t="s">
        <v>4</v>
      </c>
      <c r="B3" s="4" t="s">
        <v>5</v>
      </c>
      <c r="C3" s="380" t="s">
        <v>6</v>
      </c>
      <c r="D3" s="381"/>
    </row>
    <row r="4" spans="1:26" ht="80.25" customHeight="1">
      <c r="A4" s="3" t="s">
        <v>7</v>
      </c>
      <c r="B4" s="4" t="s">
        <v>8</v>
      </c>
      <c r="C4" s="382" t="s">
        <v>9</v>
      </c>
      <c r="D4" s="381"/>
    </row>
    <row r="5" spans="1:26" ht="29.25" customHeight="1">
      <c r="A5" s="386" t="s">
        <v>10</v>
      </c>
      <c r="B5" s="388" t="s">
        <v>11</v>
      </c>
      <c r="C5" s="5" t="s">
        <v>12</v>
      </c>
      <c r="D5" s="6" t="s">
        <v>13</v>
      </c>
      <c r="E5" s="7"/>
      <c r="F5" s="7"/>
      <c r="G5" s="7"/>
      <c r="H5" s="7"/>
      <c r="I5" s="7"/>
      <c r="J5" s="7"/>
      <c r="K5" s="7"/>
      <c r="L5" s="7"/>
      <c r="M5" s="7"/>
      <c r="N5" s="7"/>
      <c r="O5" s="7"/>
      <c r="P5" s="7"/>
      <c r="Q5" s="7"/>
      <c r="R5" s="7"/>
      <c r="S5" s="7"/>
      <c r="T5" s="7"/>
      <c r="U5" s="7"/>
      <c r="V5" s="7"/>
      <c r="W5" s="7"/>
      <c r="X5" s="7"/>
      <c r="Y5" s="7"/>
      <c r="Z5" s="7"/>
    </row>
    <row r="6" spans="1:26" ht="32.25" customHeight="1">
      <c r="A6" s="398"/>
      <c r="B6" s="399"/>
      <c r="C6" s="8" t="s">
        <v>14</v>
      </c>
      <c r="D6" s="9" t="s">
        <v>15</v>
      </c>
      <c r="E6" s="7"/>
      <c r="F6" s="7"/>
      <c r="G6" s="7"/>
      <c r="H6" s="7"/>
      <c r="I6" s="7"/>
      <c r="J6" s="7"/>
      <c r="K6" s="7"/>
      <c r="L6" s="7"/>
      <c r="M6" s="7"/>
      <c r="N6" s="7"/>
      <c r="O6" s="7"/>
      <c r="P6" s="7"/>
      <c r="Q6" s="7"/>
      <c r="R6" s="7"/>
      <c r="S6" s="7"/>
      <c r="T6" s="7"/>
      <c r="U6" s="7"/>
      <c r="V6" s="7"/>
      <c r="W6" s="7"/>
      <c r="X6" s="7"/>
      <c r="Y6" s="7"/>
      <c r="Z6" s="7"/>
    </row>
    <row r="7" spans="1:26" ht="223.5" customHeight="1">
      <c r="A7" s="3" t="s">
        <v>16</v>
      </c>
      <c r="B7" s="4" t="s">
        <v>17</v>
      </c>
      <c r="C7" s="383" t="s">
        <v>18</v>
      </c>
      <c r="D7" s="397"/>
    </row>
    <row r="8" spans="1:26" ht="104.1">
      <c r="A8" s="3" t="s">
        <v>19</v>
      </c>
      <c r="B8" s="4" t="s">
        <v>20</v>
      </c>
      <c r="C8" s="384" t="s">
        <v>21</v>
      </c>
      <c r="D8" s="385"/>
    </row>
    <row r="9" spans="1:26" ht="12.95">
      <c r="A9" s="386" t="s">
        <v>22</v>
      </c>
      <c r="B9" s="387" t="s">
        <v>23</v>
      </c>
      <c r="C9" s="10" t="s">
        <v>24</v>
      </c>
      <c r="D9" s="11" t="s">
        <v>25</v>
      </c>
      <c r="E9" s="7"/>
    </row>
    <row r="10" spans="1:26" ht="240.75" customHeight="1">
      <c r="A10" s="400"/>
      <c r="B10" s="401"/>
      <c r="C10" s="91" t="s">
        <v>26</v>
      </c>
      <c r="D10" s="90" t="s">
        <v>27</v>
      </c>
      <c r="E10" s="7"/>
    </row>
    <row r="11" spans="1:26" ht="238.5" customHeight="1">
      <c r="A11" s="400"/>
      <c r="B11" s="401"/>
      <c r="C11" s="12" t="s">
        <v>28</v>
      </c>
      <c r="D11" s="90" t="s">
        <v>29</v>
      </c>
      <c r="E11" s="7"/>
    </row>
    <row r="12" spans="1:26" ht="66.75" customHeight="1">
      <c r="A12" s="398"/>
      <c r="B12" s="399"/>
      <c r="C12" s="13"/>
      <c r="D12" s="14"/>
      <c r="E12" s="7"/>
    </row>
    <row r="13" spans="1:26" ht="12.95">
      <c r="A13" s="386" t="s">
        <v>30</v>
      </c>
      <c r="B13" s="387" t="s">
        <v>31</v>
      </c>
      <c r="C13" s="10" t="s">
        <v>32</v>
      </c>
      <c r="D13" s="11" t="s">
        <v>25</v>
      </c>
      <c r="E13" s="7"/>
    </row>
    <row r="14" spans="1:26" ht="255.75" customHeight="1">
      <c r="A14" s="400"/>
      <c r="B14" s="401"/>
      <c r="C14" s="91" t="s">
        <v>33</v>
      </c>
      <c r="D14" s="90" t="s">
        <v>34</v>
      </c>
      <c r="E14" s="7"/>
    </row>
    <row r="15" spans="1:26" ht="251.25" customHeight="1">
      <c r="A15" s="400"/>
      <c r="B15" s="401"/>
      <c r="C15" s="91"/>
      <c r="D15" s="90"/>
      <c r="E15" s="7"/>
    </row>
    <row r="16" spans="1:26" ht="61.5" customHeight="1">
      <c r="A16" s="402"/>
      <c r="B16" s="403"/>
      <c r="C16" s="15"/>
      <c r="D16" s="9"/>
      <c r="E16" s="7"/>
    </row>
    <row r="17" spans="1:4" ht="12.95">
      <c r="A17" s="104"/>
      <c r="B17" s="105"/>
      <c r="C17" s="396"/>
      <c r="D17" s="397"/>
    </row>
    <row r="18" spans="1:4" ht="12.6">
      <c r="A18" s="16"/>
      <c r="B18" s="17"/>
    </row>
    <row r="19" spans="1:4" ht="12.6">
      <c r="A19" s="16"/>
      <c r="B19" s="17"/>
    </row>
    <row r="20" spans="1:4" ht="12.6">
      <c r="A20" s="16"/>
      <c r="B20" s="17"/>
    </row>
    <row r="21" spans="1:4" ht="12.6">
      <c r="A21" s="16"/>
      <c r="B21" s="17"/>
    </row>
    <row r="22" spans="1:4" ht="12.6">
      <c r="A22" s="16"/>
      <c r="B22" s="17"/>
    </row>
    <row r="23" spans="1:4" ht="12.6">
      <c r="A23" s="16"/>
      <c r="B23" s="17"/>
    </row>
    <row r="24" spans="1:4" ht="12.6">
      <c r="A24" s="16"/>
      <c r="B24" s="17"/>
    </row>
    <row r="25" spans="1:4" ht="12.6">
      <c r="A25" s="16"/>
      <c r="B25" s="17"/>
    </row>
    <row r="26" spans="1:4" ht="12.6">
      <c r="A26" s="16"/>
      <c r="B26" s="17"/>
    </row>
    <row r="27" spans="1:4" ht="12.6">
      <c r="A27" s="16"/>
      <c r="B27" s="17"/>
    </row>
    <row r="28" spans="1:4" ht="12.6">
      <c r="A28" s="16"/>
      <c r="B28" s="17"/>
    </row>
    <row r="29" spans="1:4" ht="12.6">
      <c r="A29" s="16"/>
      <c r="B29" s="17"/>
    </row>
    <row r="30" spans="1:4" ht="12.6">
      <c r="A30" s="16"/>
      <c r="B30" s="17"/>
    </row>
    <row r="31" spans="1:4" ht="12.6">
      <c r="A31" s="16"/>
      <c r="B31" s="17"/>
    </row>
    <row r="32" spans="1:4" ht="12.6">
      <c r="A32" s="16"/>
      <c r="B32" s="17"/>
    </row>
    <row r="33" spans="1:2" ht="12.6">
      <c r="A33" s="16"/>
      <c r="B33" s="17"/>
    </row>
    <row r="34" spans="1:2" ht="12.6">
      <c r="A34" s="16"/>
      <c r="B34" s="17"/>
    </row>
    <row r="35" spans="1:2" ht="12.6">
      <c r="A35" s="16"/>
      <c r="B35" s="17"/>
    </row>
    <row r="36" spans="1:2" ht="12.6">
      <c r="A36" s="16"/>
      <c r="B36" s="17"/>
    </row>
    <row r="37" spans="1:2" ht="12.6">
      <c r="A37" s="16"/>
      <c r="B37" s="17"/>
    </row>
    <row r="38" spans="1:2" ht="12.6">
      <c r="A38" s="16"/>
      <c r="B38" s="17"/>
    </row>
    <row r="39" spans="1:2" ht="12.6">
      <c r="A39" s="16"/>
      <c r="B39" s="17"/>
    </row>
    <row r="40" spans="1:2" ht="12.6">
      <c r="A40" s="16"/>
      <c r="B40" s="17"/>
    </row>
    <row r="41" spans="1:2" ht="12.6">
      <c r="A41" s="16"/>
      <c r="B41" s="17"/>
    </row>
    <row r="42" spans="1:2" ht="12.6">
      <c r="A42" s="16"/>
      <c r="B42" s="17"/>
    </row>
    <row r="43" spans="1:2" ht="12.6">
      <c r="A43" s="16"/>
      <c r="B43" s="17"/>
    </row>
    <row r="44" spans="1:2" ht="12.6">
      <c r="A44" s="16"/>
      <c r="B44" s="17"/>
    </row>
    <row r="45" spans="1:2" ht="12.6">
      <c r="A45" s="16"/>
      <c r="B45" s="17"/>
    </row>
    <row r="46" spans="1:2" ht="12.6">
      <c r="A46" s="16"/>
      <c r="B46" s="17"/>
    </row>
    <row r="47" spans="1:2" ht="12.6">
      <c r="A47" s="16"/>
      <c r="B47" s="17"/>
    </row>
    <row r="48" spans="1:2" ht="12.6">
      <c r="A48" s="16"/>
      <c r="B48" s="17"/>
    </row>
    <row r="49" spans="1:2" ht="12.6">
      <c r="A49" s="16"/>
      <c r="B49" s="17"/>
    </row>
    <row r="50" spans="1:2" ht="12.6">
      <c r="A50" s="16"/>
      <c r="B50" s="17"/>
    </row>
    <row r="51" spans="1:2" ht="12.6">
      <c r="A51" s="16"/>
      <c r="B51" s="17"/>
    </row>
    <row r="52" spans="1:2" ht="12.6">
      <c r="A52" s="16"/>
      <c r="B52" s="17"/>
    </row>
    <row r="53" spans="1:2" ht="12.6">
      <c r="A53" s="16"/>
      <c r="B53" s="17"/>
    </row>
    <row r="54" spans="1:2" ht="12.6">
      <c r="A54" s="16"/>
      <c r="B54" s="17"/>
    </row>
    <row r="55" spans="1:2" ht="12.6">
      <c r="A55" s="16"/>
      <c r="B55" s="17"/>
    </row>
    <row r="56" spans="1:2" ht="12.6">
      <c r="A56" s="16"/>
      <c r="B56" s="17"/>
    </row>
    <row r="57" spans="1:2" ht="12.6">
      <c r="A57" s="16"/>
      <c r="B57" s="17"/>
    </row>
    <row r="58" spans="1:2" ht="12.6">
      <c r="A58" s="16"/>
      <c r="B58" s="17"/>
    </row>
    <row r="59" spans="1:2" ht="12.6">
      <c r="A59" s="16"/>
      <c r="B59" s="17"/>
    </row>
    <row r="60" spans="1:2" ht="12.6">
      <c r="A60" s="16"/>
      <c r="B60" s="17"/>
    </row>
    <row r="61" spans="1:2" ht="12.6">
      <c r="A61" s="16"/>
      <c r="B61" s="17"/>
    </row>
    <row r="62" spans="1:2" ht="12.6">
      <c r="A62" s="16"/>
      <c r="B62" s="17"/>
    </row>
    <row r="63" spans="1:2" ht="12.6">
      <c r="A63" s="16"/>
      <c r="B63" s="17"/>
    </row>
    <row r="64" spans="1:2" ht="12.6">
      <c r="A64" s="16"/>
      <c r="B64" s="17"/>
    </row>
    <row r="65" spans="1:2" ht="12.6">
      <c r="A65" s="16"/>
      <c r="B65" s="17"/>
    </row>
    <row r="66" spans="1:2" ht="12.6">
      <c r="A66" s="16"/>
      <c r="B66" s="17"/>
    </row>
    <row r="67" spans="1:2" ht="12.6">
      <c r="A67" s="16"/>
      <c r="B67" s="17"/>
    </row>
    <row r="68" spans="1:2" ht="12.6">
      <c r="A68" s="16"/>
      <c r="B68" s="17"/>
    </row>
    <row r="69" spans="1:2" ht="12.6">
      <c r="A69" s="16"/>
      <c r="B69" s="17"/>
    </row>
    <row r="70" spans="1:2" ht="12.6">
      <c r="A70" s="16"/>
      <c r="B70" s="17"/>
    </row>
    <row r="71" spans="1:2" ht="12.6">
      <c r="A71" s="16"/>
      <c r="B71" s="17"/>
    </row>
    <row r="72" spans="1:2" ht="12.6">
      <c r="A72" s="16"/>
      <c r="B72" s="17"/>
    </row>
    <row r="73" spans="1:2" ht="12.6">
      <c r="A73" s="16"/>
      <c r="B73" s="17"/>
    </row>
    <row r="74" spans="1:2" ht="12.6">
      <c r="A74" s="16"/>
      <c r="B74" s="17"/>
    </row>
    <row r="75" spans="1:2" ht="12.6">
      <c r="A75" s="16"/>
      <c r="B75" s="17"/>
    </row>
    <row r="76" spans="1:2" ht="12.6">
      <c r="A76" s="16"/>
      <c r="B76" s="17"/>
    </row>
    <row r="77" spans="1:2" ht="12.6">
      <c r="A77" s="16"/>
      <c r="B77" s="17"/>
    </row>
    <row r="78" spans="1:2" ht="12.6">
      <c r="A78" s="16"/>
      <c r="B78" s="17"/>
    </row>
    <row r="79" spans="1:2" ht="12.6">
      <c r="A79" s="16"/>
      <c r="B79" s="17"/>
    </row>
    <row r="80" spans="1:2" ht="12.6">
      <c r="A80" s="16"/>
      <c r="B80" s="17"/>
    </row>
    <row r="81" spans="1:2" ht="12.6">
      <c r="A81" s="16"/>
      <c r="B81" s="17"/>
    </row>
    <row r="82" spans="1:2" ht="12.6">
      <c r="A82" s="16"/>
      <c r="B82" s="17"/>
    </row>
    <row r="83" spans="1:2" ht="12.6">
      <c r="A83" s="16"/>
      <c r="B83" s="17"/>
    </row>
    <row r="84" spans="1:2" ht="12.6">
      <c r="A84" s="16"/>
      <c r="B84" s="17"/>
    </row>
    <row r="85" spans="1:2" ht="12.6">
      <c r="A85" s="16"/>
      <c r="B85" s="17"/>
    </row>
    <row r="86" spans="1:2" ht="12.6">
      <c r="A86" s="16"/>
      <c r="B86" s="17"/>
    </row>
    <row r="87" spans="1:2" ht="12.6">
      <c r="A87" s="16"/>
      <c r="B87" s="17"/>
    </row>
    <row r="88" spans="1:2" ht="12.6">
      <c r="A88" s="16"/>
      <c r="B88" s="17"/>
    </row>
    <row r="89" spans="1:2" ht="12.6">
      <c r="A89" s="16"/>
      <c r="B89" s="17"/>
    </row>
    <row r="90" spans="1:2" ht="12.6">
      <c r="A90" s="16"/>
      <c r="B90" s="17"/>
    </row>
    <row r="91" spans="1:2" ht="12.6">
      <c r="A91" s="16"/>
      <c r="B91" s="17"/>
    </row>
    <row r="92" spans="1:2" ht="12.6">
      <c r="A92" s="16"/>
      <c r="B92" s="17"/>
    </row>
    <row r="93" spans="1:2" ht="12.6">
      <c r="A93" s="16"/>
      <c r="B93" s="17"/>
    </row>
    <row r="94" spans="1:2" ht="12.6">
      <c r="A94" s="16"/>
      <c r="B94" s="17"/>
    </row>
    <row r="95" spans="1:2" ht="12.6">
      <c r="A95" s="16"/>
      <c r="B95" s="17"/>
    </row>
    <row r="96" spans="1:2" ht="12.6">
      <c r="A96" s="16"/>
      <c r="B96" s="17"/>
    </row>
    <row r="97" spans="1:2" ht="12.6">
      <c r="A97" s="16"/>
      <c r="B97" s="17"/>
    </row>
    <row r="98" spans="1:2" ht="12.6">
      <c r="A98" s="16"/>
      <c r="B98" s="17"/>
    </row>
    <row r="99" spans="1:2" ht="12.6">
      <c r="A99" s="16"/>
      <c r="B99" s="17"/>
    </row>
    <row r="100" spans="1:2" ht="12.6">
      <c r="A100" s="16"/>
      <c r="B100" s="17"/>
    </row>
    <row r="101" spans="1:2" ht="12.6">
      <c r="A101" s="16"/>
      <c r="B101" s="17"/>
    </row>
    <row r="102" spans="1:2" ht="12.6">
      <c r="A102" s="16"/>
      <c r="B102" s="17"/>
    </row>
    <row r="103" spans="1:2" ht="12.6">
      <c r="A103" s="16"/>
      <c r="B103" s="17"/>
    </row>
    <row r="104" spans="1:2" ht="12.6">
      <c r="A104" s="16"/>
      <c r="B104" s="17"/>
    </row>
    <row r="105" spans="1:2" ht="12.6">
      <c r="A105" s="16"/>
      <c r="B105" s="17"/>
    </row>
    <row r="106" spans="1:2" ht="12.6">
      <c r="A106" s="16"/>
      <c r="B106" s="17"/>
    </row>
    <row r="107" spans="1:2" ht="12.6">
      <c r="A107" s="16"/>
      <c r="B107" s="17"/>
    </row>
    <row r="108" spans="1:2" ht="12.6">
      <c r="A108" s="16"/>
      <c r="B108" s="17"/>
    </row>
    <row r="109" spans="1:2" ht="12.6">
      <c r="A109" s="16"/>
      <c r="B109" s="17"/>
    </row>
    <row r="110" spans="1:2" ht="12.6">
      <c r="A110" s="16"/>
      <c r="B110" s="17"/>
    </row>
    <row r="111" spans="1:2" ht="12.6">
      <c r="A111" s="16"/>
      <c r="B111" s="17"/>
    </row>
    <row r="112" spans="1:2" ht="12.6">
      <c r="A112" s="16"/>
      <c r="B112" s="17"/>
    </row>
    <row r="113" spans="1:2" ht="12.6">
      <c r="A113" s="16"/>
      <c r="B113" s="17"/>
    </row>
    <row r="114" spans="1:2" ht="12.6">
      <c r="A114" s="16"/>
      <c r="B114" s="17"/>
    </row>
    <row r="115" spans="1:2" ht="12.6">
      <c r="A115" s="16"/>
      <c r="B115" s="17"/>
    </row>
    <row r="116" spans="1:2" ht="12.6">
      <c r="A116" s="16"/>
      <c r="B116" s="17"/>
    </row>
    <row r="117" spans="1:2" ht="12.6">
      <c r="A117" s="16"/>
      <c r="B117" s="17"/>
    </row>
    <row r="118" spans="1:2" ht="12.6">
      <c r="A118" s="16"/>
      <c r="B118" s="17"/>
    </row>
    <row r="119" spans="1:2" ht="12.6">
      <c r="A119" s="16"/>
      <c r="B119" s="17"/>
    </row>
    <row r="120" spans="1:2" ht="12.6">
      <c r="A120" s="16"/>
      <c r="B120" s="17"/>
    </row>
    <row r="121" spans="1:2" ht="12.6">
      <c r="A121" s="16"/>
      <c r="B121" s="17"/>
    </row>
    <row r="122" spans="1:2" ht="12.6">
      <c r="A122" s="16"/>
      <c r="B122" s="17"/>
    </row>
    <row r="123" spans="1:2" ht="12.6">
      <c r="A123" s="16"/>
      <c r="B123" s="17"/>
    </row>
    <row r="124" spans="1:2" ht="12.6">
      <c r="A124" s="16"/>
      <c r="B124" s="17"/>
    </row>
    <row r="125" spans="1:2" ht="12.6">
      <c r="A125" s="16"/>
      <c r="B125" s="17"/>
    </row>
    <row r="126" spans="1:2" ht="12.6">
      <c r="A126" s="16"/>
      <c r="B126" s="17"/>
    </row>
    <row r="127" spans="1:2" ht="12.6">
      <c r="A127" s="16"/>
      <c r="B127" s="17"/>
    </row>
    <row r="128" spans="1:2" ht="12.6">
      <c r="A128" s="16"/>
      <c r="B128" s="17"/>
    </row>
    <row r="129" spans="1:2" ht="12.6">
      <c r="A129" s="16"/>
      <c r="B129" s="17"/>
    </row>
    <row r="130" spans="1:2" ht="12.6">
      <c r="A130" s="16"/>
      <c r="B130" s="17"/>
    </row>
    <row r="131" spans="1:2" ht="12.6">
      <c r="A131" s="16"/>
      <c r="B131" s="17"/>
    </row>
    <row r="132" spans="1:2" ht="12.6">
      <c r="A132" s="16"/>
      <c r="B132" s="17"/>
    </row>
    <row r="133" spans="1:2" ht="12.6">
      <c r="A133" s="16"/>
      <c r="B133" s="17"/>
    </row>
    <row r="134" spans="1:2" ht="12.6">
      <c r="A134" s="16"/>
      <c r="B134" s="17"/>
    </row>
    <row r="135" spans="1:2" ht="12.6">
      <c r="A135" s="16"/>
      <c r="B135" s="17"/>
    </row>
    <row r="136" spans="1:2" ht="12.6">
      <c r="A136" s="16"/>
      <c r="B136" s="17"/>
    </row>
    <row r="137" spans="1:2" ht="12.6">
      <c r="A137" s="16"/>
      <c r="B137" s="17"/>
    </row>
    <row r="138" spans="1:2" ht="12.6">
      <c r="A138" s="16"/>
      <c r="B138" s="17"/>
    </row>
    <row r="139" spans="1:2" ht="12.6">
      <c r="A139" s="16"/>
      <c r="B139" s="17"/>
    </row>
    <row r="140" spans="1:2" ht="12.6">
      <c r="A140" s="16"/>
      <c r="B140" s="17"/>
    </row>
    <row r="141" spans="1:2" ht="12.6">
      <c r="A141" s="16"/>
      <c r="B141" s="17"/>
    </row>
    <row r="142" spans="1:2" ht="12.6">
      <c r="A142" s="16"/>
      <c r="B142" s="17"/>
    </row>
    <row r="143" spans="1:2" ht="12.6">
      <c r="A143" s="16"/>
      <c r="B143" s="17"/>
    </row>
    <row r="144" spans="1:2" ht="12.6">
      <c r="A144" s="16"/>
      <c r="B144" s="17"/>
    </row>
    <row r="145" spans="1:2" ht="12.6">
      <c r="A145" s="16"/>
      <c r="B145" s="17"/>
    </row>
    <row r="146" spans="1:2" ht="12.6">
      <c r="A146" s="16"/>
      <c r="B146" s="17"/>
    </row>
    <row r="147" spans="1:2" ht="12.6">
      <c r="A147" s="16"/>
      <c r="B147" s="17"/>
    </row>
    <row r="148" spans="1:2" ht="12.6">
      <c r="A148" s="16"/>
      <c r="B148" s="17"/>
    </row>
    <row r="149" spans="1:2" ht="12.6">
      <c r="A149" s="16"/>
      <c r="B149" s="17"/>
    </row>
    <row r="150" spans="1:2" ht="12.6">
      <c r="A150" s="16"/>
      <c r="B150" s="17"/>
    </row>
    <row r="151" spans="1:2" ht="12.6">
      <c r="A151" s="16"/>
      <c r="B151" s="17"/>
    </row>
    <row r="152" spans="1:2" ht="12.6">
      <c r="A152" s="16"/>
      <c r="B152" s="17"/>
    </row>
    <row r="153" spans="1:2" ht="12.6">
      <c r="A153" s="16"/>
      <c r="B153" s="17"/>
    </row>
    <row r="154" spans="1:2" ht="12.6">
      <c r="A154" s="16"/>
      <c r="B154" s="17"/>
    </row>
    <row r="155" spans="1:2" ht="12.6">
      <c r="A155" s="16"/>
      <c r="B155" s="17"/>
    </row>
    <row r="156" spans="1:2" ht="12.6">
      <c r="A156" s="16"/>
      <c r="B156" s="17"/>
    </row>
    <row r="157" spans="1:2" ht="12.6">
      <c r="A157" s="16"/>
      <c r="B157" s="17"/>
    </row>
    <row r="158" spans="1:2" ht="12.6">
      <c r="A158" s="16"/>
      <c r="B158" s="17"/>
    </row>
    <row r="159" spans="1:2" ht="12.6">
      <c r="A159" s="16"/>
      <c r="B159" s="17"/>
    </row>
    <row r="160" spans="1:2" ht="12.6">
      <c r="A160" s="16"/>
      <c r="B160" s="17"/>
    </row>
    <row r="161" spans="1:2" ht="12.6">
      <c r="A161" s="16"/>
      <c r="B161" s="17"/>
    </row>
    <row r="162" spans="1:2" ht="12.6">
      <c r="A162" s="16"/>
      <c r="B162" s="17"/>
    </row>
    <row r="163" spans="1:2" ht="12.6">
      <c r="A163" s="16"/>
      <c r="B163" s="17"/>
    </row>
    <row r="164" spans="1:2" ht="12.6">
      <c r="A164" s="16"/>
      <c r="B164" s="17"/>
    </row>
    <row r="165" spans="1:2" ht="12.6">
      <c r="A165" s="16"/>
      <c r="B165" s="17"/>
    </row>
    <row r="166" spans="1:2" ht="12.6">
      <c r="A166" s="16"/>
      <c r="B166" s="17"/>
    </row>
    <row r="167" spans="1:2" ht="12.6">
      <c r="A167" s="16"/>
      <c r="B167" s="17"/>
    </row>
    <row r="168" spans="1:2" ht="12.6">
      <c r="A168" s="16"/>
      <c r="B168" s="17"/>
    </row>
    <row r="169" spans="1:2" ht="12.6">
      <c r="A169" s="16"/>
      <c r="B169" s="17"/>
    </row>
    <row r="170" spans="1:2" ht="12.6">
      <c r="A170" s="16"/>
      <c r="B170" s="17"/>
    </row>
    <row r="171" spans="1:2" ht="12.6">
      <c r="A171" s="16"/>
      <c r="B171" s="17"/>
    </row>
    <row r="172" spans="1:2" ht="12.6">
      <c r="A172" s="16"/>
      <c r="B172" s="17"/>
    </row>
    <row r="173" spans="1:2" ht="12.6">
      <c r="A173" s="16"/>
      <c r="B173" s="17"/>
    </row>
    <row r="174" spans="1:2" ht="12.6">
      <c r="A174" s="16"/>
      <c r="B174" s="17"/>
    </row>
    <row r="175" spans="1:2" ht="12.6">
      <c r="A175" s="16"/>
      <c r="B175" s="17"/>
    </row>
    <row r="176" spans="1:2" ht="12.6">
      <c r="A176" s="16"/>
      <c r="B176" s="17"/>
    </row>
    <row r="177" spans="1:2" ht="12.6">
      <c r="A177" s="16"/>
      <c r="B177" s="17"/>
    </row>
    <row r="178" spans="1:2" ht="12.6">
      <c r="A178" s="16"/>
      <c r="B178" s="17"/>
    </row>
    <row r="179" spans="1:2" ht="12.6">
      <c r="A179" s="16"/>
      <c r="B179" s="17"/>
    </row>
    <row r="180" spans="1:2" ht="12.6">
      <c r="A180" s="16"/>
      <c r="B180" s="17"/>
    </row>
    <row r="181" spans="1:2" ht="12.6">
      <c r="A181" s="16"/>
      <c r="B181" s="17"/>
    </row>
    <row r="182" spans="1:2" ht="12.6">
      <c r="A182" s="16"/>
      <c r="B182" s="17"/>
    </row>
    <row r="183" spans="1:2" ht="12.6">
      <c r="A183" s="16"/>
      <c r="B183" s="17"/>
    </row>
    <row r="184" spans="1:2" ht="12.6">
      <c r="A184" s="16"/>
      <c r="B184" s="17"/>
    </row>
    <row r="185" spans="1:2" ht="12.6">
      <c r="A185" s="16"/>
      <c r="B185" s="17"/>
    </row>
    <row r="186" spans="1:2" ht="12.6">
      <c r="A186" s="16"/>
      <c r="B186" s="17"/>
    </row>
    <row r="187" spans="1:2" ht="12.6">
      <c r="A187" s="16"/>
      <c r="B187" s="17"/>
    </row>
    <row r="188" spans="1:2" ht="12.6">
      <c r="A188" s="16"/>
      <c r="B188" s="17"/>
    </row>
    <row r="189" spans="1:2" ht="12.6">
      <c r="A189" s="16"/>
      <c r="B189" s="17"/>
    </row>
    <row r="190" spans="1:2" ht="12.6">
      <c r="A190" s="16"/>
      <c r="B190" s="17"/>
    </row>
    <row r="191" spans="1:2" ht="12.6">
      <c r="A191" s="16"/>
      <c r="B191" s="17"/>
    </row>
    <row r="192" spans="1:2" ht="12.6">
      <c r="A192" s="16"/>
      <c r="B192" s="17"/>
    </row>
    <row r="193" spans="1:2" ht="12.6">
      <c r="A193" s="16"/>
      <c r="B193" s="17"/>
    </row>
    <row r="194" spans="1:2" ht="12.6">
      <c r="A194" s="16"/>
      <c r="B194" s="17"/>
    </row>
    <row r="195" spans="1:2" ht="12.6">
      <c r="A195" s="16"/>
      <c r="B195" s="17"/>
    </row>
    <row r="196" spans="1:2" ht="12.6">
      <c r="A196" s="16"/>
      <c r="B196" s="17"/>
    </row>
    <row r="197" spans="1:2" ht="12.6">
      <c r="A197" s="16"/>
      <c r="B197" s="17"/>
    </row>
    <row r="198" spans="1:2" ht="12.6">
      <c r="A198" s="16"/>
      <c r="B198" s="17"/>
    </row>
    <row r="199" spans="1:2" ht="12.6">
      <c r="A199" s="16"/>
      <c r="B199" s="17"/>
    </row>
    <row r="200" spans="1:2" ht="12.6">
      <c r="A200" s="16"/>
      <c r="B200" s="17"/>
    </row>
    <row r="201" spans="1:2" ht="12.6">
      <c r="A201" s="16"/>
      <c r="B201" s="17"/>
    </row>
    <row r="202" spans="1:2" ht="12.6">
      <c r="A202" s="16"/>
      <c r="B202" s="17"/>
    </row>
    <row r="203" spans="1:2" ht="12.6">
      <c r="A203" s="16"/>
      <c r="B203" s="17"/>
    </row>
    <row r="204" spans="1:2" ht="12.6">
      <c r="A204" s="16"/>
      <c r="B204" s="17"/>
    </row>
    <row r="205" spans="1:2" ht="12.6">
      <c r="A205" s="16"/>
      <c r="B205" s="17"/>
    </row>
    <row r="206" spans="1:2" ht="12.6">
      <c r="A206" s="16"/>
      <c r="B206" s="17"/>
    </row>
    <row r="207" spans="1:2" ht="12.6">
      <c r="A207" s="16"/>
      <c r="B207" s="17"/>
    </row>
    <row r="208" spans="1:2" ht="12.6">
      <c r="A208" s="16"/>
      <c r="B208" s="17"/>
    </row>
    <row r="209" spans="1:2" ht="12.6">
      <c r="A209" s="16"/>
      <c r="B209" s="17"/>
    </row>
    <row r="210" spans="1:2" ht="12.6">
      <c r="A210" s="16"/>
      <c r="B210" s="17"/>
    </row>
    <row r="211" spans="1:2" ht="12.6">
      <c r="A211" s="16"/>
      <c r="B211" s="17"/>
    </row>
    <row r="212" spans="1:2" ht="12.6">
      <c r="A212" s="16"/>
      <c r="B212" s="17"/>
    </row>
    <row r="213" spans="1:2" ht="12.6">
      <c r="A213" s="16"/>
      <c r="B213" s="17"/>
    </row>
    <row r="214" spans="1:2" ht="12.6">
      <c r="A214" s="16"/>
      <c r="B214" s="17"/>
    </row>
    <row r="215" spans="1:2" ht="12.6">
      <c r="A215" s="16"/>
      <c r="B215" s="17"/>
    </row>
    <row r="216" spans="1:2" ht="12.6">
      <c r="A216" s="16"/>
      <c r="B216" s="17"/>
    </row>
    <row r="217" spans="1:2" ht="12.6">
      <c r="A217" s="16"/>
      <c r="B217" s="17"/>
    </row>
    <row r="218" spans="1:2" ht="12.6">
      <c r="A218" s="16"/>
      <c r="B218" s="17"/>
    </row>
    <row r="219" spans="1:2" ht="12.6">
      <c r="A219" s="16"/>
      <c r="B219" s="17"/>
    </row>
    <row r="220" spans="1:2" ht="12.6">
      <c r="A220" s="16"/>
      <c r="B220" s="17"/>
    </row>
    <row r="221" spans="1:2" ht="12.6">
      <c r="A221" s="16"/>
      <c r="B221" s="17"/>
    </row>
    <row r="222" spans="1:2" ht="12.6">
      <c r="A222" s="16"/>
      <c r="B222" s="17"/>
    </row>
    <row r="223" spans="1:2" ht="12.6">
      <c r="A223" s="16"/>
      <c r="B223" s="17"/>
    </row>
    <row r="224" spans="1:2" ht="12.6">
      <c r="A224" s="16"/>
      <c r="B224" s="17"/>
    </row>
    <row r="225" spans="1:2" ht="12.6">
      <c r="A225" s="16"/>
      <c r="B225" s="17"/>
    </row>
    <row r="226" spans="1:2" ht="12.6">
      <c r="A226" s="16"/>
      <c r="B226" s="17"/>
    </row>
    <row r="227" spans="1:2" ht="12.6">
      <c r="A227" s="16"/>
      <c r="B227" s="17"/>
    </row>
    <row r="228" spans="1:2" ht="12.6">
      <c r="A228" s="16"/>
      <c r="B228" s="17"/>
    </row>
    <row r="229" spans="1:2" ht="12.6">
      <c r="A229" s="16"/>
      <c r="B229" s="17"/>
    </row>
    <row r="230" spans="1:2" ht="12.6">
      <c r="A230" s="16"/>
      <c r="B230" s="17"/>
    </row>
    <row r="231" spans="1:2" ht="12.6">
      <c r="A231" s="16"/>
      <c r="B231" s="17"/>
    </row>
    <row r="232" spans="1:2" ht="12.6">
      <c r="A232" s="16"/>
      <c r="B232" s="17"/>
    </row>
    <row r="233" spans="1:2" ht="12.6">
      <c r="A233" s="16"/>
      <c r="B233" s="17"/>
    </row>
    <row r="234" spans="1:2" ht="12.6">
      <c r="A234" s="16"/>
      <c r="B234" s="17"/>
    </row>
    <row r="235" spans="1:2" ht="12.6">
      <c r="A235" s="16"/>
      <c r="B235" s="17"/>
    </row>
    <row r="236" spans="1:2" ht="12.6">
      <c r="A236" s="16"/>
      <c r="B236" s="17"/>
    </row>
    <row r="237" spans="1:2" ht="12.6">
      <c r="A237" s="16"/>
      <c r="B237" s="17"/>
    </row>
    <row r="238" spans="1:2" ht="12.6">
      <c r="A238" s="16"/>
      <c r="B238" s="17"/>
    </row>
    <row r="239" spans="1:2" ht="12.6">
      <c r="A239" s="16"/>
      <c r="B239" s="17"/>
    </row>
    <row r="240" spans="1:2" ht="12.6">
      <c r="A240" s="16"/>
      <c r="B240" s="17"/>
    </row>
    <row r="241" spans="1:2" ht="12.6">
      <c r="A241" s="16"/>
      <c r="B241" s="17"/>
    </row>
    <row r="242" spans="1:2" ht="12.6">
      <c r="A242" s="16"/>
      <c r="B242" s="17"/>
    </row>
    <row r="243" spans="1:2" ht="12.6">
      <c r="A243" s="16"/>
      <c r="B243" s="17"/>
    </row>
    <row r="244" spans="1:2" ht="12.6">
      <c r="A244" s="16"/>
      <c r="B244" s="17"/>
    </row>
    <row r="245" spans="1:2" ht="12.6">
      <c r="A245" s="16"/>
      <c r="B245" s="17"/>
    </row>
    <row r="246" spans="1:2" ht="12.6">
      <c r="A246" s="16"/>
      <c r="B246" s="17"/>
    </row>
    <row r="247" spans="1:2" ht="12.6">
      <c r="A247" s="16"/>
      <c r="B247" s="17"/>
    </row>
    <row r="248" spans="1:2" ht="12.6">
      <c r="A248" s="16"/>
      <c r="B248" s="17"/>
    </row>
    <row r="249" spans="1:2" ht="12.6">
      <c r="A249" s="16"/>
      <c r="B249" s="17"/>
    </row>
    <row r="250" spans="1:2" ht="12.6">
      <c r="A250" s="16"/>
      <c r="B250" s="17"/>
    </row>
    <row r="251" spans="1:2" ht="12.6">
      <c r="A251" s="16"/>
      <c r="B251" s="17"/>
    </row>
    <row r="252" spans="1:2" ht="12.6">
      <c r="A252" s="16"/>
      <c r="B252" s="17"/>
    </row>
    <row r="253" spans="1:2" ht="12.6">
      <c r="A253" s="16"/>
      <c r="B253" s="17"/>
    </row>
    <row r="254" spans="1:2" ht="12.6">
      <c r="A254" s="16"/>
      <c r="B254" s="17"/>
    </row>
    <row r="255" spans="1:2" ht="12.6">
      <c r="A255" s="16"/>
      <c r="B255" s="17"/>
    </row>
    <row r="256" spans="1:2" ht="12.6">
      <c r="A256" s="16"/>
      <c r="B256" s="17"/>
    </row>
    <row r="257" spans="1:2" ht="12.6">
      <c r="A257" s="16"/>
      <c r="B257" s="17"/>
    </row>
    <row r="258" spans="1:2" ht="12.6">
      <c r="A258" s="16"/>
      <c r="B258" s="17"/>
    </row>
    <row r="259" spans="1:2" ht="12.6">
      <c r="A259" s="16"/>
      <c r="B259" s="17"/>
    </row>
    <row r="260" spans="1:2" ht="12.6">
      <c r="A260" s="16"/>
      <c r="B260" s="17"/>
    </row>
    <row r="261" spans="1:2" ht="12.6">
      <c r="A261" s="16"/>
      <c r="B261" s="17"/>
    </row>
    <row r="262" spans="1:2" ht="12.6">
      <c r="A262" s="16"/>
      <c r="B262" s="17"/>
    </row>
    <row r="263" spans="1:2" ht="12.6">
      <c r="A263" s="16"/>
      <c r="B263" s="17"/>
    </row>
    <row r="264" spans="1:2" ht="12.6">
      <c r="A264" s="16"/>
      <c r="B264" s="17"/>
    </row>
    <row r="265" spans="1:2" ht="12.6">
      <c r="A265" s="16"/>
      <c r="B265" s="17"/>
    </row>
    <row r="266" spans="1:2" ht="12.6">
      <c r="A266" s="16"/>
      <c r="B266" s="17"/>
    </row>
    <row r="267" spans="1:2" ht="12.6">
      <c r="A267" s="16"/>
      <c r="B267" s="17"/>
    </row>
    <row r="268" spans="1:2" ht="12.6">
      <c r="A268" s="16"/>
      <c r="B268" s="17"/>
    </row>
    <row r="269" spans="1:2" ht="12.6">
      <c r="A269" s="16"/>
      <c r="B269" s="17"/>
    </row>
    <row r="270" spans="1:2" ht="12.6">
      <c r="A270" s="16"/>
      <c r="B270" s="17"/>
    </row>
    <row r="271" spans="1:2" ht="12.6">
      <c r="A271" s="16"/>
      <c r="B271" s="17"/>
    </row>
    <row r="272" spans="1:2" ht="12.6">
      <c r="A272" s="16"/>
      <c r="B272" s="17"/>
    </row>
    <row r="273" spans="1:2" ht="12.6">
      <c r="A273" s="16"/>
      <c r="B273" s="17"/>
    </row>
    <row r="274" spans="1:2" ht="12.6">
      <c r="A274" s="16"/>
      <c r="B274" s="17"/>
    </row>
    <row r="275" spans="1:2" ht="12.6">
      <c r="A275" s="16"/>
      <c r="B275" s="17"/>
    </row>
    <row r="276" spans="1:2" ht="12.6">
      <c r="A276" s="16"/>
      <c r="B276" s="17"/>
    </row>
    <row r="277" spans="1:2" ht="12.6">
      <c r="A277" s="16"/>
      <c r="B277" s="17"/>
    </row>
    <row r="278" spans="1:2" ht="12.6">
      <c r="A278" s="16"/>
      <c r="B278" s="17"/>
    </row>
    <row r="279" spans="1:2" ht="12.6">
      <c r="A279" s="16"/>
      <c r="B279" s="17"/>
    </row>
    <row r="280" spans="1:2" ht="12.6">
      <c r="A280" s="16"/>
      <c r="B280" s="17"/>
    </row>
    <row r="281" spans="1:2" ht="12.6">
      <c r="A281" s="16"/>
      <c r="B281" s="17"/>
    </row>
    <row r="282" spans="1:2" ht="12.6">
      <c r="A282" s="16"/>
      <c r="B282" s="17"/>
    </row>
    <row r="283" spans="1:2" ht="12.6">
      <c r="A283" s="16"/>
      <c r="B283" s="17"/>
    </row>
    <row r="284" spans="1:2" ht="12.6">
      <c r="A284" s="16"/>
      <c r="B284" s="17"/>
    </row>
    <row r="285" spans="1:2" ht="12.6">
      <c r="A285" s="16"/>
      <c r="B285" s="17"/>
    </row>
    <row r="286" spans="1:2" ht="12.6">
      <c r="A286" s="16"/>
      <c r="B286" s="17"/>
    </row>
    <row r="287" spans="1:2" ht="12.6">
      <c r="A287" s="16"/>
      <c r="B287" s="17"/>
    </row>
    <row r="288" spans="1:2" ht="12.6">
      <c r="A288" s="16"/>
      <c r="B288" s="17"/>
    </row>
    <row r="289" spans="1:2" ht="12.6">
      <c r="A289" s="16"/>
      <c r="B289" s="17"/>
    </row>
    <row r="290" spans="1:2" ht="12.6">
      <c r="A290" s="16"/>
      <c r="B290" s="17"/>
    </row>
    <row r="291" spans="1:2" ht="12.6">
      <c r="A291" s="16"/>
      <c r="B291" s="17"/>
    </row>
    <row r="292" spans="1:2" ht="12.6">
      <c r="A292" s="16"/>
      <c r="B292" s="17"/>
    </row>
    <row r="293" spans="1:2" ht="12.6">
      <c r="A293" s="16"/>
      <c r="B293" s="17"/>
    </row>
    <row r="294" spans="1:2" ht="12.6">
      <c r="A294" s="16"/>
      <c r="B294" s="17"/>
    </row>
    <row r="295" spans="1:2" ht="12.6">
      <c r="A295" s="16"/>
      <c r="B295" s="17"/>
    </row>
    <row r="296" spans="1:2" ht="12.6">
      <c r="A296" s="16"/>
      <c r="B296" s="17"/>
    </row>
    <row r="297" spans="1:2" ht="12.6">
      <c r="A297" s="16"/>
      <c r="B297" s="17"/>
    </row>
    <row r="298" spans="1:2" ht="12.6">
      <c r="A298" s="16"/>
      <c r="B298" s="17"/>
    </row>
    <row r="299" spans="1:2" ht="12.6">
      <c r="A299" s="16"/>
      <c r="B299" s="17"/>
    </row>
    <row r="300" spans="1:2" ht="12.6">
      <c r="A300" s="16"/>
      <c r="B300" s="17"/>
    </row>
    <row r="301" spans="1:2" ht="12.6">
      <c r="A301" s="16"/>
      <c r="B301" s="17"/>
    </row>
    <row r="302" spans="1:2" ht="12.6">
      <c r="A302" s="16"/>
      <c r="B302" s="17"/>
    </row>
    <row r="303" spans="1:2" ht="12.6">
      <c r="A303" s="16"/>
      <c r="B303" s="17"/>
    </row>
    <row r="304" spans="1:2" ht="12.6">
      <c r="A304" s="16"/>
      <c r="B304" s="17"/>
    </row>
    <row r="305" spans="1:2" ht="12.6">
      <c r="A305" s="16"/>
      <c r="B305" s="17"/>
    </row>
    <row r="306" spans="1:2" ht="12.6">
      <c r="A306" s="16"/>
      <c r="B306" s="17"/>
    </row>
    <row r="307" spans="1:2" ht="12.6">
      <c r="A307" s="16"/>
      <c r="B307" s="17"/>
    </row>
    <row r="308" spans="1:2" ht="12.6">
      <c r="A308" s="16"/>
      <c r="B308" s="17"/>
    </row>
    <row r="309" spans="1:2" ht="12.6">
      <c r="A309" s="16"/>
      <c r="B309" s="17"/>
    </row>
    <row r="310" spans="1:2" ht="12.6">
      <c r="A310" s="16"/>
      <c r="B310" s="17"/>
    </row>
    <row r="311" spans="1:2" ht="12.6">
      <c r="A311" s="16"/>
      <c r="B311" s="17"/>
    </row>
    <row r="312" spans="1:2" ht="12.6">
      <c r="A312" s="16"/>
      <c r="B312" s="17"/>
    </row>
    <row r="313" spans="1:2" ht="12.6">
      <c r="A313" s="16"/>
      <c r="B313" s="17"/>
    </row>
    <row r="314" spans="1:2" ht="12.6">
      <c r="A314" s="16"/>
      <c r="B314" s="17"/>
    </row>
    <row r="315" spans="1:2" ht="12.6">
      <c r="A315" s="16"/>
      <c r="B315" s="17"/>
    </row>
    <row r="316" spans="1:2" ht="12.6">
      <c r="A316" s="16"/>
      <c r="B316" s="17"/>
    </row>
    <row r="317" spans="1:2" ht="12.6">
      <c r="A317" s="16"/>
      <c r="B317" s="17"/>
    </row>
    <row r="318" spans="1:2" ht="12.6">
      <c r="A318" s="16"/>
      <c r="B318" s="17"/>
    </row>
    <row r="319" spans="1:2" ht="12.6">
      <c r="A319" s="16"/>
      <c r="B319" s="17"/>
    </row>
    <row r="320" spans="1:2" ht="12.6">
      <c r="A320" s="16"/>
      <c r="B320" s="17"/>
    </row>
    <row r="321" spans="1:2" ht="12.6">
      <c r="A321" s="16"/>
      <c r="B321" s="17"/>
    </row>
    <row r="322" spans="1:2" ht="12.6">
      <c r="A322" s="16"/>
      <c r="B322" s="17"/>
    </row>
    <row r="323" spans="1:2" ht="12.6">
      <c r="A323" s="16"/>
      <c r="B323" s="17"/>
    </row>
    <row r="324" spans="1:2" ht="12.6">
      <c r="A324" s="16"/>
      <c r="B324" s="17"/>
    </row>
    <row r="325" spans="1:2" ht="12.6">
      <c r="A325" s="16"/>
      <c r="B325" s="17"/>
    </row>
    <row r="326" spans="1:2" ht="12.6">
      <c r="A326" s="16"/>
      <c r="B326" s="17"/>
    </row>
    <row r="327" spans="1:2" ht="12.6">
      <c r="A327" s="16"/>
      <c r="B327" s="17"/>
    </row>
    <row r="328" spans="1:2" ht="12.6">
      <c r="A328" s="16"/>
      <c r="B328" s="17"/>
    </row>
    <row r="329" spans="1:2" ht="12.6">
      <c r="A329" s="16"/>
      <c r="B329" s="17"/>
    </row>
    <row r="330" spans="1:2" ht="12.6">
      <c r="A330" s="16"/>
      <c r="B330" s="17"/>
    </row>
    <row r="331" spans="1:2" ht="12.6">
      <c r="A331" s="16"/>
      <c r="B331" s="17"/>
    </row>
    <row r="332" spans="1:2" ht="12.6">
      <c r="A332" s="16"/>
      <c r="B332" s="17"/>
    </row>
    <row r="333" spans="1:2" ht="12.6">
      <c r="A333" s="16"/>
      <c r="B333" s="17"/>
    </row>
    <row r="334" spans="1:2" ht="12.6">
      <c r="A334" s="16"/>
      <c r="B334" s="17"/>
    </row>
    <row r="335" spans="1:2" ht="12.6">
      <c r="A335" s="16"/>
      <c r="B335" s="17"/>
    </row>
    <row r="336" spans="1:2" ht="12.6">
      <c r="A336" s="16"/>
      <c r="B336" s="17"/>
    </row>
    <row r="337" spans="1:2" ht="12.6">
      <c r="A337" s="16"/>
      <c r="B337" s="17"/>
    </row>
    <row r="338" spans="1:2" ht="12.6">
      <c r="A338" s="16"/>
      <c r="B338" s="17"/>
    </row>
    <row r="339" spans="1:2" ht="12.6">
      <c r="A339" s="16"/>
      <c r="B339" s="17"/>
    </row>
    <row r="340" spans="1:2" ht="12.6">
      <c r="A340" s="16"/>
      <c r="B340" s="17"/>
    </row>
    <row r="341" spans="1:2" ht="12.6">
      <c r="A341" s="16"/>
      <c r="B341" s="17"/>
    </row>
    <row r="342" spans="1:2" ht="12.6">
      <c r="A342" s="16"/>
      <c r="B342" s="17"/>
    </row>
    <row r="343" spans="1:2" ht="12.6">
      <c r="A343" s="16"/>
      <c r="B343" s="17"/>
    </row>
    <row r="344" spans="1:2" ht="12.6">
      <c r="A344" s="16"/>
      <c r="B344" s="17"/>
    </row>
    <row r="345" spans="1:2" ht="12.6">
      <c r="A345" s="16"/>
      <c r="B345" s="17"/>
    </row>
    <row r="346" spans="1:2" ht="12.6">
      <c r="A346" s="16"/>
      <c r="B346" s="17"/>
    </row>
    <row r="347" spans="1:2" ht="12.6">
      <c r="A347" s="16"/>
      <c r="B347" s="17"/>
    </row>
    <row r="348" spans="1:2" ht="12.6">
      <c r="A348" s="16"/>
      <c r="B348" s="17"/>
    </row>
    <row r="349" spans="1:2" ht="12.6">
      <c r="A349" s="16"/>
      <c r="B349" s="17"/>
    </row>
    <row r="350" spans="1:2" ht="12.6">
      <c r="A350" s="16"/>
      <c r="B350" s="17"/>
    </row>
    <row r="351" spans="1:2" ht="12.6">
      <c r="A351" s="16"/>
      <c r="B351" s="17"/>
    </row>
    <row r="352" spans="1:2" ht="12.6">
      <c r="A352" s="16"/>
      <c r="B352" s="17"/>
    </row>
    <row r="353" spans="1:2" ht="12.6">
      <c r="A353" s="16"/>
      <c r="B353" s="17"/>
    </row>
    <row r="354" spans="1:2" ht="12.6">
      <c r="A354" s="16"/>
      <c r="B354" s="17"/>
    </row>
    <row r="355" spans="1:2" ht="12.6">
      <c r="A355" s="16"/>
      <c r="B355" s="17"/>
    </row>
    <row r="356" spans="1:2" ht="12.6">
      <c r="A356" s="16"/>
      <c r="B356" s="17"/>
    </row>
    <row r="357" spans="1:2" ht="12.6">
      <c r="A357" s="16"/>
      <c r="B357" s="17"/>
    </row>
    <row r="358" spans="1:2" ht="12.6">
      <c r="A358" s="16"/>
      <c r="B358" s="17"/>
    </row>
    <row r="359" spans="1:2" ht="12.6">
      <c r="A359" s="16"/>
      <c r="B359" s="17"/>
    </row>
    <row r="360" spans="1:2" ht="12.6">
      <c r="A360" s="16"/>
      <c r="B360" s="17"/>
    </row>
    <row r="361" spans="1:2" ht="12.6">
      <c r="A361" s="16"/>
      <c r="B361" s="17"/>
    </row>
    <row r="362" spans="1:2" ht="12.6">
      <c r="A362" s="16"/>
      <c r="B362" s="17"/>
    </row>
    <row r="363" spans="1:2" ht="12.6">
      <c r="A363" s="16"/>
      <c r="B363" s="17"/>
    </row>
    <row r="364" spans="1:2" ht="12.6">
      <c r="A364" s="16"/>
      <c r="B364" s="17"/>
    </row>
    <row r="365" spans="1:2" ht="12.6">
      <c r="A365" s="16"/>
      <c r="B365" s="17"/>
    </row>
    <row r="366" spans="1:2" ht="12.6">
      <c r="A366" s="16"/>
      <c r="B366" s="17"/>
    </row>
    <row r="367" spans="1:2" ht="12.6">
      <c r="A367" s="16"/>
      <c r="B367" s="17"/>
    </row>
    <row r="368" spans="1:2" ht="12.6">
      <c r="A368" s="16"/>
      <c r="B368" s="17"/>
    </row>
    <row r="369" spans="1:2" ht="12.6">
      <c r="A369" s="16"/>
      <c r="B369" s="17"/>
    </row>
    <row r="370" spans="1:2" ht="12.6">
      <c r="A370" s="16"/>
      <c r="B370" s="17"/>
    </row>
    <row r="371" spans="1:2" ht="12.6">
      <c r="A371" s="16"/>
      <c r="B371" s="17"/>
    </row>
    <row r="372" spans="1:2" ht="12.6">
      <c r="A372" s="16"/>
      <c r="B372" s="17"/>
    </row>
    <row r="373" spans="1:2" ht="12.6">
      <c r="A373" s="16"/>
      <c r="B373" s="17"/>
    </row>
    <row r="374" spans="1:2" ht="12.6">
      <c r="A374" s="16"/>
      <c r="B374" s="17"/>
    </row>
    <row r="375" spans="1:2" ht="12.6">
      <c r="A375" s="16"/>
      <c r="B375" s="17"/>
    </row>
    <row r="376" spans="1:2" ht="12.6">
      <c r="A376" s="16"/>
      <c r="B376" s="17"/>
    </row>
    <row r="377" spans="1:2" ht="12.6">
      <c r="A377" s="16"/>
      <c r="B377" s="17"/>
    </row>
    <row r="378" spans="1:2" ht="12.6">
      <c r="A378" s="16"/>
      <c r="B378" s="17"/>
    </row>
    <row r="379" spans="1:2" ht="12.6">
      <c r="A379" s="16"/>
      <c r="B379" s="17"/>
    </row>
    <row r="380" spans="1:2" ht="12.6">
      <c r="A380" s="16"/>
      <c r="B380" s="17"/>
    </row>
    <row r="381" spans="1:2" ht="12.6">
      <c r="A381" s="16"/>
      <c r="B381" s="17"/>
    </row>
    <row r="382" spans="1:2" ht="12.6">
      <c r="A382" s="16"/>
      <c r="B382" s="17"/>
    </row>
    <row r="383" spans="1:2" ht="12.6">
      <c r="A383" s="16"/>
      <c r="B383" s="17"/>
    </row>
    <row r="384" spans="1:2" ht="12.6">
      <c r="A384" s="16"/>
      <c r="B384" s="17"/>
    </row>
    <row r="385" spans="1:2" ht="12.6">
      <c r="A385" s="16"/>
      <c r="B385" s="17"/>
    </row>
    <row r="386" spans="1:2" ht="12.6">
      <c r="A386" s="16"/>
      <c r="B386" s="17"/>
    </row>
    <row r="387" spans="1:2" ht="12.6">
      <c r="A387" s="16"/>
      <c r="B387" s="17"/>
    </row>
    <row r="388" spans="1:2" ht="12.6">
      <c r="A388" s="16"/>
      <c r="B388" s="17"/>
    </row>
    <row r="389" spans="1:2" ht="12.6">
      <c r="A389" s="16"/>
      <c r="B389" s="17"/>
    </row>
    <row r="390" spans="1:2" ht="12.6">
      <c r="A390" s="16"/>
      <c r="B390" s="17"/>
    </row>
    <row r="391" spans="1:2" ht="12.6">
      <c r="A391" s="16"/>
      <c r="B391" s="17"/>
    </row>
    <row r="392" spans="1:2" ht="12.6">
      <c r="A392" s="16"/>
      <c r="B392" s="17"/>
    </row>
    <row r="393" spans="1:2" ht="12.6">
      <c r="A393" s="16"/>
      <c r="B393" s="17"/>
    </row>
    <row r="394" spans="1:2" ht="12.6">
      <c r="A394" s="16"/>
      <c r="B394" s="17"/>
    </row>
    <row r="395" spans="1:2" ht="12.6">
      <c r="A395" s="16"/>
      <c r="B395" s="17"/>
    </row>
    <row r="396" spans="1:2" ht="12.6">
      <c r="A396" s="16"/>
      <c r="B396" s="17"/>
    </row>
    <row r="397" spans="1:2" ht="12.6">
      <c r="A397" s="16"/>
      <c r="B397" s="17"/>
    </row>
    <row r="398" spans="1:2" ht="12.6">
      <c r="A398" s="16"/>
      <c r="B398" s="17"/>
    </row>
    <row r="399" spans="1:2" ht="12.6">
      <c r="A399" s="16"/>
      <c r="B399" s="17"/>
    </row>
    <row r="400" spans="1:2" ht="12.6">
      <c r="A400" s="16"/>
      <c r="B400" s="17"/>
    </row>
    <row r="401" spans="1:2" ht="12.6">
      <c r="A401" s="16"/>
      <c r="B401" s="17"/>
    </row>
    <row r="402" spans="1:2" ht="12.6">
      <c r="A402" s="16"/>
      <c r="B402" s="17"/>
    </row>
    <row r="403" spans="1:2" ht="12.6">
      <c r="A403" s="16"/>
      <c r="B403" s="17"/>
    </row>
    <row r="404" spans="1:2" ht="12.6">
      <c r="A404" s="16"/>
      <c r="B404" s="17"/>
    </row>
    <row r="405" spans="1:2" ht="12.6">
      <c r="A405" s="16"/>
      <c r="B405" s="17"/>
    </row>
    <row r="406" spans="1:2" ht="12.6">
      <c r="A406" s="16"/>
      <c r="B406" s="17"/>
    </row>
    <row r="407" spans="1:2" ht="12.6">
      <c r="A407" s="16"/>
      <c r="B407" s="17"/>
    </row>
    <row r="408" spans="1:2" ht="12.6">
      <c r="A408" s="16"/>
      <c r="B408" s="17"/>
    </row>
    <row r="409" spans="1:2" ht="12.6">
      <c r="A409" s="16"/>
      <c r="B409" s="17"/>
    </row>
    <row r="410" spans="1:2" ht="12.6">
      <c r="A410" s="16"/>
      <c r="B410" s="17"/>
    </row>
    <row r="411" spans="1:2" ht="12.6">
      <c r="A411" s="16"/>
      <c r="B411" s="17"/>
    </row>
    <row r="412" spans="1:2" ht="12.6">
      <c r="A412" s="16"/>
      <c r="B412" s="17"/>
    </row>
    <row r="413" spans="1:2" ht="12.6">
      <c r="A413" s="16"/>
      <c r="B413" s="17"/>
    </row>
    <row r="414" spans="1:2" ht="12.6">
      <c r="A414" s="16"/>
      <c r="B414" s="17"/>
    </row>
    <row r="415" spans="1:2" ht="12.6">
      <c r="A415" s="16"/>
      <c r="B415" s="17"/>
    </row>
    <row r="416" spans="1:2" ht="12.6">
      <c r="A416" s="16"/>
      <c r="B416" s="17"/>
    </row>
    <row r="417" spans="1:2" ht="12.6">
      <c r="A417" s="16"/>
      <c r="B417" s="17"/>
    </row>
    <row r="418" spans="1:2" ht="12.6">
      <c r="A418" s="16"/>
      <c r="B418" s="17"/>
    </row>
    <row r="419" spans="1:2" ht="12.6">
      <c r="A419" s="16"/>
      <c r="B419" s="17"/>
    </row>
    <row r="420" spans="1:2" ht="12.6">
      <c r="A420" s="16"/>
      <c r="B420" s="17"/>
    </row>
    <row r="421" spans="1:2" ht="12.6">
      <c r="A421" s="16"/>
      <c r="B421" s="17"/>
    </row>
    <row r="422" spans="1:2" ht="12.6">
      <c r="A422" s="16"/>
      <c r="B422" s="17"/>
    </row>
    <row r="423" spans="1:2" ht="12.6">
      <c r="A423" s="16"/>
      <c r="B423" s="17"/>
    </row>
    <row r="424" spans="1:2" ht="12.6">
      <c r="A424" s="16"/>
      <c r="B424" s="17"/>
    </row>
    <row r="425" spans="1:2" ht="12.6">
      <c r="A425" s="16"/>
      <c r="B425" s="17"/>
    </row>
    <row r="426" spans="1:2" ht="12.6">
      <c r="A426" s="16"/>
      <c r="B426" s="17"/>
    </row>
    <row r="427" spans="1:2" ht="12.6">
      <c r="A427" s="16"/>
      <c r="B427" s="17"/>
    </row>
    <row r="428" spans="1:2" ht="12.6">
      <c r="A428" s="16"/>
      <c r="B428" s="17"/>
    </row>
    <row r="429" spans="1:2" ht="12.6">
      <c r="A429" s="16"/>
      <c r="B429" s="17"/>
    </row>
    <row r="430" spans="1:2" ht="12.6">
      <c r="A430" s="16"/>
      <c r="B430" s="17"/>
    </row>
    <row r="431" spans="1:2" ht="12.6">
      <c r="A431" s="16"/>
      <c r="B431" s="17"/>
    </row>
    <row r="432" spans="1:2" ht="12.6">
      <c r="A432" s="16"/>
      <c r="B432" s="17"/>
    </row>
    <row r="433" spans="1:2" ht="12.6">
      <c r="A433" s="16"/>
      <c r="B433" s="17"/>
    </row>
    <row r="434" spans="1:2" ht="12.6">
      <c r="A434" s="16"/>
      <c r="B434" s="17"/>
    </row>
    <row r="435" spans="1:2" ht="12.6">
      <c r="A435" s="16"/>
      <c r="B435" s="17"/>
    </row>
    <row r="436" spans="1:2" ht="12.6">
      <c r="A436" s="16"/>
      <c r="B436" s="17"/>
    </row>
    <row r="437" spans="1:2" ht="12.6">
      <c r="A437" s="16"/>
      <c r="B437" s="17"/>
    </row>
    <row r="438" spans="1:2" ht="12.6">
      <c r="A438" s="16"/>
      <c r="B438" s="17"/>
    </row>
    <row r="439" spans="1:2" ht="12.6">
      <c r="A439" s="16"/>
      <c r="B439" s="17"/>
    </row>
    <row r="440" spans="1:2" ht="12.6">
      <c r="A440" s="16"/>
      <c r="B440" s="17"/>
    </row>
    <row r="441" spans="1:2" ht="12.6">
      <c r="A441" s="16"/>
      <c r="B441" s="17"/>
    </row>
    <row r="442" spans="1:2" ht="12.6">
      <c r="A442" s="16"/>
      <c r="B442" s="17"/>
    </row>
    <row r="443" spans="1:2" ht="12.6">
      <c r="A443" s="16"/>
      <c r="B443" s="17"/>
    </row>
    <row r="444" spans="1:2" ht="12.6">
      <c r="A444" s="16"/>
      <c r="B444" s="17"/>
    </row>
    <row r="445" spans="1:2" ht="12.6">
      <c r="A445" s="16"/>
      <c r="B445" s="17"/>
    </row>
    <row r="446" spans="1:2" ht="12.6">
      <c r="A446" s="16"/>
      <c r="B446" s="17"/>
    </row>
    <row r="447" spans="1:2" ht="12.6">
      <c r="A447" s="16"/>
      <c r="B447" s="17"/>
    </row>
    <row r="448" spans="1:2" ht="12.6">
      <c r="A448" s="16"/>
      <c r="B448" s="17"/>
    </row>
    <row r="449" spans="1:2" ht="12.6">
      <c r="A449" s="16"/>
      <c r="B449" s="17"/>
    </row>
    <row r="450" spans="1:2" ht="12.6">
      <c r="A450" s="16"/>
      <c r="B450" s="17"/>
    </row>
    <row r="451" spans="1:2" ht="12.6">
      <c r="A451" s="16"/>
      <c r="B451" s="17"/>
    </row>
    <row r="452" spans="1:2" ht="12.6">
      <c r="A452" s="16"/>
      <c r="B452" s="17"/>
    </row>
    <row r="453" spans="1:2" ht="12.6">
      <c r="A453" s="16"/>
      <c r="B453" s="17"/>
    </row>
    <row r="454" spans="1:2" ht="12.6">
      <c r="A454" s="16"/>
      <c r="B454" s="17"/>
    </row>
    <row r="455" spans="1:2" ht="12.6">
      <c r="A455" s="16"/>
      <c r="B455" s="17"/>
    </row>
    <row r="456" spans="1:2" ht="12.6">
      <c r="A456" s="16"/>
      <c r="B456" s="17"/>
    </row>
    <row r="457" spans="1:2" ht="12.6">
      <c r="A457" s="16"/>
      <c r="B457" s="17"/>
    </row>
    <row r="458" spans="1:2" ht="12.6">
      <c r="A458" s="16"/>
      <c r="B458" s="17"/>
    </row>
    <row r="459" spans="1:2" ht="12.6">
      <c r="A459" s="16"/>
      <c r="B459" s="17"/>
    </row>
    <row r="460" spans="1:2" ht="12.6">
      <c r="A460" s="16"/>
      <c r="B460" s="17"/>
    </row>
    <row r="461" spans="1:2" ht="12.6">
      <c r="A461" s="16"/>
      <c r="B461" s="17"/>
    </row>
    <row r="462" spans="1:2" ht="12.6">
      <c r="A462" s="16"/>
      <c r="B462" s="17"/>
    </row>
    <row r="463" spans="1:2" ht="12.6">
      <c r="A463" s="16"/>
      <c r="B463" s="17"/>
    </row>
    <row r="464" spans="1:2" ht="12.6">
      <c r="A464" s="16"/>
      <c r="B464" s="17"/>
    </row>
    <row r="465" spans="1:2" ht="12.6">
      <c r="A465" s="16"/>
      <c r="B465" s="17"/>
    </row>
    <row r="466" spans="1:2" ht="12.6">
      <c r="A466" s="16"/>
      <c r="B466" s="17"/>
    </row>
    <row r="467" spans="1:2" ht="12.6">
      <c r="A467" s="16"/>
      <c r="B467" s="17"/>
    </row>
    <row r="468" spans="1:2" ht="12.6">
      <c r="A468" s="16"/>
      <c r="B468" s="17"/>
    </row>
    <row r="469" spans="1:2" ht="12.6">
      <c r="A469" s="16"/>
      <c r="B469" s="17"/>
    </row>
    <row r="470" spans="1:2" ht="12.6">
      <c r="A470" s="16"/>
      <c r="B470" s="17"/>
    </row>
    <row r="471" spans="1:2" ht="12.6">
      <c r="A471" s="16"/>
      <c r="B471" s="17"/>
    </row>
    <row r="472" spans="1:2" ht="12.6">
      <c r="A472" s="16"/>
      <c r="B472" s="17"/>
    </row>
    <row r="473" spans="1:2" ht="12.6">
      <c r="A473" s="16"/>
      <c r="B473" s="17"/>
    </row>
    <row r="474" spans="1:2" ht="12.6">
      <c r="A474" s="16"/>
      <c r="B474" s="17"/>
    </row>
    <row r="475" spans="1:2" ht="12.6">
      <c r="A475" s="16"/>
      <c r="B475" s="17"/>
    </row>
    <row r="476" spans="1:2" ht="12.6">
      <c r="A476" s="16"/>
      <c r="B476" s="17"/>
    </row>
    <row r="477" spans="1:2" ht="12.6">
      <c r="A477" s="16"/>
      <c r="B477" s="17"/>
    </row>
    <row r="478" spans="1:2" ht="12.6">
      <c r="A478" s="16"/>
      <c r="B478" s="17"/>
    </row>
    <row r="479" spans="1:2" ht="12.6">
      <c r="A479" s="16"/>
      <c r="B479" s="17"/>
    </row>
    <row r="480" spans="1:2" ht="12.6">
      <c r="A480" s="16"/>
      <c r="B480" s="17"/>
    </row>
    <row r="481" spans="1:2" ht="12.6">
      <c r="A481" s="16"/>
      <c r="B481" s="17"/>
    </row>
    <row r="482" spans="1:2" ht="12.6">
      <c r="A482" s="16"/>
      <c r="B482" s="17"/>
    </row>
    <row r="483" spans="1:2" ht="12.6">
      <c r="A483" s="16"/>
      <c r="B483" s="17"/>
    </row>
    <row r="484" spans="1:2" ht="12.6">
      <c r="A484" s="16"/>
      <c r="B484" s="17"/>
    </row>
    <row r="485" spans="1:2" ht="12.6">
      <c r="A485" s="16"/>
      <c r="B485" s="17"/>
    </row>
    <row r="486" spans="1:2" ht="12.6">
      <c r="A486" s="16"/>
      <c r="B486" s="17"/>
    </row>
    <row r="487" spans="1:2" ht="12.6">
      <c r="A487" s="16"/>
      <c r="B487" s="17"/>
    </row>
    <row r="488" spans="1:2" ht="12.6">
      <c r="A488" s="16"/>
      <c r="B488" s="17"/>
    </row>
    <row r="489" spans="1:2" ht="12.6">
      <c r="A489" s="16"/>
      <c r="B489" s="17"/>
    </row>
    <row r="490" spans="1:2" ht="12.6">
      <c r="A490" s="16"/>
      <c r="B490" s="17"/>
    </row>
    <row r="491" spans="1:2" ht="12.6">
      <c r="A491" s="16"/>
      <c r="B491" s="17"/>
    </row>
    <row r="492" spans="1:2" ht="12.6">
      <c r="A492" s="16"/>
      <c r="B492" s="17"/>
    </row>
    <row r="493" spans="1:2" ht="12.6">
      <c r="A493" s="16"/>
      <c r="B493" s="17"/>
    </row>
    <row r="494" spans="1:2" ht="12.6">
      <c r="A494" s="16"/>
      <c r="B494" s="17"/>
    </row>
    <row r="495" spans="1:2" ht="12.6">
      <c r="A495" s="16"/>
      <c r="B495" s="17"/>
    </row>
    <row r="496" spans="1:2" ht="12.6">
      <c r="A496" s="16"/>
      <c r="B496" s="17"/>
    </row>
    <row r="497" spans="1:2" ht="12.6">
      <c r="A497" s="16"/>
      <c r="B497" s="17"/>
    </row>
    <row r="498" spans="1:2" ht="12.6">
      <c r="A498" s="16"/>
      <c r="B498" s="17"/>
    </row>
    <row r="499" spans="1:2" ht="12.6">
      <c r="A499" s="16"/>
      <c r="B499" s="17"/>
    </row>
    <row r="500" spans="1:2" ht="12.6">
      <c r="A500" s="16"/>
      <c r="B500" s="17"/>
    </row>
    <row r="501" spans="1:2" ht="12.6">
      <c r="A501" s="16"/>
      <c r="B501" s="17"/>
    </row>
    <row r="502" spans="1:2" ht="12.6">
      <c r="A502" s="16"/>
      <c r="B502" s="17"/>
    </row>
    <row r="503" spans="1:2" ht="12.6">
      <c r="A503" s="16"/>
      <c r="B503" s="17"/>
    </row>
    <row r="504" spans="1:2" ht="12.6">
      <c r="A504" s="16"/>
      <c r="B504" s="17"/>
    </row>
    <row r="505" spans="1:2" ht="12.6">
      <c r="A505" s="16"/>
      <c r="B505" s="17"/>
    </row>
    <row r="506" spans="1:2" ht="12.6">
      <c r="A506" s="16"/>
      <c r="B506" s="17"/>
    </row>
    <row r="507" spans="1:2" ht="12.6">
      <c r="A507" s="16"/>
      <c r="B507" s="17"/>
    </row>
    <row r="508" spans="1:2" ht="12.6">
      <c r="A508" s="16"/>
      <c r="B508" s="17"/>
    </row>
    <row r="509" spans="1:2" ht="12.6">
      <c r="A509" s="16"/>
      <c r="B509" s="17"/>
    </row>
    <row r="510" spans="1:2" ht="12.6">
      <c r="A510" s="16"/>
      <c r="B510" s="17"/>
    </row>
    <row r="511" spans="1:2" ht="12.6">
      <c r="A511" s="16"/>
      <c r="B511" s="17"/>
    </row>
    <row r="512" spans="1:2" ht="12.6">
      <c r="A512" s="16"/>
      <c r="B512" s="17"/>
    </row>
    <row r="513" spans="1:2" ht="12.6">
      <c r="A513" s="16"/>
      <c r="B513" s="17"/>
    </row>
    <row r="514" spans="1:2" ht="12.6">
      <c r="A514" s="16"/>
      <c r="B514" s="17"/>
    </row>
    <row r="515" spans="1:2" ht="12.6">
      <c r="A515" s="16"/>
      <c r="B515" s="17"/>
    </row>
    <row r="516" spans="1:2" ht="12.6">
      <c r="A516" s="16"/>
      <c r="B516" s="17"/>
    </row>
    <row r="517" spans="1:2" ht="12.6">
      <c r="A517" s="16"/>
      <c r="B517" s="17"/>
    </row>
    <row r="518" spans="1:2" ht="12.6">
      <c r="A518" s="16"/>
      <c r="B518" s="17"/>
    </row>
    <row r="519" spans="1:2" ht="12.6">
      <c r="A519" s="16"/>
      <c r="B519" s="17"/>
    </row>
    <row r="520" spans="1:2" ht="12.6">
      <c r="A520" s="16"/>
      <c r="B520" s="17"/>
    </row>
    <row r="521" spans="1:2" ht="12.6">
      <c r="A521" s="16"/>
      <c r="B521" s="17"/>
    </row>
    <row r="522" spans="1:2" ht="12.6">
      <c r="A522" s="16"/>
      <c r="B522" s="17"/>
    </row>
    <row r="523" spans="1:2" ht="12.6">
      <c r="A523" s="16"/>
      <c r="B523" s="17"/>
    </row>
    <row r="524" spans="1:2" ht="12.6">
      <c r="A524" s="16"/>
      <c r="B524" s="17"/>
    </row>
    <row r="525" spans="1:2" ht="12.6">
      <c r="A525" s="16"/>
      <c r="B525" s="17"/>
    </row>
    <row r="526" spans="1:2" ht="12.6">
      <c r="A526" s="16"/>
      <c r="B526" s="17"/>
    </row>
    <row r="527" spans="1:2" ht="12.6">
      <c r="A527" s="16"/>
      <c r="B527" s="17"/>
    </row>
    <row r="528" spans="1:2" ht="12.6">
      <c r="A528" s="16"/>
      <c r="B528" s="17"/>
    </row>
    <row r="529" spans="1:2" ht="12.6">
      <c r="A529" s="16"/>
      <c r="B529" s="17"/>
    </row>
    <row r="530" spans="1:2" ht="12.6">
      <c r="A530" s="16"/>
      <c r="B530" s="17"/>
    </row>
    <row r="531" spans="1:2" ht="12.6">
      <c r="A531" s="16"/>
      <c r="B531" s="17"/>
    </row>
    <row r="532" spans="1:2" ht="12.6">
      <c r="A532" s="16"/>
      <c r="B532" s="17"/>
    </row>
    <row r="533" spans="1:2" ht="12.6">
      <c r="A533" s="16"/>
      <c r="B533" s="17"/>
    </row>
    <row r="534" spans="1:2" ht="12.6">
      <c r="A534" s="16"/>
      <c r="B534" s="17"/>
    </row>
    <row r="535" spans="1:2" ht="12.6">
      <c r="A535" s="16"/>
      <c r="B535" s="17"/>
    </row>
    <row r="536" spans="1:2" ht="12.6">
      <c r="A536" s="16"/>
      <c r="B536" s="17"/>
    </row>
    <row r="537" spans="1:2" ht="12.6">
      <c r="A537" s="16"/>
      <c r="B537" s="17"/>
    </row>
    <row r="538" spans="1:2" ht="12.6">
      <c r="A538" s="16"/>
      <c r="B538" s="17"/>
    </row>
    <row r="539" spans="1:2" ht="12.6">
      <c r="A539" s="16"/>
      <c r="B539" s="17"/>
    </row>
    <row r="540" spans="1:2" ht="12.6">
      <c r="A540" s="16"/>
      <c r="B540" s="17"/>
    </row>
    <row r="541" spans="1:2" ht="12.6">
      <c r="A541" s="16"/>
      <c r="B541" s="17"/>
    </row>
    <row r="542" spans="1:2" ht="12.6">
      <c r="A542" s="16"/>
      <c r="B542" s="17"/>
    </row>
    <row r="543" spans="1:2" ht="12.6">
      <c r="A543" s="16"/>
      <c r="B543" s="17"/>
    </row>
    <row r="544" spans="1:2" ht="12.6">
      <c r="A544" s="16"/>
      <c r="B544" s="17"/>
    </row>
    <row r="545" spans="1:2" ht="12.6">
      <c r="A545" s="16"/>
      <c r="B545" s="17"/>
    </row>
    <row r="546" spans="1:2" ht="12.6">
      <c r="A546" s="16"/>
      <c r="B546" s="17"/>
    </row>
    <row r="547" spans="1:2" ht="12.6">
      <c r="A547" s="16"/>
      <c r="B547" s="17"/>
    </row>
    <row r="548" spans="1:2" ht="12.6">
      <c r="A548" s="16"/>
      <c r="B548" s="17"/>
    </row>
    <row r="549" spans="1:2" ht="12.6">
      <c r="A549" s="16"/>
      <c r="B549" s="17"/>
    </row>
    <row r="550" spans="1:2" ht="12.6">
      <c r="A550" s="16"/>
      <c r="B550" s="17"/>
    </row>
    <row r="551" spans="1:2" ht="12.6">
      <c r="A551" s="16"/>
      <c r="B551" s="17"/>
    </row>
    <row r="552" spans="1:2" ht="12.6">
      <c r="A552" s="16"/>
      <c r="B552" s="17"/>
    </row>
    <row r="553" spans="1:2" ht="12.6">
      <c r="A553" s="16"/>
      <c r="B553" s="17"/>
    </row>
    <row r="554" spans="1:2" ht="12.6">
      <c r="A554" s="16"/>
      <c r="B554" s="17"/>
    </row>
    <row r="555" spans="1:2" ht="12.6">
      <c r="A555" s="16"/>
      <c r="B555" s="17"/>
    </row>
    <row r="556" spans="1:2" ht="12.6">
      <c r="A556" s="16"/>
      <c r="B556" s="17"/>
    </row>
    <row r="557" spans="1:2" ht="12.6">
      <c r="A557" s="16"/>
      <c r="B557" s="17"/>
    </row>
    <row r="558" spans="1:2" ht="12.6">
      <c r="A558" s="16"/>
      <c r="B558" s="17"/>
    </row>
    <row r="559" spans="1:2" ht="12.6">
      <c r="A559" s="16"/>
      <c r="B559" s="17"/>
    </row>
    <row r="560" spans="1:2" ht="12.6">
      <c r="A560" s="16"/>
      <c r="B560" s="17"/>
    </row>
    <row r="561" spans="1:2" ht="12.6">
      <c r="A561" s="16"/>
      <c r="B561" s="17"/>
    </row>
    <row r="562" spans="1:2" ht="12.6">
      <c r="A562" s="16"/>
      <c r="B562" s="17"/>
    </row>
    <row r="563" spans="1:2" ht="12.6">
      <c r="A563" s="16"/>
      <c r="B563" s="17"/>
    </row>
    <row r="564" spans="1:2" ht="12.6">
      <c r="A564" s="16"/>
      <c r="B564" s="17"/>
    </row>
    <row r="565" spans="1:2" ht="12.6">
      <c r="A565" s="16"/>
      <c r="B565" s="17"/>
    </row>
    <row r="566" spans="1:2" ht="12.6">
      <c r="A566" s="16"/>
      <c r="B566" s="17"/>
    </row>
    <row r="567" spans="1:2" ht="12.6">
      <c r="A567" s="16"/>
      <c r="B567" s="17"/>
    </row>
    <row r="568" spans="1:2" ht="12.6">
      <c r="A568" s="16"/>
      <c r="B568" s="17"/>
    </row>
    <row r="569" spans="1:2" ht="12.6">
      <c r="A569" s="16"/>
      <c r="B569" s="17"/>
    </row>
    <row r="570" spans="1:2" ht="12.6">
      <c r="A570" s="16"/>
      <c r="B570" s="17"/>
    </row>
    <row r="571" spans="1:2" ht="12.6">
      <c r="A571" s="16"/>
      <c r="B571" s="17"/>
    </row>
    <row r="572" spans="1:2" ht="12.6">
      <c r="A572" s="16"/>
      <c r="B572" s="17"/>
    </row>
    <row r="573" spans="1:2" ht="12.6">
      <c r="A573" s="16"/>
      <c r="B573" s="17"/>
    </row>
    <row r="574" spans="1:2" ht="12.6">
      <c r="A574" s="16"/>
      <c r="B574" s="17"/>
    </row>
    <row r="575" spans="1:2" ht="12.6">
      <c r="A575" s="16"/>
      <c r="B575" s="17"/>
    </row>
    <row r="576" spans="1:2" ht="12.6">
      <c r="A576" s="16"/>
      <c r="B576" s="17"/>
    </row>
    <row r="577" spans="1:2" ht="12.6">
      <c r="A577" s="16"/>
      <c r="B577" s="17"/>
    </row>
    <row r="578" spans="1:2" ht="12.6">
      <c r="A578" s="16"/>
      <c r="B578" s="17"/>
    </row>
    <row r="579" spans="1:2" ht="12.6">
      <c r="A579" s="16"/>
      <c r="B579" s="17"/>
    </row>
    <row r="580" spans="1:2" ht="12.6">
      <c r="A580" s="16"/>
      <c r="B580" s="17"/>
    </row>
    <row r="581" spans="1:2" ht="12.6">
      <c r="A581" s="16"/>
      <c r="B581" s="17"/>
    </row>
    <row r="582" spans="1:2" ht="12.6">
      <c r="A582" s="16"/>
      <c r="B582" s="17"/>
    </row>
    <row r="583" spans="1:2" ht="12.6">
      <c r="A583" s="16"/>
      <c r="B583" s="17"/>
    </row>
    <row r="584" spans="1:2" ht="12.6">
      <c r="A584" s="16"/>
      <c r="B584" s="17"/>
    </row>
    <row r="585" spans="1:2" ht="12.6">
      <c r="A585" s="16"/>
      <c r="B585" s="17"/>
    </row>
    <row r="586" spans="1:2" ht="12.6">
      <c r="A586" s="16"/>
      <c r="B586" s="17"/>
    </row>
    <row r="587" spans="1:2" ht="12.6">
      <c r="A587" s="16"/>
      <c r="B587" s="17"/>
    </row>
    <row r="588" spans="1:2" ht="12.6">
      <c r="A588" s="16"/>
      <c r="B588" s="17"/>
    </row>
    <row r="589" spans="1:2" ht="12.6">
      <c r="A589" s="16"/>
      <c r="B589" s="17"/>
    </row>
    <row r="590" spans="1:2" ht="12.6">
      <c r="A590" s="16"/>
      <c r="B590" s="17"/>
    </row>
    <row r="591" spans="1:2" ht="12.6">
      <c r="A591" s="16"/>
      <c r="B591" s="17"/>
    </row>
    <row r="592" spans="1:2" ht="12.6">
      <c r="A592" s="16"/>
      <c r="B592" s="17"/>
    </row>
    <row r="593" spans="1:2" ht="12.6">
      <c r="A593" s="16"/>
      <c r="B593" s="17"/>
    </row>
    <row r="594" spans="1:2" ht="12.6">
      <c r="A594" s="16"/>
      <c r="B594" s="17"/>
    </row>
    <row r="595" spans="1:2" ht="12.6">
      <c r="A595" s="16"/>
      <c r="B595" s="17"/>
    </row>
    <row r="596" spans="1:2" ht="12.6">
      <c r="A596" s="16"/>
      <c r="B596" s="17"/>
    </row>
    <row r="597" spans="1:2" ht="12.6">
      <c r="A597" s="16"/>
      <c r="B597" s="17"/>
    </row>
    <row r="598" spans="1:2" ht="12.6">
      <c r="A598" s="16"/>
      <c r="B598" s="17"/>
    </row>
    <row r="599" spans="1:2" ht="12.6">
      <c r="A599" s="16"/>
      <c r="B599" s="17"/>
    </row>
    <row r="600" spans="1:2" ht="12.6">
      <c r="A600" s="16"/>
      <c r="B600" s="17"/>
    </row>
    <row r="601" spans="1:2" ht="12.6">
      <c r="A601" s="16"/>
      <c r="B601" s="17"/>
    </row>
    <row r="602" spans="1:2" ht="12.6">
      <c r="A602" s="16"/>
      <c r="B602" s="17"/>
    </row>
    <row r="603" spans="1:2" ht="12.6">
      <c r="A603" s="16"/>
      <c r="B603" s="17"/>
    </row>
    <row r="604" spans="1:2" ht="12.6">
      <c r="A604" s="16"/>
      <c r="B604" s="17"/>
    </row>
    <row r="605" spans="1:2" ht="12.6">
      <c r="A605" s="16"/>
      <c r="B605" s="17"/>
    </row>
    <row r="606" spans="1:2" ht="12.6">
      <c r="A606" s="16"/>
      <c r="B606" s="17"/>
    </row>
    <row r="607" spans="1:2" ht="12.6">
      <c r="A607" s="16"/>
      <c r="B607" s="17"/>
    </row>
    <row r="608" spans="1:2" ht="12.6">
      <c r="A608" s="16"/>
      <c r="B608" s="17"/>
    </row>
    <row r="609" spans="1:2" ht="12.6">
      <c r="A609" s="16"/>
      <c r="B609" s="17"/>
    </row>
    <row r="610" spans="1:2" ht="12.6">
      <c r="A610" s="16"/>
      <c r="B610" s="17"/>
    </row>
    <row r="611" spans="1:2" ht="12.6">
      <c r="A611" s="16"/>
      <c r="B611" s="17"/>
    </row>
    <row r="612" spans="1:2" ht="12.6">
      <c r="A612" s="16"/>
      <c r="B612" s="17"/>
    </row>
    <row r="613" spans="1:2" ht="12.6">
      <c r="A613" s="16"/>
      <c r="B613" s="17"/>
    </row>
    <row r="614" spans="1:2" ht="12.6">
      <c r="A614" s="16"/>
      <c r="B614" s="17"/>
    </row>
    <row r="615" spans="1:2" ht="12.6">
      <c r="A615" s="16"/>
      <c r="B615" s="17"/>
    </row>
    <row r="616" spans="1:2" ht="12.6">
      <c r="A616" s="16"/>
      <c r="B616" s="17"/>
    </row>
    <row r="617" spans="1:2" ht="12.6">
      <c r="A617" s="16"/>
      <c r="B617" s="17"/>
    </row>
    <row r="618" spans="1:2" ht="12.6">
      <c r="A618" s="16"/>
      <c r="B618" s="17"/>
    </row>
    <row r="619" spans="1:2" ht="12.6">
      <c r="A619" s="16"/>
      <c r="B619" s="17"/>
    </row>
    <row r="620" spans="1:2" ht="12.6">
      <c r="A620" s="16"/>
      <c r="B620" s="17"/>
    </row>
    <row r="621" spans="1:2" ht="12.6">
      <c r="A621" s="16"/>
      <c r="B621" s="17"/>
    </row>
    <row r="622" spans="1:2" ht="12.6">
      <c r="A622" s="16"/>
      <c r="B622" s="17"/>
    </row>
    <row r="623" spans="1:2" ht="12.6">
      <c r="A623" s="16"/>
      <c r="B623" s="17"/>
    </row>
    <row r="624" spans="1:2" ht="12.6">
      <c r="A624" s="16"/>
      <c r="B624" s="17"/>
    </row>
    <row r="625" spans="1:2" ht="12.6">
      <c r="A625" s="16"/>
      <c r="B625" s="17"/>
    </row>
    <row r="626" spans="1:2" ht="12.6">
      <c r="A626" s="16"/>
      <c r="B626" s="17"/>
    </row>
    <row r="627" spans="1:2" ht="12.6">
      <c r="A627" s="16"/>
      <c r="B627" s="17"/>
    </row>
    <row r="628" spans="1:2" ht="12.6">
      <c r="A628" s="16"/>
      <c r="B628" s="17"/>
    </row>
    <row r="629" spans="1:2" ht="12.6">
      <c r="A629" s="16"/>
      <c r="B629" s="17"/>
    </row>
    <row r="630" spans="1:2" ht="12.6">
      <c r="A630" s="16"/>
      <c r="B630" s="17"/>
    </row>
    <row r="631" spans="1:2" ht="12.6">
      <c r="A631" s="16"/>
      <c r="B631" s="17"/>
    </row>
    <row r="632" spans="1:2" ht="12.6">
      <c r="A632" s="16"/>
      <c r="B632" s="17"/>
    </row>
    <row r="633" spans="1:2" ht="12.6">
      <c r="A633" s="16"/>
      <c r="B633" s="17"/>
    </row>
    <row r="634" spans="1:2" ht="12.6">
      <c r="A634" s="16"/>
      <c r="B634" s="17"/>
    </row>
    <row r="635" spans="1:2" ht="12.6">
      <c r="A635" s="16"/>
      <c r="B635" s="17"/>
    </row>
    <row r="636" spans="1:2" ht="12.6">
      <c r="A636" s="16"/>
      <c r="B636" s="17"/>
    </row>
    <row r="637" spans="1:2" ht="12.6">
      <c r="A637" s="16"/>
      <c r="B637" s="17"/>
    </row>
    <row r="638" spans="1:2" ht="12.6">
      <c r="A638" s="16"/>
      <c r="B638" s="17"/>
    </row>
    <row r="639" spans="1:2" ht="12.6">
      <c r="A639" s="16"/>
      <c r="B639" s="17"/>
    </row>
    <row r="640" spans="1:2" ht="12.6">
      <c r="A640" s="16"/>
      <c r="B640" s="17"/>
    </row>
    <row r="641" spans="1:2" ht="12.6">
      <c r="A641" s="16"/>
      <c r="B641" s="17"/>
    </row>
    <row r="642" spans="1:2" ht="12.6">
      <c r="A642" s="16"/>
      <c r="B642" s="17"/>
    </row>
    <row r="643" spans="1:2" ht="12.6">
      <c r="A643" s="16"/>
      <c r="B643" s="17"/>
    </row>
    <row r="644" spans="1:2" ht="12.6">
      <c r="A644" s="16"/>
      <c r="B644" s="17"/>
    </row>
    <row r="645" spans="1:2" ht="12.6">
      <c r="A645" s="16"/>
      <c r="B645" s="17"/>
    </row>
    <row r="646" spans="1:2" ht="12.6">
      <c r="A646" s="16"/>
      <c r="B646" s="17"/>
    </row>
    <row r="647" spans="1:2" ht="12.6">
      <c r="A647" s="16"/>
      <c r="B647" s="17"/>
    </row>
    <row r="648" spans="1:2" ht="12.6">
      <c r="A648" s="16"/>
      <c r="B648" s="17"/>
    </row>
    <row r="649" spans="1:2" ht="12.6">
      <c r="A649" s="16"/>
      <c r="B649" s="17"/>
    </row>
    <row r="650" spans="1:2" ht="12.6">
      <c r="A650" s="16"/>
      <c r="B650" s="17"/>
    </row>
    <row r="651" spans="1:2" ht="12.6">
      <c r="A651" s="16"/>
      <c r="B651" s="17"/>
    </row>
    <row r="652" spans="1:2" ht="12.6">
      <c r="A652" s="16"/>
      <c r="B652" s="17"/>
    </row>
    <row r="653" spans="1:2" ht="12.6">
      <c r="A653" s="16"/>
      <c r="B653" s="17"/>
    </row>
    <row r="654" spans="1:2" ht="12.6">
      <c r="A654" s="16"/>
      <c r="B654" s="17"/>
    </row>
    <row r="655" spans="1:2" ht="12.6">
      <c r="A655" s="16"/>
      <c r="B655" s="17"/>
    </row>
    <row r="656" spans="1:2" ht="12.6">
      <c r="A656" s="16"/>
      <c r="B656" s="17"/>
    </row>
    <row r="657" spans="1:2" ht="12.6">
      <c r="A657" s="16"/>
      <c r="B657" s="17"/>
    </row>
    <row r="658" spans="1:2" ht="12.6">
      <c r="A658" s="16"/>
      <c r="B658" s="17"/>
    </row>
    <row r="659" spans="1:2" ht="12.6">
      <c r="A659" s="16"/>
      <c r="B659" s="17"/>
    </row>
    <row r="660" spans="1:2" ht="12.6">
      <c r="A660" s="16"/>
      <c r="B660" s="17"/>
    </row>
    <row r="661" spans="1:2" ht="12.6">
      <c r="A661" s="16"/>
      <c r="B661" s="17"/>
    </row>
    <row r="662" spans="1:2" ht="12.6">
      <c r="A662" s="16"/>
      <c r="B662" s="17"/>
    </row>
    <row r="663" spans="1:2" ht="12.6">
      <c r="A663" s="16"/>
      <c r="B663" s="17"/>
    </row>
    <row r="664" spans="1:2" ht="12.6">
      <c r="A664" s="16"/>
      <c r="B664" s="17"/>
    </row>
    <row r="665" spans="1:2" ht="12.6">
      <c r="A665" s="16"/>
      <c r="B665" s="17"/>
    </row>
    <row r="666" spans="1:2" ht="12.6">
      <c r="A666" s="16"/>
      <c r="B666" s="17"/>
    </row>
    <row r="667" spans="1:2" ht="12.6">
      <c r="A667" s="16"/>
      <c r="B667" s="17"/>
    </row>
    <row r="668" spans="1:2" ht="12.6">
      <c r="A668" s="16"/>
      <c r="B668" s="17"/>
    </row>
    <row r="669" spans="1:2" ht="12.6">
      <c r="A669" s="16"/>
      <c r="B669" s="17"/>
    </row>
    <row r="670" spans="1:2" ht="12.6">
      <c r="A670" s="16"/>
      <c r="B670" s="17"/>
    </row>
    <row r="671" spans="1:2" ht="12.6">
      <c r="A671" s="16"/>
      <c r="B671" s="17"/>
    </row>
    <row r="672" spans="1:2" ht="12.6">
      <c r="A672" s="16"/>
      <c r="B672" s="17"/>
    </row>
    <row r="673" spans="1:2" ht="12.6">
      <c r="A673" s="16"/>
      <c r="B673" s="17"/>
    </row>
    <row r="674" spans="1:2" ht="12.6">
      <c r="A674" s="16"/>
      <c r="B674" s="17"/>
    </row>
    <row r="675" spans="1:2" ht="12.6">
      <c r="A675" s="16"/>
      <c r="B675" s="17"/>
    </row>
    <row r="676" spans="1:2" ht="12.6">
      <c r="A676" s="16"/>
      <c r="B676" s="17"/>
    </row>
    <row r="677" spans="1:2" ht="12.6">
      <c r="A677" s="16"/>
      <c r="B677" s="17"/>
    </row>
    <row r="678" spans="1:2" ht="12.6">
      <c r="A678" s="16"/>
      <c r="B678" s="17"/>
    </row>
    <row r="679" spans="1:2" ht="12.6">
      <c r="A679" s="16"/>
      <c r="B679" s="17"/>
    </row>
    <row r="680" spans="1:2" ht="12.6">
      <c r="A680" s="16"/>
      <c r="B680" s="17"/>
    </row>
    <row r="681" spans="1:2" ht="12.6">
      <c r="A681" s="16"/>
      <c r="B681" s="17"/>
    </row>
    <row r="682" spans="1:2" ht="12.6">
      <c r="A682" s="16"/>
      <c r="B682" s="17"/>
    </row>
    <row r="683" spans="1:2" ht="12.6">
      <c r="A683" s="16"/>
      <c r="B683" s="17"/>
    </row>
    <row r="684" spans="1:2" ht="12.6">
      <c r="A684" s="16"/>
      <c r="B684" s="17"/>
    </row>
    <row r="685" spans="1:2" ht="12.6">
      <c r="A685" s="16"/>
      <c r="B685" s="17"/>
    </row>
    <row r="686" spans="1:2" ht="12.6">
      <c r="A686" s="16"/>
      <c r="B686" s="17"/>
    </row>
    <row r="687" spans="1:2" ht="12.6">
      <c r="A687" s="16"/>
      <c r="B687" s="17"/>
    </row>
    <row r="688" spans="1:2" ht="12.6">
      <c r="A688" s="16"/>
      <c r="B688" s="17"/>
    </row>
    <row r="689" spans="1:2" ht="12.6">
      <c r="A689" s="16"/>
      <c r="B689" s="17"/>
    </row>
    <row r="690" spans="1:2" ht="12.6">
      <c r="A690" s="16"/>
      <c r="B690" s="17"/>
    </row>
    <row r="691" spans="1:2" ht="12.6">
      <c r="A691" s="16"/>
      <c r="B691" s="17"/>
    </row>
    <row r="692" spans="1:2" ht="12.6">
      <c r="A692" s="16"/>
      <c r="B692" s="17"/>
    </row>
    <row r="693" spans="1:2" ht="12.6">
      <c r="A693" s="16"/>
      <c r="B693" s="17"/>
    </row>
    <row r="694" spans="1:2" ht="12.6">
      <c r="A694" s="16"/>
      <c r="B694" s="17"/>
    </row>
    <row r="695" spans="1:2" ht="12.6">
      <c r="A695" s="16"/>
      <c r="B695" s="17"/>
    </row>
    <row r="696" spans="1:2" ht="12.6">
      <c r="A696" s="16"/>
      <c r="B696" s="17"/>
    </row>
    <row r="697" spans="1:2" ht="12.6">
      <c r="A697" s="16"/>
      <c r="B697" s="17"/>
    </row>
    <row r="698" spans="1:2" ht="12.6">
      <c r="A698" s="16"/>
      <c r="B698" s="17"/>
    </row>
    <row r="699" spans="1:2" ht="12.6">
      <c r="A699" s="16"/>
      <c r="B699" s="17"/>
    </row>
    <row r="700" spans="1:2" ht="12.6">
      <c r="A700" s="16"/>
      <c r="B700" s="17"/>
    </row>
    <row r="701" spans="1:2" ht="12.6">
      <c r="A701" s="16"/>
      <c r="B701" s="17"/>
    </row>
    <row r="702" spans="1:2" ht="12.6">
      <c r="A702" s="16"/>
      <c r="B702" s="17"/>
    </row>
    <row r="703" spans="1:2" ht="12.6">
      <c r="A703" s="16"/>
      <c r="B703" s="17"/>
    </row>
    <row r="704" spans="1:2" ht="12.6">
      <c r="A704" s="16"/>
      <c r="B704" s="17"/>
    </row>
    <row r="705" spans="1:2" ht="12.6">
      <c r="A705" s="16"/>
      <c r="B705" s="17"/>
    </row>
    <row r="706" spans="1:2" ht="12.6">
      <c r="A706" s="16"/>
      <c r="B706" s="17"/>
    </row>
    <row r="707" spans="1:2" ht="12.6">
      <c r="A707" s="16"/>
      <c r="B707" s="17"/>
    </row>
    <row r="708" spans="1:2" ht="12.6">
      <c r="A708" s="16"/>
      <c r="B708" s="17"/>
    </row>
    <row r="709" spans="1:2" ht="12.6">
      <c r="A709" s="16"/>
      <c r="B709" s="17"/>
    </row>
    <row r="710" spans="1:2" ht="12.6">
      <c r="A710" s="16"/>
      <c r="B710" s="17"/>
    </row>
    <row r="711" spans="1:2" ht="12.6">
      <c r="A711" s="16"/>
      <c r="B711" s="17"/>
    </row>
    <row r="712" spans="1:2" ht="12.6">
      <c r="A712" s="16"/>
      <c r="B712" s="17"/>
    </row>
    <row r="713" spans="1:2" ht="12.6">
      <c r="A713" s="16"/>
      <c r="B713" s="17"/>
    </row>
    <row r="714" spans="1:2" ht="12.6">
      <c r="A714" s="16"/>
      <c r="B714" s="17"/>
    </row>
    <row r="715" spans="1:2" ht="12.6">
      <c r="A715" s="16"/>
      <c r="B715" s="17"/>
    </row>
    <row r="716" spans="1:2" ht="12.6">
      <c r="A716" s="16"/>
      <c r="B716" s="17"/>
    </row>
    <row r="717" spans="1:2" ht="12.6">
      <c r="A717" s="16"/>
      <c r="B717" s="17"/>
    </row>
    <row r="718" spans="1:2" ht="12.6">
      <c r="A718" s="16"/>
      <c r="B718" s="17"/>
    </row>
    <row r="719" spans="1:2" ht="12.6">
      <c r="A719" s="16"/>
      <c r="B719" s="17"/>
    </row>
    <row r="720" spans="1:2" ht="12.6">
      <c r="A720" s="16"/>
      <c r="B720" s="17"/>
    </row>
    <row r="721" spans="1:2" ht="12.6">
      <c r="A721" s="16"/>
      <c r="B721" s="17"/>
    </row>
    <row r="722" spans="1:2" ht="12.6">
      <c r="A722" s="16"/>
      <c r="B722" s="17"/>
    </row>
    <row r="723" spans="1:2" ht="12.6">
      <c r="A723" s="16"/>
      <c r="B723" s="17"/>
    </row>
    <row r="724" spans="1:2" ht="12.6">
      <c r="A724" s="16"/>
      <c r="B724" s="17"/>
    </row>
    <row r="725" spans="1:2" ht="12.6">
      <c r="A725" s="16"/>
      <c r="B725" s="17"/>
    </row>
    <row r="726" spans="1:2" ht="12.6">
      <c r="A726" s="16"/>
      <c r="B726" s="17"/>
    </row>
    <row r="727" spans="1:2" ht="12.6">
      <c r="A727" s="16"/>
      <c r="B727" s="17"/>
    </row>
    <row r="728" spans="1:2" ht="12.6">
      <c r="A728" s="16"/>
      <c r="B728" s="17"/>
    </row>
    <row r="729" spans="1:2" ht="12.6">
      <c r="A729" s="16"/>
      <c r="B729" s="17"/>
    </row>
    <row r="730" spans="1:2" ht="12.6">
      <c r="A730" s="16"/>
      <c r="B730" s="17"/>
    </row>
    <row r="731" spans="1:2" ht="12.6">
      <c r="A731" s="16"/>
      <c r="B731" s="17"/>
    </row>
    <row r="732" spans="1:2" ht="12.6">
      <c r="A732" s="16"/>
      <c r="B732" s="17"/>
    </row>
    <row r="733" spans="1:2" ht="12.6">
      <c r="A733" s="16"/>
      <c r="B733" s="17"/>
    </row>
    <row r="734" spans="1:2" ht="12.6">
      <c r="A734" s="16"/>
      <c r="B734" s="17"/>
    </row>
    <row r="735" spans="1:2" ht="12.6">
      <c r="A735" s="16"/>
      <c r="B735" s="17"/>
    </row>
    <row r="736" spans="1:2" ht="12.6">
      <c r="A736" s="16"/>
      <c r="B736" s="17"/>
    </row>
    <row r="737" spans="1:2" ht="12.6">
      <c r="A737" s="16"/>
      <c r="B737" s="17"/>
    </row>
    <row r="738" spans="1:2" ht="12.6">
      <c r="A738" s="16"/>
      <c r="B738" s="17"/>
    </row>
    <row r="739" spans="1:2" ht="12.6">
      <c r="A739" s="16"/>
      <c r="B739" s="17"/>
    </row>
    <row r="740" spans="1:2" ht="12.6">
      <c r="A740" s="16"/>
      <c r="B740" s="17"/>
    </row>
    <row r="741" spans="1:2" ht="12.6">
      <c r="A741" s="16"/>
      <c r="B741" s="17"/>
    </row>
    <row r="742" spans="1:2" ht="12.6">
      <c r="A742" s="16"/>
      <c r="B742" s="17"/>
    </row>
    <row r="743" spans="1:2" ht="12.6">
      <c r="A743" s="16"/>
      <c r="B743" s="17"/>
    </row>
    <row r="744" spans="1:2" ht="12.6">
      <c r="A744" s="16"/>
      <c r="B744" s="17"/>
    </row>
    <row r="745" spans="1:2" ht="12.6">
      <c r="A745" s="16"/>
      <c r="B745" s="17"/>
    </row>
    <row r="746" spans="1:2" ht="12.6">
      <c r="A746" s="16"/>
      <c r="B746" s="17"/>
    </row>
    <row r="747" spans="1:2" ht="12.6">
      <c r="A747" s="16"/>
      <c r="B747" s="17"/>
    </row>
    <row r="748" spans="1:2" ht="12.6">
      <c r="A748" s="16"/>
      <c r="B748" s="17"/>
    </row>
    <row r="749" spans="1:2" ht="12.6">
      <c r="A749" s="16"/>
      <c r="B749" s="17"/>
    </row>
    <row r="750" spans="1:2" ht="12.6">
      <c r="A750" s="16"/>
      <c r="B750" s="17"/>
    </row>
    <row r="751" spans="1:2" ht="12.6">
      <c r="A751" s="16"/>
      <c r="B751" s="17"/>
    </row>
    <row r="752" spans="1:2" ht="12.6">
      <c r="A752" s="16"/>
      <c r="B752" s="17"/>
    </row>
    <row r="753" spans="1:2" ht="12.6">
      <c r="A753" s="16"/>
      <c r="B753" s="17"/>
    </row>
    <row r="754" spans="1:2" ht="12.6">
      <c r="A754" s="16"/>
      <c r="B754" s="17"/>
    </row>
    <row r="755" spans="1:2" ht="12.6">
      <c r="A755" s="16"/>
      <c r="B755" s="17"/>
    </row>
    <row r="756" spans="1:2" ht="12.6">
      <c r="A756" s="16"/>
      <c r="B756" s="17"/>
    </row>
    <row r="757" spans="1:2" ht="12.6">
      <c r="A757" s="16"/>
      <c r="B757" s="17"/>
    </row>
    <row r="758" spans="1:2" ht="12.6">
      <c r="A758" s="16"/>
      <c r="B758" s="17"/>
    </row>
    <row r="759" spans="1:2" ht="12.6">
      <c r="A759" s="16"/>
      <c r="B759" s="17"/>
    </row>
    <row r="760" spans="1:2" ht="12.6">
      <c r="A760" s="16"/>
      <c r="B760" s="17"/>
    </row>
    <row r="761" spans="1:2" ht="12.6">
      <c r="A761" s="16"/>
      <c r="B761" s="17"/>
    </row>
    <row r="762" spans="1:2" ht="12.6">
      <c r="A762" s="16"/>
      <c r="B762" s="17"/>
    </row>
    <row r="763" spans="1:2" ht="12.6">
      <c r="A763" s="16"/>
      <c r="B763" s="17"/>
    </row>
    <row r="764" spans="1:2" ht="12.6">
      <c r="A764" s="16"/>
      <c r="B764" s="17"/>
    </row>
    <row r="765" spans="1:2" ht="12.6">
      <c r="A765" s="16"/>
      <c r="B765" s="17"/>
    </row>
    <row r="766" spans="1:2" ht="12.6">
      <c r="A766" s="16"/>
      <c r="B766" s="17"/>
    </row>
    <row r="767" spans="1:2" ht="12.6">
      <c r="A767" s="16"/>
      <c r="B767" s="17"/>
    </row>
    <row r="768" spans="1:2" ht="12.6">
      <c r="A768" s="16"/>
      <c r="B768" s="17"/>
    </row>
    <row r="769" spans="1:2" ht="12.6">
      <c r="A769" s="16"/>
      <c r="B769" s="17"/>
    </row>
    <row r="770" spans="1:2" ht="12.6">
      <c r="A770" s="16"/>
      <c r="B770" s="17"/>
    </row>
    <row r="771" spans="1:2" ht="12.6">
      <c r="A771" s="16"/>
      <c r="B771" s="17"/>
    </row>
    <row r="772" spans="1:2" ht="12.6">
      <c r="A772" s="16"/>
      <c r="B772" s="17"/>
    </row>
    <row r="773" spans="1:2" ht="12.6">
      <c r="A773" s="16"/>
      <c r="B773" s="17"/>
    </row>
    <row r="774" spans="1:2" ht="12.6">
      <c r="A774" s="16"/>
      <c r="B774" s="17"/>
    </row>
    <row r="775" spans="1:2" ht="12.6">
      <c r="A775" s="16"/>
      <c r="B775" s="17"/>
    </row>
    <row r="776" spans="1:2" ht="12.6">
      <c r="A776" s="16"/>
      <c r="B776" s="17"/>
    </row>
    <row r="777" spans="1:2" ht="12.6">
      <c r="A777" s="16"/>
      <c r="B777" s="17"/>
    </row>
    <row r="778" spans="1:2" ht="12.6">
      <c r="A778" s="16"/>
      <c r="B778" s="17"/>
    </row>
    <row r="779" spans="1:2" ht="12.6">
      <c r="A779" s="16"/>
      <c r="B779" s="17"/>
    </row>
    <row r="780" spans="1:2" ht="12.6">
      <c r="A780" s="16"/>
      <c r="B780" s="17"/>
    </row>
    <row r="781" spans="1:2" ht="12.6">
      <c r="A781" s="16"/>
      <c r="B781" s="17"/>
    </row>
    <row r="782" spans="1:2" ht="12.6">
      <c r="A782" s="16"/>
      <c r="B782" s="17"/>
    </row>
    <row r="783" spans="1:2" ht="12.6">
      <c r="A783" s="16"/>
      <c r="B783" s="17"/>
    </row>
    <row r="784" spans="1:2" ht="12.6">
      <c r="A784" s="16"/>
      <c r="B784" s="17"/>
    </row>
    <row r="785" spans="1:2" ht="12.6">
      <c r="A785" s="16"/>
      <c r="B785" s="17"/>
    </row>
    <row r="786" spans="1:2" ht="12.6">
      <c r="A786" s="16"/>
      <c r="B786" s="17"/>
    </row>
    <row r="787" spans="1:2" ht="12.6">
      <c r="A787" s="16"/>
      <c r="B787" s="17"/>
    </row>
    <row r="788" spans="1:2" ht="12.6">
      <c r="A788" s="16"/>
      <c r="B788" s="17"/>
    </row>
    <row r="789" spans="1:2" ht="12.6">
      <c r="A789" s="16"/>
      <c r="B789" s="17"/>
    </row>
    <row r="790" spans="1:2" ht="12.6">
      <c r="A790" s="16"/>
      <c r="B790" s="17"/>
    </row>
    <row r="791" spans="1:2" ht="12.6">
      <c r="A791" s="16"/>
      <c r="B791" s="17"/>
    </row>
    <row r="792" spans="1:2" ht="12.6">
      <c r="A792" s="16"/>
      <c r="B792" s="17"/>
    </row>
    <row r="793" spans="1:2" ht="12.6">
      <c r="A793" s="16"/>
      <c r="B793" s="17"/>
    </row>
    <row r="794" spans="1:2" ht="12.6">
      <c r="A794" s="16"/>
      <c r="B794" s="17"/>
    </row>
    <row r="795" spans="1:2" ht="12.6">
      <c r="A795" s="16"/>
      <c r="B795" s="17"/>
    </row>
    <row r="796" spans="1:2" ht="12.6">
      <c r="A796" s="16"/>
      <c r="B796" s="17"/>
    </row>
    <row r="797" spans="1:2" ht="12.6">
      <c r="A797" s="16"/>
      <c r="B797" s="17"/>
    </row>
    <row r="798" spans="1:2" ht="12.6">
      <c r="A798" s="16"/>
      <c r="B798" s="17"/>
    </row>
    <row r="799" spans="1:2" ht="12.6">
      <c r="A799" s="16"/>
      <c r="B799" s="17"/>
    </row>
    <row r="800" spans="1:2" ht="12.6">
      <c r="A800" s="16"/>
      <c r="B800" s="17"/>
    </row>
    <row r="801" spans="1:2" ht="12.6">
      <c r="A801" s="16"/>
      <c r="B801" s="17"/>
    </row>
    <row r="802" spans="1:2" ht="12.6">
      <c r="A802" s="16"/>
      <c r="B802" s="17"/>
    </row>
    <row r="803" spans="1:2" ht="12.6">
      <c r="A803" s="16"/>
      <c r="B803" s="17"/>
    </row>
    <row r="804" spans="1:2" ht="12.6">
      <c r="A804" s="16"/>
      <c r="B804" s="17"/>
    </row>
    <row r="805" spans="1:2" ht="12.6">
      <c r="A805" s="16"/>
      <c r="B805" s="17"/>
    </row>
    <row r="806" spans="1:2" ht="12.6">
      <c r="A806" s="16"/>
      <c r="B806" s="17"/>
    </row>
    <row r="807" spans="1:2" ht="12.6">
      <c r="A807" s="16"/>
      <c r="B807" s="17"/>
    </row>
    <row r="808" spans="1:2" ht="12.6">
      <c r="A808" s="16"/>
      <c r="B808" s="17"/>
    </row>
    <row r="809" spans="1:2" ht="12.6">
      <c r="A809" s="16"/>
      <c r="B809" s="17"/>
    </row>
    <row r="810" spans="1:2" ht="12.6">
      <c r="A810" s="16"/>
      <c r="B810" s="17"/>
    </row>
    <row r="811" spans="1:2" ht="12.6">
      <c r="A811" s="16"/>
      <c r="B811" s="17"/>
    </row>
    <row r="812" spans="1:2" ht="12.6">
      <c r="A812" s="16"/>
      <c r="B812" s="17"/>
    </row>
    <row r="813" spans="1:2" ht="12.6">
      <c r="A813" s="16"/>
      <c r="B813" s="17"/>
    </row>
    <row r="814" spans="1:2" ht="12.6">
      <c r="A814" s="16"/>
      <c r="B814" s="17"/>
    </row>
    <row r="815" spans="1:2" ht="12.6">
      <c r="A815" s="16"/>
      <c r="B815" s="17"/>
    </row>
    <row r="816" spans="1:2" ht="12.6">
      <c r="A816" s="16"/>
      <c r="B816" s="17"/>
    </row>
    <row r="817" spans="1:2" ht="12.6">
      <c r="A817" s="16"/>
      <c r="B817" s="17"/>
    </row>
    <row r="818" spans="1:2" ht="12.6">
      <c r="A818" s="16"/>
      <c r="B818" s="17"/>
    </row>
    <row r="819" spans="1:2" ht="12.6">
      <c r="A819" s="16"/>
      <c r="B819" s="17"/>
    </row>
    <row r="820" spans="1:2" ht="12.6">
      <c r="A820" s="16"/>
      <c r="B820" s="17"/>
    </row>
    <row r="821" spans="1:2" ht="12.6">
      <c r="A821" s="16"/>
      <c r="B821" s="17"/>
    </row>
    <row r="822" spans="1:2" ht="12.6">
      <c r="A822" s="16"/>
      <c r="B822" s="17"/>
    </row>
    <row r="823" spans="1:2" ht="12.6">
      <c r="A823" s="16"/>
      <c r="B823" s="17"/>
    </row>
    <row r="824" spans="1:2" ht="12.6">
      <c r="A824" s="16"/>
      <c r="B824" s="17"/>
    </row>
    <row r="825" spans="1:2" ht="12.6">
      <c r="A825" s="16"/>
      <c r="B825" s="17"/>
    </row>
    <row r="826" spans="1:2" ht="12.6">
      <c r="A826" s="16"/>
      <c r="B826" s="17"/>
    </row>
    <row r="827" spans="1:2" ht="12.6">
      <c r="A827" s="16"/>
      <c r="B827" s="17"/>
    </row>
    <row r="828" spans="1:2" ht="12.6">
      <c r="A828" s="16"/>
      <c r="B828" s="17"/>
    </row>
    <row r="829" spans="1:2" ht="12.6">
      <c r="A829" s="16"/>
      <c r="B829" s="17"/>
    </row>
    <row r="830" spans="1:2" ht="12.6">
      <c r="A830" s="16"/>
      <c r="B830" s="17"/>
    </row>
    <row r="831" spans="1:2" ht="12.6">
      <c r="A831" s="16"/>
      <c r="B831" s="17"/>
    </row>
    <row r="832" spans="1:2" ht="12.6">
      <c r="A832" s="16"/>
      <c r="B832" s="17"/>
    </row>
    <row r="833" spans="1:2" ht="12.6">
      <c r="A833" s="16"/>
      <c r="B833" s="17"/>
    </row>
    <row r="834" spans="1:2" ht="12.6">
      <c r="A834" s="16"/>
      <c r="B834" s="17"/>
    </row>
    <row r="835" spans="1:2" ht="12.6">
      <c r="A835" s="16"/>
      <c r="B835" s="17"/>
    </row>
    <row r="836" spans="1:2" ht="12.6">
      <c r="A836" s="16"/>
      <c r="B836" s="17"/>
    </row>
    <row r="837" spans="1:2" ht="12.6">
      <c r="A837" s="16"/>
      <c r="B837" s="17"/>
    </row>
    <row r="838" spans="1:2" ht="12.6">
      <c r="A838" s="16"/>
      <c r="B838" s="17"/>
    </row>
    <row r="839" spans="1:2" ht="12.6">
      <c r="A839" s="16"/>
      <c r="B839" s="17"/>
    </row>
    <row r="840" spans="1:2" ht="12.6">
      <c r="A840" s="16"/>
      <c r="B840" s="17"/>
    </row>
    <row r="841" spans="1:2" ht="12.6">
      <c r="A841" s="16"/>
      <c r="B841" s="17"/>
    </row>
    <row r="842" spans="1:2" ht="12.6">
      <c r="A842" s="16"/>
      <c r="B842" s="17"/>
    </row>
    <row r="843" spans="1:2" ht="12.6">
      <c r="A843" s="16"/>
      <c r="B843" s="17"/>
    </row>
    <row r="844" spans="1:2" ht="12.6">
      <c r="A844" s="16"/>
      <c r="B844" s="17"/>
    </row>
    <row r="845" spans="1:2" ht="12.6">
      <c r="A845" s="16"/>
      <c r="B845" s="17"/>
    </row>
    <row r="846" spans="1:2" ht="12.6">
      <c r="A846" s="16"/>
      <c r="B846" s="17"/>
    </row>
    <row r="847" spans="1:2" ht="12.6">
      <c r="A847" s="16"/>
      <c r="B847" s="17"/>
    </row>
    <row r="848" spans="1:2" ht="12.6">
      <c r="A848" s="16"/>
      <c r="B848" s="17"/>
    </row>
    <row r="849" spans="1:2" ht="12.6">
      <c r="A849" s="16"/>
      <c r="B849" s="17"/>
    </row>
    <row r="850" spans="1:2" ht="12.6">
      <c r="A850" s="16"/>
      <c r="B850" s="17"/>
    </row>
    <row r="851" spans="1:2" ht="12.6">
      <c r="A851" s="16"/>
      <c r="B851" s="17"/>
    </row>
    <row r="852" spans="1:2" ht="12.6">
      <c r="A852" s="16"/>
      <c r="B852" s="17"/>
    </row>
    <row r="853" spans="1:2" ht="12.6">
      <c r="A853" s="16"/>
      <c r="B853" s="17"/>
    </row>
    <row r="854" spans="1:2" ht="12.6">
      <c r="A854" s="16"/>
      <c r="B854" s="17"/>
    </row>
    <row r="855" spans="1:2" ht="12.6">
      <c r="A855" s="16"/>
      <c r="B855" s="17"/>
    </row>
    <row r="856" spans="1:2" ht="12.6">
      <c r="A856" s="16"/>
      <c r="B856" s="17"/>
    </row>
    <row r="857" spans="1:2" ht="12.6">
      <c r="A857" s="16"/>
      <c r="B857" s="17"/>
    </row>
    <row r="858" spans="1:2" ht="12.6">
      <c r="A858" s="16"/>
      <c r="B858" s="17"/>
    </row>
    <row r="859" spans="1:2" ht="12.6">
      <c r="A859" s="16"/>
      <c r="B859" s="17"/>
    </row>
    <row r="860" spans="1:2" ht="12.6">
      <c r="A860" s="16"/>
      <c r="B860" s="17"/>
    </row>
    <row r="861" spans="1:2" ht="12.6">
      <c r="A861" s="16"/>
      <c r="B861" s="17"/>
    </row>
    <row r="862" spans="1:2" ht="12.6">
      <c r="A862" s="16"/>
      <c r="B862" s="17"/>
    </row>
    <row r="863" spans="1:2" ht="12.6">
      <c r="A863" s="16"/>
      <c r="B863" s="17"/>
    </row>
    <row r="864" spans="1:2" ht="12.6">
      <c r="A864" s="16"/>
      <c r="B864" s="17"/>
    </row>
    <row r="865" spans="1:2" ht="12.6">
      <c r="A865" s="16"/>
      <c r="B865" s="17"/>
    </row>
    <row r="866" spans="1:2" ht="12.6">
      <c r="A866" s="16"/>
      <c r="B866" s="17"/>
    </row>
    <row r="867" spans="1:2" ht="12.6">
      <c r="A867" s="16"/>
      <c r="B867" s="17"/>
    </row>
    <row r="868" spans="1:2" ht="12.6">
      <c r="A868" s="16"/>
      <c r="B868" s="17"/>
    </row>
    <row r="869" spans="1:2" ht="12.6">
      <c r="A869" s="16"/>
      <c r="B869" s="17"/>
    </row>
    <row r="870" spans="1:2" ht="12.6">
      <c r="A870" s="16"/>
      <c r="B870" s="17"/>
    </row>
    <row r="871" spans="1:2" ht="12.6">
      <c r="A871" s="16"/>
      <c r="B871" s="17"/>
    </row>
    <row r="872" spans="1:2" ht="12.6">
      <c r="A872" s="16"/>
      <c r="B872" s="17"/>
    </row>
    <row r="873" spans="1:2" ht="12.6">
      <c r="A873" s="16"/>
      <c r="B873" s="17"/>
    </row>
    <row r="874" spans="1:2" ht="12.6">
      <c r="A874" s="16"/>
      <c r="B874" s="17"/>
    </row>
    <row r="875" spans="1:2" ht="12.6">
      <c r="A875" s="16"/>
      <c r="B875" s="17"/>
    </row>
    <row r="876" spans="1:2" ht="12.6">
      <c r="A876" s="16"/>
      <c r="B876" s="17"/>
    </row>
    <row r="877" spans="1:2" ht="12.6">
      <c r="A877" s="16"/>
      <c r="B877" s="17"/>
    </row>
    <row r="878" spans="1:2" ht="12.6">
      <c r="A878" s="16"/>
      <c r="B878" s="17"/>
    </row>
    <row r="879" spans="1:2" ht="12.6">
      <c r="A879" s="16"/>
      <c r="B879" s="17"/>
    </row>
    <row r="880" spans="1:2" ht="12.6">
      <c r="A880" s="16"/>
      <c r="B880" s="17"/>
    </row>
    <row r="881" spans="1:2" ht="12.6">
      <c r="A881" s="16"/>
      <c r="B881" s="17"/>
    </row>
    <row r="882" spans="1:2" ht="12.6">
      <c r="A882" s="16"/>
      <c r="B882" s="17"/>
    </row>
    <row r="883" spans="1:2" ht="12.6">
      <c r="A883" s="16"/>
      <c r="B883" s="17"/>
    </row>
    <row r="884" spans="1:2" ht="12.6">
      <c r="A884" s="16"/>
      <c r="B884" s="17"/>
    </row>
    <row r="885" spans="1:2" ht="12.6">
      <c r="A885" s="16"/>
      <c r="B885" s="17"/>
    </row>
    <row r="886" spans="1:2" ht="12.6">
      <c r="A886" s="16"/>
      <c r="B886" s="17"/>
    </row>
    <row r="887" spans="1:2" ht="12.6">
      <c r="A887" s="16"/>
      <c r="B887" s="17"/>
    </row>
    <row r="888" spans="1:2" ht="12.6">
      <c r="A888" s="16"/>
      <c r="B888" s="17"/>
    </row>
    <row r="889" spans="1:2" ht="12.6">
      <c r="A889" s="16"/>
      <c r="B889" s="17"/>
    </row>
    <row r="890" spans="1:2" ht="12.6">
      <c r="A890" s="16"/>
      <c r="B890" s="17"/>
    </row>
    <row r="891" spans="1:2" ht="12.6">
      <c r="A891" s="16"/>
      <c r="B891" s="17"/>
    </row>
    <row r="892" spans="1:2" ht="12.6">
      <c r="A892" s="16"/>
      <c r="B892" s="17"/>
    </row>
    <row r="893" spans="1:2" ht="12.6">
      <c r="A893" s="16"/>
      <c r="B893" s="17"/>
    </row>
    <row r="894" spans="1:2" ht="12.6">
      <c r="A894" s="16"/>
      <c r="B894" s="17"/>
    </row>
    <row r="895" spans="1:2" ht="12.6">
      <c r="A895" s="16"/>
      <c r="B895" s="17"/>
    </row>
    <row r="896" spans="1:2" ht="12.6">
      <c r="A896" s="16"/>
      <c r="B896" s="17"/>
    </row>
    <row r="897" spans="1:2" ht="12.6">
      <c r="A897" s="16"/>
      <c r="B897" s="17"/>
    </row>
    <row r="898" spans="1:2" ht="12.6">
      <c r="A898" s="16"/>
      <c r="B898" s="17"/>
    </row>
    <row r="899" spans="1:2" ht="12.6">
      <c r="A899" s="16"/>
      <c r="B899" s="17"/>
    </row>
    <row r="900" spans="1:2" ht="12.6">
      <c r="A900" s="16"/>
      <c r="B900" s="17"/>
    </row>
    <row r="901" spans="1:2" ht="12.6">
      <c r="A901" s="16"/>
      <c r="B901" s="17"/>
    </row>
    <row r="902" spans="1:2" ht="12.6">
      <c r="A902" s="16"/>
      <c r="B902" s="17"/>
    </row>
    <row r="903" spans="1:2" ht="12.6">
      <c r="A903" s="16"/>
      <c r="B903" s="17"/>
    </row>
    <row r="904" spans="1:2" ht="12.6">
      <c r="A904" s="16"/>
      <c r="B904" s="17"/>
    </row>
    <row r="905" spans="1:2" ht="12.6">
      <c r="A905" s="16"/>
      <c r="B905" s="17"/>
    </row>
    <row r="906" spans="1:2" ht="12.6">
      <c r="A906" s="16"/>
      <c r="B906" s="17"/>
    </row>
    <row r="907" spans="1:2" ht="12.6">
      <c r="A907" s="16"/>
      <c r="B907" s="17"/>
    </row>
    <row r="908" spans="1:2" ht="12.6">
      <c r="A908" s="16"/>
      <c r="B908" s="17"/>
    </row>
    <row r="909" spans="1:2" ht="12.6">
      <c r="A909" s="16"/>
      <c r="B909" s="17"/>
    </row>
    <row r="910" spans="1:2" ht="12.6">
      <c r="A910" s="16"/>
      <c r="B910" s="17"/>
    </row>
    <row r="911" spans="1:2" ht="12.6">
      <c r="A911" s="16"/>
      <c r="B911" s="17"/>
    </row>
    <row r="912" spans="1:2" ht="12.6">
      <c r="A912" s="16"/>
      <c r="B912" s="17"/>
    </row>
    <row r="913" spans="1:2" ht="12.6">
      <c r="A913" s="16"/>
      <c r="B913" s="17"/>
    </row>
    <row r="914" spans="1:2" ht="12.6">
      <c r="A914" s="16"/>
      <c r="B914" s="17"/>
    </row>
    <row r="915" spans="1:2" ht="12.6">
      <c r="A915" s="16"/>
      <c r="B915" s="17"/>
    </row>
    <row r="916" spans="1:2" ht="12.6">
      <c r="A916" s="16"/>
      <c r="B916" s="17"/>
    </row>
    <row r="917" spans="1:2" ht="12.6">
      <c r="A917" s="16"/>
      <c r="B917" s="17"/>
    </row>
    <row r="918" spans="1:2" ht="12.6">
      <c r="A918" s="16"/>
      <c r="B918" s="17"/>
    </row>
    <row r="919" spans="1:2" ht="12.6">
      <c r="A919" s="16"/>
      <c r="B919" s="17"/>
    </row>
    <row r="920" spans="1:2" ht="12.6">
      <c r="A920" s="16"/>
      <c r="B920" s="17"/>
    </row>
    <row r="921" spans="1:2" ht="12.6">
      <c r="A921" s="16"/>
      <c r="B921" s="17"/>
    </row>
    <row r="922" spans="1:2" ht="12.6">
      <c r="A922" s="16"/>
      <c r="B922" s="17"/>
    </row>
    <row r="923" spans="1:2" ht="12.6">
      <c r="A923" s="16"/>
      <c r="B923" s="17"/>
    </row>
    <row r="924" spans="1:2" ht="12.6">
      <c r="A924" s="16"/>
      <c r="B924" s="17"/>
    </row>
    <row r="925" spans="1:2" ht="12.6">
      <c r="A925" s="16"/>
      <c r="B925" s="17"/>
    </row>
    <row r="926" spans="1:2" ht="12.6">
      <c r="A926" s="16"/>
      <c r="B926" s="17"/>
    </row>
    <row r="927" spans="1:2" ht="12.6">
      <c r="A927" s="16"/>
      <c r="B927" s="17"/>
    </row>
    <row r="928" spans="1:2" ht="12.6">
      <c r="A928" s="16"/>
      <c r="B928" s="17"/>
    </row>
    <row r="929" spans="1:2" ht="12.6">
      <c r="A929" s="16"/>
      <c r="B929" s="17"/>
    </row>
    <row r="930" spans="1:2" ht="12.6">
      <c r="A930" s="16"/>
      <c r="B930" s="17"/>
    </row>
    <row r="931" spans="1:2" ht="12.6">
      <c r="A931" s="16"/>
      <c r="B931" s="17"/>
    </row>
    <row r="932" spans="1:2" ht="12.6">
      <c r="A932" s="16"/>
      <c r="B932" s="17"/>
    </row>
    <row r="933" spans="1:2" ht="12.6">
      <c r="A933" s="16"/>
      <c r="B933" s="17"/>
    </row>
    <row r="934" spans="1:2" ht="12.6">
      <c r="A934" s="16"/>
      <c r="B934" s="17"/>
    </row>
    <row r="935" spans="1:2" ht="12.6">
      <c r="A935" s="16"/>
      <c r="B935" s="17"/>
    </row>
    <row r="936" spans="1:2" ht="12.6">
      <c r="A936" s="16"/>
      <c r="B936" s="17"/>
    </row>
    <row r="937" spans="1:2" ht="12.6">
      <c r="A937" s="16"/>
      <c r="B937" s="17"/>
    </row>
    <row r="938" spans="1:2" ht="12.6">
      <c r="A938" s="16"/>
      <c r="B938" s="17"/>
    </row>
    <row r="939" spans="1:2" ht="12.6">
      <c r="A939" s="16"/>
      <c r="B939" s="17"/>
    </row>
    <row r="940" spans="1:2" ht="12.6">
      <c r="A940" s="16"/>
      <c r="B940" s="17"/>
    </row>
    <row r="941" spans="1:2" ht="12.6">
      <c r="A941" s="16"/>
      <c r="B941" s="17"/>
    </row>
    <row r="942" spans="1:2" ht="12.6">
      <c r="A942" s="16"/>
      <c r="B942" s="17"/>
    </row>
    <row r="943" spans="1:2" ht="12.6">
      <c r="A943" s="16"/>
      <c r="B943" s="17"/>
    </row>
    <row r="944" spans="1:2" ht="12.6">
      <c r="A944" s="16"/>
      <c r="B944" s="17"/>
    </row>
    <row r="945" spans="1:2" ht="12.6">
      <c r="A945" s="16"/>
      <c r="B945" s="17"/>
    </row>
    <row r="946" spans="1:2" ht="12.6">
      <c r="A946" s="16"/>
      <c r="B946" s="17"/>
    </row>
    <row r="947" spans="1:2" ht="12.6">
      <c r="A947" s="16"/>
      <c r="B947" s="17"/>
    </row>
    <row r="948" spans="1:2" ht="12.6">
      <c r="A948" s="16"/>
      <c r="B948" s="17"/>
    </row>
    <row r="949" spans="1:2" ht="12.6">
      <c r="A949" s="16"/>
      <c r="B949" s="17"/>
    </row>
    <row r="950" spans="1:2" ht="12.6">
      <c r="A950" s="16"/>
      <c r="B950" s="17"/>
    </row>
    <row r="951" spans="1:2" ht="12.6">
      <c r="A951" s="16"/>
      <c r="B951" s="17"/>
    </row>
    <row r="952" spans="1:2" ht="12.6">
      <c r="A952" s="16"/>
      <c r="B952" s="17"/>
    </row>
    <row r="953" spans="1:2" ht="12.6">
      <c r="A953" s="16"/>
      <c r="B953" s="17"/>
    </row>
    <row r="954" spans="1:2" ht="12.6">
      <c r="A954" s="16"/>
      <c r="B954" s="17"/>
    </row>
    <row r="955" spans="1:2" ht="12.6">
      <c r="A955" s="16"/>
      <c r="B955" s="17"/>
    </row>
    <row r="956" spans="1:2" ht="12.6">
      <c r="A956" s="16"/>
      <c r="B956" s="17"/>
    </row>
    <row r="957" spans="1:2" ht="12.6">
      <c r="A957" s="16"/>
      <c r="B957" s="17"/>
    </row>
    <row r="958" spans="1:2" ht="12.6">
      <c r="A958" s="16"/>
      <c r="B958" s="17"/>
    </row>
    <row r="959" spans="1:2" ht="12.6">
      <c r="A959" s="16"/>
      <c r="B959" s="17"/>
    </row>
    <row r="960" spans="1:2" ht="12.6">
      <c r="A960" s="16"/>
      <c r="B960" s="17"/>
    </row>
    <row r="961" spans="1:2" ht="12.6">
      <c r="A961" s="16"/>
      <c r="B961" s="17"/>
    </row>
    <row r="962" spans="1:2" ht="12.6">
      <c r="A962" s="16"/>
      <c r="B962" s="17"/>
    </row>
    <row r="963" spans="1:2" ht="12.6">
      <c r="A963" s="16"/>
      <c r="B963" s="17"/>
    </row>
    <row r="964" spans="1:2" ht="12.6">
      <c r="A964" s="16"/>
      <c r="B964" s="17"/>
    </row>
    <row r="965" spans="1:2" ht="12.6">
      <c r="A965" s="16"/>
      <c r="B965" s="17"/>
    </row>
    <row r="966" spans="1:2" ht="12.6">
      <c r="A966" s="16"/>
      <c r="B966" s="17"/>
    </row>
    <row r="967" spans="1:2" ht="12.6">
      <c r="A967" s="16"/>
      <c r="B967" s="17"/>
    </row>
    <row r="968" spans="1:2" ht="12.6">
      <c r="A968" s="16"/>
      <c r="B968" s="17"/>
    </row>
    <row r="969" spans="1:2" ht="12.6">
      <c r="A969" s="16"/>
      <c r="B969" s="17"/>
    </row>
    <row r="970" spans="1:2" ht="12.6">
      <c r="A970" s="16"/>
      <c r="B970" s="17"/>
    </row>
    <row r="971" spans="1:2" ht="12.6">
      <c r="A971" s="16"/>
      <c r="B971" s="17"/>
    </row>
    <row r="972" spans="1:2" ht="12.6">
      <c r="A972" s="16"/>
      <c r="B972" s="17"/>
    </row>
    <row r="973" spans="1:2" ht="12.6">
      <c r="A973" s="16"/>
      <c r="B973" s="17"/>
    </row>
    <row r="974" spans="1:2" ht="12.6">
      <c r="A974" s="16"/>
      <c r="B974" s="17"/>
    </row>
    <row r="975" spans="1:2" ht="12.6">
      <c r="A975" s="16"/>
      <c r="B975" s="17"/>
    </row>
    <row r="976" spans="1:2" ht="12.6">
      <c r="A976" s="16"/>
      <c r="B976" s="17"/>
    </row>
    <row r="977" spans="1:2" ht="12.6">
      <c r="A977" s="16"/>
      <c r="B977" s="17"/>
    </row>
    <row r="978" spans="1:2" ht="12.6">
      <c r="A978" s="16"/>
      <c r="B978" s="17"/>
    </row>
    <row r="979" spans="1:2" ht="12.6">
      <c r="A979" s="16"/>
      <c r="B979" s="17"/>
    </row>
    <row r="980" spans="1:2" ht="12.6">
      <c r="A980" s="16"/>
      <c r="B980" s="17"/>
    </row>
    <row r="981" spans="1:2" ht="12.6">
      <c r="A981" s="16"/>
      <c r="B981" s="17"/>
    </row>
    <row r="982" spans="1:2" ht="12.6">
      <c r="A982" s="16"/>
      <c r="B982" s="17"/>
    </row>
    <row r="983" spans="1:2" ht="12.6">
      <c r="A983" s="16"/>
      <c r="B983" s="17"/>
    </row>
    <row r="984" spans="1:2" ht="12.6">
      <c r="A984" s="16"/>
      <c r="B984" s="17"/>
    </row>
    <row r="985" spans="1:2" ht="12.6">
      <c r="A985" s="16"/>
      <c r="B985" s="17"/>
    </row>
    <row r="986" spans="1:2" ht="12.6">
      <c r="A986" s="16"/>
      <c r="B986" s="17"/>
    </row>
    <row r="987" spans="1:2" ht="12.6">
      <c r="A987" s="16"/>
      <c r="B987" s="17"/>
    </row>
    <row r="988" spans="1:2" ht="12.6">
      <c r="A988" s="16"/>
      <c r="B988" s="17"/>
    </row>
    <row r="989" spans="1:2" ht="12.6">
      <c r="A989" s="16"/>
      <c r="B989" s="17"/>
    </row>
    <row r="990" spans="1:2" ht="12.6">
      <c r="A990" s="16"/>
      <c r="B990" s="17"/>
    </row>
    <row r="991" spans="1:2" ht="12.6">
      <c r="A991" s="16"/>
      <c r="B991" s="17"/>
    </row>
    <row r="992" spans="1:2" ht="12.6">
      <c r="A992" s="16"/>
      <c r="B992" s="17"/>
    </row>
    <row r="993" spans="1:2" ht="12.6">
      <c r="A993" s="16"/>
      <c r="B993" s="17"/>
    </row>
    <row r="994" spans="1:2" ht="12.6">
      <c r="A994" s="16"/>
      <c r="B994" s="17"/>
    </row>
    <row r="995" spans="1:2" ht="12.6">
      <c r="A995" s="16"/>
      <c r="B995" s="17"/>
    </row>
    <row r="996" spans="1:2" ht="12.6">
      <c r="A996" s="16"/>
      <c r="B996" s="17"/>
    </row>
    <row r="997" spans="1:2" ht="12.6">
      <c r="A997" s="16"/>
      <c r="B997" s="17"/>
    </row>
    <row r="998" spans="1:2" ht="12.6">
      <c r="A998" s="16"/>
      <c r="B998" s="17"/>
    </row>
    <row r="999" spans="1:2" ht="12.6">
      <c r="A999" s="16"/>
      <c r="B999" s="17"/>
    </row>
    <row r="1000" spans="1:2" ht="12.6">
      <c r="A1000" s="16"/>
      <c r="B1000" s="17"/>
    </row>
    <row r="1001" spans="1:2" ht="12.6">
      <c r="A1001" s="16"/>
      <c r="B1001" s="17"/>
    </row>
    <row r="1002" spans="1:2" ht="12.6">
      <c r="A1002" s="16"/>
      <c r="B1002" s="17"/>
    </row>
    <row r="1003" spans="1:2" ht="12.6">
      <c r="A1003" s="16"/>
      <c r="B1003" s="17"/>
    </row>
    <row r="1004" spans="1:2" ht="12.6">
      <c r="A1004" s="16"/>
      <c r="B1004" s="17"/>
    </row>
    <row r="1005" spans="1:2" ht="12.6">
      <c r="A1005" s="16"/>
      <c r="B1005" s="17"/>
    </row>
    <row r="1006" spans="1:2" ht="12.6">
      <c r="A1006" s="16"/>
      <c r="B1006" s="17"/>
    </row>
    <row r="1007" spans="1:2" ht="12.6">
      <c r="A1007" s="16"/>
      <c r="B1007" s="17"/>
    </row>
    <row r="1008" spans="1:2" ht="12.6">
      <c r="A1008" s="16"/>
      <c r="B1008" s="17"/>
    </row>
    <row r="1009" spans="1:2" ht="12.6">
      <c r="A1009" s="16"/>
      <c r="B1009" s="17"/>
    </row>
    <row r="1010" spans="1:2" ht="12.6">
      <c r="A1010" s="16"/>
      <c r="B1010" s="17"/>
    </row>
    <row r="1011" spans="1:2" ht="12.6">
      <c r="A1011" s="16"/>
      <c r="B1011" s="17"/>
    </row>
  </sheetData>
  <mergeCells count="13">
    <mergeCell ref="A5:A6"/>
    <mergeCell ref="A9:A12"/>
    <mergeCell ref="B9:B12"/>
    <mergeCell ref="A13:A16"/>
    <mergeCell ref="B13:B16"/>
    <mergeCell ref="B5:B6"/>
    <mergeCell ref="C17:D17"/>
    <mergeCell ref="C1:D1"/>
    <mergeCell ref="C2:D2"/>
    <mergeCell ref="C3:D3"/>
    <mergeCell ref="C4:D4"/>
    <mergeCell ref="C7:D7"/>
    <mergeCell ref="C8:D8"/>
  </mergeCells>
  <hyperlinks>
    <hyperlink ref="B9" r:id="rId1" xr:uid="{00000000-0004-0000-0000-000000000000}"/>
    <hyperlink ref="B1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sheetViews>
  <sheetFormatPr defaultColWidth="12.7109375" defaultRowHeight="15.75" customHeight="1"/>
  <cols>
    <col min="1" max="1" width="17.28515625" customWidth="1"/>
    <col min="2" max="2" width="37.28515625" customWidth="1"/>
    <col min="3" max="3" width="96.85546875" customWidth="1"/>
    <col min="4" max="4" width="2.7109375" customWidth="1"/>
  </cols>
  <sheetData>
    <row r="1" spans="1:3" ht="12.95">
      <c r="A1" s="1"/>
      <c r="B1" s="18" t="s">
        <v>0</v>
      </c>
      <c r="C1" s="19"/>
    </row>
    <row r="2" spans="1:3" ht="120" customHeight="1">
      <c r="A2" s="3" t="s">
        <v>35</v>
      </c>
      <c r="B2" s="389" t="s">
        <v>36</v>
      </c>
      <c r="C2" s="92" t="s">
        <v>37</v>
      </c>
    </row>
    <row r="3" spans="1:3" ht="137.25" customHeight="1">
      <c r="A3" s="3" t="s">
        <v>38</v>
      </c>
      <c r="B3" s="404"/>
      <c r="C3" s="92" t="s">
        <v>39</v>
      </c>
    </row>
    <row r="4" spans="1:3" ht="136.5" customHeight="1">
      <c r="A4" s="3" t="s">
        <v>40</v>
      </c>
      <c r="B4" s="404"/>
      <c r="C4" s="92" t="s">
        <v>41</v>
      </c>
    </row>
    <row r="5" spans="1:3" ht="128.25" customHeight="1">
      <c r="A5" s="3" t="s">
        <v>42</v>
      </c>
      <c r="B5" s="404"/>
      <c r="C5" s="92" t="s">
        <v>39</v>
      </c>
    </row>
    <row r="6" spans="1:3" ht="177" customHeight="1">
      <c r="A6" s="21" t="s">
        <v>43</v>
      </c>
      <c r="B6" s="405"/>
      <c r="C6" s="93" t="s">
        <v>44</v>
      </c>
    </row>
    <row r="7" spans="1:3" ht="12.95">
      <c r="A7" s="16"/>
      <c r="B7" s="23"/>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6"/>
  <sheetViews>
    <sheetView workbookViewId="0"/>
  </sheetViews>
  <sheetFormatPr defaultColWidth="12.7109375" defaultRowHeight="15.75" customHeight="1"/>
  <cols>
    <col min="1" max="1" width="6.7109375" customWidth="1"/>
    <col min="2" max="4" width="28.28515625" customWidth="1"/>
    <col min="5" max="5" width="37.85546875" customWidth="1"/>
    <col min="6" max="6" width="75.7109375" customWidth="1"/>
    <col min="7" max="7" width="20" customWidth="1"/>
    <col min="8" max="8" width="4.28515625" customWidth="1"/>
  </cols>
  <sheetData>
    <row r="1" spans="1:8" ht="12.95">
      <c r="A1" s="24"/>
      <c r="B1" s="24"/>
      <c r="C1" s="24"/>
      <c r="D1" s="24"/>
      <c r="E1" s="25"/>
    </row>
    <row r="2" spans="1:8" ht="30.6" customHeight="1">
      <c r="A2" s="26"/>
      <c r="B2" s="27" t="s">
        <v>45</v>
      </c>
      <c r="C2" s="27" t="s">
        <v>46</v>
      </c>
      <c r="D2" s="27" t="s">
        <v>47</v>
      </c>
      <c r="E2" s="28" t="s">
        <v>48</v>
      </c>
      <c r="F2" s="27" t="s">
        <v>49</v>
      </c>
      <c r="G2" s="29" t="s">
        <v>50</v>
      </c>
      <c r="H2" s="30"/>
    </row>
    <row r="3" spans="1:8" ht="192" customHeight="1">
      <c r="A3" s="31" t="s">
        <v>51</v>
      </c>
      <c r="B3" s="80" t="s">
        <v>52</v>
      </c>
      <c r="C3" s="32" t="s">
        <v>53</v>
      </c>
      <c r="D3" s="32" t="s">
        <v>54</v>
      </c>
      <c r="E3" s="33" t="s">
        <v>55</v>
      </c>
      <c r="F3" s="34" t="s">
        <v>56</v>
      </c>
      <c r="G3" s="81" t="s">
        <v>57</v>
      </c>
      <c r="H3" s="35"/>
    </row>
    <row r="4" spans="1:8" ht="37.5">
      <c r="A4" s="36"/>
      <c r="B4" s="97" t="s">
        <v>58</v>
      </c>
      <c r="C4" s="97" t="s">
        <v>59</v>
      </c>
      <c r="D4" s="98" t="s">
        <v>60</v>
      </c>
      <c r="E4" s="37"/>
      <c r="F4" s="69" t="s">
        <v>61</v>
      </c>
      <c r="G4" s="20"/>
    </row>
    <row r="5" spans="1:8" ht="24.95">
      <c r="A5" s="36"/>
      <c r="B5" s="99" t="s">
        <v>62</v>
      </c>
      <c r="C5" s="97" t="s">
        <v>63</v>
      </c>
      <c r="D5" s="98" t="s">
        <v>60</v>
      </c>
      <c r="E5" s="37"/>
      <c r="F5" s="69"/>
      <c r="G5" s="20"/>
    </row>
    <row r="6" spans="1:8" ht="37.5">
      <c r="A6" s="36"/>
      <c r="B6" s="99" t="s">
        <v>64</v>
      </c>
      <c r="C6" s="97" t="s">
        <v>63</v>
      </c>
      <c r="D6" s="98" t="s">
        <v>60</v>
      </c>
      <c r="E6" s="37"/>
      <c r="F6" s="69" t="s">
        <v>65</v>
      </c>
      <c r="G6" s="20"/>
    </row>
    <row r="7" spans="1:8" ht="12.95">
      <c r="A7" s="36"/>
      <c r="B7" s="99" t="s">
        <v>66</v>
      </c>
      <c r="C7" s="99"/>
      <c r="D7" s="98"/>
      <c r="E7" s="37"/>
      <c r="F7" s="69"/>
      <c r="G7" s="20"/>
    </row>
    <row r="8" spans="1:8" ht="12.95">
      <c r="A8" s="36"/>
      <c r="B8" s="99" t="s">
        <v>67</v>
      </c>
      <c r="C8" s="99"/>
      <c r="D8" s="98"/>
      <c r="E8" s="37"/>
      <c r="F8" s="69"/>
      <c r="G8" s="20"/>
    </row>
    <row r="9" spans="1:8" ht="12.95">
      <c r="A9" s="36"/>
      <c r="B9" s="98"/>
      <c r="C9" s="99"/>
      <c r="D9" s="98"/>
      <c r="E9" s="37"/>
      <c r="F9" s="69"/>
      <c r="G9" s="20"/>
    </row>
    <row r="10" spans="1:8" ht="12.95">
      <c r="A10" s="36"/>
      <c r="B10" s="98"/>
      <c r="C10" s="99"/>
      <c r="D10" s="98"/>
      <c r="E10" s="37"/>
      <c r="F10" s="69"/>
      <c r="G10" s="20"/>
    </row>
    <row r="11" spans="1:8" ht="12.95">
      <c r="A11" s="36"/>
      <c r="B11" s="98"/>
      <c r="C11" s="99"/>
      <c r="D11" s="98"/>
      <c r="E11" s="37"/>
      <c r="F11" s="69"/>
      <c r="G11" s="20"/>
    </row>
    <row r="12" spans="1:8" ht="12.95">
      <c r="A12" s="36"/>
      <c r="B12" s="98"/>
      <c r="C12" s="99"/>
      <c r="D12" s="98"/>
      <c r="E12" s="37"/>
      <c r="F12" s="69"/>
      <c r="G12" s="20"/>
    </row>
    <row r="13" spans="1:8" ht="12.95">
      <c r="A13" s="36"/>
      <c r="B13" s="99" t="s">
        <v>68</v>
      </c>
      <c r="C13" s="99"/>
      <c r="D13" s="98"/>
      <c r="E13" s="37"/>
      <c r="F13" s="69"/>
      <c r="G13" s="20"/>
    </row>
    <row r="14" spans="1:8" ht="24.95">
      <c r="A14" s="36"/>
      <c r="B14" s="99" t="s">
        <v>69</v>
      </c>
      <c r="C14" s="99"/>
      <c r="D14" s="98" t="s">
        <v>70</v>
      </c>
      <c r="E14" s="37"/>
      <c r="F14" s="69"/>
      <c r="G14" s="20"/>
    </row>
    <row r="15" spans="1:8" ht="12.95">
      <c r="A15" s="36"/>
      <c r="B15" s="99" t="s">
        <v>71</v>
      </c>
      <c r="C15" s="99"/>
      <c r="D15" s="98"/>
      <c r="E15" s="37"/>
      <c r="F15" s="69"/>
      <c r="G15" s="20"/>
    </row>
    <row r="16" spans="1:8" ht="12.95">
      <c r="A16" s="36"/>
      <c r="B16" s="98" t="s">
        <v>72</v>
      </c>
      <c r="C16" s="98"/>
      <c r="D16" s="98" t="s">
        <v>73</v>
      </c>
      <c r="E16" s="37"/>
      <c r="F16" s="69"/>
      <c r="G16" s="20"/>
    </row>
    <row r="17" spans="1:7" ht="12.95">
      <c r="A17" s="36"/>
      <c r="B17" s="98"/>
      <c r="C17" s="98"/>
      <c r="D17" s="98"/>
      <c r="E17" s="37"/>
      <c r="F17" s="69"/>
      <c r="G17" s="20"/>
    </row>
    <row r="18" spans="1:7" ht="12.95">
      <c r="A18" s="36"/>
      <c r="B18" s="98"/>
      <c r="C18" s="98"/>
      <c r="D18" s="98"/>
      <c r="E18" s="37"/>
      <c r="F18" s="69"/>
      <c r="G18" s="20"/>
    </row>
    <row r="19" spans="1:7" ht="12.95">
      <c r="A19" s="36"/>
      <c r="B19" s="98"/>
      <c r="C19" s="98"/>
      <c r="D19" s="98"/>
      <c r="E19" s="37"/>
      <c r="F19" s="69"/>
      <c r="G19" s="20"/>
    </row>
    <row r="20" spans="1:7" ht="12.95">
      <c r="A20" s="36"/>
      <c r="B20" s="98"/>
      <c r="C20" s="98"/>
      <c r="D20" s="98"/>
      <c r="E20" s="37"/>
      <c r="F20" s="69"/>
      <c r="G20" s="20"/>
    </row>
    <row r="21" spans="1:7" ht="12.95">
      <c r="A21" s="36"/>
      <c r="B21" s="98"/>
      <c r="C21" s="98"/>
      <c r="D21" s="98"/>
      <c r="E21" s="37"/>
      <c r="F21" s="69"/>
      <c r="G21" s="20"/>
    </row>
    <row r="22" spans="1:7" ht="12.95">
      <c r="A22" s="36"/>
      <c r="B22" s="98"/>
      <c r="C22" s="98"/>
      <c r="D22" s="98"/>
      <c r="E22" s="37"/>
      <c r="F22" s="69"/>
      <c r="G22" s="20"/>
    </row>
    <row r="23" spans="1:7" ht="12.95">
      <c r="A23" s="36"/>
      <c r="B23" s="98"/>
      <c r="C23" s="98"/>
      <c r="D23" s="98"/>
      <c r="E23" s="37"/>
      <c r="F23" s="69"/>
      <c r="G23" s="20"/>
    </row>
    <row r="24" spans="1:7" ht="12.95">
      <c r="A24" s="36"/>
      <c r="B24" s="98"/>
      <c r="C24" s="98"/>
      <c r="D24" s="98"/>
      <c r="E24" s="37"/>
      <c r="F24" s="69"/>
      <c r="G24" s="20"/>
    </row>
    <row r="25" spans="1:7" ht="12.95">
      <c r="A25" s="39"/>
      <c r="B25" s="100"/>
      <c r="C25" s="100"/>
      <c r="D25" s="100"/>
      <c r="E25" s="40"/>
      <c r="F25" s="101"/>
      <c r="G25" s="22"/>
    </row>
    <row r="26" spans="1:7" ht="12.95">
      <c r="A26" s="24"/>
      <c r="B26" s="24"/>
      <c r="C26" s="24"/>
      <c r="D26" s="24"/>
      <c r="E26" s="23"/>
    </row>
  </sheetData>
  <hyperlinks>
    <hyperlink ref="B3" r:id="rId1" xr:uid="{00000000-0004-0000-0200-000000000000}"/>
    <hyperlink ref="G3"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2"/>
  <sheetViews>
    <sheetView workbookViewId="0"/>
  </sheetViews>
  <sheetFormatPr defaultColWidth="12.7109375" defaultRowHeight="15.75" customHeight="1"/>
  <cols>
    <col min="1" max="1" width="8.140625" customWidth="1"/>
    <col min="2" max="2" width="36.5703125" customWidth="1"/>
    <col min="3" max="3" width="41.28515625" customWidth="1"/>
    <col min="4" max="4" width="113" customWidth="1"/>
    <col min="5" max="5" width="4.28515625" customWidth="1"/>
  </cols>
  <sheetData>
    <row r="1" spans="1:5" ht="15.75" customHeight="1">
      <c r="A1" s="41"/>
      <c r="B1" s="42" t="s">
        <v>74</v>
      </c>
      <c r="C1" s="42" t="s">
        <v>75</v>
      </c>
      <c r="D1" s="43" t="s">
        <v>76</v>
      </c>
      <c r="E1" s="44"/>
    </row>
    <row r="2" spans="1:5" ht="15.75" customHeight="1">
      <c r="A2" s="45" t="s">
        <v>51</v>
      </c>
      <c r="B2" s="34" t="s">
        <v>77</v>
      </c>
      <c r="C2" s="34" t="s">
        <v>78</v>
      </c>
      <c r="D2" s="32" t="s">
        <v>79</v>
      </c>
      <c r="E2" s="46"/>
    </row>
    <row r="3" spans="1:5" ht="15.75" customHeight="1">
      <c r="A3" s="45" t="s">
        <v>80</v>
      </c>
      <c r="B3" s="47" t="s">
        <v>81</v>
      </c>
      <c r="C3" s="34" t="s">
        <v>82</v>
      </c>
      <c r="D3" s="34" t="s">
        <v>83</v>
      </c>
      <c r="E3" s="46"/>
    </row>
    <row r="4" spans="1:5" s="79" customFormat="1" ht="62.45">
      <c r="A4" s="63"/>
      <c r="B4" s="102" t="s">
        <v>84</v>
      </c>
      <c r="C4" s="102" t="s">
        <v>85</v>
      </c>
      <c r="D4" s="102" t="s">
        <v>86</v>
      </c>
    </row>
    <row r="5" spans="1:5" s="79" customFormat="1" ht="62.45">
      <c r="A5" s="63"/>
      <c r="B5" s="102" t="s">
        <v>87</v>
      </c>
      <c r="C5" s="102" t="s">
        <v>88</v>
      </c>
      <c r="D5" s="102" t="s">
        <v>89</v>
      </c>
    </row>
    <row r="6" spans="1:5" s="79" customFormat="1" ht="37.5">
      <c r="A6" s="63"/>
      <c r="B6" s="102" t="s">
        <v>90</v>
      </c>
      <c r="C6" s="102" t="s">
        <v>91</v>
      </c>
      <c r="D6" s="103"/>
    </row>
    <row r="7" spans="1:5" ht="15.75" customHeight="1">
      <c r="A7" s="48"/>
      <c r="B7" s="38"/>
      <c r="C7" s="38"/>
      <c r="D7" s="38"/>
    </row>
    <row r="8" spans="1:5" ht="15.75" customHeight="1">
      <c r="A8" s="48"/>
      <c r="B8" s="38"/>
      <c r="C8" s="38"/>
      <c r="D8" s="38"/>
    </row>
    <row r="9" spans="1:5" ht="15.75" customHeight="1">
      <c r="A9" s="48"/>
      <c r="B9" s="38"/>
      <c r="C9" s="38"/>
      <c r="D9" s="38"/>
    </row>
    <row r="10" spans="1:5" ht="15.75" customHeight="1">
      <c r="A10" s="48"/>
      <c r="B10" s="38"/>
      <c r="C10" s="38"/>
      <c r="D10" s="38"/>
    </row>
    <row r="11" spans="1:5" ht="12.6">
      <c r="A11" s="49"/>
      <c r="B11" s="50"/>
      <c r="C11" s="50"/>
      <c r="D11" s="50"/>
    </row>
    <row r="12" spans="1:5" ht="12.6">
      <c r="A12" s="5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3"/>
  <sheetViews>
    <sheetView topLeftCell="A3" workbookViewId="0"/>
  </sheetViews>
  <sheetFormatPr defaultColWidth="12.7109375" defaultRowHeight="15.75" customHeight="1"/>
  <cols>
    <col min="1" max="1" width="24.28515625" customWidth="1"/>
    <col min="2" max="2" width="50.7109375" customWidth="1"/>
    <col min="3" max="3" width="102.85546875" customWidth="1"/>
  </cols>
  <sheetData>
    <row r="1" spans="1:3" ht="12.95">
      <c r="A1" s="52"/>
      <c r="B1" s="18" t="s">
        <v>0</v>
      </c>
    </row>
    <row r="2" spans="1:3" ht="409.6" customHeight="1">
      <c r="A2" s="53" t="s">
        <v>92</v>
      </c>
      <c r="B2" s="82" t="s">
        <v>93</v>
      </c>
      <c r="C2" s="89" t="s">
        <v>94</v>
      </c>
    </row>
    <row r="3" spans="1:3" ht="409.6" customHeight="1">
      <c r="A3" s="53" t="s">
        <v>95</v>
      </c>
      <c r="B3" s="33" t="s">
        <v>96</v>
      </c>
      <c r="C3" s="89" t="s">
        <v>97</v>
      </c>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157"/>
  <sheetViews>
    <sheetView tabSelected="1" topLeftCell="H1" zoomScale="40" zoomScaleNormal="40" workbookViewId="0">
      <pane ySplit="1" topLeftCell="A54" activePane="bottomLeft" state="frozen"/>
      <selection pane="bottomLeft" activeCell="R76" sqref="R76"/>
    </sheetView>
  </sheetViews>
  <sheetFormatPr defaultColWidth="12.7109375" defaultRowHeight="15.75" customHeight="1" outlineLevelCol="1"/>
  <cols>
    <col min="1" max="1" width="8" customWidth="1"/>
    <col min="2" max="2" width="13.7109375" style="96" customWidth="1"/>
    <col min="3" max="3" width="12.42578125" hidden="1" customWidth="1"/>
    <col min="4" max="4" width="6.85546875" customWidth="1"/>
    <col min="5" max="5" width="12.7109375" customWidth="1"/>
    <col min="6" max="6" width="11.140625" customWidth="1"/>
    <col min="7" max="7" width="11" style="86" customWidth="1"/>
    <col min="8" max="8" width="28.140625" customWidth="1"/>
    <col min="9" max="9" width="32.140625" customWidth="1" collapsed="1"/>
    <col min="10" max="10" width="25.140625" hidden="1" customWidth="1" outlineLevel="1"/>
    <col min="11" max="11" width="19.5703125" hidden="1" customWidth="1" outlineLevel="1"/>
    <col min="12" max="12" width="17.85546875" hidden="1" customWidth="1" outlineLevel="1"/>
    <col min="13" max="13" width="15.42578125" hidden="1" customWidth="1" outlineLevel="1"/>
    <col min="14" max="14" width="29" hidden="1" customWidth="1" outlineLevel="1"/>
    <col min="15" max="15" width="18.85546875" customWidth="1"/>
    <col min="16" max="20" width="16" customWidth="1"/>
    <col min="21" max="21" width="12.7109375" style="96"/>
    <col min="22" max="22" width="25.140625" customWidth="1"/>
    <col min="24" max="24" width="22.140625" style="96" customWidth="1"/>
  </cols>
  <sheetData>
    <row r="1" spans="1:24" s="79" customFormat="1" ht="97.5" customHeight="1">
      <c r="A1" s="120" t="s">
        <v>98</v>
      </c>
      <c r="B1" s="121" t="s">
        <v>99</v>
      </c>
      <c r="C1" s="121" t="s">
        <v>100</v>
      </c>
      <c r="D1" s="120" t="s">
        <v>101</v>
      </c>
      <c r="E1" s="120" t="s">
        <v>102</v>
      </c>
      <c r="F1" s="121" t="s">
        <v>103</v>
      </c>
      <c r="G1" s="120" t="s">
        <v>104</v>
      </c>
      <c r="H1" s="121" t="s">
        <v>105</v>
      </c>
      <c r="I1" s="121" t="s">
        <v>106</v>
      </c>
      <c r="J1" s="121" t="s">
        <v>107</v>
      </c>
      <c r="K1" s="121" t="s">
        <v>108</v>
      </c>
      <c r="L1" s="121" t="s">
        <v>109</v>
      </c>
      <c r="M1" s="121" t="s">
        <v>110</v>
      </c>
      <c r="N1" s="121" t="s">
        <v>111</v>
      </c>
      <c r="O1" s="303" t="s">
        <v>112</v>
      </c>
      <c r="P1" s="121" t="s">
        <v>113</v>
      </c>
      <c r="Q1" s="121" t="s">
        <v>114</v>
      </c>
      <c r="R1" s="121" t="s">
        <v>115</v>
      </c>
      <c r="S1" s="121" t="s">
        <v>116</v>
      </c>
      <c r="T1" s="121" t="s">
        <v>117</v>
      </c>
      <c r="U1" s="121" t="s">
        <v>118</v>
      </c>
      <c r="V1" s="121" t="s">
        <v>119</v>
      </c>
      <c r="W1" s="122"/>
      <c r="X1" s="123" t="s">
        <v>120</v>
      </c>
    </row>
    <row r="2" spans="1:24" s="79" customFormat="1" ht="153.75" customHeight="1">
      <c r="A2" s="124" t="s">
        <v>121</v>
      </c>
      <c r="B2" s="125" t="s">
        <v>122</v>
      </c>
      <c r="C2" s="126"/>
      <c r="D2" s="126">
        <v>2</v>
      </c>
      <c r="E2" s="357" t="s">
        <v>84</v>
      </c>
      <c r="F2" s="126"/>
      <c r="G2" s="127">
        <v>2.1</v>
      </c>
      <c r="H2" s="360" t="s">
        <v>85</v>
      </c>
      <c r="I2" s="128" t="s">
        <v>123</v>
      </c>
      <c r="J2" s="129" t="s">
        <v>124</v>
      </c>
      <c r="K2" s="129" t="s">
        <v>125</v>
      </c>
      <c r="L2" s="129" t="s">
        <v>126</v>
      </c>
      <c r="M2" s="130" t="s">
        <v>127</v>
      </c>
      <c r="N2" s="360" t="s">
        <v>86</v>
      </c>
      <c r="O2" s="131" t="s">
        <v>128</v>
      </c>
      <c r="P2" s="131" t="s">
        <v>129</v>
      </c>
      <c r="Q2" s="131" t="s">
        <v>130</v>
      </c>
      <c r="R2" s="131" t="s">
        <v>131</v>
      </c>
      <c r="S2" s="131" t="s">
        <v>132</v>
      </c>
      <c r="T2" s="131" t="s">
        <v>133</v>
      </c>
      <c r="U2" s="132"/>
      <c r="V2" s="133"/>
      <c r="W2" s="122"/>
      <c r="X2" s="123"/>
    </row>
    <row r="3" spans="1:24" s="79" customFormat="1" ht="204" customHeight="1">
      <c r="A3" s="124" t="s">
        <v>121</v>
      </c>
      <c r="B3" s="125"/>
      <c r="C3" s="126"/>
      <c r="D3" s="126"/>
      <c r="E3" s="358"/>
      <c r="F3" s="126"/>
      <c r="G3" s="127"/>
      <c r="H3" s="361"/>
      <c r="I3" s="135" t="s">
        <v>134</v>
      </c>
      <c r="J3" s="136" t="s">
        <v>135</v>
      </c>
      <c r="K3" s="129" t="s">
        <v>125</v>
      </c>
      <c r="L3" s="129" t="s">
        <v>136</v>
      </c>
      <c r="M3" s="130" t="s">
        <v>127</v>
      </c>
      <c r="N3" s="361"/>
      <c r="O3" s="137" t="s">
        <v>137</v>
      </c>
      <c r="P3" s="130"/>
      <c r="Q3" s="130"/>
      <c r="R3" s="130"/>
      <c r="S3" s="130"/>
      <c r="T3" s="130"/>
      <c r="U3" s="132"/>
      <c r="V3" s="133"/>
      <c r="W3" s="122"/>
      <c r="X3" s="123"/>
    </row>
    <row r="4" spans="1:24" s="79" customFormat="1" ht="76.5" customHeight="1">
      <c r="A4" s="124" t="s">
        <v>121</v>
      </c>
      <c r="B4" s="125" t="s">
        <v>122</v>
      </c>
      <c r="C4" s="126"/>
      <c r="D4" s="126">
        <v>2</v>
      </c>
      <c r="E4" s="357" t="s">
        <v>87</v>
      </c>
      <c r="F4" s="126"/>
      <c r="G4" s="127">
        <v>2.2000000000000002</v>
      </c>
      <c r="H4" s="360" t="s">
        <v>88</v>
      </c>
      <c r="I4" s="138" t="s">
        <v>138</v>
      </c>
      <c r="J4" s="129" t="s">
        <v>139</v>
      </c>
      <c r="K4" s="136" t="s">
        <v>140</v>
      </c>
      <c r="L4" s="136" t="s">
        <v>141</v>
      </c>
      <c r="M4" s="130" t="s">
        <v>142</v>
      </c>
      <c r="N4" s="360" t="s">
        <v>89</v>
      </c>
      <c r="O4" s="136" t="s">
        <v>143</v>
      </c>
      <c r="P4" s="129"/>
      <c r="Q4" s="129"/>
      <c r="R4" s="139" t="s">
        <v>144</v>
      </c>
      <c r="S4" s="130"/>
      <c r="T4" s="139" t="s">
        <v>145</v>
      </c>
      <c r="U4" s="132"/>
      <c r="V4" s="133"/>
      <c r="W4" s="122"/>
      <c r="X4" s="123"/>
    </row>
    <row r="5" spans="1:24" s="79" customFormat="1" ht="69.75" customHeight="1">
      <c r="A5" s="124" t="s">
        <v>121</v>
      </c>
      <c r="B5" s="125"/>
      <c r="C5" s="126"/>
      <c r="D5" s="126"/>
      <c r="E5" s="359"/>
      <c r="F5" s="126"/>
      <c r="G5" s="127"/>
      <c r="H5" s="362"/>
      <c r="I5" s="128" t="s">
        <v>146</v>
      </c>
      <c r="J5" s="129" t="s">
        <v>139</v>
      </c>
      <c r="K5" s="129" t="s">
        <v>140</v>
      </c>
      <c r="L5" s="129" t="s">
        <v>141</v>
      </c>
      <c r="M5" s="130" t="s">
        <v>142</v>
      </c>
      <c r="N5" s="362"/>
      <c r="O5" s="129" t="s">
        <v>147</v>
      </c>
      <c r="P5" s="129"/>
      <c r="Q5" s="129"/>
      <c r="R5" s="139" t="s">
        <v>148</v>
      </c>
      <c r="S5" s="129"/>
      <c r="T5" s="139" t="s">
        <v>149</v>
      </c>
      <c r="U5" s="132"/>
      <c r="V5" s="133"/>
      <c r="W5" s="122"/>
      <c r="X5" s="123"/>
    </row>
    <row r="6" spans="1:24" s="79" customFormat="1" ht="92.25" customHeight="1">
      <c r="A6" s="124"/>
      <c r="B6" s="125"/>
      <c r="C6" s="126"/>
      <c r="D6" s="126"/>
      <c r="E6" s="358"/>
      <c r="F6" s="126"/>
      <c r="G6" s="127"/>
      <c r="H6" s="361"/>
      <c r="I6" s="128" t="s">
        <v>150</v>
      </c>
      <c r="J6" s="135" t="s">
        <v>151</v>
      </c>
      <c r="K6" s="135" t="s">
        <v>152</v>
      </c>
      <c r="L6" s="135" t="s">
        <v>153</v>
      </c>
      <c r="M6" s="140" t="s">
        <v>127</v>
      </c>
      <c r="N6" s="361"/>
      <c r="O6" s="129" t="s">
        <v>154</v>
      </c>
      <c r="P6" s="139" t="s">
        <v>155</v>
      </c>
      <c r="Q6" s="139" t="s">
        <v>155</v>
      </c>
      <c r="R6" s="139" t="s">
        <v>155</v>
      </c>
      <c r="S6" s="139" t="s">
        <v>155</v>
      </c>
      <c r="T6" s="139" t="s">
        <v>155</v>
      </c>
      <c r="U6" s="132" t="s">
        <v>156</v>
      </c>
      <c r="V6" s="133"/>
      <c r="W6" s="122"/>
      <c r="X6" s="123"/>
    </row>
    <row r="7" spans="1:24" s="79" customFormat="1" ht="78.75" customHeight="1">
      <c r="A7" s="124" t="s">
        <v>121</v>
      </c>
      <c r="B7" s="125" t="s">
        <v>157</v>
      </c>
      <c r="C7" s="126"/>
      <c r="D7" s="126" t="s">
        <v>158</v>
      </c>
      <c r="E7" s="126" t="s">
        <v>90</v>
      </c>
      <c r="F7" s="126"/>
      <c r="G7" s="127">
        <v>3.1</v>
      </c>
      <c r="H7" s="134" t="s">
        <v>91</v>
      </c>
      <c r="I7" s="135" t="s">
        <v>159</v>
      </c>
      <c r="J7" s="141" t="s">
        <v>160</v>
      </c>
      <c r="K7" s="141" t="s">
        <v>161</v>
      </c>
      <c r="L7" s="141" t="s">
        <v>162</v>
      </c>
      <c r="M7" s="142" t="s">
        <v>163</v>
      </c>
      <c r="N7" s="130"/>
      <c r="O7" s="129" t="s">
        <v>164</v>
      </c>
      <c r="P7" s="130"/>
      <c r="Q7" s="130"/>
      <c r="R7" s="130"/>
      <c r="S7" s="130"/>
      <c r="T7" s="139" t="s">
        <v>165</v>
      </c>
      <c r="U7" s="132" t="s">
        <v>156</v>
      </c>
      <c r="V7" s="133"/>
      <c r="W7" s="122"/>
      <c r="X7" s="123"/>
    </row>
    <row r="8" spans="1:24" s="79" customFormat="1" ht="126.75" customHeight="1">
      <c r="A8" s="143" t="s">
        <v>166</v>
      </c>
      <c r="B8" s="144" t="s">
        <v>122</v>
      </c>
      <c r="C8" s="144" t="s">
        <v>167</v>
      </c>
      <c r="D8" s="145">
        <v>2</v>
      </c>
      <c r="E8" s="145" t="s">
        <v>168</v>
      </c>
      <c r="F8" s="146" t="s">
        <v>169</v>
      </c>
      <c r="G8" s="147" t="s">
        <v>170</v>
      </c>
      <c r="H8" s="148" t="s">
        <v>171</v>
      </c>
      <c r="I8" s="149" t="s">
        <v>172</v>
      </c>
      <c r="J8" s="150"/>
      <c r="K8" s="150" t="s">
        <v>173</v>
      </c>
      <c r="L8" s="150" t="s">
        <v>174</v>
      </c>
      <c r="M8" s="150" t="s">
        <v>175</v>
      </c>
      <c r="N8" s="151" t="s">
        <v>176</v>
      </c>
      <c r="O8" s="148" t="s">
        <v>177</v>
      </c>
      <c r="P8" s="148"/>
      <c r="Q8" s="148"/>
      <c r="R8" s="148"/>
      <c r="S8" s="148"/>
      <c r="T8" s="139" t="s">
        <v>178</v>
      </c>
      <c r="U8" s="152" t="s">
        <v>156</v>
      </c>
      <c r="V8" s="153"/>
      <c r="W8" s="122"/>
      <c r="X8" s="123"/>
    </row>
    <row r="9" spans="1:24" s="79" customFormat="1" ht="80.25" customHeight="1">
      <c r="A9" s="143" t="s">
        <v>166</v>
      </c>
      <c r="B9" s="339" t="s">
        <v>122</v>
      </c>
      <c r="C9" s="339"/>
      <c r="D9" s="341">
        <v>2</v>
      </c>
      <c r="E9" s="341"/>
      <c r="F9" s="339" t="s">
        <v>179</v>
      </c>
      <c r="G9" s="341" t="s">
        <v>180</v>
      </c>
      <c r="H9" s="333" t="s">
        <v>181</v>
      </c>
      <c r="I9" s="155" t="s">
        <v>182</v>
      </c>
      <c r="J9" s="150" t="s">
        <v>183</v>
      </c>
      <c r="K9" s="150" t="s">
        <v>184</v>
      </c>
      <c r="L9" s="150" t="s">
        <v>185</v>
      </c>
      <c r="M9" s="150" t="s">
        <v>186</v>
      </c>
      <c r="N9" s="333" t="s">
        <v>187</v>
      </c>
      <c r="O9" s="148" t="s">
        <v>188</v>
      </c>
      <c r="P9" s="139" t="s">
        <v>189</v>
      </c>
      <c r="Q9" s="139" t="s">
        <v>190</v>
      </c>
      <c r="R9" s="139" t="s">
        <v>191</v>
      </c>
      <c r="S9" s="139" t="s">
        <v>192</v>
      </c>
      <c r="T9" s="139" t="s">
        <v>193</v>
      </c>
      <c r="U9" s="152" t="s">
        <v>156</v>
      </c>
      <c r="V9" s="153"/>
      <c r="W9" s="122"/>
      <c r="X9" s="123"/>
    </row>
    <row r="10" spans="1:24" s="79" customFormat="1" ht="73.5" customHeight="1">
      <c r="A10" s="143" t="s">
        <v>166</v>
      </c>
      <c r="B10" s="340"/>
      <c r="C10" s="340"/>
      <c r="D10" s="342"/>
      <c r="E10" s="342"/>
      <c r="F10" s="340"/>
      <c r="G10" s="342"/>
      <c r="H10" s="334"/>
      <c r="I10" s="157" t="s">
        <v>194</v>
      </c>
      <c r="J10" s="158" t="s">
        <v>195</v>
      </c>
      <c r="K10" s="150" t="s">
        <v>184</v>
      </c>
      <c r="L10" s="150" t="s">
        <v>185</v>
      </c>
      <c r="M10" s="150" t="s">
        <v>127</v>
      </c>
      <c r="N10" s="334"/>
      <c r="O10" s="159" t="s">
        <v>196</v>
      </c>
      <c r="P10" s="160" t="s">
        <v>197</v>
      </c>
      <c r="Q10" s="160" t="s">
        <v>198</v>
      </c>
      <c r="R10" s="160" t="s">
        <v>199</v>
      </c>
      <c r="S10" s="160" t="s">
        <v>200</v>
      </c>
      <c r="T10" s="160" t="s">
        <v>201</v>
      </c>
      <c r="U10" s="161" t="s">
        <v>156</v>
      </c>
      <c r="V10" s="153"/>
      <c r="W10" s="122" t="s">
        <v>202</v>
      </c>
      <c r="X10" s="123"/>
    </row>
    <row r="11" spans="1:24" s="79" customFormat="1" ht="118.15" customHeight="1">
      <c r="A11" s="143" t="s">
        <v>166</v>
      </c>
      <c r="B11" s="144" t="s">
        <v>122</v>
      </c>
      <c r="C11" s="145" t="s">
        <v>156</v>
      </c>
      <c r="D11" s="145">
        <v>2</v>
      </c>
      <c r="E11" s="145"/>
      <c r="F11" s="144" t="s">
        <v>179</v>
      </c>
      <c r="G11" s="162" t="s">
        <v>203</v>
      </c>
      <c r="H11" s="163" t="s">
        <v>204</v>
      </c>
      <c r="I11" s="164" t="s">
        <v>205</v>
      </c>
      <c r="J11" s="150" t="s">
        <v>206</v>
      </c>
      <c r="K11" s="165" t="s">
        <v>207</v>
      </c>
      <c r="L11" s="166" t="s">
        <v>208</v>
      </c>
      <c r="M11" s="166" t="s">
        <v>186</v>
      </c>
      <c r="N11" s="148" t="s">
        <v>209</v>
      </c>
      <c r="O11" s="151" t="s">
        <v>210</v>
      </c>
      <c r="P11" s="151" t="s">
        <v>211</v>
      </c>
      <c r="Q11" s="139" t="s">
        <v>212</v>
      </c>
      <c r="R11" s="139" t="s">
        <v>213</v>
      </c>
      <c r="S11" s="167" t="s">
        <v>214</v>
      </c>
      <c r="T11" s="167" t="s">
        <v>215</v>
      </c>
      <c r="U11" s="161" t="s">
        <v>156</v>
      </c>
      <c r="V11" s="153"/>
      <c r="W11" s="122"/>
      <c r="X11" s="123"/>
    </row>
    <row r="12" spans="1:24" s="79" customFormat="1" ht="80.25" customHeight="1">
      <c r="A12" s="143" t="s">
        <v>166</v>
      </c>
      <c r="B12" s="144" t="s">
        <v>122</v>
      </c>
      <c r="C12" s="145" t="s">
        <v>156</v>
      </c>
      <c r="D12" s="145">
        <v>2</v>
      </c>
      <c r="E12" s="145"/>
      <c r="F12" s="144" t="s">
        <v>216</v>
      </c>
      <c r="G12" s="162" t="s">
        <v>217</v>
      </c>
      <c r="H12" s="168" t="s">
        <v>218</v>
      </c>
      <c r="I12" s="164" t="s">
        <v>219</v>
      </c>
      <c r="J12" s="150" t="s">
        <v>220</v>
      </c>
      <c r="K12" s="169" t="s">
        <v>221</v>
      </c>
      <c r="L12" s="154" t="s">
        <v>222</v>
      </c>
      <c r="M12" s="170" t="s">
        <v>127</v>
      </c>
      <c r="N12" s="171" t="s">
        <v>223</v>
      </c>
      <c r="O12" s="171" t="s">
        <v>224</v>
      </c>
      <c r="P12" s="171" t="s">
        <v>225</v>
      </c>
      <c r="Q12" s="172" t="s">
        <v>226</v>
      </c>
      <c r="R12" s="172" t="s">
        <v>227</v>
      </c>
      <c r="S12" s="172" t="s">
        <v>228</v>
      </c>
      <c r="T12" s="172" t="s">
        <v>229</v>
      </c>
      <c r="U12" s="173" t="s">
        <v>156</v>
      </c>
      <c r="V12" s="174"/>
      <c r="W12" s="122"/>
      <c r="X12" s="123"/>
    </row>
    <row r="13" spans="1:24" s="79" customFormat="1" ht="138" customHeight="1">
      <c r="A13" s="143" t="s">
        <v>166</v>
      </c>
      <c r="B13" s="144" t="s">
        <v>122</v>
      </c>
      <c r="C13" s="145" t="s">
        <v>156</v>
      </c>
      <c r="D13" s="145">
        <v>2</v>
      </c>
      <c r="E13" s="145"/>
      <c r="F13" s="144" t="s">
        <v>230</v>
      </c>
      <c r="G13" s="175" t="s">
        <v>231</v>
      </c>
      <c r="H13" s="148" t="s">
        <v>232</v>
      </c>
      <c r="I13" s="155" t="s">
        <v>233</v>
      </c>
      <c r="J13" s="150" t="s">
        <v>234</v>
      </c>
      <c r="K13" s="166" t="s">
        <v>235</v>
      </c>
      <c r="L13" s="166" t="s">
        <v>236</v>
      </c>
      <c r="M13" s="176" t="s">
        <v>237</v>
      </c>
      <c r="N13" s="137" t="s">
        <v>238</v>
      </c>
      <c r="O13" s="171" t="s">
        <v>239</v>
      </c>
      <c r="P13" s="171"/>
      <c r="Q13" s="177"/>
      <c r="R13" s="172" t="s">
        <v>240</v>
      </c>
      <c r="S13" s="177"/>
      <c r="T13" s="172" t="s">
        <v>241</v>
      </c>
      <c r="U13" s="152" t="s">
        <v>156</v>
      </c>
      <c r="V13" s="153"/>
      <c r="W13" s="122"/>
      <c r="X13" s="123"/>
    </row>
    <row r="14" spans="1:24" s="79" customFormat="1" ht="60.75" customHeight="1">
      <c r="A14" s="143"/>
      <c r="B14" s="339"/>
      <c r="C14" s="341" t="s">
        <v>156</v>
      </c>
      <c r="D14" s="341"/>
      <c r="E14" s="341"/>
      <c r="F14" s="341" t="s">
        <v>242</v>
      </c>
      <c r="G14" s="345" t="s">
        <v>243</v>
      </c>
      <c r="H14" s="337" t="s">
        <v>244</v>
      </c>
      <c r="I14" s="160" t="s">
        <v>245</v>
      </c>
      <c r="J14" s="159" t="s">
        <v>246</v>
      </c>
      <c r="K14" s="178" t="s">
        <v>247</v>
      </c>
      <c r="L14" s="178" t="s">
        <v>248</v>
      </c>
      <c r="M14" s="179" t="s">
        <v>127</v>
      </c>
      <c r="N14" s="159" t="s">
        <v>249</v>
      </c>
      <c r="O14" s="180" t="s">
        <v>250</v>
      </c>
      <c r="P14" s="167" t="s">
        <v>251</v>
      </c>
      <c r="Q14" s="167" t="s">
        <v>251</v>
      </c>
      <c r="R14" s="167" t="s">
        <v>252</v>
      </c>
      <c r="S14" s="167" t="s">
        <v>253</v>
      </c>
      <c r="T14" s="167" t="s">
        <v>254</v>
      </c>
      <c r="U14" s="161"/>
      <c r="V14" s="153"/>
      <c r="W14" s="122"/>
      <c r="X14" s="123" t="s">
        <v>255</v>
      </c>
    </row>
    <row r="15" spans="1:24" s="79" customFormat="1" ht="39" customHeight="1">
      <c r="A15" s="143"/>
      <c r="B15" s="340"/>
      <c r="C15" s="342"/>
      <c r="D15" s="342"/>
      <c r="E15" s="342"/>
      <c r="F15" s="342"/>
      <c r="G15" s="346"/>
      <c r="H15" s="338"/>
      <c r="I15" s="149"/>
      <c r="J15" s="150"/>
      <c r="K15" s="166"/>
      <c r="L15" s="166"/>
      <c r="M15" s="176"/>
      <c r="N15" s="181"/>
      <c r="O15" s="182"/>
      <c r="P15" s="181"/>
      <c r="Q15" s="181"/>
      <c r="R15" s="181"/>
      <c r="S15" s="181"/>
      <c r="T15" s="181"/>
      <c r="U15" s="152"/>
      <c r="V15" s="153"/>
      <c r="W15" s="122"/>
      <c r="X15" s="123" t="s">
        <v>256</v>
      </c>
    </row>
    <row r="16" spans="1:24" s="79" customFormat="1" ht="74.45" customHeight="1">
      <c r="A16" s="143"/>
      <c r="B16" s="144"/>
      <c r="C16" s="145" t="s">
        <v>156</v>
      </c>
      <c r="D16" s="145"/>
      <c r="E16" s="145"/>
      <c r="F16" s="144" t="s">
        <v>257</v>
      </c>
      <c r="G16" s="162" t="s">
        <v>258</v>
      </c>
      <c r="H16" s="148" t="s">
        <v>259</v>
      </c>
      <c r="I16" s="160" t="s">
        <v>260</v>
      </c>
      <c r="J16" s="159" t="s">
        <v>261</v>
      </c>
      <c r="K16" s="178" t="s">
        <v>262</v>
      </c>
      <c r="L16" s="178" t="s">
        <v>263</v>
      </c>
      <c r="M16" s="179" t="s">
        <v>127</v>
      </c>
      <c r="N16" s="159" t="s">
        <v>264</v>
      </c>
      <c r="O16" s="167" t="s">
        <v>265</v>
      </c>
      <c r="P16" s="167" t="s">
        <v>266</v>
      </c>
      <c r="Q16" s="167" t="s">
        <v>267</v>
      </c>
      <c r="R16" s="167" t="s">
        <v>268</v>
      </c>
      <c r="S16" s="167" t="s">
        <v>269</v>
      </c>
      <c r="T16" s="167" t="s">
        <v>270</v>
      </c>
      <c r="U16" s="152" t="s">
        <v>156</v>
      </c>
      <c r="V16" s="153"/>
      <c r="W16" s="122"/>
      <c r="X16" s="123"/>
    </row>
    <row r="17" spans="1:24" s="79" customFormat="1" ht="67.5" customHeight="1">
      <c r="A17" s="143"/>
      <c r="B17" s="339"/>
      <c r="C17" s="341" t="s">
        <v>156</v>
      </c>
      <c r="D17" s="341"/>
      <c r="E17" s="341"/>
      <c r="F17" s="339" t="s">
        <v>271</v>
      </c>
      <c r="G17" s="345" t="s">
        <v>272</v>
      </c>
      <c r="H17" s="335" t="s">
        <v>273</v>
      </c>
      <c r="I17" s="160" t="s">
        <v>274</v>
      </c>
      <c r="J17" s="159"/>
      <c r="K17" s="178" t="s">
        <v>275</v>
      </c>
      <c r="L17" s="178" t="s">
        <v>275</v>
      </c>
      <c r="M17" s="179" t="s">
        <v>127</v>
      </c>
      <c r="N17" s="367" t="s">
        <v>276</v>
      </c>
      <c r="O17" s="167" t="s">
        <v>277</v>
      </c>
      <c r="P17" s="183" t="s">
        <v>278</v>
      </c>
      <c r="Q17" s="183" t="s">
        <v>279</v>
      </c>
      <c r="R17" s="183" t="s">
        <v>280</v>
      </c>
      <c r="S17" s="183" t="s">
        <v>281</v>
      </c>
      <c r="T17" s="167" t="s">
        <v>282</v>
      </c>
      <c r="U17" s="152" t="s">
        <v>156</v>
      </c>
      <c r="V17" s="153"/>
      <c r="W17" s="122" t="s">
        <v>202</v>
      </c>
      <c r="X17" s="123"/>
    </row>
    <row r="18" spans="1:24" s="79" customFormat="1" ht="73.5" customHeight="1">
      <c r="A18" s="143"/>
      <c r="B18" s="340"/>
      <c r="C18" s="342"/>
      <c r="D18" s="342"/>
      <c r="E18" s="342"/>
      <c r="F18" s="340"/>
      <c r="G18" s="346"/>
      <c r="H18" s="336"/>
      <c r="I18" s="160" t="s">
        <v>283</v>
      </c>
      <c r="J18" s="159"/>
      <c r="K18" s="178" t="s">
        <v>275</v>
      </c>
      <c r="L18" s="178" t="s">
        <v>275</v>
      </c>
      <c r="M18" s="179" t="s">
        <v>127</v>
      </c>
      <c r="N18" s="368"/>
      <c r="O18" s="180" t="s">
        <v>284</v>
      </c>
      <c r="P18" s="183" t="s">
        <v>285</v>
      </c>
      <c r="Q18" s="184" t="s">
        <v>286</v>
      </c>
      <c r="R18" s="183" t="s">
        <v>287</v>
      </c>
      <c r="S18" s="184" t="s">
        <v>288</v>
      </c>
      <c r="T18" s="167" t="s">
        <v>289</v>
      </c>
      <c r="U18" s="152" t="s">
        <v>156</v>
      </c>
      <c r="V18" s="153"/>
      <c r="W18" s="122" t="s">
        <v>202</v>
      </c>
      <c r="X18" s="123"/>
    </row>
    <row r="19" spans="1:24" s="79" customFormat="1" ht="80.25" customHeight="1">
      <c r="A19" s="143"/>
      <c r="B19" s="355"/>
      <c r="C19" s="343"/>
      <c r="D19" s="343"/>
      <c r="E19" s="343"/>
      <c r="F19" s="343" t="s">
        <v>290</v>
      </c>
      <c r="G19" s="369" t="s">
        <v>291</v>
      </c>
      <c r="H19" s="333" t="s">
        <v>292</v>
      </c>
      <c r="I19" s="155" t="s">
        <v>293</v>
      </c>
      <c r="J19" s="150" t="s">
        <v>294</v>
      </c>
      <c r="K19" s="166" t="s">
        <v>295</v>
      </c>
      <c r="L19" s="166" t="s">
        <v>296</v>
      </c>
      <c r="M19" s="166" t="s">
        <v>127</v>
      </c>
      <c r="N19" s="151" t="s">
        <v>297</v>
      </c>
      <c r="O19" s="139" t="s">
        <v>298</v>
      </c>
      <c r="P19" s="185" t="s">
        <v>299</v>
      </c>
      <c r="Q19" s="185" t="s">
        <v>300</v>
      </c>
      <c r="R19" s="185" t="s">
        <v>301</v>
      </c>
      <c r="S19" s="185" t="s">
        <v>302</v>
      </c>
      <c r="T19" s="185" t="s">
        <v>303</v>
      </c>
      <c r="U19" s="152" t="s">
        <v>156</v>
      </c>
      <c r="V19" s="153"/>
      <c r="W19" s="122"/>
      <c r="X19" s="123"/>
    </row>
    <row r="20" spans="1:24" s="79" customFormat="1" ht="68.25" customHeight="1">
      <c r="A20" s="143"/>
      <c r="B20" s="356"/>
      <c r="C20" s="344"/>
      <c r="D20" s="344"/>
      <c r="E20" s="344"/>
      <c r="F20" s="344"/>
      <c r="G20" s="370"/>
      <c r="H20" s="334"/>
      <c r="I20" s="186" t="s">
        <v>304</v>
      </c>
      <c r="J20" s="150" t="s">
        <v>305</v>
      </c>
      <c r="K20" s="151" t="s">
        <v>306</v>
      </c>
      <c r="L20" s="181" t="s">
        <v>307</v>
      </c>
      <c r="M20" s="181" t="s">
        <v>127</v>
      </c>
      <c r="N20" s="181"/>
      <c r="O20" s="139" t="s">
        <v>308</v>
      </c>
      <c r="P20" s="139" t="s">
        <v>309</v>
      </c>
      <c r="Q20" s="139" t="s">
        <v>310</v>
      </c>
      <c r="R20" s="139" t="s">
        <v>311</v>
      </c>
      <c r="S20" s="139" t="s">
        <v>312</v>
      </c>
      <c r="T20" s="139" t="s">
        <v>313</v>
      </c>
      <c r="U20" s="152" t="s">
        <v>156</v>
      </c>
      <c r="V20" s="153"/>
      <c r="W20" s="122"/>
      <c r="X20" s="123"/>
    </row>
    <row r="21" spans="1:24" s="79" customFormat="1" ht="77.25" customHeight="1">
      <c r="A21" s="143"/>
      <c r="B21" s="144"/>
      <c r="C21" s="145" t="s">
        <v>156</v>
      </c>
      <c r="D21" s="145"/>
      <c r="E21" s="145"/>
      <c r="F21" s="145" t="s">
        <v>314</v>
      </c>
      <c r="G21" s="162" t="s">
        <v>315</v>
      </c>
      <c r="H21" s="156" t="s">
        <v>316</v>
      </c>
      <c r="I21" s="187" t="s">
        <v>317</v>
      </c>
      <c r="J21" s="188" t="s">
        <v>318</v>
      </c>
      <c r="K21" s="137" t="s">
        <v>319</v>
      </c>
      <c r="L21" s="137" t="s">
        <v>320</v>
      </c>
      <c r="M21" s="189" t="s">
        <v>127</v>
      </c>
      <c r="N21" s="190" t="s">
        <v>321</v>
      </c>
      <c r="O21" s="191" t="s">
        <v>322</v>
      </c>
      <c r="P21" s="191" t="s">
        <v>323</v>
      </c>
      <c r="Q21" s="191" t="s">
        <v>324</v>
      </c>
      <c r="R21" s="191" t="s">
        <v>325</v>
      </c>
      <c r="S21" s="191" t="s">
        <v>325</v>
      </c>
      <c r="T21" s="191" t="s">
        <v>325</v>
      </c>
      <c r="U21" s="152" t="s">
        <v>156</v>
      </c>
      <c r="V21" s="153"/>
      <c r="W21" s="122" t="s">
        <v>202</v>
      </c>
      <c r="X21" s="123" t="s">
        <v>326</v>
      </c>
    </row>
    <row r="22" spans="1:24" s="79" customFormat="1" ht="97.5" customHeight="1">
      <c r="A22" s="143"/>
      <c r="B22" s="339"/>
      <c r="C22" s="341"/>
      <c r="D22" s="341"/>
      <c r="E22" s="341"/>
      <c r="F22" s="341" t="s">
        <v>314</v>
      </c>
      <c r="G22" s="345" t="s">
        <v>327</v>
      </c>
      <c r="H22" s="333" t="s">
        <v>328</v>
      </c>
      <c r="I22" s="167" t="s">
        <v>329</v>
      </c>
      <c r="J22" s="188"/>
      <c r="K22" s="137" t="s">
        <v>330</v>
      </c>
      <c r="L22" s="137" t="s">
        <v>330</v>
      </c>
      <c r="M22" s="189" t="s">
        <v>127</v>
      </c>
      <c r="N22" s="337" t="s">
        <v>331</v>
      </c>
      <c r="O22" s="167" t="s">
        <v>332</v>
      </c>
      <c r="P22" s="167" t="s">
        <v>333</v>
      </c>
      <c r="Q22" s="167" t="s">
        <v>334</v>
      </c>
      <c r="R22" s="167" t="s">
        <v>334</v>
      </c>
      <c r="S22" s="167" t="s">
        <v>335</v>
      </c>
      <c r="T22" s="167" t="s">
        <v>335</v>
      </c>
      <c r="U22" s="152" t="s">
        <v>336</v>
      </c>
      <c r="V22" s="153"/>
      <c r="W22" s="122" t="s">
        <v>202</v>
      </c>
      <c r="X22" s="123"/>
    </row>
    <row r="23" spans="1:24" s="79" customFormat="1" ht="79.900000000000006" customHeight="1">
      <c r="A23" s="143"/>
      <c r="B23" s="340"/>
      <c r="C23" s="342"/>
      <c r="D23" s="342"/>
      <c r="E23" s="342"/>
      <c r="F23" s="342"/>
      <c r="G23" s="346"/>
      <c r="H23" s="334"/>
      <c r="I23" s="192" t="s">
        <v>337</v>
      </c>
      <c r="J23" s="188"/>
      <c r="K23" s="137" t="s">
        <v>330</v>
      </c>
      <c r="L23" s="137" t="s">
        <v>330</v>
      </c>
      <c r="M23" s="189" t="s">
        <v>127</v>
      </c>
      <c r="N23" s="338"/>
      <c r="O23" s="167" t="s">
        <v>338</v>
      </c>
      <c r="P23" s="167" t="s">
        <v>339</v>
      </c>
      <c r="Q23" s="167" t="s">
        <v>340</v>
      </c>
      <c r="R23" s="167" t="s">
        <v>333</v>
      </c>
      <c r="S23" s="167" t="s">
        <v>333</v>
      </c>
      <c r="T23" s="167" t="s">
        <v>335</v>
      </c>
      <c r="U23" s="152" t="s">
        <v>341</v>
      </c>
      <c r="V23" s="153"/>
      <c r="W23" s="122" t="s">
        <v>202</v>
      </c>
      <c r="X23" s="123"/>
    </row>
    <row r="24" spans="1:24" s="79" customFormat="1" ht="76.900000000000006" customHeight="1">
      <c r="A24" s="143"/>
      <c r="B24" s="144"/>
      <c r="C24" s="145"/>
      <c r="D24" s="145"/>
      <c r="E24" s="145"/>
      <c r="F24" s="145" t="s">
        <v>342</v>
      </c>
      <c r="G24" s="162" t="s">
        <v>343</v>
      </c>
      <c r="H24" s="156" t="s">
        <v>344</v>
      </c>
      <c r="I24" s="139" t="s">
        <v>345</v>
      </c>
      <c r="J24" s="150" t="s">
        <v>346</v>
      </c>
      <c r="K24" s="151" t="s">
        <v>347</v>
      </c>
      <c r="L24" s="151" t="s">
        <v>348</v>
      </c>
      <c r="M24" s="181" t="s">
        <v>127</v>
      </c>
      <c r="N24" s="151" t="s">
        <v>349</v>
      </c>
      <c r="O24" s="193">
        <v>0</v>
      </c>
      <c r="P24" s="193">
        <v>0</v>
      </c>
      <c r="Q24" s="193">
        <v>0</v>
      </c>
      <c r="R24" s="193">
        <v>1</v>
      </c>
      <c r="S24" s="193">
        <v>0</v>
      </c>
      <c r="T24" s="193">
        <v>1</v>
      </c>
      <c r="U24" s="152" t="s">
        <v>350</v>
      </c>
      <c r="V24" s="153"/>
      <c r="W24" s="122"/>
      <c r="X24" s="123"/>
    </row>
    <row r="25" spans="1:24" s="94" customFormat="1" ht="96" customHeight="1">
      <c r="A25" s="194" t="s">
        <v>166</v>
      </c>
      <c r="B25" s="316"/>
      <c r="C25" s="318"/>
      <c r="D25" s="318"/>
      <c r="E25" s="320" t="s">
        <v>351</v>
      </c>
      <c r="F25" s="318" t="s">
        <v>342</v>
      </c>
      <c r="G25" s="363" t="s">
        <v>352</v>
      </c>
      <c r="H25" s="365" t="s">
        <v>353</v>
      </c>
      <c r="I25" s="195" t="s">
        <v>354</v>
      </c>
      <c r="J25" s="196" t="s">
        <v>355</v>
      </c>
      <c r="K25" s="197" t="s">
        <v>347</v>
      </c>
      <c r="L25" s="197" t="s">
        <v>348</v>
      </c>
      <c r="M25" s="196" t="s">
        <v>127</v>
      </c>
      <c r="N25" s="365" t="s">
        <v>349</v>
      </c>
      <c r="O25" s="198">
        <v>0</v>
      </c>
      <c r="P25" s="198">
        <v>0</v>
      </c>
      <c r="Q25" s="198">
        <v>1</v>
      </c>
      <c r="R25" s="198">
        <v>1</v>
      </c>
      <c r="S25" s="198">
        <v>0</v>
      </c>
      <c r="T25" s="198">
        <v>2</v>
      </c>
      <c r="U25" s="199" t="s">
        <v>350</v>
      </c>
      <c r="V25" s="200"/>
      <c r="W25" s="201"/>
      <c r="X25" s="202"/>
    </row>
    <row r="26" spans="1:24" s="94" customFormat="1" ht="85.5" customHeight="1">
      <c r="A26" s="194"/>
      <c r="B26" s="317"/>
      <c r="C26" s="319"/>
      <c r="D26" s="319"/>
      <c r="E26" s="321"/>
      <c r="F26" s="319"/>
      <c r="G26" s="364"/>
      <c r="H26" s="366"/>
      <c r="I26" s="139" t="s">
        <v>356</v>
      </c>
      <c r="J26" s="196" t="s">
        <v>357</v>
      </c>
      <c r="K26" s="197" t="s">
        <v>347</v>
      </c>
      <c r="L26" s="197" t="s">
        <v>348</v>
      </c>
      <c r="M26" s="196" t="s">
        <v>127</v>
      </c>
      <c r="N26" s="366"/>
      <c r="O26" s="198">
        <v>0</v>
      </c>
      <c r="P26" s="198">
        <v>0</v>
      </c>
      <c r="Q26" s="198">
        <v>1</v>
      </c>
      <c r="R26" s="198">
        <v>1</v>
      </c>
      <c r="S26" s="198">
        <v>1</v>
      </c>
      <c r="T26" s="198">
        <v>3</v>
      </c>
      <c r="U26" s="199" t="s">
        <v>350</v>
      </c>
      <c r="V26" s="200"/>
      <c r="W26" s="201"/>
      <c r="X26" s="202"/>
    </row>
    <row r="27" spans="1:24" s="79" customFormat="1" ht="45.75" customHeight="1">
      <c r="A27" s="347"/>
      <c r="B27" s="203"/>
      <c r="C27" s="204"/>
      <c r="D27" s="204"/>
      <c r="E27" s="204"/>
      <c r="F27" s="204"/>
      <c r="G27" s="205" t="s">
        <v>170</v>
      </c>
      <c r="H27" s="206" t="s">
        <v>171</v>
      </c>
      <c r="I27" s="206"/>
      <c r="J27" s="206"/>
      <c r="K27" s="206"/>
      <c r="L27" s="206"/>
      <c r="M27" s="206"/>
      <c r="N27" s="206"/>
      <c r="O27" s="206"/>
      <c r="P27" s="206"/>
      <c r="Q27" s="206"/>
      <c r="R27" s="206"/>
      <c r="S27" s="206"/>
      <c r="T27" s="206"/>
      <c r="U27" s="206"/>
      <c r="V27" s="206"/>
      <c r="W27" s="122"/>
      <c r="X27" s="123"/>
    </row>
    <row r="28" spans="1:24" s="79" customFormat="1" ht="77.45" customHeight="1">
      <c r="A28" s="347"/>
      <c r="B28" s="352" t="s">
        <v>122</v>
      </c>
      <c r="C28" s="204"/>
      <c r="D28" s="204"/>
      <c r="E28" s="204"/>
      <c r="F28" s="322" t="s">
        <v>358</v>
      </c>
      <c r="G28" s="208" t="s">
        <v>359</v>
      </c>
      <c r="H28" s="118" t="s">
        <v>360</v>
      </c>
      <c r="I28" s="139" t="s">
        <v>361</v>
      </c>
      <c r="J28" s="118" t="s">
        <v>362</v>
      </c>
      <c r="K28" s="119" t="s">
        <v>363</v>
      </c>
      <c r="L28" s="119"/>
      <c r="M28" s="119"/>
      <c r="N28" s="119"/>
      <c r="O28" s="118" t="s">
        <v>364</v>
      </c>
      <c r="P28" s="118" t="s">
        <v>365</v>
      </c>
      <c r="Q28" s="118" t="s">
        <v>366</v>
      </c>
      <c r="R28" s="118" t="s">
        <v>367</v>
      </c>
      <c r="S28" s="118" t="s">
        <v>368</v>
      </c>
      <c r="T28" s="118" t="s">
        <v>369</v>
      </c>
      <c r="U28" s="118" t="s">
        <v>156</v>
      </c>
      <c r="V28" s="209"/>
      <c r="W28" s="122" t="s">
        <v>202</v>
      </c>
      <c r="X28" s="123" t="s">
        <v>370</v>
      </c>
    </row>
    <row r="29" spans="1:24" s="79" customFormat="1" ht="87.75" customHeight="1">
      <c r="A29" s="347"/>
      <c r="B29" s="353"/>
      <c r="C29" s="204"/>
      <c r="D29" s="204"/>
      <c r="E29" s="204"/>
      <c r="F29" s="323"/>
      <c r="G29" s="211" t="s">
        <v>371</v>
      </c>
      <c r="H29" s="212" t="s">
        <v>372</v>
      </c>
      <c r="I29" s="139" t="s">
        <v>373</v>
      </c>
      <c r="J29" s="119"/>
      <c r="K29" s="118" t="s">
        <v>374</v>
      </c>
      <c r="L29" s="119"/>
      <c r="M29" s="119"/>
      <c r="N29" s="119"/>
      <c r="O29" s="119">
        <v>0</v>
      </c>
      <c r="P29" s="119">
        <v>0</v>
      </c>
      <c r="Q29" s="119">
        <v>1</v>
      </c>
      <c r="R29" s="119">
        <v>1</v>
      </c>
      <c r="S29" s="119">
        <v>1</v>
      </c>
      <c r="T29" s="119">
        <v>1</v>
      </c>
      <c r="U29" s="118" t="s">
        <v>350</v>
      </c>
      <c r="V29" s="209"/>
      <c r="W29" s="122" t="s">
        <v>202</v>
      </c>
      <c r="X29" s="123" t="s">
        <v>370</v>
      </c>
    </row>
    <row r="30" spans="1:24" s="79" customFormat="1" ht="43.5" customHeight="1">
      <c r="A30" s="347"/>
      <c r="B30" s="353"/>
      <c r="C30" s="204"/>
      <c r="D30" s="204"/>
      <c r="E30" s="204"/>
      <c r="F30" s="323"/>
      <c r="G30" s="208" t="s">
        <v>375</v>
      </c>
      <c r="H30" s="118" t="s">
        <v>376</v>
      </c>
      <c r="I30" s="139" t="s">
        <v>377</v>
      </c>
      <c r="J30" s="119"/>
      <c r="K30" s="118" t="s">
        <v>378</v>
      </c>
      <c r="L30" s="119"/>
      <c r="M30" s="119"/>
      <c r="N30" s="119"/>
      <c r="O30" s="118" t="s">
        <v>379</v>
      </c>
      <c r="P30" s="118" t="s">
        <v>380</v>
      </c>
      <c r="Q30" s="118" t="s">
        <v>381</v>
      </c>
      <c r="R30" s="118" t="s">
        <v>382</v>
      </c>
      <c r="S30" s="118" t="s">
        <v>382</v>
      </c>
      <c r="T30" s="118" t="s">
        <v>381</v>
      </c>
      <c r="U30" s="118" t="s">
        <v>156</v>
      </c>
      <c r="V30" s="209"/>
      <c r="W30" s="122" t="s">
        <v>202</v>
      </c>
      <c r="X30" s="123" t="s">
        <v>370</v>
      </c>
    </row>
    <row r="31" spans="1:24" s="79" customFormat="1" ht="86.1" customHeight="1">
      <c r="A31" s="347"/>
      <c r="B31" s="353"/>
      <c r="C31" s="204"/>
      <c r="D31" s="204"/>
      <c r="E31" s="204"/>
      <c r="F31" s="323"/>
      <c r="G31" s="208" t="s">
        <v>383</v>
      </c>
      <c r="H31" s="118" t="s">
        <v>384</v>
      </c>
      <c r="I31" s="139" t="s">
        <v>385</v>
      </c>
      <c r="J31" s="118" t="s">
        <v>386</v>
      </c>
      <c r="K31" s="118" t="s">
        <v>387</v>
      </c>
      <c r="L31" s="119"/>
      <c r="M31" s="119"/>
      <c r="N31" s="119"/>
      <c r="O31" s="118" t="s">
        <v>388</v>
      </c>
      <c r="P31" s="118" t="s">
        <v>380</v>
      </c>
      <c r="Q31" s="118" t="s">
        <v>389</v>
      </c>
      <c r="R31" s="118" t="s">
        <v>390</v>
      </c>
      <c r="S31" s="118" t="s">
        <v>391</v>
      </c>
      <c r="T31" s="118" t="s">
        <v>392</v>
      </c>
      <c r="U31" s="118" t="s">
        <v>156</v>
      </c>
      <c r="V31" s="209"/>
      <c r="W31" s="122" t="s">
        <v>202</v>
      </c>
      <c r="X31" s="123" t="s">
        <v>370</v>
      </c>
    </row>
    <row r="32" spans="1:24" s="79" customFormat="1" ht="62.1">
      <c r="A32" s="347"/>
      <c r="B32" s="203"/>
      <c r="C32" s="204"/>
      <c r="D32" s="204"/>
      <c r="E32" s="204"/>
      <c r="F32" s="204"/>
      <c r="G32" s="205" t="s">
        <v>180</v>
      </c>
      <c r="H32" s="206" t="s">
        <v>181</v>
      </c>
      <c r="I32" s="206"/>
      <c r="J32" s="206"/>
      <c r="K32" s="206"/>
      <c r="L32" s="206"/>
      <c r="M32" s="206"/>
      <c r="N32" s="206"/>
      <c r="O32" s="206"/>
      <c r="P32" s="206"/>
      <c r="Q32" s="206"/>
      <c r="R32" s="206"/>
      <c r="S32" s="206"/>
      <c r="T32" s="206"/>
      <c r="U32" s="206"/>
      <c r="V32" s="206"/>
      <c r="W32" s="122"/>
      <c r="X32" s="123"/>
    </row>
    <row r="33" spans="1:24" s="79" customFormat="1" ht="72.75" customHeight="1">
      <c r="A33" s="347"/>
      <c r="B33" s="352" t="s">
        <v>393</v>
      </c>
      <c r="C33" s="204"/>
      <c r="D33" s="204"/>
      <c r="E33" s="204"/>
      <c r="F33" s="322" t="s">
        <v>358</v>
      </c>
      <c r="G33" s="304" t="s">
        <v>394</v>
      </c>
      <c r="H33" s="310" t="s">
        <v>395</v>
      </c>
      <c r="I33" s="139" t="s">
        <v>396</v>
      </c>
      <c r="J33" s="118" t="s">
        <v>397</v>
      </c>
      <c r="K33" s="119" t="s">
        <v>398</v>
      </c>
      <c r="L33" s="119"/>
      <c r="M33" s="119"/>
      <c r="N33" s="119"/>
      <c r="O33" s="118" t="s">
        <v>388</v>
      </c>
      <c r="P33" s="118" t="s">
        <v>380</v>
      </c>
      <c r="Q33" s="118" t="s">
        <v>389</v>
      </c>
      <c r="R33" s="118" t="s">
        <v>390</v>
      </c>
      <c r="S33" s="118" t="s">
        <v>391</v>
      </c>
      <c r="T33" s="118" t="s">
        <v>392</v>
      </c>
      <c r="U33" s="118" t="s">
        <v>156</v>
      </c>
      <c r="V33" s="209"/>
      <c r="W33" s="122" t="s">
        <v>202</v>
      </c>
      <c r="X33" s="123" t="s">
        <v>399</v>
      </c>
    </row>
    <row r="34" spans="1:24" s="79" customFormat="1" ht="93">
      <c r="A34" s="347"/>
      <c r="B34" s="353"/>
      <c r="C34" s="204"/>
      <c r="D34" s="204"/>
      <c r="E34" s="204"/>
      <c r="F34" s="323"/>
      <c r="G34" s="305"/>
      <c r="H34" s="311"/>
      <c r="I34" s="139" t="s">
        <v>400</v>
      </c>
      <c r="J34" s="118" t="s">
        <v>401</v>
      </c>
      <c r="K34" s="119"/>
      <c r="L34" s="119"/>
      <c r="M34" s="119"/>
      <c r="N34" s="119"/>
      <c r="O34" s="118" t="s">
        <v>379</v>
      </c>
      <c r="P34" s="118" t="s">
        <v>380</v>
      </c>
      <c r="Q34" s="118" t="s">
        <v>402</v>
      </c>
      <c r="R34" s="118" t="s">
        <v>403</v>
      </c>
      <c r="S34" s="118" t="s">
        <v>404</v>
      </c>
      <c r="T34" s="118" t="s">
        <v>404</v>
      </c>
      <c r="U34" s="118" t="s">
        <v>156</v>
      </c>
      <c r="V34" s="209"/>
      <c r="W34" s="122" t="s">
        <v>202</v>
      </c>
      <c r="X34" s="123" t="s">
        <v>405</v>
      </c>
    </row>
    <row r="35" spans="1:24" s="79" customFormat="1" ht="54.75" customHeight="1">
      <c r="A35" s="347"/>
      <c r="B35" s="353"/>
      <c r="C35" s="204"/>
      <c r="D35" s="204"/>
      <c r="E35" s="204"/>
      <c r="F35" s="323"/>
      <c r="G35" s="306" t="s">
        <v>406</v>
      </c>
      <c r="H35" s="312" t="s">
        <v>407</v>
      </c>
      <c r="I35" s="139" t="s">
        <v>408</v>
      </c>
      <c r="J35" s="119"/>
      <c r="K35" s="118" t="s">
        <v>409</v>
      </c>
      <c r="L35" s="119"/>
      <c r="M35" s="119"/>
      <c r="N35" s="119"/>
      <c r="O35" s="118" t="s">
        <v>379</v>
      </c>
      <c r="P35" s="118" t="s">
        <v>380</v>
      </c>
      <c r="Q35" s="118" t="s">
        <v>380</v>
      </c>
      <c r="R35" s="118" t="s">
        <v>410</v>
      </c>
      <c r="S35" s="118" t="s">
        <v>411</v>
      </c>
      <c r="T35" s="214">
        <v>3</v>
      </c>
      <c r="U35" s="118" t="s">
        <v>156</v>
      </c>
      <c r="V35" s="209"/>
      <c r="W35" s="122" t="s">
        <v>202</v>
      </c>
      <c r="X35" s="123" t="s">
        <v>412</v>
      </c>
    </row>
    <row r="36" spans="1:24" s="79" customFormat="1" ht="46.5">
      <c r="A36" s="347"/>
      <c r="B36" s="353"/>
      <c r="C36" s="204"/>
      <c r="D36" s="204"/>
      <c r="E36" s="204"/>
      <c r="F36" s="323"/>
      <c r="G36" s="305"/>
      <c r="H36" s="311"/>
      <c r="I36" s="139" t="s">
        <v>413</v>
      </c>
      <c r="J36" s="119"/>
      <c r="K36" s="118"/>
      <c r="L36" s="119"/>
      <c r="M36" s="119"/>
      <c r="N36" s="119"/>
      <c r="O36" s="118" t="s">
        <v>414</v>
      </c>
      <c r="P36" s="118" t="s">
        <v>380</v>
      </c>
      <c r="Q36" s="118" t="s">
        <v>380</v>
      </c>
      <c r="R36" s="118" t="s">
        <v>390</v>
      </c>
      <c r="S36" s="118" t="s">
        <v>415</v>
      </c>
      <c r="T36" s="118" t="s">
        <v>416</v>
      </c>
      <c r="U36" s="118" t="s">
        <v>156</v>
      </c>
      <c r="V36" s="209"/>
      <c r="W36" s="122" t="s">
        <v>202</v>
      </c>
      <c r="X36" s="123" t="s">
        <v>417</v>
      </c>
    </row>
    <row r="37" spans="1:24" s="79" customFormat="1" ht="93">
      <c r="A37" s="347"/>
      <c r="B37" s="353"/>
      <c r="C37" s="204"/>
      <c r="D37" s="204"/>
      <c r="E37" s="204"/>
      <c r="F37" s="323"/>
      <c r="G37" s="208" t="s">
        <v>418</v>
      </c>
      <c r="H37" s="118" t="s">
        <v>419</v>
      </c>
      <c r="I37" s="139" t="s">
        <v>420</v>
      </c>
      <c r="J37" s="119"/>
      <c r="K37" s="118" t="s">
        <v>421</v>
      </c>
      <c r="L37" s="119"/>
      <c r="M37" s="119"/>
      <c r="N37" s="119"/>
      <c r="O37" s="118" t="s">
        <v>414</v>
      </c>
      <c r="P37" s="118" t="s">
        <v>380</v>
      </c>
      <c r="Q37" s="118" t="s">
        <v>380</v>
      </c>
      <c r="R37" s="118" t="s">
        <v>411</v>
      </c>
      <c r="S37" s="118" t="s">
        <v>422</v>
      </c>
      <c r="T37" s="118" t="s">
        <v>403</v>
      </c>
      <c r="U37" s="118" t="s">
        <v>156</v>
      </c>
      <c r="V37" s="209"/>
      <c r="W37" s="122" t="s">
        <v>202</v>
      </c>
      <c r="X37" s="123" t="s">
        <v>417</v>
      </c>
    </row>
    <row r="38" spans="1:24" s="79" customFormat="1" ht="77.45">
      <c r="A38" s="347"/>
      <c r="B38" s="203"/>
      <c r="C38" s="204"/>
      <c r="D38" s="204"/>
      <c r="E38" s="204"/>
      <c r="F38" s="204"/>
      <c r="G38" s="215" t="s">
        <v>203</v>
      </c>
      <c r="H38" s="216" t="s">
        <v>204</v>
      </c>
      <c r="I38" s="217"/>
      <c r="J38" s="206"/>
      <c r="K38" s="206"/>
      <c r="L38" s="206"/>
      <c r="M38" s="206"/>
      <c r="N38" s="206"/>
      <c r="O38" s="206"/>
      <c r="P38" s="206"/>
      <c r="Q38" s="206"/>
      <c r="R38" s="206"/>
      <c r="S38" s="206"/>
      <c r="T38" s="206"/>
      <c r="U38" s="206"/>
      <c r="V38" s="206"/>
      <c r="W38" s="122"/>
      <c r="X38" s="123"/>
    </row>
    <row r="39" spans="1:24" s="79" customFormat="1" ht="155.1">
      <c r="A39" s="347"/>
      <c r="B39" s="218"/>
      <c r="C39" s="204"/>
      <c r="D39" s="204"/>
      <c r="E39" s="204"/>
      <c r="F39" s="219"/>
      <c r="G39" s="349" t="s">
        <v>423</v>
      </c>
      <c r="H39" s="325" t="s">
        <v>424</v>
      </c>
      <c r="I39" s="139" t="s">
        <v>425</v>
      </c>
      <c r="J39" s="119"/>
      <c r="K39" s="118"/>
      <c r="L39" s="119"/>
      <c r="M39" s="119"/>
      <c r="N39" s="119"/>
      <c r="O39" s="118" t="s">
        <v>426</v>
      </c>
      <c r="P39" s="118" t="s">
        <v>427</v>
      </c>
      <c r="Q39" s="118" t="s">
        <v>410</v>
      </c>
      <c r="R39" s="118" t="s">
        <v>411</v>
      </c>
      <c r="S39" s="118" t="s">
        <v>422</v>
      </c>
      <c r="T39" s="118" t="s">
        <v>428</v>
      </c>
      <c r="U39" s="118" t="s">
        <v>156</v>
      </c>
      <c r="V39" s="209"/>
      <c r="W39" s="122" t="s">
        <v>202</v>
      </c>
      <c r="X39" s="123" t="s">
        <v>429</v>
      </c>
    </row>
    <row r="40" spans="1:24" s="79" customFormat="1" ht="46.5">
      <c r="A40" s="347"/>
      <c r="B40" s="218"/>
      <c r="C40" s="204"/>
      <c r="D40" s="204"/>
      <c r="E40" s="204"/>
      <c r="F40" s="219"/>
      <c r="G40" s="350"/>
      <c r="H40" s="326"/>
      <c r="I40" s="298" t="s">
        <v>430</v>
      </c>
      <c r="J40" s="119"/>
      <c r="K40" s="118"/>
      <c r="L40" s="119"/>
      <c r="M40" s="119"/>
      <c r="N40" s="119"/>
      <c r="O40" s="118" t="s">
        <v>426</v>
      </c>
      <c r="P40" s="118" t="s">
        <v>427</v>
      </c>
      <c r="Q40" s="118" t="s">
        <v>410</v>
      </c>
      <c r="R40" s="118" t="s">
        <v>411</v>
      </c>
      <c r="S40" s="118" t="s">
        <v>422</v>
      </c>
      <c r="T40" s="118" t="s">
        <v>428</v>
      </c>
      <c r="U40" s="118" t="s">
        <v>156</v>
      </c>
      <c r="V40" s="209"/>
      <c r="W40" s="122" t="s">
        <v>202</v>
      </c>
      <c r="X40" s="297" t="s">
        <v>431</v>
      </c>
    </row>
    <row r="41" spans="1:24" s="79" customFormat="1" ht="123.95">
      <c r="A41" s="347"/>
      <c r="B41" s="218"/>
      <c r="C41" s="204"/>
      <c r="D41" s="204"/>
      <c r="E41" s="204"/>
      <c r="F41" s="219"/>
      <c r="G41" s="221" t="s">
        <v>432</v>
      </c>
      <c r="H41" s="222" t="s">
        <v>433</v>
      </c>
      <c r="I41" s="299" t="s">
        <v>434</v>
      </c>
      <c r="J41" s="119"/>
      <c r="K41" s="118"/>
      <c r="L41" s="119"/>
      <c r="M41" s="119"/>
      <c r="N41" s="119"/>
      <c r="O41" s="118" t="s">
        <v>426</v>
      </c>
      <c r="P41" s="118" t="s">
        <v>427</v>
      </c>
      <c r="Q41" s="118" t="s">
        <v>410</v>
      </c>
      <c r="R41" s="118" t="s">
        <v>411</v>
      </c>
      <c r="S41" s="118" t="s">
        <v>422</v>
      </c>
      <c r="T41" s="118" t="s">
        <v>428</v>
      </c>
      <c r="U41" s="118" t="s">
        <v>156</v>
      </c>
      <c r="V41" s="209"/>
      <c r="W41" s="122" t="s">
        <v>202</v>
      </c>
      <c r="X41" s="297" t="s">
        <v>431</v>
      </c>
    </row>
    <row r="42" spans="1:24" s="79" customFormat="1" ht="108.6">
      <c r="A42" s="347"/>
      <c r="B42" s="218"/>
      <c r="C42" s="204"/>
      <c r="D42" s="204"/>
      <c r="E42" s="204"/>
      <c r="F42" s="219"/>
      <c r="G42" s="221" t="s">
        <v>435</v>
      </c>
      <c r="H42" s="222" t="s">
        <v>436</v>
      </c>
      <c r="I42" s="299" t="s">
        <v>437</v>
      </c>
      <c r="J42" s="119"/>
      <c r="K42" s="118"/>
      <c r="L42" s="119"/>
      <c r="M42" s="119"/>
      <c r="N42" s="119"/>
      <c r="O42" s="118" t="s">
        <v>414</v>
      </c>
      <c r="P42" s="118" t="s">
        <v>414</v>
      </c>
      <c r="Q42" s="118" t="s">
        <v>414</v>
      </c>
      <c r="R42" s="118" t="s">
        <v>438</v>
      </c>
      <c r="S42" s="118" t="s">
        <v>439</v>
      </c>
      <c r="T42" s="118" t="s">
        <v>440</v>
      </c>
      <c r="U42" s="118" t="s">
        <v>156</v>
      </c>
      <c r="V42" s="209"/>
      <c r="W42" s="122" t="s">
        <v>202</v>
      </c>
      <c r="X42" s="297" t="s">
        <v>431</v>
      </c>
    </row>
    <row r="43" spans="1:24" s="79" customFormat="1" ht="62.1">
      <c r="A43" s="347"/>
      <c r="B43" s="352" t="s">
        <v>393</v>
      </c>
      <c r="C43" s="204"/>
      <c r="D43" s="204"/>
      <c r="E43" s="204"/>
      <c r="F43" s="322" t="s">
        <v>358</v>
      </c>
      <c r="G43" s="224" t="s">
        <v>441</v>
      </c>
      <c r="H43" s="327" t="s">
        <v>442</v>
      </c>
      <c r="I43" s="139" t="s">
        <v>443</v>
      </c>
      <c r="J43" s="119"/>
      <c r="K43" s="118" t="s">
        <v>444</v>
      </c>
      <c r="L43" s="119"/>
      <c r="M43" s="119"/>
      <c r="N43" s="119"/>
      <c r="O43" s="118" t="s">
        <v>379</v>
      </c>
      <c r="P43" s="118" t="s">
        <v>380</v>
      </c>
      <c r="Q43" s="118" t="s">
        <v>380</v>
      </c>
      <c r="R43" s="118" t="s">
        <v>410</v>
      </c>
      <c r="S43" s="118" t="s">
        <v>411</v>
      </c>
      <c r="T43" s="118" t="s">
        <v>411</v>
      </c>
      <c r="U43" s="118" t="s">
        <v>156</v>
      </c>
      <c r="V43" s="209"/>
      <c r="W43" s="122" t="s">
        <v>202</v>
      </c>
      <c r="X43" s="123" t="s">
        <v>326</v>
      </c>
    </row>
    <row r="44" spans="1:24" s="79" customFormat="1" ht="46.5">
      <c r="A44" s="347"/>
      <c r="B44" s="353"/>
      <c r="C44" s="204"/>
      <c r="D44" s="204"/>
      <c r="E44" s="204"/>
      <c r="F44" s="323"/>
      <c r="G44" s="224" t="s">
        <v>441</v>
      </c>
      <c r="H44" s="328"/>
      <c r="I44" s="139" t="s">
        <v>445</v>
      </c>
      <c r="J44" s="119"/>
      <c r="K44" s="118"/>
      <c r="L44" s="119"/>
      <c r="M44" s="119"/>
      <c r="N44" s="119"/>
      <c r="O44" s="118" t="s">
        <v>379</v>
      </c>
      <c r="P44" s="118" t="s">
        <v>380</v>
      </c>
      <c r="Q44" s="118" t="s">
        <v>380</v>
      </c>
      <c r="R44" s="118" t="s">
        <v>446</v>
      </c>
      <c r="S44" s="118" t="s">
        <v>390</v>
      </c>
      <c r="T44" s="118" t="s">
        <v>390</v>
      </c>
      <c r="U44" s="118" t="s">
        <v>156</v>
      </c>
      <c r="V44" s="209"/>
      <c r="W44" s="122" t="s">
        <v>202</v>
      </c>
      <c r="X44" s="123" t="s">
        <v>326</v>
      </c>
    </row>
    <row r="45" spans="1:24" s="79" customFormat="1" ht="108.6">
      <c r="A45" s="347"/>
      <c r="B45" s="353"/>
      <c r="C45" s="204"/>
      <c r="D45" s="204"/>
      <c r="E45" s="204"/>
      <c r="F45" s="323"/>
      <c r="G45" s="306" t="s">
        <v>447</v>
      </c>
      <c r="H45" s="329" t="s">
        <v>448</v>
      </c>
      <c r="I45" s="300" t="s">
        <v>449</v>
      </c>
      <c r="J45" s="119"/>
      <c r="K45" s="118" t="s">
        <v>450</v>
      </c>
      <c r="L45" s="119"/>
      <c r="M45" s="119"/>
      <c r="N45" s="119"/>
      <c r="O45" s="118" t="s">
        <v>379</v>
      </c>
      <c r="P45" s="118" t="s">
        <v>380</v>
      </c>
      <c r="Q45" s="118" t="s">
        <v>380</v>
      </c>
      <c r="R45" s="118" t="s">
        <v>410</v>
      </c>
      <c r="S45" s="118" t="s">
        <v>411</v>
      </c>
      <c r="T45" s="118" t="s">
        <v>428</v>
      </c>
      <c r="U45" s="118" t="s">
        <v>156</v>
      </c>
      <c r="V45" s="209"/>
      <c r="W45" s="122" t="s">
        <v>202</v>
      </c>
      <c r="X45" s="123" t="s">
        <v>451</v>
      </c>
    </row>
    <row r="46" spans="1:24" s="79" customFormat="1" ht="58.5" customHeight="1">
      <c r="A46" s="347"/>
      <c r="B46" s="353"/>
      <c r="C46" s="204"/>
      <c r="D46" s="204"/>
      <c r="E46" s="204"/>
      <c r="F46" s="323"/>
      <c r="G46" s="305"/>
      <c r="H46" s="330"/>
      <c r="I46" s="301" t="s">
        <v>452</v>
      </c>
      <c r="J46" s="119"/>
      <c r="K46" s="118"/>
      <c r="L46" s="119"/>
      <c r="M46" s="119"/>
      <c r="N46" s="119"/>
      <c r="O46" s="118" t="s">
        <v>414</v>
      </c>
      <c r="P46" s="118" t="s">
        <v>380</v>
      </c>
      <c r="Q46" s="118" t="s">
        <v>380</v>
      </c>
      <c r="R46" s="118" t="s">
        <v>410</v>
      </c>
      <c r="S46" s="118" t="s">
        <v>411</v>
      </c>
      <c r="T46" s="118" t="s">
        <v>428</v>
      </c>
      <c r="U46" s="118" t="s">
        <v>156</v>
      </c>
      <c r="V46" s="209"/>
      <c r="W46" s="122" t="s">
        <v>202</v>
      </c>
      <c r="X46" s="123" t="s">
        <v>453</v>
      </c>
    </row>
    <row r="47" spans="1:24" s="79" customFormat="1" ht="55.5" customHeight="1">
      <c r="A47" s="347"/>
      <c r="B47" s="353"/>
      <c r="C47" s="204"/>
      <c r="D47" s="204"/>
      <c r="E47" s="204"/>
      <c r="F47" s="323"/>
      <c r="G47" s="306" t="s">
        <v>454</v>
      </c>
      <c r="H47" s="371" t="s">
        <v>455</v>
      </c>
      <c r="I47" s="139" t="s">
        <v>456</v>
      </c>
      <c r="J47" s="119"/>
      <c r="K47" s="118" t="s">
        <v>457</v>
      </c>
      <c r="L47" s="119"/>
      <c r="M47" s="119"/>
      <c r="N47" s="119"/>
      <c r="O47" s="118" t="s">
        <v>414</v>
      </c>
      <c r="P47" s="118" t="s">
        <v>380</v>
      </c>
      <c r="Q47" s="118" t="s">
        <v>380</v>
      </c>
      <c r="R47" s="118" t="s">
        <v>458</v>
      </c>
      <c r="S47" s="118" t="s">
        <v>458</v>
      </c>
      <c r="T47" s="118" t="s">
        <v>458</v>
      </c>
      <c r="U47" s="118" t="s">
        <v>156</v>
      </c>
      <c r="V47" s="209"/>
      <c r="W47" s="122" t="s">
        <v>202</v>
      </c>
      <c r="X47" s="123" t="s">
        <v>459</v>
      </c>
    </row>
    <row r="48" spans="1:24" s="79" customFormat="1" ht="59.25" customHeight="1">
      <c r="A48" s="347"/>
      <c r="B48" s="218"/>
      <c r="C48" s="204"/>
      <c r="D48" s="204"/>
      <c r="E48" s="204"/>
      <c r="F48" s="225"/>
      <c r="G48" s="307"/>
      <c r="H48" s="372"/>
      <c r="I48" s="139" t="s">
        <v>460</v>
      </c>
      <c r="J48" s="226"/>
      <c r="K48" s="227"/>
      <c r="L48" s="226"/>
      <c r="M48" s="226"/>
      <c r="N48" s="226"/>
      <c r="O48" s="118" t="s">
        <v>414</v>
      </c>
      <c r="P48" s="118" t="s">
        <v>380</v>
      </c>
      <c r="Q48" s="118" t="s">
        <v>380</v>
      </c>
      <c r="R48" s="118" t="s">
        <v>458</v>
      </c>
      <c r="S48" s="118" t="s">
        <v>461</v>
      </c>
      <c r="T48" s="118" t="s">
        <v>428</v>
      </c>
      <c r="U48" s="118" t="s">
        <v>156</v>
      </c>
      <c r="V48" s="226"/>
      <c r="W48" s="122" t="s">
        <v>202</v>
      </c>
      <c r="X48" s="123" t="s">
        <v>459</v>
      </c>
    </row>
    <row r="49" spans="1:24" s="79" customFormat="1" ht="48" customHeight="1">
      <c r="A49" s="347"/>
      <c r="B49" s="218"/>
      <c r="C49" s="204"/>
      <c r="D49" s="204"/>
      <c r="E49" s="204"/>
      <c r="F49" s="225"/>
      <c r="G49" s="305"/>
      <c r="H49" s="373"/>
      <c r="I49" s="139" t="s">
        <v>462</v>
      </c>
      <c r="J49" s="226"/>
      <c r="K49" s="227"/>
      <c r="L49" s="226"/>
      <c r="M49" s="226"/>
      <c r="N49" s="226"/>
      <c r="O49" s="118" t="s">
        <v>414</v>
      </c>
      <c r="P49" s="118" t="s">
        <v>380</v>
      </c>
      <c r="Q49" s="118" t="s">
        <v>380</v>
      </c>
      <c r="R49" s="118" t="s">
        <v>463</v>
      </c>
      <c r="S49" s="118" t="s">
        <v>464</v>
      </c>
      <c r="T49" s="118" t="s">
        <v>392</v>
      </c>
      <c r="U49" s="118" t="s">
        <v>156</v>
      </c>
      <c r="V49" s="226"/>
      <c r="W49" s="122" t="s">
        <v>202</v>
      </c>
      <c r="X49" s="123" t="s">
        <v>459</v>
      </c>
    </row>
    <row r="50" spans="1:24" s="79" customFormat="1" ht="155.1">
      <c r="A50" s="347"/>
      <c r="B50" s="218"/>
      <c r="C50" s="204"/>
      <c r="D50" s="204"/>
      <c r="E50" s="204"/>
      <c r="F50" s="225"/>
      <c r="G50" s="208" t="s">
        <v>465</v>
      </c>
      <c r="H50" s="302" t="s">
        <v>466</v>
      </c>
      <c r="I50" s="228" t="s">
        <v>467</v>
      </c>
      <c r="J50" s="226"/>
      <c r="K50" s="227"/>
      <c r="L50" s="226"/>
      <c r="M50" s="226"/>
      <c r="N50" s="226"/>
      <c r="O50" s="118" t="s">
        <v>414</v>
      </c>
      <c r="P50" s="118" t="s">
        <v>380</v>
      </c>
      <c r="Q50" s="118" t="s">
        <v>380</v>
      </c>
      <c r="R50" s="229" t="s">
        <v>468</v>
      </c>
      <c r="S50" s="229" t="s">
        <v>469</v>
      </c>
      <c r="T50" s="229" t="s">
        <v>470</v>
      </c>
      <c r="U50" s="118" t="s">
        <v>156</v>
      </c>
      <c r="V50" s="226"/>
      <c r="W50" s="122" t="s">
        <v>202</v>
      </c>
      <c r="X50" s="123" t="s">
        <v>471</v>
      </c>
    </row>
    <row r="51" spans="1:24" s="79" customFormat="1" ht="62.1">
      <c r="A51" s="347"/>
      <c r="B51" s="203"/>
      <c r="C51" s="204"/>
      <c r="D51" s="204"/>
      <c r="E51" s="204"/>
      <c r="F51" s="204"/>
      <c r="G51" s="205" t="s">
        <v>217</v>
      </c>
      <c r="H51" s="206" t="s">
        <v>218</v>
      </c>
      <c r="I51" s="206"/>
      <c r="J51" s="206"/>
      <c r="K51" s="206"/>
      <c r="L51" s="206"/>
      <c r="M51" s="206"/>
      <c r="N51" s="206"/>
      <c r="O51" s="230"/>
      <c r="P51" s="230"/>
      <c r="Q51" s="230"/>
      <c r="R51" s="230"/>
      <c r="S51" s="230"/>
      <c r="T51" s="230"/>
      <c r="U51" s="230"/>
      <c r="V51" s="206"/>
      <c r="W51" s="122"/>
      <c r="X51" s="123"/>
    </row>
    <row r="52" spans="1:24" s="79" customFormat="1" ht="81" customHeight="1">
      <c r="A52" s="347"/>
      <c r="B52" s="352" t="s">
        <v>122</v>
      </c>
      <c r="C52" s="204"/>
      <c r="D52" s="204"/>
      <c r="E52" s="204"/>
      <c r="F52" s="322" t="s">
        <v>358</v>
      </c>
      <c r="G52" s="304" t="s">
        <v>472</v>
      </c>
      <c r="H52" s="310" t="s">
        <v>473</v>
      </c>
      <c r="I52" s="139" t="s">
        <v>474</v>
      </c>
      <c r="J52" s="119"/>
      <c r="K52" s="118" t="s">
        <v>475</v>
      </c>
      <c r="L52" s="119"/>
      <c r="M52" s="119"/>
      <c r="N52" s="119"/>
      <c r="O52" s="118" t="s">
        <v>476</v>
      </c>
      <c r="P52" s="118" t="s">
        <v>477</v>
      </c>
      <c r="Q52" s="118" t="s">
        <v>478</v>
      </c>
      <c r="R52" s="118" t="s">
        <v>479</v>
      </c>
      <c r="S52" s="118" t="s">
        <v>480</v>
      </c>
      <c r="T52" s="118" t="s">
        <v>481</v>
      </c>
      <c r="U52" s="118" t="s">
        <v>156</v>
      </c>
      <c r="V52" s="209"/>
      <c r="W52" s="122" t="s">
        <v>202</v>
      </c>
      <c r="X52" s="123" t="s">
        <v>482</v>
      </c>
    </row>
    <row r="53" spans="1:24" s="79" customFormat="1" ht="65.25" customHeight="1">
      <c r="A53" s="347"/>
      <c r="B53" s="353"/>
      <c r="C53" s="204"/>
      <c r="D53" s="204"/>
      <c r="E53" s="204"/>
      <c r="F53" s="323"/>
      <c r="G53" s="305"/>
      <c r="H53" s="311"/>
      <c r="I53" s="139" t="s">
        <v>483</v>
      </c>
      <c r="J53" s="119"/>
      <c r="K53" s="118"/>
      <c r="L53" s="119"/>
      <c r="M53" s="119"/>
      <c r="N53" s="119"/>
      <c r="O53" s="118" t="s">
        <v>484</v>
      </c>
      <c r="P53" s="118" t="s">
        <v>402</v>
      </c>
      <c r="Q53" s="118" t="s">
        <v>485</v>
      </c>
      <c r="R53" s="118" t="s">
        <v>403</v>
      </c>
      <c r="S53" s="118" t="s">
        <v>403</v>
      </c>
      <c r="T53" s="118" t="s">
        <v>403</v>
      </c>
      <c r="U53" s="118" t="s">
        <v>156</v>
      </c>
      <c r="V53" s="209"/>
      <c r="W53" s="122" t="s">
        <v>202</v>
      </c>
      <c r="X53" s="123" t="s">
        <v>482</v>
      </c>
    </row>
    <row r="54" spans="1:24" s="79" customFormat="1" ht="78.75" customHeight="1">
      <c r="A54" s="347"/>
      <c r="B54" s="353"/>
      <c r="C54" s="204"/>
      <c r="D54" s="204"/>
      <c r="E54" s="204"/>
      <c r="F54" s="323"/>
      <c r="G54" s="306" t="s">
        <v>486</v>
      </c>
      <c r="H54" s="312" t="s">
        <v>487</v>
      </c>
      <c r="I54" s="139" t="s">
        <v>488</v>
      </c>
      <c r="J54" s="119"/>
      <c r="K54" s="118" t="s">
        <v>489</v>
      </c>
      <c r="L54" s="119"/>
      <c r="M54" s="119"/>
      <c r="N54" s="119"/>
      <c r="O54" s="118" t="s">
        <v>484</v>
      </c>
      <c r="P54" s="118" t="s">
        <v>402</v>
      </c>
      <c r="Q54" s="118" t="s">
        <v>485</v>
      </c>
      <c r="R54" s="118" t="s">
        <v>403</v>
      </c>
      <c r="S54" s="118" t="s">
        <v>490</v>
      </c>
      <c r="T54" s="118" t="s">
        <v>404</v>
      </c>
      <c r="U54" s="118" t="s">
        <v>156</v>
      </c>
      <c r="V54" s="209"/>
      <c r="W54" s="122" t="s">
        <v>202</v>
      </c>
      <c r="X54" s="123" t="s">
        <v>482</v>
      </c>
    </row>
    <row r="55" spans="1:24" s="79" customFormat="1" ht="61.5" customHeight="1">
      <c r="A55" s="347"/>
      <c r="B55" s="353"/>
      <c r="C55" s="204"/>
      <c r="D55" s="204"/>
      <c r="E55" s="204"/>
      <c r="F55" s="323"/>
      <c r="G55" s="307"/>
      <c r="H55" s="313"/>
      <c r="I55" s="139" t="s">
        <v>491</v>
      </c>
      <c r="J55" s="119"/>
      <c r="K55" s="118"/>
      <c r="L55" s="119"/>
      <c r="M55" s="119"/>
      <c r="N55" s="119"/>
      <c r="O55" s="118" t="s">
        <v>414</v>
      </c>
      <c r="P55" s="118" t="s">
        <v>492</v>
      </c>
      <c r="Q55" s="118" t="s">
        <v>415</v>
      </c>
      <c r="R55" s="118" t="s">
        <v>493</v>
      </c>
      <c r="S55" s="118" t="s">
        <v>494</v>
      </c>
      <c r="T55" s="118" t="s">
        <v>495</v>
      </c>
      <c r="U55" s="118" t="s">
        <v>156</v>
      </c>
      <c r="V55" s="209"/>
      <c r="W55" s="122" t="s">
        <v>202</v>
      </c>
      <c r="X55" s="123" t="s">
        <v>482</v>
      </c>
    </row>
    <row r="56" spans="1:24" s="79" customFormat="1" ht="49.5" customHeight="1">
      <c r="A56" s="347"/>
      <c r="B56" s="353"/>
      <c r="C56" s="204"/>
      <c r="D56" s="204"/>
      <c r="E56" s="204"/>
      <c r="F56" s="323"/>
      <c r="G56" s="351" t="s">
        <v>496</v>
      </c>
      <c r="H56" s="374" t="s">
        <v>497</v>
      </c>
      <c r="I56" s="139" t="s">
        <v>498</v>
      </c>
      <c r="J56" s="232"/>
      <c r="K56" s="231" t="s">
        <v>499</v>
      </c>
      <c r="L56" s="232"/>
      <c r="M56" s="232"/>
      <c r="N56" s="232"/>
      <c r="O56" s="118" t="s">
        <v>414</v>
      </c>
      <c r="P56" s="118" t="s">
        <v>500</v>
      </c>
      <c r="Q56" s="118" t="s">
        <v>501</v>
      </c>
      <c r="R56" s="118" t="s">
        <v>502</v>
      </c>
      <c r="S56" s="118" t="s">
        <v>502</v>
      </c>
      <c r="T56" s="118" t="s">
        <v>502</v>
      </c>
      <c r="U56" s="118" t="s">
        <v>156</v>
      </c>
      <c r="V56" s="233"/>
      <c r="W56" s="122" t="s">
        <v>202</v>
      </c>
      <c r="X56" s="123" t="s">
        <v>503</v>
      </c>
    </row>
    <row r="57" spans="1:24" s="79" customFormat="1" ht="46.5">
      <c r="A57" s="347"/>
      <c r="B57" s="218"/>
      <c r="C57" s="204"/>
      <c r="D57" s="204"/>
      <c r="E57" s="204"/>
      <c r="F57" s="225"/>
      <c r="G57" s="351"/>
      <c r="H57" s="375"/>
      <c r="I57" s="139" t="s">
        <v>504</v>
      </c>
      <c r="J57" s="234"/>
      <c r="K57" s="229"/>
      <c r="L57" s="234"/>
      <c r="M57" s="234"/>
      <c r="N57" s="234"/>
      <c r="O57" s="118" t="s">
        <v>414</v>
      </c>
      <c r="P57" s="118" t="s">
        <v>402</v>
      </c>
      <c r="Q57" s="118" t="s">
        <v>505</v>
      </c>
      <c r="R57" s="118" t="s">
        <v>506</v>
      </c>
      <c r="S57" s="118" t="s">
        <v>507</v>
      </c>
      <c r="T57" s="118" t="s">
        <v>507</v>
      </c>
      <c r="U57" s="118" t="s">
        <v>156</v>
      </c>
      <c r="V57" s="234"/>
      <c r="W57" s="122" t="s">
        <v>202</v>
      </c>
      <c r="X57" s="123" t="s">
        <v>503</v>
      </c>
    </row>
    <row r="58" spans="1:24" s="79" customFormat="1" ht="77.45">
      <c r="A58" s="347"/>
      <c r="B58" s="203"/>
      <c r="C58" s="204"/>
      <c r="D58" s="204"/>
      <c r="E58" s="204"/>
      <c r="F58" s="204"/>
      <c r="G58" s="235" t="s">
        <v>231</v>
      </c>
      <c r="H58" s="230" t="s">
        <v>232</v>
      </c>
      <c r="I58" s="230"/>
      <c r="J58" s="230"/>
      <c r="K58" s="230"/>
      <c r="L58" s="230"/>
      <c r="M58" s="230"/>
      <c r="N58" s="230"/>
      <c r="O58" s="230"/>
      <c r="P58" s="230"/>
      <c r="Q58" s="230"/>
      <c r="R58" s="230"/>
      <c r="S58" s="230"/>
      <c r="T58" s="230"/>
      <c r="U58" s="230"/>
      <c r="V58" s="230"/>
      <c r="W58" s="122"/>
      <c r="X58" s="123"/>
    </row>
    <row r="59" spans="1:24" s="79" customFormat="1" ht="57.75" customHeight="1">
      <c r="A59" s="347"/>
      <c r="B59" s="352" t="s">
        <v>122</v>
      </c>
      <c r="C59" s="204"/>
      <c r="D59" s="204"/>
      <c r="E59" s="204"/>
      <c r="F59" s="322" t="s">
        <v>358</v>
      </c>
      <c r="G59" s="208" t="s">
        <v>508</v>
      </c>
      <c r="H59" s="118" t="s">
        <v>509</v>
      </c>
      <c r="I59" s="139" t="s">
        <v>510</v>
      </c>
      <c r="J59" s="119"/>
      <c r="K59" s="118" t="s">
        <v>457</v>
      </c>
      <c r="L59" s="119"/>
      <c r="M59" s="119"/>
      <c r="N59" s="119"/>
      <c r="O59" s="118" t="s">
        <v>414</v>
      </c>
      <c r="P59" s="118" t="s">
        <v>380</v>
      </c>
      <c r="Q59" s="118" t="s">
        <v>511</v>
      </c>
      <c r="R59" s="118" t="s">
        <v>428</v>
      </c>
      <c r="S59" s="118" t="s">
        <v>428</v>
      </c>
      <c r="T59" s="118" t="s">
        <v>428</v>
      </c>
      <c r="U59" s="229" t="s">
        <v>156</v>
      </c>
      <c r="V59" s="209"/>
      <c r="W59" s="122" t="s">
        <v>202</v>
      </c>
      <c r="X59" s="123" t="s">
        <v>512</v>
      </c>
    </row>
    <row r="60" spans="1:24" s="79" customFormat="1" ht="62.1">
      <c r="A60" s="347"/>
      <c r="B60" s="353"/>
      <c r="C60" s="204"/>
      <c r="D60" s="204"/>
      <c r="E60" s="204"/>
      <c r="F60" s="323"/>
      <c r="G60" s="306" t="s">
        <v>513</v>
      </c>
      <c r="H60" s="312" t="s">
        <v>514</v>
      </c>
      <c r="I60" s="139" t="s">
        <v>515</v>
      </c>
      <c r="J60" s="119"/>
      <c r="K60" s="118" t="s">
        <v>516</v>
      </c>
      <c r="L60" s="119"/>
      <c r="M60" s="119"/>
      <c r="N60" s="119"/>
      <c r="O60" s="118" t="s">
        <v>517</v>
      </c>
      <c r="P60" s="118" t="s">
        <v>427</v>
      </c>
      <c r="Q60" s="118" t="s">
        <v>427</v>
      </c>
      <c r="R60" s="118" t="s">
        <v>518</v>
      </c>
      <c r="S60" s="118" t="s">
        <v>422</v>
      </c>
      <c r="T60" s="118" t="s">
        <v>519</v>
      </c>
      <c r="U60" s="229" t="s">
        <v>156</v>
      </c>
      <c r="V60" s="233"/>
      <c r="W60" s="122" t="s">
        <v>202</v>
      </c>
      <c r="X60" s="123" t="s">
        <v>520</v>
      </c>
    </row>
    <row r="61" spans="1:24" s="79" customFormat="1" ht="77.45">
      <c r="A61" s="347"/>
      <c r="B61" s="353"/>
      <c r="C61" s="204"/>
      <c r="D61" s="204"/>
      <c r="E61" s="204"/>
      <c r="F61" s="323"/>
      <c r="G61" s="305"/>
      <c r="H61" s="311"/>
      <c r="I61" s="139" t="s">
        <v>521</v>
      </c>
      <c r="J61" s="119"/>
      <c r="K61" s="118"/>
      <c r="L61" s="119"/>
      <c r="M61" s="119"/>
      <c r="N61" s="119"/>
      <c r="O61" s="118" t="s">
        <v>414</v>
      </c>
      <c r="P61" s="118" t="s">
        <v>522</v>
      </c>
      <c r="Q61" s="118" t="s">
        <v>522</v>
      </c>
      <c r="R61" s="118" t="s">
        <v>518</v>
      </c>
      <c r="S61" s="118" t="s">
        <v>523</v>
      </c>
      <c r="T61" s="236" t="s">
        <v>519</v>
      </c>
      <c r="U61" s="229" t="s">
        <v>156</v>
      </c>
      <c r="V61" s="234"/>
      <c r="W61" s="122" t="s">
        <v>202</v>
      </c>
      <c r="X61" s="297" t="s">
        <v>524</v>
      </c>
    </row>
    <row r="62" spans="1:24" s="79" customFormat="1" ht="88.5" customHeight="1">
      <c r="A62" s="347"/>
      <c r="B62" s="353"/>
      <c r="C62" s="204"/>
      <c r="D62" s="204"/>
      <c r="E62" s="204"/>
      <c r="F62" s="323"/>
      <c r="G62" s="306" t="s">
        <v>525</v>
      </c>
      <c r="H62" s="312" t="s">
        <v>526</v>
      </c>
      <c r="I62" s="139" t="s">
        <v>527</v>
      </c>
      <c r="J62" s="119"/>
      <c r="K62" s="118" t="s">
        <v>528</v>
      </c>
      <c r="L62" s="119"/>
      <c r="M62" s="119"/>
      <c r="N62" s="119"/>
      <c r="O62" s="118" t="s">
        <v>414</v>
      </c>
      <c r="P62" s="118" t="s">
        <v>522</v>
      </c>
      <c r="Q62" s="118" t="s">
        <v>522</v>
      </c>
      <c r="R62" s="118" t="s">
        <v>411</v>
      </c>
      <c r="S62" s="118" t="s">
        <v>523</v>
      </c>
      <c r="T62" s="236" t="s">
        <v>519</v>
      </c>
      <c r="U62" s="229" t="s">
        <v>156</v>
      </c>
      <c r="V62" s="234"/>
      <c r="W62" s="122" t="s">
        <v>202</v>
      </c>
      <c r="X62" s="123" t="s">
        <v>370</v>
      </c>
    </row>
    <row r="63" spans="1:24" s="79" customFormat="1" ht="71.25" customHeight="1">
      <c r="A63" s="347"/>
      <c r="B63" s="353"/>
      <c r="C63" s="204"/>
      <c r="D63" s="204"/>
      <c r="E63" s="204"/>
      <c r="F63" s="323"/>
      <c r="G63" s="305"/>
      <c r="H63" s="311"/>
      <c r="I63" s="139" t="s">
        <v>529</v>
      </c>
      <c r="J63" s="119"/>
      <c r="K63" s="118"/>
      <c r="L63" s="119"/>
      <c r="M63" s="119"/>
      <c r="N63" s="119"/>
      <c r="O63" s="118" t="s">
        <v>414</v>
      </c>
      <c r="P63" s="118" t="s">
        <v>522</v>
      </c>
      <c r="Q63" s="118" t="s">
        <v>522</v>
      </c>
      <c r="R63" s="118" t="s">
        <v>411</v>
      </c>
      <c r="S63" s="118" t="s">
        <v>523</v>
      </c>
      <c r="T63" s="236" t="s">
        <v>519</v>
      </c>
      <c r="U63" s="229" t="s">
        <v>156</v>
      </c>
      <c r="V63" s="234"/>
      <c r="W63" s="122" t="s">
        <v>202</v>
      </c>
      <c r="X63" s="123" t="s">
        <v>370</v>
      </c>
    </row>
    <row r="64" spans="1:24" s="79" customFormat="1" ht="155.1">
      <c r="A64" s="347"/>
      <c r="B64" s="354"/>
      <c r="C64" s="204"/>
      <c r="D64" s="204"/>
      <c r="E64" s="204"/>
      <c r="F64" s="324"/>
      <c r="G64" s="208" t="s">
        <v>530</v>
      </c>
      <c r="H64" s="118" t="s">
        <v>531</v>
      </c>
      <c r="I64" s="139" t="s">
        <v>532</v>
      </c>
      <c r="J64" s="119"/>
      <c r="K64" s="118" t="s">
        <v>533</v>
      </c>
      <c r="L64" s="119"/>
      <c r="M64" s="119"/>
      <c r="N64" s="119"/>
      <c r="O64" s="118" t="s">
        <v>414</v>
      </c>
      <c r="P64" s="118" t="s">
        <v>522</v>
      </c>
      <c r="Q64" s="118" t="s">
        <v>522</v>
      </c>
      <c r="R64" s="118" t="s">
        <v>411</v>
      </c>
      <c r="S64" s="118" t="s">
        <v>523</v>
      </c>
      <c r="T64" s="236" t="s">
        <v>519</v>
      </c>
      <c r="U64" s="229" t="s">
        <v>156</v>
      </c>
      <c r="V64" s="234"/>
      <c r="W64" s="122" t="s">
        <v>202</v>
      </c>
      <c r="X64" s="123" t="s">
        <v>370</v>
      </c>
    </row>
    <row r="65" spans="1:24" s="79" customFormat="1" ht="77.45">
      <c r="A65" s="347"/>
      <c r="B65" s="203"/>
      <c r="C65" s="204"/>
      <c r="D65" s="204"/>
      <c r="E65" s="204"/>
      <c r="F65" s="238"/>
      <c r="G65" s="208" t="s">
        <v>534</v>
      </c>
      <c r="H65" s="118" t="s">
        <v>535</v>
      </c>
      <c r="I65" s="302" t="s">
        <v>536</v>
      </c>
      <c r="J65" s="119"/>
      <c r="K65" s="118" t="s">
        <v>457</v>
      </c>
      <c r="L65" s="119"/>
      <c r="M65" s="119"/>
      <c r="N65" s="119"/>
      <c r="O65" s="118" t="s">
        <v>537</v>
      </c>
      <c r="P65" s="118" t="s">
        <v>538</v>
      </c>
      <c r="Q65" s="118" t="s">
        <v>538</v>
      </c>
      <c r="R65" s="118" t="s">
        <v>539</v>
      </c>
      <c r="S65" s="118" t="s">
        <v>540</v>
      </c>
      <c r="T65" s="118" t="s">
        <v>541</v>
      </c>
      <c r="U65" s="118" t="s">
        <v>350</v>
      </c>
      <c r="V65" s="209"/>
      <c r="W65" s="122" t="s">
        <v>202</v>
      </c>
      <c r="X65" s="297" t="s">
        <v>542</v>
      </c>
    </row>
    <row r="66" spans="1:24" s="79" customFormat="1" ht="77.45">
      <c r="A66" s="347"/>
      <c r="B66" s="203"/>
      <c r="C66" s="204"/>
      <c r="D66" s="204"/>
      <c r="E66" s="204"/>
      <c r="F66" s="238"/>
      <c r="G66" s="208" t="s">
        <v>543</v>
      </c>
      <c r="H66" s="118" t="s">
        <v>544</v>
      </c>
      <c r="I66" s="302" t="s">
        <v>545</v>
      </c>
      <c r="J66" s="119"/>
      <c r="K66" s="118" t="s">
        <v>457</v>
      </c>
      <c r="L66" s="119"/>
      <c r="M66" s="119"/>
      <c r="N66" s="119"/>
      <c r="O66" s="118" t="s">
        <v>537</v>
      </c>
      <c r="P66" s="118" t="s">
        <v>538</v>
      </c>
      <c r="Q66" s="118" t="s">
        <v>538</v>
      </c>
      <c r="R66" s="118" t="s">
        <v>546</v>
      </c>
      <c r="S66" s="118" t="s">
        <v>546</v>
      </c>
      <c r="T66" s="118" t="s">
        <v>546</v>
      </c>
      <c r="U66" s="118" t="s">
        <v>350</v>
      </c>
      <c r="V66" s="209"/>
      <c r="W66" s="122" t="s">
        <v>202</v>
      </c>
      <c r="X66" s="297" t="s">
        <v>542</v>
      </c>
    </row>
    <row r="67" spans="1:24" s="79" customFormat="1" ht="123.95">
      <c r="A67" s="347"/>
      <c r="B67" s="203"/>
      <c r="C67" s="204"/>
      <c r="D67" s="204"/>
      <c r="E67" s="204"/>
      <c r="F67" s="204"/>
      <c r="G67" s="205" t="s">
        <v>243</v>
      </c>
      <c r="H67" s="206" t="s">
        <v>547</v>
      </c>
      <c r="I67" s="206"/>
      <c r="J67" s="206"/>
      <c r="K67" s="206"/>
      <c r="L67" s="206"/>
      <c r="M67" s="206"/>
      <c r="N67" s="206"/>
      <c r="O67" s="206"/>
      <c r="P67" s="206"/>
      <c r="Q67" s="206"/>
      <c r="R67" s="206"/>
      <c r="S67" s="206"/>
      <c r="T67" s="206"/>
      <c r="U67" s="206"/>
      <c r="V67" s="206"/>
      <c r="W67" s="122"/>
      <c r="X67" s="123"/>
    </row>
    <row r="68" spans="1:24" s="79" customFormat="1" ht="72" customHeight="1">
      <c r="A68" s="347"/>
      <c r="B68" s="352" t="s">
        <v>548</v>
      </c>
      <c r="C68" s="204"/>
      <c r="D68" s="204"/>
      <c r="E68" s="204"/>
      <c r="F68" s="322" t="s">
        <v>358</v>
      </c>
      <c r="G68" s="304" t="s">
        <v>549</v>
      </c>
      <c r="H68" s="310" t="s">
        <v>550</v>
      </c>
      <c r="I68" s="139" t="s">
        <v>551</v>
      </c>
      <c r="J68" s="119"/>
      <c r="K68" s="118" t="s">
        <v>552</v>
      </c>
      <c r="L68" s="119"/>
      <c r="M68" s="119"/>
      <c r="N68" s="119"/>
      <c r="O68" s="118" t="s">
        <v>414</v>
      </c>
      <c r="P68" s="118" t="s">
        <v>522</v>
      </c>
      <c r="Q68" s="118" t="s">
        <v>522</v>
      </c>
      <c r="R68" s="118" t="s">
        <v>553</v>
      </c>
      <c r="S68" s="118" t="s">
        <v>554</v>
      </c>
      <c r="T68" s="118" t="s">
        <v>555</v>
      </c>
      <c r="U68" s="118" t="s">
        <v>156</v>
      </c>
      <c r="V68" s="209"/>
      <c r="W68" s="122" t="s">
        <v>202</v>
      </c>
      <c r="X68" s="123" t="s">
        <v>370</v>
      </c>
    </row>
    <row r="69" spans="1:24" s="79" customFormat="1" ht="66" customHeight="1">
      <c r="A69" s="347"/>
      <c r="B69" s="353"/>
      <c r="C69" s="204"/>
      <c r="D69" s="204"/>
      <c r="E69" s="204"/>
      <c r="F69" s="323"/>
      <c r="G69" s="305"/>
      <c r="H69" s="311"/>
      <c r="I69" s="302" t="s">
        <v>556</v>
      </c>
      <c r="J69" s="119"/>
      <c r="K69" s="118"/>
      <c r="L69" s="119"/>
      <c r="M69" s="119"/>
      <c r="N69" s="119"/>
      <c r="O69" s="118" t="s">
        <v>557</v>
      </c>
      <c r="P69" s="118" t="s">
        <v>522</v>
      </c>
      <c r="Q69" s="118" t="s">
        <v>522</v>
      </c>
      <c r="R69" s="118" t="s">
        <v>389</v>
      </c>
      <c r="S69" s="118" t="s">
        <v>558</v>
      </c>
      <c r="T69" s="118" t="s">
        <v>559</v>
      </c>
      <c r="U69" s="118" t="s">
        <v>156</v>
      </c>
      <c r="V69" s="209"/>
      <c r="W69" s="122" t="s">
        <v>202</v>
      </c>
      <c r="X69" s="297" t="s">
        <v>560</v>
      </c>
    </row>
    <row r="70" spans="1:24" s="79" customFormat="1" ht="62.1">
      <c r="A70" s="347"/>
      <c r="B70" s="353"/>
      <c r="C70" s="204"/>
      <c r="D70" s="204"/>
      <c r="E70" s="204"/>
      <c r="F70" s="323"/>
      <c r="G70" s="306" t="s">
        <v>561</v>
      </c>
      <c r="H70" s="312" t="s">
        <v>562</v>
      </c>
      <c r="I70" s="139" t="s">
        <v>563</v>
      </c>
      <c r="J70" s="119"/>
      <c r="K70" s="118" t="s">
        <v>564</v>
      </c>
      <c r="L70" s="119"/>
      <c r="M70" s="119"/>
      <c r="N70" s="119"/>
      <c r="O70" s="118" t="s">
        <v>565</v>
      </c>
      <c r="P70" s="118" t="s">
        <v>411</v>
      </c>
      <c r="Q70" s="118" t="s">
        <v>519</v>
      </c>
      <c r="R70" s="118" t="s">
        <v>566</v>
      </c>
      <c r="S70" s="118" t="s">
        <v>567</v>
      </c>
      <c r="T70" s="118" t="s">
        <v>568</v>
      </c>
      <c r="U70" s="118" t="s">
        <v>156</v>
      </c>
      <c r="V70" s="209"/>
      <c r="W70" s="122" t="s">
        <v>202</v>
      </c>
      <c r="X70" s="123" t="s">
        <v>370</v>
      </c>
    </row>
    <row r="71" spans="1:24" s="79" customFormat="1" ht="46.5">
      <c r="A71" s="347"/>
      <c r="B71" s="353"/>
      <c r="C71" s="204"/>
      <c r="D71" s="204"/>
      <c r="E71" s="204"/>
      <c r="F71" s="323"/>
      <c r="G71" s="305"/>
      <c r="H71" s="311"/>
      <c r="I71" s="139" t="s">
        <v>569</v>
      </c>
      <c r="J71" s="119"/>
      <c r="K71" s="118"/>
      <c r="L71" s="119"/>
      <c r="M71" s="119"/>
      <c r="N71" s="119"/>
      <c r="O71" s="118" t="s">
        <v>570</v>
      </c>
      <c r="P71" s="118" t="s">
        <v>571</v>
      </c>
      <c r="Q71" s="118" t="s">
        <v>572</v>
      </c>
      <c r="R71" s="118" t="s">
        <v>573</v>
      </c>
      <c r="S71" s="118" t="s">
        <v>574</v>
      </c>
      <c r="T71" s="118" t="s">
        <v>575</v>
      </c>
      <c r="U71" s="118" t="s">
        <v>156</v>
      </c>
      <c r="V71" s="209"/>
      <c r="W71" s="122" t="s">
        <v>202</v>
      </c>
      <c r="X71" s="123" t="s">
        <v>370</v>
      </c>
    </row>
    <row r="72" spans="1:24" s="79" customFormat="1" ht="70.5" customHeight="1">
      <c r="A72" s="347"/>
      <c r="B72" s="353"/>
      <c r="C72" s="204"/>
      <c r="D72" s="204"/>
      <c r="E72" s="204"/>
      <c r="F72" s="323"/>
      <c r="G72" s="306" t="s">
        <v>576</v>
      </c>
      <c r="H72" s="312" t="s">
        <v>577</v>
      </c>
      <c r="I72" s="139" t="s">
        <v>578</v>
      </c>
      <c r="J72" s="119"/>
      <c r="K72" s="118"/>
      <c r="L72" s="119"/>
      <c r="M72" s="119"/>
      <c r="N72" s="119"/>
      <c r="O72" s="118" t="s">
        <v>565</v>
      </c>
      <c r="P72" s="118" t="s">
        <v>411</v>
      </c>
      <c r="Q72" s="118" t="s">
        <v>411</v>
      </c>
      <c r="R72" s="118" t="s">
        <v>411</v>
      </c>
      <c r="S72" s="118" t="s">
        <v>411</v>
      </c>
      <c r="T72" s="118" t="s">
        <v>411</v>
      </c>
      <c r="U72" s="118" t="s">
        <v>156</v>
      </c>
      <c r="V72" s="209"/>
      <c r="W72" s="122" t="s">
        <v>202</v>
      </c>
      <c r="X72" s="123" t="s">
        <v>370</v>
      </c>
    </row>
    <row r="73" spans="1:24" s="79" customFormat="1" ht="77.45">
      <c r="A73" s="347"/>
      <c r="B73" s="353"/>
      <c r="C73" s="204"/>
      <c r="D73" s="204"/>
      <c r="E73" s="204"/>
      <c r="F73" s="323"/>
      <c r="G73" s="307"/>
      <c r="H73" s="313"/>
      <c r="I73" s="302" t="s">
        <v>579</v>
      </c>
      <c r="J73" s="119"/>
      <c r="K73" s="118"/>
      <c r="L73" s="119"/>
      <c r="M73" s="119"/>
      <c r="N73" s="119"/>
      <c r="O73" s="118" t="s">
        <v>580</v>
      </c>
      <c r="P73" s="118" t="s">
        <v>411</v>
      </c>
      <c r="Q73" s="118" t="s">
        <v>485</v>
      </c>
      <c r="R73" s="118" t="s">
        <v>581</v>
      </c>
      <c r="S73" s="118" t="s">
        <v>380</v>
      </c>
      <c r="T73" s="118" t="s">
        <v>380</v>
      </c>
      <c r="U73" s="118" t="s">
        <v>156</v>
      </c>
      <c r="V73" s="209"/>
      <c r="W73" s="122" t="s">
        <v>202</v>
      </c>
      <c r="X73" s="297" t="s">
        <v>582</v>
      </c>
    </row>
    <row r="74" spans="1:24" s="79" customFormat="1" ht="46.5">
      <c r="A74" s="347"/>
      <c r="B74" s="353"/>
      <c r="C74" s="204"/>
      <c r="D74" s="204"/>
      <c r="E74" s="204"/>
      <c r="F74" s="323"/>
      <c r="G74" s="305"/>
      <c r="H74" s="311"/>
      <c r="I74" s="302" t="s">
        <v>583</v>
      </c>
      <c r="J74" s="119"/>
      <c r="K74" s="118"/>
      <c r="L74" s="119"/>
      <c r="M74" s="119"/>
      <c r="N74" s="119"/>
      <c r="O74" s="118" t="s">
        <v>580</v>
      </c>
      <c r="P74" s="118" t="s">
        <v>411</v>
      </c>
      <c r="Q74" s="118" t="s">
        <v>485</v>
      </c>
      <c r="R74" s="118" t="s">
        <v>581</v>
      </c>
      <c r="S74" s="118" t="s">
        <v>380</v>
      </c>
      <c r="T74" s="118" t="s">
        <v>380</v>
      </c>
      <c r="U74" s="118" t="s">
        <v>156</v>
      </c>
      <c r="V74" s="209"/>
      <c r="W74" s="122" t="s">
        <v>202</v>
      </c>
      <c r="X74" s="297" t="s">
        <v>584</v>
      </c>
    </row>
    <row r="75" spans="1:24" s="79" customFormat="1" ht="62.1">
      <c r="A75" s="347"/>
      <c r="B75" s="354"/>
      <c r="C75" s="204"/>
      <c r="D75" s="204"/>
      <c r="E75" s="204"/>
      <c r="F75" s="324"/>
      <c r="G75" s="306" t="s">
        <v>585</v>
      </c>
      <c r="H75" s="312" t="s">
        <v>586</v>
      </c>
      <c r="I75" s="302" t="s">
        <v>587</v>
      </c>
      <c r="J75" s="240"/>
      <c r="K75" s="241"/>
      <c r="L75" s="240"/>
      <c r="M75" s="240"/>
      <c r="N75" s="240"/>
      <c r="O75" s="118" t="s">
        <v>588</v>
      </c>
      <c r="P75" s="118">
        <v>0</v>
      </c>
      <c r="Q75" s="118">
        <v>2</v>
      </c>
      <c r="R75" s="118">
        <v>5</v>
      </c>
      <c r="S75" s="118">
        <v>8</v>
      </c>
      <c r="T75" s="118">
        <v>10</v>
      </c>
      <c r="U75" s="241"/>
      <c r="V75" s="209"/>
      <c r="W75" s="122" t="s">
        <v>202</v>
      </c>
      <c r="X75" s="297" t="s">
        <v>542</v>
      </c>
    </row>
    <row r="76" spans="1:24" s="79" customFormat="1" ht="46.5">
      <c r="A76" s="347"/>
      <c r="B76" s="203"/>
      <c r="C76" s="204"/>
      <c r="D76" s="204"/>
      <c r="E76" s="204"/>
      <c r="F76" s="238"/>
      <c r="G76" s="305"/>
      <c r="H76" s="311"/>
      <c r="I76" s="302" t="s">
        <v>589</v>
      </c>
      <c r="J76" s="119"/>
      <c r="K76" s="118"/>
      <c r="L76" s="119"/>
      <c r="M76" s="119"/>
      <c r="N76" s="119"/>
      <c r="O76" s="118" t="s">
        <v>588</v>
      </c>
      <c r="P76" s="118">
        <v>0</v>
      </c>
      <c r="Q76" s="118">
        <v>6</v>
      </c>
      <c r="R76" s="118">
        <v>15</v>
      </c>
      <c r="S76" s="118">
        <v>24</v>
      </c>
      <c r="T76" s="118">
        <v>30</v>
      </c>
      <c r="U76" s="118"/>
      <c r="V76" s="209"/>
      <c r="W76" s="122" t="s">
        <v>202</v>
      </c>
      <c r="X76" s="297" t="s">
        <v>542</v>
      </c>
    </row>
    <row r="77" spans="1:24" s="79" customFormat="1" ht="77.45">
      <c r="A77" s="347"/>
      <c r="B77" s="203"/>
      <c r="C77" s="204"/>
      <c r="D77" s="204"/>
      <c r="E77" s="204"/>
      <c r="F77" s="238"/>
      <c r="G77" s="306" t="s">
        <v>590</v>
      </c>
      <c r="H77" s="312" t="s">
        <v>591</v>
      </c>
      <c r="I77" s="139" t="s">
        <v>592</v>
      </c>
      <c r="J77" s="119"/>
      <c r="K77" s="118"/>
      <c r="L77" s="119"/>
      <c r="M77" s="119"/>
      <c r="N77" s="119"/>
      <c r="O77" s="242" t="s">
        <v>593</v>
      </c>
      <c r="P77" s="242" t="s">
        <v>594</v>
      </c>
      <c r="Q77" s="242" t="s">
        <v>595</v>
      </c>
      <c r="R77" s="242" t="s">
        <v>596</v>
      </c>
      <c r="S77" s="242" t="s">
        <v>596</v>
      </c>
      <c r="T77" s="242" t="s">
        <v>596</v>
      </c>
      <c r="U77" s="118"/>
      <c r="V77" s="209"/>
      <c r="W77" s="122" t="s">
        <v>202</v>
      </c>
      <c r="X77" s="123"/>
    </row>
    <row r="78" spans="1:24" s="79" customFormat="1" ht="77.45">
      <c r="A78" s="347"/>
      <c r="B78" s="203"/>
      <c r="C78" s="204"/>
      <c r="D78" s="204"/>
      <c r="E78" s="204"/>
      <c r="F78" s="238"/>
      <c r="G78" s="307"/>
      <c r="H78" s="313"/>
      <c r="I78" s="302" t="s">
        <v>597</v>
      </c>
      <c r="J78" s="119"/>
      <c r="K78" s="118"/>
      <c r="L78" s="119"/>
      <c r="M78" s="119"/>
      <c r="N78" s="119"/>
      <c r="O78" s="243" t="s">
        <v>598</v>
      </c>
      <c r="P78" s="243" t="s">
        <v>599</v>
      </c>
      <c r="Q78" s="243" t="s">
        <v>600</v>
      </c>
      <c r="R78" s="243" t="s">
        <v>601</v>
      </c>
      <c r="S78" s="243" t="s">
        <v>602</v>
      </c>
      <c r="T78" s="243" t="s">
        <v>603</v>
      </c>
      <c r="U78" s="231"/>
      <c r="V78" s="233"/>
      <c r="W78" s="122" t="s">
        <v>202</v>
      </c>
      <c r="X78" s="123" t="s">
        <v>604</v>
      </c>
    </row>
    <row r="79" spans="1:24" s="79" customFormat="1" ht="77.45">
      <c r="A79" s="347"/>
      <c r="B79" s="203"/>
      <c r="C79" s="204"/>
      <c r="D79" s="204"/>
      <c r="E79" s="204"/>
      <c r="F79" s="244"/>
      <c r="G79" s="331" t="s">
        <v>605</v>
      </c>
      <c r="H79" s="332" t="s">
        <v>606</v>
      </c>
      <c r="I79" s="139" t="s">
        <v>607</v>
      </c>
      <c r="J79" s="119"/>
      <c r="K79" s="118"/>
      <c r="L79" s="119"/>
      <c r="M79" s="119"/>
      <c r="N79" s="246"/>
      <c r="O79" s="247" t="s">
        <v>608</v>
      </c>
      <c r="P79" s="247" t="s">
        <v>609</v>
      </c>
      <c r="Q79" s="247"/>
      <c r="R79" s="247" t="s">
        <v>610</v>
      </c>
      <c r="S79" s="248"/>
      <c r="T79" s="247" t="s">
        <v>611</v>
      </c>
      <c r="U79" s="229"/>
      <c r="V79" s="234"/>
      <c r="W79" s="122" t="s">
        <v>202</v>
      </c>
      <c r="X79" s="297" t="s">
        <v>612</v>
      </c>
    </row>
    <row r="80" spans="1:24" s="79" customFormat="1" ht="77.45">
      <c r="A80" s="347"/>
      <c r="B80" s="203"/>
      <c r="C80" s="204"/>
      <c r="D80" s="204"/>
      <c r="E80" s="204"/>
      <c r="F80" s="244"/>
      <c r="G80" s="331"/>
      <c r="H80" s="332"/>
      <c r="I80" s="139" t="s">
        <v>613</v>
      </c>
      <c r="J80" s="226"/>
      <c r="K80" s="227"/>
      <c r="L80" s="226"/>
      <c r="M80" s="226"/>
      <c r="N80" s="226"/>
      <c r="O80" s="247" t="s">
        <v>608</v>
      </c>
      <c r="P80" s="247" t="s">
        <v>609</v>
      </c>
      <c r="Q80" s="247"/>
      <c r="R80" s="247" t="s">
        <v>610</v>
      </c>
      <c r="S80" s="248"/>
      <c r="T80" s="247" t="s">
        <v>611</v>
      </c>
      <c r="U80" s="229"/>
      <c r="V80" s="234"/>
      <c r="W80" s="122" t="s">
        <v>202</v>
      </c>
      <c r="X80" s="297" t="s">
        <v>612</v>
      </c>
    </row>
    <row r="81" spans="1:24" s="79" customFormat="1" ht="77.45">
      <c r="A81" s="347"/>
      <c r="B81" s="203"/>
      <c r="C81" s="204"/>
      <c r="D81" s="204"/>
      <c r="E81" s="204"/>
      <c r="F81" s="204"/>
      <c r="G81" s="205" t="s">
        <v>258</v>
      </c>
      <c r="H81" s="206" t="s">
        <v>614</v>
      </c>
      <c r="I81" s="206"/>
      <c r="J81" s="206"/>
      <c r="K81" s="206"/>
      <c r="L81" s="206"/>
      <c r="M81" s="206"/>
      <c r="N81" s="206"/>
      <c r="O81" s="230"/>
      <c r="P81" s="230"/>
      <c r="Q81" s="230"/>
      <c r="R81" s="230"/>
      <c r="S81" s="230"/>
      <c r="T81" s="230"/>
      <c r="U81" s="230"/>
      <c r="V81" s="230"/>
      <c r="W81" s="122"/>
      <c r="X81" s="123"/>
    </row>
    <row r="82" spans="1:24" s="79" customFormat="1" ht="77.45">
      <c r="A82" s="347"/>
      <c r="B82" s="352" t="s">
        <v>548</v>
      </c>
      <c r="C82" s="204"/>
      <c r="D82" s="204"/>
      <c r="E82" s="204"/>
      <c r="F82" s="322" t="s">
        <v>358</v>
      </c>
      <c r="G82" s="304" t="s">
        <v>615</v>
      </c>
      <c r="H82" s="310" t="s">
        <v>616</v>
      </c>
      <c r="I82" s="139" t="s">
        <v>617</v>
      </c>
      <c r="J82" s="119"/>
      <c r="K82" s="119"/>
      <c r="L82" s="119"/>
      <c r="M82" s="119"/>
      <c r="N82" s="119"/>
      <c r="O82" s="242" t="s">
        <v>593</v>
      </c>
      <c r="P82" s="242" t="s">
        <v>594</v>
      </c>
      <c r="Q82" s="242" t="s">
        <v>595</v>
      </c>
      <c r="R82" s="242" t="s">
        <v>596</v>
      </c>
      <c r="S82" s="242" t="s">
        <v>596</v>
      </c>
      <c r="T82" s="242" t="s">
        <v>596</v>
      </c>
      <c r="U82" s="249" t="s">
        <v>156</v>
      </c>
      <c r="V82" s="209"/>
      <c r="W82" s="122" t="s">
        <v>202</v>
      </c>
      <c r="X82" s="123" t="s">
        <v>370</v>
      </c>
    </row>
    <row r="83" spans="1:24" s="79" customFormat="1" ht="77.45">
      <c r="A83" s="347"/>
      <c r="B83" s="353"/>
      <c r="C83" s="204"/>
      <c r="D83" s="204"/>
      <c r="E83" s="204"/>
      <c r="F83" s="323"/>
      <c r="G83" s="305"/>
      <c r="H83" s="311"/>
      <c r="I83" s="228" t="s">
        <v>618</v>
      </c>
      <c r="J83" s="119"/>
      <c r="K83" s="119"/>
      <c r="L83" s="119"/>
      <c r="M83" s="119"/>
      <c r="N83" s="119"/>
      <c r="O83" s="242" t="s">
        <v>598</v>
      </c>
      <c r="P83" s="242" t="s">
        <v>599</v>
      </c>
      <c r="Q83" s="242" t="s">
        <v>600</v>
      </c>
      <c r="R83" s="242" t="s">
        <v>601</v>
      </c>
      <c r="S83" s="242" t="s">
        <v>602</v>
      </c>
      <c r="T83" s="242" t="s">
        <v>603</v>
      </c>
      <c r="U83" s="249" t="s">
        <v>156</v>
      </c>
      <c r="V83" s="209"/>
      <c r="W83" s="122" t="s">
        <v>202</v>
      </c>
      <c r="X83" s="123"/>
    </row>
    <row r="84" spans="1:24" s="79" customFormat="1" ht="77.45">
      <c r="A84" s="347"/>
      <c r="B84" s="353"/>
      <c r="C84" s="204"/>
      <c r="D84" s="204"/>
      <c r="E84" s="204"/>
      <c r="F84" s="323"/>
      <c r="G84" s="306" t="s">
        <v>619</v>
      </c>
      <c r="H84" s="312" t="s">
        <v>620</v>
      </c>
      <c r="I84" s="228" t="s">
        <v>621</v>
      </c>
      <c r="J84" s="119"/>
      <c r="K84" s="119"/>
      <c r="L84" s="119"/>
      <c r="M84" s="119"/>
      <c r="N84" s="119"/>
      <c r="O84" s="242" t="s">
        <v>593</v>
      </c>
      <c r="P84" s="242" t="s">
        <v>609</v>
      </c>
      <c r="Q84" s="242" t="s">
        <v>609</v>
      </c>
      <c r="R84" s="242" t="s">
        <v>610</v>
      </c>
      <c r="S84" s="242" t="s">
        <v>610</v>
      </c>
      <c r="T84" s="242" t="s">
        <v>610</v>
      </c>
      <c r="U84" s="250" t="s">
        <v>156</v>
      </c>
      <c r="V84" s="209"/>
      <c r="W84" s="122" t="s">
        <v>202</v>
      </c>
      <c r="X84" s="123"/>
    </row>
    <row r="85" spans="1:24" s="79" customFormat="1" ht="77.45">
      <c r="A85" s="347"/>
      <c r="B85" s="353"/>
      <c r="C85" s="204"/>
      <c r="D85" s="204"/>
      <c r="E85" s="204"/>
      <c r="F85" s="323"/>
      <c r="G85" s="305"/>
      <c r="H85" s="311"/>
      <c r="I85" s="228" t="s">
        <v>622</v>
      </c>
      <c r="J85" s="119"/>
      <c r="K85" s="119"/>
      <c r="L85" s="119"/>
      <c r="M85" s="119"/>
      <c r="N85" s="119"/>
      <c r="O85" s="242" t="s">
        <v>623</v>
      </c>
      <c r="P85" s="242" t="s">
        <v>611</v>
      </c>
      <c r="Q85" s="242" t="s">
        <v>611</v>
      </c>
      <c r="R85" s="242" t="s">
        <v>596</v>
      </c>
      <c r="S85" s="242" t="s">
        <v>624</v>
      </c>
      <c r="T85" s="242" t="s">
        <v>625</v>
      </c>
      <c r="U85" s="250" t="s">
        <v>156</v>
      </c>
      <c r="V85" s="209"/>
      <c r="W85" s="122" t="s">
        <v>202</v>
      </c>
      <c r="X85" s="123"/>
    </row>
    <row r="86" spans="1:24" s="79" customFormat="1" ht="77.45">
      <c r="A86" s="347"/>
      <c r="B86" s="353"/>
      <c r="C86" s="204"/>
      <c r="D86" s="204"/>
      <c r="E86" s="204"/>
      <c r="F86" s="323"/>
      <c r="G86" s="306" t="s">
        <v>626</v>
      </c>
      <c r="H86" s="312" t="s">
        <v>627</v>
      </c>
      <c r="I86" s="228" t="s">
        <v>628</v>
      </c>
      <c r="J86" s="119"/>
      <c r="K86" s="119"/>
      <c r="L86" s="119"/>
      <c r="M86" s="119"/>
      <c r="N86" s="119"/>
      <c r="O86" s="242" t="s">
        <v>593</v>
      </c>
      <c r="P86" s="242" t="s">
        <v>629</v>
      </c>
      <c r="Q86" s="242" t="s">
        <v>594</v>
      </c>
      <c r="R86" s="242" t="s">
        <v>630</v>
      </c>
      <c r="S86" s="242" t="s">
        <v>631</v>
      </c>
      <c r="T86" s="242" t="s">
        <v>632</v>
      </c>
      <c r="U86" s="251" t="s">
        <v>156</v>
      </c>
      <c r="V86" s="209"/>
      <c r="W86" s="122" t="s">
        <v>202</v>
      </c>
      <c r="X86" s="123"/>
    </row>
    <row r="87" spans="1:24" s="79" customFormat="1" ht="46.5">
      <c r="A87" s="347"/>
      <c r="B87" s="353"/>
      <c r="C87" s="204"/>
      <c r="D87" s="204"/>
      <c r="E87" s="204"/>
      <c r="F87" s="323"/>
      <c r="G87" s="305"/>
      <c r="H87" s="311"/>
      <c r="I87" s="228" t="s">
        <v>633</v>
      </c>
      <c r="J87" s="119"/>
      <c r="K87" s="119"/>
      <c r="L87" s="119"/>
      <c r="M87" s="119"/>
      <c r="N87" s="119"/>
      <c r="O87" s="252" t="s">
        <v>634</v>
      </c>
      <c r="P87" s="251" t="s">
        <v>635</v>
      </c>
      <c r="Q87" s="251" t="s">
        <v>636</v>
      </c>
      <c r="R87" s="251" t="s">
        <v>637</v>
      </c>
      <c r="S87" s="251" t="s">
        <v>638</v>
      </c>
      <c r="T87" s="251" t="s">
        <v>639</v>
      </c>
      <c r="U87" s="251" t="s">
        <v>156</v>
      </c>
      <c r="V87" s="209"/>
      <c r="W87" s="122" t="s">
        <v>202</v>
      </c>
      <c r="X87" s="123"/>
    </row>
    <row r="88" spans="1:24" s="79" customFormat="1" ht="62.1">
      <c r="A88" s="347"/>
      <c r="B88" s="354"/>
      <c r="C88" s="204"/>
      <c r="D88" s="204"/>
      <c r="E88" s="204"/>
      <c r="F88" s="324"/>
      <c r="G88" s="306" t="s">
        <v>640</v>
      </c>
      <c r="H88" s="312" t="s">
        <v>641</v>
      </c>
      <c r="I88" s="228" t="s">
        <v>642</v>
      </c>
      <c r="J88" s="119"/>
      <c r="K88" s="119"/>
      <c r="L88" s="119"/>
      <c r="M88" s="119"/>
      <c r="N88" s="119"/>
      <c r="O88" s="252" t="s">
        <v>643</v>
      </c>
      <c r="P88" s="251" t="s">
        <v>410</v>
      </c>
      <c r="Q88" s="251"/>
      <c r="R88" s="251" t="s">
        <v>411</v>
      </c>
      <c r="S88" s="251"/>
      <c r="T88" s="251" t="s">
        <v>411</v>
      </c>
      <c r="U88" s="251" t="s">
        <v>156</v>
      </c>
      <c r="V88" s="209"/>
      <c r="W88" s="122" t="s">
        <v>202</v>
      </c>
      <c r="X88" s="123"/>
    </row>
    <row r="89" spans="1:24" s="79" customFormat="1" ht="46.5">
      <c r="A89" s="347"/>
      <c r="B89" s="203"/>
      <c r="C89" s="204"/>
      <c r="D89" s="204"/>
      <c r="E89" s="204"/>
      <c r="F89" s="238"/>
      <c r="G89" s="305"/>
      <c r="H89" s="311"/>
      <c r="I89" s="228" t="s">
        <v>644</v>
      </c>
      <c r="J89" s="119"/>
      <c r="K89" s="119"/>
      <c r="L89" s="119"/>
      <c r="M89" s="119"/>
      <c r="N89" s="119"/>
      <c r="O89" s="252" t="s">
        <v>645</v>
      </c>
      <c r="P89" s="251" t="s">
        <v>646</v>
      </c>
      <c r="Q89" s="251" t="s">
        <v>646</v>
      </c>
      <c r="R89" s="251" t="s">
        <v>647</v>
      </c>
      <c r="S89" s="251" t="s">
        <v>647</v>
      </c>
      <c r="T89" s="251" t="s">
        <v>647</v>
      </c>
      <c r="U89" s="251" t="s">
        <v>156</v>
      </c>
      <c r="V89" s="209"/>
      <c r="W89" s="122" t="s">
        <v>202</v>
      </c>
      <c r="X89" s="123"/>
    </row>
    <row r="90" spans="1:24" s="79" customFormat="1" ht="62.1">
      <c r="A90" s="347"/>
      <c r="B90" s="203"/>
      <c r="C90" s="204"/>
      <c r="D90" s="204"/>
      <c r="E90" s="204"/>
      <c r="F90" s="238"/>
      <c r="G90" s="306" t="s">
        <v>648</v>
      </c>
      <c r="H90" s="312" t="s">
        <v>649</v>
      </c>
      <c r="I90" s="228" t="s">
        <v>650</v>
      </c>
      <c r="J90" s="119"/>
      <c r="K90" s="119"/>
      <c r="L90" s="119"/>
      <c r="M90" s="119"/>
      <c r="N90" s="119"/>
      <c r="O90" s="252" t="s">
        <v>651</v>
      </c>
      <c r="P90" s="251" t="s">
        <v>410</v>
      </c>
      <c r="Q90" s="251" t="s">
        <v>652</v>
      </c>
      <c r="R90" s="251" t="s">
        <v>581</v>
      </c>
      <c r="S90" s="251" t="s">
        <v>403</v>
      </c>
      <c r="T90" s="251" t="s">
        <v>403</v>
      </c>
      <c r="U90" s="251" t="s">
        <v>156</v>
      </c>
      <c r="V90" s="209"/>
      <c r="W90" s="122" t="s">
        <v>202</v>
      </c>
      <c r="X90" s="123"/>
    </row>
    <row r="91" spans="1:24" s="79" customFormat="1" ht="62.1">
      <c r="A91" s="347"/>
      <c r="B91" s="203"/>
      <c r="C91" s="204"/>
      <c r="D91" s="204"/>
      <c r="E91" s="204"/>
      <c r="F91" s="238"/>
      <c r="G91" s="305"/>
      <c r="H91" s="311"/>
      <c r="I91" s="228" t="s">
        <v>653</v>
      </c>
      <c r="J91" s="119"/>
      <c r="K91" s="119"/>
      <c r="L91" s="119"/>
      <c r="M91" s="119"/>
      <c r="N91" s="119"/>
      <c r="O91" s="252" t="s">
        <v>651</v>
      </c>
      <c r="P91" s="251" t="s">
        <v>654</v>
      </c>
      <c r="Q91" s="251" t="s">
        <v>655</v>
      </c>
      <c r="R91" s="251" t="s">
        <v>656</v>
      </c>
      <c r="S91" s="251" t="s">
        <v>657</v>
      </c>
      <c r="T91" s="251" t="s">
        <v>658</v>
      </c>
      <c r="U91" s="251" t="s">
        <v>156</v>
      </c>
      <c r="V91" s="209"/>
      <c r="W91" s="122" t="s">
        <v>202</v>
      </c>
      <c r="X91" s="123"/>
    </row>
    <row r="92" spans="1:24" s="79" customFormat="1" ht="77.45">
      <c r="A92" s="347"/>
      <c r="B92" s="203"/>
      <c r="C92" s="204"/>
      <c r="D92" s="204"/>
      <c r="E92" s="204"/>
      <c r="F92" s="238"/>
      <c r="G92" s="253" t="s">
        <v>659</v>
      </c>
      <c r="H92" s="231" t="s">
        <v>660</v>
      </c>
      <c r="I92" s="254" t="s">
        <v>661</v>
      </c>
      <c r="J92" s="119"/>
      <c r="K92" s="119"/>
      <c r="L92" s="119"/>
      <c r="M92" s="119"/>
      <c r="N92" s="119"/>
      <c r="O92" s="252" t="s">
        <v>662</v>
      </c>
      <c r="P92" s="251" t="s">
        <v>411</v>
      </c>
      <c r="Q92" s="251" t="s">
        <v>411</v>
      </c>
      <c r="R92" s="251" t="s">
        <v>411</v>
      </c>
      <c r="S92" s="251" t="s">
        <v>411</v>
      </c>
      <c r="T92" s="251" t="s">
        <v>411</v>
      </c>
      <c r="U92" s="251" t="s">
        <v>156</v>
      </c>
      <c r="V92" s="209"/>
      <c r="W92" s="122" t="s">
        <v>202</v>
      </c>
      <c r="X92" s="123"/>
    </row>
    <row r="93" spans="1:24" s="79" customFormat="1" ht="46.5">
      <c r="A93" s="347"/>
      <c r="B93" s="203"/>
      <c r="C93" s="204"/>
      <c r="D93" s="204"/>
      <c r="E93" s="204"/>
      <c r="F93" s="244"/>
      <c r="G93" s="331" t="s">
        <v>663</v>
      </c>
      <c r="H93" s="332" t="s">
        <v>664</v>
      </c>
      <c r="I93" s="245" t="s">
        <v>665</v>
      </c>
      <c r="J93" s="119"/>
      <c r="K93" s="119"/>
      <c r="L93" s="119"/>
      <c r="M93" s="119"/>
      <c r="N93" s="119"/>
      <c r="O93" s="252" t="s">
        <v>651</v>
      </c>
      <c r="P93" s="251" t="s">
        <v>410</v>
      </c>
      <c r="Q93" s="251" t="s">
        <v>410</v>
      </c>
      <c r="R93" s="251" t="s">
        <v>410</v>
      </c>
      <c r="S93" s="251" t="s">
        <v>411</v>
      </c>
      <c r="T93" s="251" t="s">
        <v>411</v>
      </c>
      <c r="U93" s="251" t="s">
        <v>156</v>
      </c>
      <c r="V93" s="209"/>
      <c r="W93" s="122" t="s">
        <v>202</v>
      </c>
      <c r="X93" s="123"/>
    </row>
    <row r="94" spans="1:24" s="79" customFormat="1" ht="46.5">
      <c r="A94" s="347"/>
      <c r="B94" s="203"/>
      <c r="C94" s="204"/>
      <c r="D94" s="204"/>
      <c r="E94" s="204"/>
      <c r="F94" s="244"/>
      <c r="G94" s="331"/>
      <c r="H94" s="332"/>
      <c r="I94" s="245" t="s">
        <v>666</v>
      </c>
      <c r="J94" s="226"/>
      <c r="K94" s="226"/>
      <c r="L94" s="226"/>
      <c r="M94" s="226"/>
      <c r="N94" s="226"/>
      <c r="O94" s="252" t="s">
        <v>651</v>
      </c>
      <c r="P94" s="251" t="s">
        <v>410</v>
      </c>
      <c r="Q94" s="251" t="s">
        <v>410</v>
      </c>
      <c r="R94" s="251" t="s">
        <v>410</v>
      </c>
      <c r="S94" s="251" t="s">
        <v>411</v>
      </c>
      <c r="T94" s="251" t="s">
        <v>411</v>
      </c>
      <c r="U94" s="251" t="s">
        <v>156</v>
      </c>
      <c r="V94" s="226"/>
      <c r="W94" s="122" t="s">
        <v>202</v>
      </c>
      <c r="X94" s="123"/>
    </row>
    <row r="95" spans="1:24" s="79" customFormat="1" ht="93">
      <c r="A95" s="347"/>
      <c r="B95" s="203"/>
      <c r="C95" s="204"/>
      <c r="D95" s="204"/>
      <c r="E95" s="204"/>
      <c r="F95" s="204"/>
      <c r="G95" s="205" t="s">
        <v>272</v>
      </c>
      <c r="H95" s="206" t="s">
        <v>667</v>
      </c>
      <c r="I95" s="206"/>
      <c r="J95" s="206"/>
      <c r="K95" s="206"/>
      <c r="L95" s="206"/>
      <c r="M95" s="206"/>
      <c r="N95" s="206"/>
      <c r="O95" s="206"/>
      <c r="P95" s="206"/>
      <c r="Q95" s="206"/>
      <c r="R95" s="206"/>
      <c r="S95" s="206"/>
      <c r="T95" s="206"/>
      <c r="U95" s="206"/>
      <c r="V95" s="206"/>
      <c r="W95" s="122"/>
      <c r="X95" s="123"/>
    </row>
    <row r="96" spans="1:24" s="79" customFormat="1" ht="54" customHeight="1">
      <c r="A96" s="347"/>
      <c r="B96" s="352" t="s">
        <v>548</v>
      </c>
      <c r="C96" s="204"/>
      <c r="D96" s="204"/>
      <c r="E96" s="204"/>
      <c r="F96" s="322" t="s">
        <v>358</v>
      </c>
      <c r="G96" s="304" t="s">
        <v>668</v>
      </c>
      <c r="H96" s="310" t="s">
        <v>669</v>
      </c>
      <c r="I96" s="228" t="s">
        <v>670</v>
      </c>
      <c r="J96" s="119"/>
      <c r="K96" s="119"/>
      <c r="L96" s="119"/>
      <c r="M96" s="119"/>
      <c r="N96" s="119"/>
      <c r="O96" s="247" t="s">
        <v>671</v>
      </c>
      <c r="P96" s="247"/>
      <c r="Q96" s="247"/>
      <c r="R96" s="247" t="s">
        <v>672</v>
      </c>
      <c r="S96" s="255"/>
      <c r="T96" s="247" t="s">
        <v>672</v>
      </c>
      <c r="U96" s="249" t="s">
        <v>341</v>
      </c>
      <c r="V96" s="209"/>
      <c r="W96" s="122" t="s">
        <v>202</v>
      </c>
      <c r="X96" s="123"/>
    </row>
    <row r="97" spans="1:24" s="79" customFormat="1" ht="62.1">
      <c r="A97" s="347"/>
      <c r="B97" s="353"/>
      <c r="C97" s="204"/>
      <c r="D97" s="204"/>
      <c r="E97" s="204"/>
      <c r="F97" s="323"/>
      <c r="G97" s="305"/>
      <c r="H97" s="311"/>
      <c r="I97" s="228" t="s">
        <v>673</v>
      </c>
      <c r="J97" s="119"/>
      <c r="K97" s="119"/>
      <c r="L97" s="119"/>
      <c r="M97" s="119"/>
      <c r="N97" s="119"/>
      <c r="O97" s="247" t="s">
        <v>671</v>
      </c>
      <c r="P97" s="256"/>
      <c r="Q97" s="256"/>
      <c r="R97" s="247" t="s">
        <v>674</v>
      </c>
      <c r="S97" s="247" t="s">
        <v>675</v>
      </c>
      <c r="T97" s="247" t="s">
        <v>676</v>
      </c>
      <c r="U97" s="257" t="s">
        <v>336</v>
      </c>
      <c r="V97" s="209"/>
      <c r="W97" s="122" t="s">
        <v>202</v>
      </c>
      <c r="X97" s="123"/>
    </row>
    <row r="98" spans="1:24" s="79" customFormat="1" ht="67.5" customHeight="1">
      <c r="A98" s="347"/>
      <c r="B98" s="353"/>
      <c r="C98" s="204"/>
      <c r="D98" s="204"/>
      <c r="E98" s="204"/>
      <c r="F98" s="323"/>
      <c r="G98" s="208" t="s">
        <v>677</v>
      </c>
      <c r="H98" s="118" t="s">
        <v>678</v>
      </c>
      <c r="I98" s="228" t="s">
        <v>679</v>
      </c>
      <c r="J98" s="119"/>
      <c r="K98" s="119"/>
      <c r="L98" s="119"/>
      <c r="M98" s="119"/>
      <c r="N98" s="119"/>
      <c r="O98" s="242" t="s">
        <v>680</v>
      </c>
      <c r="P98" s="242" t="s">
        <v>681</v>
      </c>
      <c r="Q98" s="242" t="s">
        <v>681</v>
      </c>
      <c r="R98" s="242" t="s">
        <v>682</v>
      </c>
      <c r="S98" s="242" t="s">
        <v>683</v>
      </c>
      <c r="T98" s="242" t="s">
        <v>684</v>
      </c>
      <c r="U98" s="251" t="s">
        <v>341</v>
      </c>
      <c r="V98" s="209"/>
      <c r="W98" s="122" t="s">
        <v>202</v>
      </c>
      <c r="X98" s="123"/>
    </row>
    <row r="99" spans="1:24" s="79" customFormat="1" ht="108.6">
      <c r="A99" s="347"/>
      <c r="B99" s="353"/>
      <c r="C99" s="204"/>
      <c r="D99" s="204"/>
      <c r="E99" s="204"/>
      <c r="F99" s="323"/>
      <c r="G99" s="208" t="s">
        <v>685</v>
      </c>
      <c r="H99" s="118" t="s">
        <v>686</v>
      </c>
      <c r="I99" s="228" t="s">
        <v>687</v>
      </c>
      <c r="J99" s="119"/>
      <c r="K99" s="119"/>
      <c r="L99" s="119"/>
      <c r="M99" s="119"/>
      <c r="N99" s="119"/>
      <c r="O99" s="252" t="s">
        <v>688</v>
      </c>
      <c r="P99" s="252" t="s">
        <v>689</v>
      </c>
      <c r="Q99" s="252" t="s">
        <v>690</v>
      </c>
      <c r="R99" s="252" t="s">
        <v>691</v>
      </c>
      <c r="S99" s="252" t="s">
        <v>692</v>
      </c>
      <c r="T99" s="252" t="s">
        <v>693</v>
      </c>
      <c r="U99" s="251" t="s">
        <v>341</v>
      </c>
      <c r="V99" s="209"/>
      <c r="W99" s="122" t="s">
        <v>202</v>
      </c>
      <c r="X99" s="123"/>
    </row>
    <row r="100" spans="1:24" s="79" customFormat="1" ht="108.6">
      <c r="A100" s="347"/>
      <c r="B100" s="354"/>
      <c r="C100" s="204"/>
      <c r="D100" s="204"/>
      <c r="E100" s="204"/>
      <c r="F100" s="324"/>
      <c r="G100" s="208" t="s">
        <v>694</v>
      </c>
      <c r="H100" s="118" t="s">
        <v>695</v>
      </c>
      <c r="I100" s="228" t="s">
        <v>696</v>
      </c>
      <c r="J100" s="119"/>
      <c r="K100" s="119"/>
      <c r="L100" s="119"/>
      <c r="M100" s="119"/>
      <c r="N100" s="119"/>
      <c r="O100" s="252" t="s">
        <v>697</v>
      </c>
      <c r="P100" s="252" t="s">
        <v>698</v>
      </c>
      <c r="Q100" s="252" t="s">
        <v>698</v>
      </c>
      <c r="R100" s="252" t="s">
        <v>698</v>
      </c>
      <c r="S100" s="252" t="s">
        <v>699</v>
      </c>
      <c r="T100" s="252" t="s">
        <v>700</v>
      </c>
      <c r="U100" s="251" t="s">
        <v>341</v>
      </c>
      <c r="V100" s="209"/>
      <c r="W100" s="122" t="s">
        <v>202</v>
      </c>
      <c r="X100" s="123"/>
    </row>
    <row r="101" spans="1:24" s="79" customFormat="1" ht="45.75" customHeight="1">
      <c r="A101" s="347"/>
      <c r="B101" s="203"/>
      <c r="C101" s="204"/>
      <c r="D101" s="204"/>
      <c r="E101" s="204"/>
      <c r="F101" s="238"/>
      <c r="G101" s="306" t="s">
        <v>701</v>
      </c>
      <c r="H101" s="312" t="s">
        <v>702</v>
      </c>
      <c r="I101" s="258" t="s">
        <v>703</v>
      </c>
      <c r="J101" s="119"/>
      <c r="K101" s="119"/>
      <c r="L101" s="119"/>
      <c r="M101" s="119"/>
      <c r="N101" s="119"/>
      <c r="O101" s="252" t="s">
        <v>704</v>
      </c>
      <c r="P101" s="252" t="s">
        <v>672</v>
      </c>
      <c r="Q101" s="252" t="s">
        <v>705</v>
      </c>
      <c r="R101" s="252" t="s">
        <v>705</v>
      </c>
      <c r="S101" s="252" t="s">
        <v>706</v>
      </c>
      <c r="T101" s="252" t="s">
        <v>707</v>
      </c>
      <c r="U101" s="251" t="s">
        <v>341</v>
      </c>
      <c r="V101" s="209"/>
      <c r="W101" s="122" t="s">
        <v>202</v>
      </c>
      <c r="X101" s="123"/>
    </row>
    <row r="102" spans="1:24" s="79" customFormat="1" ht="46.5">
      <c r="A102" s="347"/>
      <c r="B102" s="203"/>
      <c r="C102" s="204"/>
      <c r="D102" s="204"/>
      <c r="E102" s="204"/>
      <c r="F102" s="238"/>
      <c r="G102" s="305"/>
      <c r="H102" s="311"/>
      <c r="I102" s="258" t="s">
        <v>708</v>
      </c>
      <c r="J102" s="119"/>
      <c r="K102" s="119"/>
      <c r="L102" s="119"/>
      <c r="M102" s="119"/>
      <c r="N102" s="119"/>
      <c r="O102" s="252" t="s">
        <v>709</v>
      </c>
      <c r="P102" s="252" t="s">
        <v>710</v>
      </c>
      <c r="Q102" s="252" t="s">
        <v>711</v>
      </c>
      <c r="R102" s="252" t="s">
        <v>712</v>
      </c>
      <c r="S102" s="252" t="s">
        <v>713</v>
      </c>
      <c r="T102" s="252" t="s">
        <v>714</v>
      </c>
      <c r="U102" s="251" t="s">
        <v>341</v>
      </c>
      <c r="V102" s="209"/>
      <c r="W102" s="122" t="s">
        <v>202</v>
      </c>
      <c r="X102" s="123"/>
    </row>
    <row r="103" spans="1:24" s="79" customFormat="1" ht="45.75" customHeight="1">
      <c r="A103" s="347"/>
      <c r="B103" s="203"/>
      <c r="C103" s="204"/>
      <c r="D103" s="204"/>
      <c r="E103" s="204"/>
      <c r="F103" s="238"/>
      <c r="G103" s="306" t="s">
        <v>715</v>
      </c>
      <c r="H103" s="312" t="s">
        <v>716</v>
      </c>
      <c r="I103" s="228" t="s">
        <v>717</v>
      </c>
      <c r="J103" s="119"/>
      <c r="K103" s="119"/>
      <c r="L103" s="119"/>
      <c r="M103" s="119"/>
      <c r="N103" s="119"/>
      <c r="O103" s="252" t="s">
        <v>671</v>
      </c>
      <c r="P103" s="252" t="s">
        <v>681</v>
      </c>
      <c r="Q103" s="252" t="s">
        <v>672</v>
      </c>
      <c r="R103" s="252" t="s">
        <v>672</v>
      </c>
      <c r="S103" s="252" t="s">
        <v>718</v>
      </c>
      <c r="T103" s="252" t="s">
        <v>672</v>
      </c>
      <c r="U103" s="251" t="s">
        <v>341</v>
      </c>
      <c r="V103" s="209"/>
      <c r="W103" s="122" t="s">
        <v>202</v>
      </c>
      <c r="X103" s="123"/>
    </row>
    <row r="104" spans="1:24" s="79" customFormat="1" ht="46.5">
      <c r="A104" s="347"/>
      <c r="B104" s="203"/>
      <c r="C104" s="204"/>
      <c r="D104" s="204"/>
      <c r="E104" s="204"/>
      <c r="F104" s="238"/>
      <c r="G104" s="305"/>
      <c r="H104" s="311"/>
      <c r="I104" s="259" t="s">
        <v>719</v>
      </c>
      <c r="J104" s="119"/>
      <c r="K104" s="119"/>
      <c r="L104" s="119"/>
      <c r="M104" s="119"/>
      <c r="N104" s="119"/>
      <c r="O104" s="242"/>
      <c r="P104" s="250"/>
      <c r="Q104" s="250"/>
      <c r="R104" s="250"/>
      <c r="S104" s="250"/>
      <c r="T104" s="250"/>
      <c r="U104" s="251"/>
      <c r="V104" s="209"/>
      <c r="W104" s="122"/>
      <c r="X104" s="123"/>
    </row>
    <row r="105" spans="1:24" s="79" customFormat="1" ht="47.25" customHeight="1">
      <c r="A105" s="347"/>
      <c r="B105" s="203"/>
      <c r="C105" s="204"/>
      <c r="D105" s="204"/>
      <c r="E105" s="204"/>
      <c r="F105" s="238"/>
      <c r="G105" s="306" t="s">
        <v>720</v>
      </c>
      <c r="H105" s="312" t="s">
        <v>721</v>
      </c>
      <c r="I105" s="254" t="s">
        <v>722</v>
      </c>
      <c r="J105" s="119"/>
      <c r="K105" s="119"/>
      <c r="L105" s="119"/>
      <c r="M105" s="119"/>
      <c r="N105" s="119"/>
      <c r="O105" s="252" t="s">
        <v>704</v>
      </c>
      <c r="P105" s="252" t="s">
        <v>681</v>
      </c>
      <c r="Q105" s="252" t="s">
        <v>672</v>
      </c>
      <c r="R105" s="252" t="s">
        <v>672</v>
      </c>
      <c r="S105" s="252" t="s">
        <v>723</v>
      </c>
      <c r="T105" s="252" t="s">
        <v>724</v>
      </c>
      <c r="U105" s="251" t="s">
        <v>341</v>
      </c>
      <c r="V105" s="209"/>
      <c r="W105" s="122" t="s">
        <v>202</v>
      </c>
      <c r="X105" s="123"/>
    </row>
    <row r="106" spans="1:24" s="79" customFormat="1" ht="46.5">
      <c r="A106" s="347"/>
      <c r="B106" s="203"/>
      <c r="C106" s="204"/>
      <c r="D106" s="204"/>
      <c r="E106" s="204"/>
      <c r="F106" s="238"/>
      <c r="G106" s="377"/>
      <c r="H106" s="376"/>
      <c r="I106" s="260" t="s">
        <v>725</v>
      </c>
      <c r="J106" s="119"/>
      <c r="K106" s="119"/>
      <c r="L106" s="119"/>
      <c r="M106" s="119"/>
      <c r="N106" s="119"/>
      <c r="O106" s="252" t="s">
        <v>726</v>
      </c>
      <c r="P106" s="252" t="s">
        <v>681</v>
      </c>
      <c r="Q106" s="252" t="s">
        <v>707</v>
      </c>
      <c r="R106" s="252" t="s">
        <v>684</v>
      </c>
      <c r="S106" s="252" t="s">
        <v>727</v>
      </c>
      <c r="T106" s="252" t="s">
        <v>684</v>
      </c>
      <c r="U106" s="251" t="s">
        <v>341</v>
      </c>
      <c r="V106" s="209"/>
      <c r="W106" s="122" t="s">
        <v>202</v>
      </c>
      <c r="X106" s="123"/>
    </row>
    <row r="107" spans="1:24" s="79" customFormat="1" ht="46.5" customHeight="1">
      <c r="A107" s="347"/>
      <c r="B107" s="203"/>
      <c r="C107" s="204"/>
      <c r="D107" s="204"/>
      <c r="E107" s="204"/>
      <c r="F107" s="238"/>
      <c r="G107" s="308" t="s">
        <v>728</v>
      </c>
      <c r="H107" s="378" t="s">
        <v>729</v>
      </c>
      <c r="I107" s="260" t="s">
        <v>730</v>
      </c>
      <c r="J107" s="119"/>
      <c r="K107" s="119"/>
      <c r="L107" s="119"/>
      <c r="M107" s="232"/>
      <c r="N107" s="232"/>
      <c r="O107" s="261" t="s">
        <v>731</v>
      </c>
      <c r="P107" s="261" t="s">
        <v>707</v>
      </c>
      <c r="Q107" s="261" t="s">
        <v>684</v>
      </c>
      <c r="R107" s="261" t="s">
        <v>732</v>
      </c>
      <c r="S107" s="261" t="s">
        <v>733</v>
      </c>
      <c r="T107" s="261" t="s">
        <v>700</v>
      </c>
      <c r="U107" s="251" t="s">
        <v>341</v>
      </c>
      <c r="V107" s="233"/>
      <c r="W107" s="122" t="s">
        <v>202</v>
      </c>
      <c r="X107" s="123"/>
    </row>
    <row r="108" spans="1:24" s="79" customFormat="1" ht="46.5">
      <c r="A108" s="347"/>
      <c r="B108" s="203"/>
      <c r="C108" s="204"/>
      <c r="D108" s="204"/>
      <c r="E108" s="204"/>
      <c r="F108" s="238"/>
      <c r="G108" s="309"/>
      <c r="H108" s="379"/>
      <c r="I108" s="260" t="s">
        <v>734</v>
      </c>
      <c r="J108" s="226"/>
      <c r="K108" s="226"/>
      <c r="L108" s="226"/>
      <c r="M108" s="234"/>
      <c r="N108" s="234"/>
      <c r="O108" s="261" t="s">
        <v>735</v>
      </c>
      <c r="P108" s="261" t="s">
        <v>736</v>
      </c>
      <c r="Q108" s="261" t="s">
        <v>736</v>
      </c>
      <c r="R108" s="261" t="s">
        <v>707</v>
      </c>
      <c r="S108" s="261" t="s">
        <v>737</v>
      </c>
      <c r="T108" s="261" t="s">
        <v>707</v>
      </c>
      <c r="U108" s="251" t="s">
        <v>341</v>
      </c>
      <c r="V108" s="234"/>
      <c r="W108" s="122" t="s">
        <v>202</v>
      </c>
      <c r="X108" s="123"/>
    </row>
    <row r="109" spans="1:24" s="79" customFormat="1" ht="41.25" customHeight="1">
      <c r="A109" s="347"/>
      <c r="B109" s="203"/>
      <c r="C109" s="204"/>
      <c r="D109" s="204"/>
      <c r="E109" s="204"/>
      <c r="F109" s="204"/>
      <c r="G109" s="205" t="s">
        <v>291</v>
      </c>
      <c r="H109" s="206" t="s">
        <v>292</v>
      </c>
      <c r="I109" s="206"/>
      <c r="J109" s="206"/>
      <c r="K109" s="206"/>
      <c r="L109" s="206"/>
      <c r="M109" s="230"/>
      <c r="N109" s="230"/>
      <c r="O109" s="262"/>
      <c r="P109" s="262"/>
      <c r="Q109" s="262"/>
      <c r="R109" s="262"/>
      <c r="S109" s="262"/>
      <c r="T109" s="262"/>
      <c r="U109" s="262"/>
      <c r="V109" s="230"/>
      <c r="W109" s="122"/>
      <c r="X109" s="123"/>
    </row>
    <row r="110" spans="1:24" s="79" customFormat="1" ht="93.75" customHeight="1">
      <c r="A110" s="347"/>
      <c r="B110" s="352" t="s">
        <v>548</v>
      </c>
      <c r="C110" s="204"/>
      <c r="D110" s="204"/>
      <c r="E110" s="204"/>
      <c r="F110" s="322" t="s">
        <v>358</v>
      </c>
      <c r="G110" s="208" t="s">
        <v>738</v>
      </c>
      <c r="H110" s="118" t="s">
        <v>739</v>
      </c>
      <c r="I110" s="228" t="s">
        <v>740</v>
      </c>
      <c r="J110" s="119"/>
      <c r="K110" s="119"/>
      <c r="L110" s="119"/>
      <c r="M110" s="119"/>
      <c r="N110" s="246"/>
      <c r="O110" s="263" t="s">
        <v>741</v>
      </c>
      <c r="P110" s="263" t="s">
        <v>380</v>
      </c>
      <c r="Q110" s="263" t="s">
        <v>410</v>
      </c>
      <c r="R110" s="263" t="s">
        <v>411</v>
      </c>
      <c r="S110" s="263" t="s">
        <v>742</v>
      </c>
      <c r="T110" s="263" t="s">
        <v>411</v>
      </c>
      <c r="U110" s="223" t="s">
        <v>156</v>
      </c>
      <c r="V110" s="209"/>
      <c r="W110" s="122" t="s">
        <v>202</v>
      </c>
      <c r="X110" s="123"/>
    </row>
    <row r="111" spans="1:24" s="79" customFormat="1" ht="56.25" customHeight="1">
      <c r="A111" s="347"/>
      <c r="B111" s="353"/>
      <c r="C111" s="204"/>
      <c r="D111" s="204"/>
      <c r="E111" s="204"/>
      <c r="F111" s="323"/>
      <c r="G111" s="306" t="s">
        <v>743</v>
      </c>
      <c r="H111" s="312" t="s">
        <v>744</v>
      </c>
      <c r="I111" s="228" t="s">
        <v>745</v>
      </c>
      <c r="J111" s="119"/>
      <c r="K111" s="119"/>
      <c r="L111" s="119"/>
      <c r="M111" s="119"/>
      <c r="N111" s="246"/>
      <c r="O111" s="264" t="s">
        <v>741</v>
      </c>
      <c r="P111" s="264" t="s">
        <v>380</v>
      </c>
      <c r="Q111" s="264" t="s">
        <v>380</v>
      </c>
      <c r="R111" s="264" t="s">
        <v>410</v>
      </c>
      <c r="S111" s="264" t="s">
        <v>742</v>
      </c>
      <c r="T111" s="264" t="s">
        <v>411</v>
      </c>
      <c r="U111" s="223" t="s">
        <v>156</v>
      </c>
      <c r="V111" s="209"/>
      <c r="W111" s="122" t="s">
        <v>202</v>
      </c>
      <c r="X111" s="123"/>
    </row>
    <row r="112" spans="1:24" s="79" customFormat="1" ht="46.5">
      <c r="A112" s="347"/>
      <c r="B112" s="353"/>
      <c r="C112" s="204"/>
      <c r="D112" s="204"/>
      <c r="E112" s="204"/>
      <c r="F112" s="323"/>
      <c r="G112" s="305"/>
      <c r="H112" s="311"/>
      <c r="I112" s="228" t="s">
        <v>746</v>
      </c>
      <c r="J112" s="119"/>
      <c r="K112" s="119"/>
      <c r="L112" s="119"/>
      <c r="M112" s="119"/>
      <c r="N112" s="246"/>
      <c r="O112" s="264" t="s">
        <v>741</v>
      </c>
      <c r="P112" s="264" t="s">
        <v>380</v>
      </c>
      <c r="Q112" s="264" t="s">
        <v>380</v>
      </c>
      <c r="R112" s="264" t="s">
        <v>747</v>
      </c>
      <c r="S112" s="264" t="s">
        <v>748</v>
      </c>
      <c r="T112" s="264" t="s">
        <v>507</v>
      </c>
      <c r="U112" s="223" t="s">
        <v>156</v>
      </c>
      <c r="V112" s="209"/>
      <c r="W112" s="122" t="s">
        <v>202</v>
      </c>
      <c r="X112" s="123"/>
    </row>
    <row r="113" spans="1:24" s="79" customFormat="1" ht="45.75" customHeight="1">
      <c r="A113" s="347"/>
      <c r="B113" s="353"/>
      <c r="C113" s="204"/>
      <c r="D113" s="204"/>
      <c r="E113" s="204"/>
      <c r="F113" s="323"/>
      <c r="G113" s="306" t="s">
        <v>749</v>
      </c>
      <c r="H113" s="312" t="s">
        <v>750</v>
      </c>
      <c r="I113" s="228" t="s">
        <v>751</v>
      </c>
      <c r="J113" s="119"/>
      <c r="K113" s="119"/>
      <c r="L113" s="119"/>
      <c r="M113" s="119"/>
      <c r="N113" s="246"/>
      <c r="O113" s="264" t="s">
        <v>741</v>
      </c>
      <c r="P113" s="264" t="s">
        <v>654</v>
      </c>
      <c r="Q113" s="264" t="s">
        <v>752</v>
      </c>
      <c r="R113" s="264" t="s">
        <v>753</v>
      </c>
      <c r="S113" s="264" t="s">
        <v>754</v>
      </c>
      <c r="T113" s="264" t="s">
        <v>755</v>
      </c>
      <c r="U113" s="223" t="s">
        <v>156</v>
      </c>
      <c r="V113" s="209"/>
      <c r="W113" s="122" t="s">
        <v>202</v>
      </c>
      <c r="X113" s="123"/>
    </row>
    <row r="114" spans="1:24" s="79" customFormat="1" ht="46.5">
      <c r="A114" s="347"/>
      <c r="B114" s="353"/>
      <c r="C114" s="204"/>
      <c r="D114" s="204"/>
      <c r="E114" s="204"/>
      <c r="F114" s="323"/>
      <c r="G114" s="305"/>
      <c r="H114" s="311"/>
      <c r="I114" s="228" t="s">
        <v>756</v>
      </c>
      <c r="J114" s="119"/>
      <c r="K114" s="119"/>
      <c r="L114" s="119"/>
      <c r="M114" s="119"/>
      <c r="N114" s="119"/>
      <c r="O114" s="264" t="s">
        <v>741</v>
      </c>
      <c r="P114" s="264" t="s">
        <v>646</v>
      </c>
      <c r="Q114" s="264" t="s">
        <v>757</v>
      </c>
      <c r="R114" s="264" t="s">
        <v>758</v>
      </c>
      <c r="S114" s="264" t="s">
        <v>759</v>
      </c>
      <c r="T114" s="264" t="s">
        <v>760</v>
      </c>
      <c r="U114" s="223" t="s">
        <v>156</v>
      </c>
      <c r="V114" s="209"/>
      <c r="W114" s="122" t="s">
        <v>202</v>
      </c>
      <c r="X114" s="123"/>
    </row>
    <row r="115" spans="1:24" s="79" customFormat="1" ht="93">
      <c r="A115" s="347"/>
      <c r="B115" s="354"/>
      <c r="C115" s="204"/>
      <c r="D115" s="204"/>
      <c r="E115" s="204"/>
      <c r="F115" s="324"/>
      <c r="G115" s="208" t="s">
        <v>761</v>
      </c>
      <c r="H115" s="241" t="s">
        <v>762</v>
      </c>
      <c r="I115" s="228" t="s">
        <v>763</v>
      </c>
      <c r="J115" s="119"/>
      <c r="K115" s="119"/>
      <c r="L115" s="119"/>
      <c r="M115" s="119"/>
      <c r="N115" s="119"/>
      <c r="O115" s="252" t="s">
        <v>634</v>
      </c>
      <c r="P115" s="251" t="s">
        <v>764</v>
      </c>
      <c r="Q115" s="251" t="s">
        <v>635</v>
      </c>
      <c r="R115" s="251" t="s">
        <v>765</v>
      </c>
      <c r="S115" s="251" t="s">
        <v>766</v>
      </c>
      <c r="T115" s="251" t="s">
        <v>639</v>
      </c>
      <c r="U115" s="223" t="s">
        <v>156</v>
      </c>
      <c r="V115" s="209"/>
      <c r="W115" s="122" t="s">
        <v>202</v>
      </c>
      <c r="X115" s="123"/>
    </row>
    <row r="116" spans="1:24" s="79" customFormat="1" ht="49.5" customHeight="1">
      <c r="A116" s="347"/>
      <c r="B116" s="203"/>
      <c r="C116" s="204"/>
      <c r="D116" s="204"/>
      <c r="E116" s="204"/>
      <c r="F116" s="238"/>
      <c r="G116" s="306" t="s">
        <v>767</v>
      </c>
      <c r="H116" s="312" t="s">
        <v>768</v>
      </c>
      <c r="I116" s="228" t="s">
        <v>769</v>
      </c>
      <c r="J116" s="119"/>
      <c r="K116" s="119"/>
      <c r="L116" s="119"/>
      <c r="M116" s="119"/>
      <c r="N116" s="119"/>
      <c r="O116" s="252" t="s">
        <v>770</v>
      </c>
      <c r="P116" s="251" t="s">
        <v>684</v>
      </c>
      <c r="Q116" s="251" t="s">
        <v>732</v>
      </c>
      <c r="R116" s="251" t="s">
        <v>700</v>
      </c>
      <c r="S116" s="251" t="s">
        <v>771</v>
      </c>
      <c r="T116" s="251" t="s">
        <v>772</v>
      </c>
      <c r="U116" s="251" t="s">
        <v>341</v>
      </c>
      <c r="V116" s="209"/>
      <c r="W116" s="122" t="s">
        <v>202</v>
      </c>
      <c r="X116" s="123"/>
    </row>
    <row r="117" spans="1:24" s="79" customFormat="1" ht="43.5" customHeight="1">
      <c r="A117" s="347"/>
      <c r="B117" s="203"/>
      <c r="C117" s="204"/>
      <c r="D117" s="204"/>
      <c r="E117" s="204"/>
      <c r="F117" s="238"/>
      <c r="G117" s="307"/>
      <c r="H117" s="311"/>
      <c r="I117" s="228" t="s">
        <v>773</v>
      </c>
      <c r="J117" s="119"/>
      <c r="K117" s="119"/>
      <c r="L117" s="119"/>
      <c r="M117" s="119"/>
      <c r="N117" s="119"/>
      <c r="O117" s="252" t="s">
        <v>770</v>
      </c>
      <c r="P117" s="251" t="s">
        <v>732</v>
      </c>
      <c r="Q117" s="251" t="s">
        <v>774</v>
      </c>
      <c r="R117" s="251" t="s">
        <v>775</v>
      </c>
      <c r="S117" s="251" t="s">
        <v>776</v>
      </c>
      <c r="T117" s="251" t="s">
        <v>777</v>
      </c>
      <c r="U117" s="251" t="s">
        <v>341</v>
      </c>
      <c r="V117" s="209"/>
      <c r="W117" s="122" t="s">
        <v>202</v>
      </c>
      <c r="X117" s="123"/>
    </row>
    <row r="118" spans="1:24" s="79" customFormat="1" ht="48.75" customHeight="1">
      <c r="A118" s="347"/>
      <c r="B118" s="203"/>
      <c r="C118" s="204"/>
      <c r="D118" s="204"/>
      <c r="E118" s="204"/>
      <c r="F118" s="238"/>
      <c r="G118" s="305"/>
      <c r="H118" s="213"/>
      <c r="I118" s="228" t="s">
        <v>778</v>
      </c>
      <c r="J118" s="119"/>
      <c r="K118" s="119"/>
      <c r="L118" s="119"/>
      <c r="M118" s="119"/>
      <c r="N118" s="119"/>
      <c r="O118" s="252" t="s">
        <v>770</v>
      </c>
      <c r="P118" s="251" t="s">
        <v>684</v>
      </c>
      <c r="Q118" s="251" t="s">
        <v>732</v>
      </c>
      <c r="R118" s="251" t="s">
        <v>700</v>
      </c>
      <c r="S118" s="251" t="s">
        <v>771</v>
      </c>
      <c r="T118" s="251" t="s">
        <v>772</v>
      </c>
      <c r="U118" s="251" t="s">
        <v>341</v>
      </c>
      <c r="V118" s="209"/>
      <c r="W118" s="122" t="s">
        <v>202</v>
      </c>
      <c r="X118" s="123"/>
    </row>
    <row r="119" spans="1:24" s="79" customFormat="1" ht="123.95">
      <c r="A119" s="347"/>
      <c r="B119" s="203"/>
      <c r="C119" s="204"/>
      <c r="D119" s="204"/>
      <c r="E119" s="204"/>
      <c r="F119" s="238"/>
      <c r="G119" s="208" t="s">
        <v>779</v>
      </c>
      <c r="H119" s="118" t="s">
        <v>780</v>
      </c>
      <c r="I119" s="228" t="s">
        <v>781</v>
      </c>
      <c r="J119" s="119"/>
      <c r="K119" s="119"/>
      <c r="L119" s="119"/>
      <c r="M119" s="119"/>
      <c r="N119" s="119"/>
      <c r="O119" s="252" t="s">
        <v>782</v>
      </c>
      <c r="P119" s="251" t="s">
        <v>410</v>
      </c>
      <c r="Q119" s="251" t="s">
        <v>380</v>
      </c>
      <c r="R119" s="251" t="s">
        <v>458</v>
      </c>
      <c r="S119" s="251" t="s">
        <v>380</v>
      </c>
      <c r="T119" s="251" t="s">
        <v>411</v>
      </c>
      <c r="U119" s="251" t="s">
        <v>156</v>
      </c>
      <c r="V119" s="209"/>
      <c r="W119" s="122" t="s">
        <v>202</v>
      </c>
      <c r="X119" s="123"/>
    </row>
    <row r="120" spans="1:24" s="79" customFormat="1" ht="32.25" customHeight="1">
      <c r="A120" s="347"/>
      <c r="B120" s="203"/>
      <c r="C120" s="204"/>
      <c r="D120" s="204"/>
      <c r="E120" s="204"/>
      <c r="F120" s="238"/>
      <c r="G120" s="306" t="s">
        <v>783</v>
      </c>
      <c r="H120" s="312" t="s">
        <v>784</v>
      </c>
      <c r="I120" s="239" t="s">
        <v>785</v>
      </c>
      <c r="J120" s="118" t="s">
        <v>786</v>
      </c>
      <c r="K120" s="119"/>
      <c r="L120" s="119"/>
      <c r="M120" s="119"/>
      <c r="N120" s="119"/>
      <c r="O120" s="252" t="s">
        <v>787</v>
      </c>
      <c r="P120" s="265" t="s">
        <v>788</v>
      </c>
      <c r="Q120" s="265" t="s">
        <v>789</v>
      </c>
      <c r="R120" s="265" t="s">
        <v>789</v>
      </c>
      <c r="S120" s="265" t="s">
        <v>789</v>
      </c>
      <c r="T120" s="265" t="s">
        <v>789</v>
      </c>
      <c r="U120" s="251" t="s">
        <v>341</v>
      </c>
      <c r="V120" s="209"/>
      <c r="W120" s="122" t="s">
        <v>202</v>
      </c>
      <c r="X120" s="123"/>
    </row>
    <row r="121" spans="1:24" s="79" customFormat="1" ht="77.45">
      <c r="A121" s="347"/>
      <c r="B121" s="203"/>
      <c r="C121" s="204"/>
      <c r="D121" s="204"/>
      <c r="E121" s="204"/>
      <c r="F121" s="238"/>
      <c r="G121" s="305"/>
      <c r="H121" s="311"/>
      <c r="I121" s="228" t="s">
        <v>790</v>
      </c>
      <c r="J121" s="118" t="s">
        <v>791</v>
      </c>
      <c r="K121" s="119"/>
      <c r="L121" s="119"/>
      <c r="M121" s="119"/>
      <c r="N121" s="119"/>
      <c r="O121" s="252" t="s">
        <v>792</v>
      </c>
      <c r="P121" s="252" t="s">
        <v>793</v>
      </c>
      <c r="Q121" s="252" t="s">
        <v>794</v>
      </c>
      <c r="R121" s="252" t="s">
        <v>795</v>
      </c>
      <c r="S121" s="252" t="s">
        <v>796</v>
      </c>
      <c r="T121" s="252" t="s">
        <v>797</v>
      </c>
      <c r="U121" s="251" t="s">
        <v>341</v>
      </c>
      <c r="V121" s="209"/>
      <c r="W121" s="122" t="s">
        <v>202</v>
      </c>
      <c r="X121" s="123"/>
    </row>
    <row r="122" spans="1:24" s="79" customFormat="1" ht="49.5" customHeight="1">
      <c r="A122" s="347"/>
      <c r="B122" s="203"/>
      <c r="C122" s="204"/>
      <c r="D122" s="204"/>
      <c r="E122" s="204"/>
      <c r="F122" s="238"/>
      <c r="G122" s="306" t="s">
        <v>798</v>
      </c>
      <c r="H122" s="314" t="s">
        <v>799</v>
      </c>
      <c r="I122" s="228" t="s">
        <v>800</v>
      </c>
      <c r="J122" s="118" t="s">
        <v>801</v>
      </c>
      <c r="K122" s="119"/>
      <c r="L122" s="119"/>
      <c r="M122" s="119"/>
      <c r="N122" s="119"/>
      <c r="O122" s="266" t="s">
        <v>588</v>
      </c>
      <c r="P122" s="265">
        <v>0</v>
      </c>
      <c r="Q122" s="265">
        <v>1</v>
      </c>
      <c r="R122" s="265">
        <v>0</v>
      </c>
      <c r="S122" s="265">
        <v>0</v>
      </c>
      <c r="T122" s="265">
        <v>2</v>
      </c>
      <c r="U122" s="250" t="s">
        <v>350</v>
      </c>
      <c r="V122" s="209"/>
      <c r="W122" s="122" t="s">
        <v>202</v>
      </c>
      <c r="X122" s="123"/>
    </row>
    <row r="123" spans="1:24" s="79" customFormat="1" ht="77.45">
      <c r="A123" s="347"/>
      <c r="B123" s="203"/>
      <c r="C123" s="204"/>
      <c r="D123" s="204"/>
      <c r="E123" s="204"/>
      <c r="F123" s="238"/>
      <c r="G123" s="307"/>
      <c r="H123" s="315"/>
      <c r="I123" s="254" t="s">
        <v>802</v>
      </c>
      <c r="J123" s="118" t="s">
        <v>803</v>
      </c>
      <c r="K123" s="232"/>
      <c r="L123" s="232"/>
      <c r="M123" s="232"/>
      <c r="N123" s="232"/>
      <c r="O123" s="252" t="s">
        <v>782</v>
      </c>
      <c r="P123" s="251" t="s">
        <v>380</v>
      </c>
      <c r="Q123" s="251" t="s">
        <v>410</v>
      </c>
      <c r="R123" s="251" t="s">
        <v>581</v>
      </c>
      <c r="S123" s="251" t="s">
        <v>403</v>
      </c>
      <c r="T123" s="251" t="s">
        <v>403</v>
      </c>
      <c r="U123" s="267" t="s">
        <v>156</v>
      </c>
      <c r="V123" s="233"/>
      <c r="W123" s="122" t="s">
        <v>202</v>
      </c>
      <c r="X123" s="123"/>
    </row>
    <row r="124" spans="1:24" s="79" customFormat="1" ht="47.25" customHeight="1">
      <c r="A124" s="347"/>
      <c r="B124" s="203"/>
      <c r="C124" s="204"/>
      <c r="D124" s="204"/>
      <c r="E124" s="204"/>
      <c r="F124" s="238"/>
      <c r="G124" s="306" t="s">
        <v>804</v>
      </c>
      <c r="H124" s="312" t="s">
        <v>805</v>
      </c>
      <c r="I124" s="260" t="s">
        <v>806</v>
      </c>
      <c r="J124" s="118" t="s">
        <v>807</v>
      </c>
      <c r="K124" s="234"/>
      <c r="L124" s="234"/>
      <c r="M124" s="234"/>
      <c r="N124" s="234"/>
      <c r="O124" s="252" t="s">
        <v>808</v>
      </c>
      <c r="P124" s="251" t="s">
        <v>700</v>
      </c>
      <c r="Q124" s="251" t="s">
        <v>772</v>
      </c>
      <c r="R124" s="251" t="s">
        <v>809</v>
      </c>
      <c r="S124" s="251" t="s">
        <v>810</v>
      </c>
      <c r="T124" s="268" t="s">
        <v>811</v>
      </c>
      <c r="U124" s="264" t="s">
        <v>341</v>
      </c>
      <c r="V124" s="269"/>
      <c r="W124" s="122" t="s">
        <v>202</v>
      </c>
      <c r="X124" s="123"/>
    </row>
    <row r="125" spans="1:24" s="79" customFormat="1" ht="93">
      <c r="A125" s="347"/>
      <c r="B125" s="203"/>
      <c r="C125" s="204"/>
      <c r="D125" s="204"/>
      <c r="E125" s="204"/>
      <c r="F125" s="238"/>
      <c r="G125" s="305"/>
      <c r="H125" s="311"/>
      <c r="I125" s="260" t="s">
        <v>812</v>
      </c>
      <c r="J125" s="227" t="s">
        <v>813</v>
      </c>
      <c r="K125" s="234"/>
      <c r="L125" s="234"/>
      <c r="M125" s="234"/>
      <c r="N125" s="234"/>
      <c r="O125" s="252" t="s">
        <v>808</v>
      </c>
      <c r="P125" s="251" t="s">
        <v>814</v>
      </c>
      <c r="Q125" s="251" t="s">
        <v>814</v>
      </c>
      <c r="R125" s="251" t="s">
        <v>814</v>
      </c>
      <c r="S125" s="251" t="s">
        <v>814</v>
      </c>
      <c r="T125" s="251" t="s">
        <v>814</v>
      </c>
      <c r="U125" s="270" t="s">
        <v>341</v>
      </c>
      <c r="V125" s="234"/>
      <c r="W125" s="122" t="s">
        <v>202</v>
      </c>
      <c r="X125" s="123"/>
    </row>
    <row r="126" spans="1:24" s="79" customFormat="1" ht="47.25" customHeight="1">
      <c r="A126" s="347"/>
      <c r="B126" s="203"/>
      <c r="C126" s="204"/>
      <c r="D126" s="204"/>
      <c r="E126" s="204"/>
      <c r="F126" s="204"/>
      <c r="G126" s="235" t="s">
        <v>315</v>
      </c>
      <c r="H126" s="230" t="s">
        <v>815</v>
      </c>
      <c r="I126" s="230"/>
      <c r="J126" s="230"/>
      <c r="K126" s="230"/>
      <c r="L126" s="230"/>
      <c r="M126" s="230"/>
      <c r="N126" s="230"/>
      <c r="O126" s="230"/>
      <c r="P126" s="230"/>
      <c r="Q126" s="230"/>
      <c r="R126" s="230"/>
      <c r="S126" s="230"/>
      <c r="T126" s="230"/>
      <c r="U126" s="230"/>
      <c r="V126" s="230"/>
      <c r="W126" s="122"/>
      <c r="X126" s="123"/>
    </row>
    <row r="127" spans="1:24" s="79" customFormat="1" ht="51" customHeight="1">
      <c r="A127" s="347"/>
      <c r="B127" s="352" t="s">
        <v>548</v>
      </c>
      <c r="C127" s="204"/>
      <c r="D127" s="204"/>
      <c r="E127" s="204"/>
      <c r="F127" s="322" t="s">
        <v>358</v>
      </c>
      <c r="G127" s="304" t="s">
        <v>816</v>
      </c>
      <c r="H127" s="310" t="s">
        <v>817</v>
      </c>
      <c r="I127" s="264" t="s">
        <v>818</v>
      </c>
      <c r="J127" s="271" t="s">
        <v>819</v>
      </c>
      <c r="K127" s="119"/>
      <c r="L127" s="119"/>
      <c r="M127" s="119"/>
      <c r="N127" s="119"/>
      <c r="O127" s="252" t="s">
        <v>820</v>
      </c>
      <c r="P127" s="251" t="s">
        <v>672</v>
      </c>
      <c r="Q127" s="251" t="s">
        <v>672</v>
      </c>
      <c r="R127" s="251" t="s">
        <v>672</v>
      </c>
      <c r="S127" s="251" t="s">
        <v>672</v>
      </c>
      <c r="T127" s="251" t="s">
        <v>672</v>
      </c>
      <c r="U127" s="272" t="s">
        <v>341</v>
      </c>
      <c r="V127" s="209"/>
      <c r="W127" s="273" t="s">
        <v>821</v>
      </c>
      <c r="X127" s="123" t="s">
        <v>822</v>
      </c>
    </row>
    <row r="128" spans="1:24" s="79" customFormat="1" ht="58.5" customHeight="1">
      <c r="A128" s="347"/>
      <c r="B128" s="353"/>
      <c r="C128" s="204"/>
      <c r="D128" s="204"/>
      <c r="E128" s="204"/>
      <c r="F128" s="323"/>
      <c r="G128" s="305"/>
      <c r="H128" s="311"/>
      <c r="I128" s="264" t="s">
        <v>823</v>
      </c>
      <c r="J128" s="274"/>
      <c r="K128" s="119"/>
      <c r="L128" s="119"/>
      <c r="M128" s="119"/>
      <c r="N128" s="119"/>
      <c r="O128" s="252" t="s">
        <v>824</v>
      </c>
      <c r="P128" s="251" t="s">
        <v>710</v>
      </c>
      <c r="Q128" s="251" t="s">
        <v>825</v>
      </c>
      <c r="R128" s="251" t="s">
        <v>712</v>
      </c>
      <c r="S128" s="251" t="s">
        <v>712</v>
      </c>
      <c r="T128" s="251" t="s">
        <v>712</v>
      </c>
      <c r="U128" s="272" t="s">
        <v>341</v>
      </c>
      <c r="V128" s="209"/>
      <c r="W128" s="122" t="s">
        <v>202</v>
      </c>
      <c r="X128" s="123"/>
    </row>
    <row r="129" spans="1:24" s="79" customFormat="1" ht="123.95">
      <c r="A129" s="347"/>
      <c r="B129" s="353"/>
      <c r="C129" s="204"/>
      <c r="D129" s="204"/>
      <c r="E129" s="204"/>
      <c r="F129" s="323"/>
      <c r="G129" s="208" t="s">
        <v>826</v>
      </c>
      <c r="H129" s="275" t="s">
        <v>827</v>
      </c>
      <c r="I129" s="252" t="s">
        <v>828</v>
      </c>
      <c r="J129" s="276"/>
      <c r="K129" s="119"/>
      <c r="L129" s="119"/>
      <c r="M129" s="119"/>
      <c r="N129" s="119"/>
      <c r="O129" s="252" t="s">
        <v>829</v>
      </c>
      <c r="P129" s="251" t="s">
        <v>681</v>
      </c>
      <c r="Q129" s="251" t="s">
        <v>707</v>
      </c>
      <c r="R129" s="251" t="s">
        <v>684</v>
      </c>
      <c r="S129" s="251" t="s">
        <v>830</v>
      </c>
      <c r="T129" s="251" t="s">
        <v>732</v>
      </c>
      <c r="U129" s="272" t="s">
        <v>341</v>
      </c>
      <c r="V129" s="209"/>
      <c r="W129" s="122" t="s">
        <v>202</v>
      </c>
      <c r="X129" s="123"/>
    </row>
    <row r="130" spans="1:24" s="79" customFormat="1" ht="123.95">
      <c r="A130" s="347"/>
      <c r="B130" s="353"/>
      <c r="C130" s="204"/>
      <c r="D130" s="204"/>
      <c r="E130" s="204"/>
      <c r="F130" s="323"/>
      <c r="G130" s="208" t="s">
        <v>831</v>
      </c>
      <c r="H130" s="118" t="s">
        <v>832</v>
      </c>
      <c r="I130" s="252" t="s">
        <v>833</v>
      </c>
      <c r="J130" s="277" t="s">
        <v>834</v>
      </c>
      <c r="K130" s="119"/>
      <c r="L130" s="119"/>
      <c r="M130" s="119"/>
      <c r="N130" s="119"/>
      <c r="O130" s="252" t="s">
        <v>829</v>
      </c>
      <c r="P130" s="251" t="s">
        <v>681</v>
      </c>
      <c r="Q130" s="251" t="s">
        <v>705</v>
      </c>
      <c r="R130" s="251" t="s">
        <v>707</v>
      </c>
      <c r="S130" s="251" t="s">
        <v>835</v>
      </c>
      <c r="T130" s="251" t="s">
        <v>684</v>
      </c>
      <c r="U130" s="272" t="s">
        <v>341</v>
      </c>
      <c r="V130" s="209"/>
      <c r="W130" s="122" t="s">
        <v>202</v>
      </c>
      <c r="X130" s="123"/>
    </row>
    <row r="131" spans="1:24" s="79" customFormat="1" ht="123.95">
      <c r="A131" s="347"/>
      <c r="B131" s="354"/>
      <c r="C131" s="204"/>
      <c r="D131" s="204"/>
      <c r="E131" s="204"/>
      <c r="F131" s="324"/>
      <c r="G131" s="208" t="s">
        <v>836</v>
      </c>
      <c r="H131" s="118" t="s">
        <v>837</v>
      </c>
      <c r="I131" s="278" t="s">
        <v>838</v>
      </c>
      <c r="J131" s="277" t="s">
        <v>839</v>
      </c>
      <c r="K131" s="119"/>
      <c r="L131" s="119"/>
      <c r="M131" s="119"/>
      <c r="N131" s="119"/>
      <c r="O131" s="252" t="s">
        <v>840</v>
      </c>
      <c r="P131" s="252" t="s">
        <v>811</v>
      </c>
      <c r="Q131" s="252" t="s">
        <v>841</v>
      </c>
      <c r="R131" s="252" t="s">
        <v>841</v>
      </c>
      <c r="S131" s="252" t="s">
        <v>842</v>
      </c>
      <c r="T131" s="252" t="s">
        <v>843</v>
      </c>
      <c r="U131" s="251" t="s">
        <v>341</v>
      </c>
      <c r="V131" s="209"/>
      <c r="W131" s="122" t="s">
        <v>202</v>
      </c>
      <c r="X131" s="123"/>
    </row>
    <row r="132" spans="1:24" s="79" customFormat="1" ht="108.6">
      <c r="A132" s="347"/>
      <c r="B132" s="203"/>
      <c r="C132" s="204"/>
      <c r="D132" s="204"/>
      <c r="E132" s="204"/>
      <c r="F132" s="238"/>
      <c r="G132" s="208" t="s">
        <v>844</v>
      </c>
      <c r="H132" s="118" t="s">
        <v>845</v>
      </c>
      <c r="I132" s="252" t="s">
        <v>846</v>
      </c>
      <c r="J132" s="277"/>
      <c r="K132" s="119"/>
      <c r="L132" s="119"/>
      <c r="M132" s="119"/>
      <c r="N132" s="119"/>
      <c r="O132" s="252" t="s">
        <v>671</v>
      </c>
      <c r="P132" s="252"/>
      <c r="Q132" s="279"/>
      <c r="R132" s="252" t="s">
        <v>672</v>
      </c>
      <c r="S132" s="279"/>
      <c r="T132" s="252" t="s">
        <v>672</v>
      </c>
      <c r="U132" s="251" t="s">
        <v>341</v>
      </c>
      <c r="V132" s="209"/>
      <c r="W132" s="122" t="s">
        <v>202</v>
      </c>
      <c r="X132" s="123"/>
    </row>
    <row r="133" spans="1:24" s="79" customFormat="1" ht="45" customHeight="1">
      <c r="A133" s="347"/>
      <c r="B133" s="203"/>
      <c r="C133" s="204"/>
      <c r="D133" s="204"/>
      <c r="E133" s="204"/>
      <c r="F133" s="238"/>
      <c r="G133" s="306" t="s">
        <v>847</v>
      </c>
      <c r="H133" s="312" t="s">
        <v>848</v>
      </c>
      <c r="I133" s="252" t="s">
        <v>849</v>
      </c>
      <c r="J133" s="277" t="s">
        <v>849</v>
      </c>
      <c r="K133" s="119"/>
      <c r="L133" s="119"/>
      <c r="M133" s="119"/>
      <c r="N133" s="119"/>
      <c r="O133" s="252" t="s">
        <v>680</v>
      </c>
      <c r="P133" s="252" t="s">
        <v>682</v>
      </c>
      <c r="Q133" s="252" t="s">
        <v>683</v>
      </c>
      <c r="R133" s="252" t="s">
        <v>850</v>
      </c>
      <c r="S133" s="252" t="s">
        <v>851</v>
      </c>
      <c r="T133" s="252" t="s">
        <v>830</v>
      </c>
      <c r="U133" s="251" t="s">
        <v>341</v>
      </c>
      <c r="V133" s="209"/>
      <c r="W133" s="122" t="s">
        <v>202</v>
      </c>
      <c r="X133" s="123"/>
    </row>
    <row r="134" spans="1:24" s="79" customFormat="1" ht="51.75" customHeight="1">
      <c r="A134" s="347"/>
      <c r="B134" s="203"/>
      <c r="C134" s="204"/>
      <c r="D134" s="204"/>
      <c r="E134" s="204"/>
      <c r="F134" s="238"/>
      <c r="G134" s="307"/>
      <c r="H134" s="313"/>
      <c r="I134" s="261" t="s">
        <v>852</v>
      </c>
      <c r="J134" s="277" t="s">
        <v>853</v>
      </c>
      <c r="K134" s="232"/>
      <c r="L134" s="232"/>
      <c r="M134" s="232"/>
      <c r="N134" s="232"/>
      <c r="O134" s="252" t="s">
        <v>680</v>
      </c>
      <c r="P134" s="252" t="s">
        <v>681</v>
      </c>
      <c r="Q134" s="252" t="s">
        <v>672</v>
      </c>
      <c r="R134" s="252" t="s">
        <v>672</v>
      </c>
      <c r="S134" s="252" t="s">
        <v>672</v>
      </c>
      <c r="T134" s="252" t="s">
        <v>682</v>
      </c>
      <c r="U134" s="280"/>
      <c r="V134" s="233"/>
      <c r="W134" s="122" t="s">
        <v>202</v>
      </c>
      <c r="X134" s="123"/>
    </row>
    <row r="135" spans="1:24" s="79" customFormat="1" ht="45.75" customHeight="1">
      <c r="A135" s="347"/>
      <c r="B135" s="203"/>
      <c r="C135" s="204"/>
      <c r="D135" s="204"/>
      <c r="E135" s="204"/>
      <c r="F135" s="244"/>
      <c r="G135" s="306" t="s">
        <v>854</v>
      </c>
      <c r="H135" s="312" t="s">
        <v>855</v>
      </c>
      <c r="I135" s="261" t="s">
        <v>856</v>
      </c>
      <c r="J135" s="277" t="s">
        <v>857</v>
      </c>
      <c r="K135" s="234"/>
      <c r="L135" s="234"/>
      <c r="M135" s="234"/>
      <c r="N135" s="234"/>
      <c r="O135" s="252" t="s">
        <v>858</v>
      </c>
      <c r="P135" s="252" t="s">
        <v>859</v>
      </c>
      <c r="Q135" s="252" t="s">
        <v>860</v>
      </c>
      <c r="R135" s="252" t="s">
        <v>861</v>
      </c>
      <c r="S135" s="252" t="s">
        <v>862</v>
      </c>
      <c r="T135" s="252" t="s">
        <v>863</v>
      </c>
      <c r="U135" s="264" t="s">
        <v>341</v>
      </c>
      <c r="V135" s="234"/>
      <c r="W135" s="122" t="s">
        <v>202</v>
      </c>
      <c r="X135" s="123"/>
    </row>
    <row r="136" spans="1:24" s="79" customFormat="1" ht="77.45">
      <c r="A136" s="347"/>
      <c r="B136" s="203"/>
      <c r="C136" s="204"/>
      <c r="D136" s="204"/>
      <c r="E136" s="204"/>
      <c r="F136" s="244"/>
      <c r="G136" s="307"/>
      <c r="H136" s="313"/>
      <c r="I136" s="263" t="s">
        <v>864</v>
      </c>
      <c r="J136" s="281" t="s">
        <v>865</v>
      </c>
      <c r="K136" s="282"/>
      <c r="L136" s="282"/>
      <c r="M136" s="282"/>
      <c r="N136" s="282"/>
      <c r="O136" s="252" t="s">
        <v>866</v>
      </c>
      <c r="P136" s="252" t="s">
        <v>683</v>
      </c>
      <c r="Q136" s="252" t="s">
        <v>835</v>
      </c>
      <c r="R136" s="252" t="s">
        <v>835</v>
      </c>
      <c r="S136" s="252" t="s">
        <v>867</v>
      </c>
      <c r="T136" s="252" t="s">
        <v>684</v>
      </c>
      <c r="U136" s="264" t="s">
        <v>341</v>
      </c>
      <c r="V136" s="282"/>
      <c r="W136" s="122" t="s">
        <v>202</v>
      </c>
      <c r="X136" s="123"/>
    </row>
    <row r="137" spans="1:24" s="79" customFormat="1" ht="123.95">
      <c r="A137" s="347"/>
      <c r="B137" s="203"/>
      <c r="C137" s="204"/>
      <c r="D137" s="204"/>
      <c r="E137" s="204"/>
      <c r="F137" s="204"/>
      <c r="G137" s="235" t="s">
        <v>327</v>
      </c>
      <c r="H137" s="230" t="s">
        <v>328</v>
      </c>
      <c r="I137" s="230"/>
      <c r="J137" s="230"/>
      <c r="K137" s="230"/>
      <c r="L137" s="230"/>
      <c r="M137" s="230"/>
      <c r="N137" s="230"/>
      <c r="O137" s="230"/>
      <c r="P137" s="230"/>
      <c r="Q137" s="230"/>
      <c r="R137" s="230"/>
      <c r="S137" s="230"/>
      <c r="T137" s="230"/>
      <c r="U137" s="230"/>
      <c r="V137" s="230"/>
      <c r="W137" s="122"/>
      <c r="X137" s="123"/>
    </row>
    <row r="138" spans="1:24" s="79" customFormat="1" ht="108.6">
      <c r="A138" s="347"/>
      <c r="B138" s="352" t="s">
        <v>548</v>
      </c>
      <c r="C138" s="204"/>
      <c r="D138" s="204"/>
      <c r="E138" s="204"/>
      <c r="F138" s="322" t="s">
        <v>358</v>
      </c>
      <c r="G138" s="208" t="s">
        <v>868</v>
      </c>
      <c r="H138" s="118" t="s">
        <v>869</v>
      </c>
      <c r="I138" s="264" t="s">
        <v>870</v>
      </c>
      <c r="J138" s="118" t="s">
        <v>871</v>
      </c>
      <c r="K138" s="119"/>
      <c r="L138" s="119"/>
      <c r="M138" s="119"/>
      <c r="N138" s="119"/>
      <c r="O138" s="264" t="s">
        <v>872</v>
      </c>
      <c r="P138" s="272"/>
      <c r="Q138" s="272" t="s">
        <v>672</v>
      </c>
      <c r="R138" s="283"/>
      <c r="S138" s="283"/>
      <c r="T138" s="272" t="s">
        <v>672</v>
      </c>
      <c r="U138" s="272" t="s">
        <v>873</v>
      </c>
      <c r="V138" s="209"/>
      <c r="W138" s="122" t="s">
        <v>202</v>
      </c>
      <c r="X138" s="123"/>
    </row>
    <row r="139" spans="1:24" s="79" customFormat="1" ht="93">
      <c r="A139" s="347"/>
      <c r="B139" s="353"/>
      <c r="C139" s="204"/>
      <c r="D139" s="204"/>
      <c r="E139" s="204"/>
      <c r="F139" s="323"/>
      <c r="G139" s="208" t="s">
        <v>874</v>
      </c>
      <c r="H139" s="259" t="s">
        <v>875</v>
      </c>
      <c r="I139" s="284" t="s">
        <v>876</v>
      </c>
      <c r="J139" s="118" t="s">
        <v>877</v>
      </c>
      <c r="K139" s="119"/>
      <c r="L139" s="119"/>
      <c r="M139" s="119"/>
      <c r="N139" s="119"/>
      <c r="O139" s="285"/>
      <c r="P139" s="286"/>
      <c r="Q139" s="286"/>
      <c r="R139" s="276"/>
      <c r="S139" s="276"/>
      <c r="T139" s="276"/>
      <c r="U139" s="250" t="s">
        <v>341</v>
      </c>
      <c r="V139" s="209"/>
      <c r="W139" s="122" t="s">
        <v>202</v>
      </c>
      <c r="X139" s="123"/>
    </row>
    <row r="140" spans="1:24" s="79" customFormat="1" ht="123.95">
      <c r="A140" s="347"/>
      <c r="B140" s="353"/>
      <c r="C140" s="204"/>
      <c r="D140" s="204"/>
      <c r="E140" s="204"/>
      <c r="F140" s="323"/>
      <c r="G140" s="208" t="s">
        <v>878</v>
      </c>
      <c r="H140" s="118" t="s">
        <v>879</v>
      </c>
      <c r="I140" s="287" t="s">
        <v>880</v>
      </c>
      <c r="J140" s="118" t="s">
        <v>881</v>
      </c>
      <c r="K140" s="119"/>
      <c r="L140" s="119"/>
      <c r="M140" s="119"/>
      <c r="N140" s="119"/>
      <c r="O140" s="252" t="s">
        <v>872</v>
      </c>
      <c r="P140" s="265"/>
      <c r="Q140" s="265"/>
      <c r="R140" s="272" t="s">
        <v>672</v>
      </c>
      <c r="S140" s="265"/>
      <c r="T140" s="272" t="s">
        <v>672</v>
      </c>
      <c r="U140" s="251" t="s">
        <v>873</v>
      </c>
      <c r="V140" s="209"/>
      <c r="W140" s="122" t="s">
        <v>202</v>
      </c>
      <c r="X140" s="123"/>
    </row>
    <row r="141" spans="1:24" s="79" customFormat="1" ht="64.5" customHeight="1">
      <c r="A141" s="347"/>
      <c r="B141" s="354"/>
      <c r="C141" s="204"/>
      <c r="D141" s="204"/>
      <c r="E141" s="204"/>
      <c r="F141" s="324"/>
      <c r="G141" s="306" t="s">
        <v>882</v>
      </c>
      <c r="H141" s="312" t="s">
        <v>883</v>
      </c>
      <c r="I141" s="261" t="s">
        <v>884</v>
      </c>
      <c r="J141" s="118" t="s">
        <v>885</v>
      </c>
      <c r="K141" s="232"/>
      <c r="L141" s="232"/>
      <c r="M141" s="232"/>
      <c r="N141" s="232"/>
      <c r="O141" s="252" t="s">
        <v>872</v>
      </c>
      <c r="P141" s="252" t="s">
        <v>886</v>
      </c>
      <c r="Q141" s="252" t="s">
        <v>887</v>
      </c>
      <c r="R141" s="252" t="s">
        <v>888</v>
      </c>
      <c r="S141" s="252" t="s">
        <v>889</v>
      </c>
      <c r="T141" s="252" t="s">
        <v>890</v>
      </c>
      <c r="U141" s="280" t="s">
        <v>341</v>
      </c>
      <c r="V141" s="233"/>
      <c r="W141" s="122" t="s">
        <v>202</v>
      </c>
      <c r="X141" s="123"/>
    </row>
    <row r="142" spans="1:24" s="79" customFormat="1" ht="108.6">
      <c r="A142" s="347"/>
      <c r="B142" s="203"/>
      <c r="C142" s="204"/>
      <c r="D142" s="204"/>
      <c r="E142" s="204"/>
      <c r="F142" s="244"/>
      <c r="G142" s="305"/>
      <c r="H142" s="311"/>
      <c r="I142" s="261" t="s">
        <v>891</v>
      </c>
      <c r="J142" s="227" t="s">
        <v>892</v>
      </c>
      <c r="K142" s="234"/>
      <c r="L142" s="234"/>
      <c r="M142" s="234"/>
      <c r="N142" s="234"/>
      <c r="O142" s="252" t="s">
        <v>872</v>
      </c>
      <c r="P142" s="252" t="s">
        <v>893</v>
      </c>
      <c r="Q142" s="252" t="s">
        <v>894</v>
      </c>
      <c r="R142" s="252" t="s">
        <v>895</v>
      </c>
      <c r="S142" s="252" t="s">
        <v>896</v>
      </c>
      <c r="T142" s="252" t="s">
        <v>897</v>
      </c>
      <c r="U142" s="247" t="s">
        <v>341</v>
      </c>
      <c r="V142" s="234"/>
      <c r="W142" s="122" t="s">
        <v>202</v>
      </c>
      <c r="X142" s="123"/>
    </row>
    <row r="143" spans="1:24" s="79" customFormat="1" ht="77.45">
      <c r="A143" s="347"/>
      <c r="B143" s="203"/>
      <c r="C143" s="204"/>
      <c r="D143" s="204"/>
      <c r="E143" s="204"/>
      <c r="F143" s="204"/>
      <c r="G143" s="235" t="s">
        <v>343</v>
      </c>
      <c r="H143" s="230" t="s">
        <v>344</v>
      </c>
      <c r="I143" s="230"/>
      <c r="J143" s="230"/>
      <c r="K143" s="230"/>
      <c r="L143" s="230"/>
      <c r="M143" s="230"/>
      <c r="N143" s="230"/>
      <c r="O143" s="230"/>
      <c r="P143" s="230"/>
      <c r="Q143" s="230"/>
      <c r="R143" s="230"/>
      <c r="S143" s="230"/>
      <c r="T143" s="230"/>
      <c r="U143" s="230"/>
      <c r="V143" s="230"/>
      <c r="W143" s="122"/>
      <c r="X143" s="123"/>
    </row>
    <row r="144" spans="1:24" s="79" customFormat="1" ht="54.75" customHeight="1">
      <c r="A144" s="347"/>
      <c r="B144" s="352" t="s">
        <v>548</v>
      </c>
      <c r="C144" s="204"/>
      <c r="D144" s="204"/>
      <c r="E144" s="204"/>
      <c r="F144" s="207" t="s">
        <v>358</v>
      </c>
      <c r="G144" s="304" t="s">
        <v>898</v>
      </c>
      <c r="H144" s="310" t="s">
        <v>899</v>
      </c>
      <c r="I144" s="264" t="s">
        <v>900</v>
      </c>
      <c r="J144" s="119"/>
      <c r="K144" s="119"/>
      <c r="L144" s="119"/>
      <c r="M144" s="119">
        <v>-2024</v>
      </c>
      <c r="N144" s="119"/>
      <c r="O144" s="264" t="s">
        <v>901</v>
      </c>
      <c r="P144" s="272" t="s">
        <v>902</v>
      </c>
      <c r="Q144" s="272" t="s">
        <v>903</v>
      </c>
      <c r="R144" s="272" t="s">
        <v>903</v>
      </c>
      <c r="S144" s="272" t="s">
        <v>904</v>
      </c>
      <c r="T144" s="272" t="s">
        <v>904</v>
      </c>
      <c r="U144" s="272" t="s">
        <v>350</v>
      </c>
      <c r="V144" s="209"/>
      <c r="W144" s="122" t="s">
        <v>202</v>
      </c>
      <c r="X144" s="123"/>
    </row>
    <row r="145" spans="1:24" s="79" customFormat="1" ht="27.75" customHeight="1">
      <c r="A145" s="347"/>
      <c r="B145" s="353"/>
      <c r="C145" s="204"/>
      <c r="D145" s="204"/>
      <c r="E145" s="204"/>
      <c r="F145" s="210"/>
      <c r="G145" s="305"/>
      <c r="H145" s="311"/>
      <c r="I145" s="288" t="s">
        <v>905</v>
      </c>
      <c r="J145" s="119"/>
      <c r="K145" s="119"/>
      <c r="L145" s="119"/>
      <c r="M145" s="119"/>
      <c r="N145" s="119"/>
      <c r="O145" s="264" t="s">
        <v>906</v>
      </c>
      <c r="P145" s="272" t="s">
        <v>907</v>
      </c>
      <c r="Q145" s="272" t="s">
        <v>902</v>
      </c>
      <c r="R145" s="272" t="s">
        <v>903</v>
      </c>
      <c r="S145" s="272" t="s">
        <v>904</v>
      </c>
      <c r="T145" s="272" t="s">
        <v>904</v>
      </c>
      <c r="U145" s="272" t="s">
        <v>350</v>
      </c>
      <c r="V145" s="209"/>
      <c r="W145" s="122" t="s">
        <v>202</v>
      </c>
      <c r="X145" s="123"/>
    </row>
    <row r="146" spans="1:24" s="79" customFormat="1" ht="82.5" customHeight="1">
      <c r="A146" s="347"/>
      <c r="B146" s="353"/>
      <c r="C146" s="204"/>
      <c r="D146" s="204"/>
      <c r="E146" s="204"/>
      <c r="F146" s="210"/>
      <c r="G146" s="306" t="s">
        <v>908</v>
      </c>
      <c r="H146" s="312" t="s">
        <v>909</v>
      </c>
      <c r="I146" s="252" t="s">
        <v>910</v>
      </c>
      <c r="J146" s="119"/>
      <c r="K146" s="119"/>
      <c r="L146" s="119"/>
      <c r="M146" s="119"/>
      <c r="N146" s="119"/>
      <c r="O146" s="264" t="s">
        <v>906</v>
      </c>
      <c r="P146" s="272" t="s">
        <v>907</v>
      </c>
      <c r="Q146" s="272" t="s">
        <v>907</v>
      </c>
      <c r="R146" s="272" t="s">
        <v>911</v>
      </c>
      <c r="S146" s="272" t="s">
        <v>911</v>
      </c>
      <c r="T146" s="272" t="s">
        <v>912</v>
      </c>
      <c r="U146" s="272" t="s">
        <v>350</v>
      </c>
      <c r="V146" s="209"/>
      <c r="W146" s="122" t="s">
        <v>202</v>
      </c>
      <c r="X146" s="123"/>
    </row>
    <row r="147" spans="1:24" s="79" customFormat="1" ht="62.1">
      <c r="A147" s="347"/>
      <c r="B147" s="353"/>
      <c r="C147" s="204"/>
      <c r="D147" s="204"/>
      <c r="E147" s="204"/>
      <c r="F147" s="210"/>
      <c r="G147" s="307"/>
      <c r="H147" s="313"/>
      <c r="I147" s="261" t="s">
        <v>913</v>
      </c>
      <c r="J147" s="119"/>
      <c r="K147" s="119"/>
      <c r="L147" s="119"/>
      <c r="M147" s="119"/>
      <c r="N147" s="119"/>
      <c r="O147" s="264" t="s">
        <v>906</v>
      </c>
      <c r="P147" s="272" t="s">
        <v>907</v>
      </c>
      <c r="Q147" s="272" t="s">
        <v>907</v>
      </c>
      <c r="R147" s="272" t="s">
        <v>902</v>
      </c>
      <c r="S147" s="272" t="s">
        <v>902</v>
      </c>
      <c r="T147" s="272" t="s">
        <v>903</v>
      </c>
      <c r="U147" s="272" t="s">
        <v>350</v>
      </c>
      <c r="V147" s="209"/>
      <c r="W147" s="122" t="s">
        <v>202</v>
      </c>
      <c r="X147" s="123"/>
    </row>
    <row r="148" spans="1:24" s="79" customFormat="1" ht="60.75" customHeight="1">
      <c r="A148" s="347"/>
      <c r="B148" s="353"/>
      <c r="C148" s="204"/>
      <c r="D148" s="204"/>
      <c r="E148" s="204"/>
      <c r="F148" s="289"/>
      <c r="G148" s="306" t="s">
        <v>914</v>
      </c>
      <c r="H148" s="312" t="s">
        <v>915</v>
      </c>
      <c r="I148" s="264" t="s">
        <v>916</v>
      </c>
      <c r="J148" s="119"/>
      <c r="K148" s="119"/>
      <c r="L148" s="119"/>
      <c r="M148" s="119"/>
      <c r="N148" s="119"/>
      <c r="O148" s="264" t="s">
        <v>588</v>
      </c>
      <c r="P148" s="272" t="s">
        <v>907</v>
      </c>
      <c r="Q148" s="272" t="s">
        <v>907</v>
      </c>
      <c r="R148" s="272" t="s">
        <v>917</v>
      </c>
      <c r="S148" s="272" t="s">
        <v>917</v>
      </c>
      <c r="T148" s="272" t="s">
        <v>918</v>
      </c>
      <c r="U148" s="272" t="s">
        <v>350</v>
      </c>
      <c r="V148" s="209"/>
      <c r="W148" s="122" t="s">
        <v>202</v>
      </c>
      <c r="X148" s="123"/>
    </row>
    <row r="149" spans="1:24" s="79" customFormat="1" ht="88.5" customHeight="1">
      <c r="A149" s="347"/>
      <c r="B149" s="353"/>
      <c r="C149" s="204"/>
      <c r="D149" s="204"/>
      <c r="E149" s="204"/>
      <c r="F149" s="289"/>
      <c r="G149" s="305"/>
      <c r="H149" s="311"/>
      <c r="I149" s="264" t="s">
        <v>919</v>
      </c>
      <c r="J149" s="119"/>
      <c r="K149" s="119"/>
      <c r="L149" s="119"/>
      <c r="M149" s="119"/>
      <c r="N149" s="119"/>
      <c r="O149" s="264" t="s">
        <v>588</v>
      </c>
      <c r="P149" s="272" t="s">
        <v>907</v>
      </c>
      <c r="Q149" s="272" t="s">
        <v>907</v>
      </c>
      <c r="R149" s="272" t="s">
        <v>917</v>
      </c>
      <c r="S149" s="272" t="s">
        <v>917</v>
      </c>
      <c r="T149" s="272" t="s">
        <v>918</v>
      </c>
      <c r="U149" s="272" t="s">
        <v>350</v>
      </c>
      <c r="V149" s="209"/>
      <c r="W149" s="122" t="s">
        <v>202</v>
      </c>
      <c r="X149" s="123"/>
    </row>
    <row r="150" spans="1:24" s="79" customFormat="1" ht="123.95">
      <c r="A150" s="347"/>
      <c r="B150" s="354"/>
      <c r="C150" s="204"/>
      <c r="D150" s="204"/>
      <c r="E150" s="204"/>
      <c r="F150" s="237"/>
      <c r="G150" s="253" t="s">
        <v>920</v>
      </c>
      <c r="H150" s="231" t="s">
        <v>921</v>
      </c>
      <c r="I150" s="220" t="s">
        <v>922</v>
      </c>
      <c r="J150" s="119"/>
      <c r="K150" s="119"/>
      <c r="L150" s="119"/>
      <c r="M150" s="119"/>
      <c r="N150" s="119"/>
      <c r="O150" s="266" t="s">
        <v>588</v>
      </c>
      <c r="P150" s="265">
        <v>2</v>
      </c>
      <c r="Q150" s="265">
        <v>4</v>
      </c>
      <c r="R150" s="265">
        <v>6</v>
      </c>
      <c r="S150" s="265">
        <v>8</v>
      </c>
      <c r="T150" s="265">
        <v>10</v>
      </c>
      <c r="U150" s="272" t="s">
        <v>350</v>
      </c>
      <c r="V150" s="209"/>
      <c r="W150" s="122" t="s">
        <v>202</v>
      </c>
      <c r="X150" s="123"/>
    </row>
    <row r="151" spans="1:24" s="79" customFormat="1" ht="92.25" customHeight="1">
      <c r="A151" s="348"/>
      <c r="B151" s="203"/>
      <c r="C151" s="290"/>
      <c r="D151" s="290"/>
      <c r="E151" s="290"/>
      <c r="F151" s="291"/>
      <c r="G151" s="306" t="s">
        <v>923</v>
      </c>
      <c r="H151" s="312" t="s">
        <v>924</v>
      </c>
      <c r="I151" s="292" t="s">
        <v>925</v>
      </c>
      <c r="J151" s="293" t="s">
        <v>926</v>
      </c>
      <c r="K151" s="294"/>
      <c r="L151" s="294"/>
      <c r="M151" s="294"/>
      <c r="N151" s="294"/>
      <c r="O151" s="252" t="s">
        <v>588</v>
      </c>
      <c r="P151" s="252">
        <v>1</v>
      </c>
      <c r="Q151" s="251">
        <v>2</v>
      </c>
      <c r="R151" s="251">
        <v>3</v>
      </c>
      <c r="S151" s="251">
        <v>4</v>
      </c>
      <c r="T151" s="251">
        <v>5</v>
      </c>
      <c r="U151" s="272" t="s">
        <v>350</v>
      </c>
      <c r="V151" s="295"/>
      <c r="W151" s="122" t="s">
        <v>202</v>
      </c>
      <c r="X151" s="123"/>
    </row>
    <row r="152" spans="1:24" s="79" customFormat="1" ht="47.25" customHeight="1">
      <c r="A152" s="122"/>
      <c r="B152" s="203"/>
      <c r="C152" s="296"/>
      <c r="D152" s="290"/>
      <c r="E152" s="290"/>
      <c r="F152" s="291"/>
      <c r="G152" s="305"/>
      <c r="H152" s="311"/>
      <c r="I152" s="292" t="s">
        <v>927</v>
      </c>
      <c r="J152" s="294"/>
      <c r="K152" s="294"/>
      <c r="L152" s="294"/>
      <c r="M152" s="294"/>
      <c r="N152" s="294"/>
      <c r="O152" s="252" t="s">
        <v>588</v>
      </c>
      <c r="P152" s="251">
        <v>0</v>
      </c>
      <c r="Q152" s="251">
        <v>0</v>
      </c>
      <c r="R152" s="251">
        <v>1</v>
      </c>
      <c r="S152" s="251">
        <v>1</v>
      </c>
      <c r="T152" s="251">
        <v>1</v>
      </c>
      <c r="U152" s="272" t="s">
        <v>350</v>
      </c>
      <c r="V152" s="295"/>
      <c r="W152" s="122" t="s">
        <v>202</v>
      </c>
      <c r="X152" s="123"/>
    </row>
    <row r="153" spans="1:24" s="79" customFormat="1" ht="15.75" customHeight="1">
      <c r="B153" s="95"/>
      <c r="G153" s="85"/>
      <c r="I153" s="78"/>
      <c r="U153" s="95"/>
      <c r="X153" s="95"/>
    </row>
    <row r="154" spans="1:24" s="79" customFormat="1" ht="15.75" customHeight="1">
      <c r="B154" s="95"/>
      <c r="G154" s="85"/>
      <c r="U154" s="95"/>
      <c r="X154" s="95"/>
    </row>
    <row r="155" spans="1:24" s="79" customFormat="1" ht="15.75" customHeight="1">
      <c r="B155" s="95"/>
      <c r="G155" s="85"/>
      <c r="U155" s="95"/>
      <c r="X155" s="95"/>
    </row>
    <row r="156" spans="1:24" s="79" customFormat="1" ht="15.75" customHeight="1">
      <c r="B156" s="95"/>
      <c r="G156" s="85"/>
      <c r="U156" s="95"/>
      <c r="X156" s="95"/>
    </row>
    <row r="157" spans="1:24" ht="15.75" customHeight="1">
      <c r="I157" s="79"/>
    </row>
  </sheetData>
  <autoFilter ref="A1:X152" xr:uid="{00000000-0001-0000-0600-000000000000}"/>
  <mergeCells count="159">
    <mergeCell ref="H116:H117"/>
    <mergeCell ref="H84:H85"/>
    <mergeCell ref="H86:H87"/>
    <mergeCell ref="H88:H89"/>
    <mergeCell ref="H105:H106"/>
    <mergeCell ref="B43:B47"/>
    <mergeCell ref="B52:B56"/>
    <mergeCell ref="B59:B64"/>
    <mergeCell ref="B68:B75"/>
    <mergeCell ref="B82:B88"/>
    <mergeCell ref="B96:B100"/>
    <mergeCell ref="G90:G91"/>
    <mergeCell ref="G93:G94"/>
    <mergeCell ref="G96:G97"/>
    <mergeCell ref="G101:G102"/>
    <mergeCell ref="G103:G104"/>
    <mergeCell ref="G105:G106"/>
    <mergeCell ref="B110:B115"/>
    <mergeCell ref="H107:H108"/>
    <mergeCell ref="H90:H91"/>
    <mergeCell ref="H93:H94"/>
    <mergeCell ref="H96:H97"/>
    <mergeCell ref="H101:H102"/>
    <mergeCell ref="H103:H104"/>
    <mergeCell ref="H82:H83"/>
    <mergeCell ref="H111:H112"/>
    <mergeCell ref="H113:H114"/>
    <mergeCell ref="G82:G83"/>
    <mergeCell ref="G84:G85"/>
    <mergeCell ref="G86:G87"/>
    <mergeCell ref="G88:G89"/>
    <mergeCell ref="C19:C20"/>
    <mergeCell ref="H47:H49"/>
    <mergeCell ref="H52:H53"/>
    <mergeCell ref="H54:H55"/>
    <mergeCell ref="H56:H57"/>
    <mergeCell ref="H60:H61"/>
    <mergeCell ref="H62:H63"/>
    <mergeCell ref="H72:H74"/>
    <mergeCell ref="H75:H76"/>
    <mergeCell ref="H77:H78"/>
    <mergeCell ref="B19:B20"/>
    <mergeCell ref="E2:E3"/>
    <mergeCell ref="E4:E6"/>
    <mergeCell ref="H2:H3"/>
    <mergeCell ref="H4:H6"/>
    <mergeCell ref="N2:N3"/>
    <mergeCell ref="N4:N6"/>
    <mergeCell ref="F28:F31"/>
    <mergeCell ref="F25:F26"/>
    <mergeCell ref="G25:G26"/>
    <mergeCell ref="H25:H26"/>
    <mergeCell ref="N25:N26"/>
    <mergeCell ref="N17:N18"/>
    <mergeCell ref="N22:N23"/>
    <mergeCell ref="N9:N10"/>
    <mergeCell ref="E17:E18"/>
    <mergeCell ref="D17:D18"/>
    <mergeCell ref="G9:G10"/>
    <mergeCell ref="G14:G15"/>
    <mergeCell ref="G17:G18"/>
    <mergeCell ref="H19:H20"/>
    <mergeCell ref="G19:G20"/>
    <mergeCell ref="F19:F20"/>
    <mergeCell ref="B22:B23"/>
    <mergeCell ref="A27:A151"/>
    <mergeCell ref="G39:G40"/>
    <mergeCell ref="G33:G34"/>
    <mergeCell ref="G35:G36"/>
    <mergeCell ref="G45:G46"/>
    <mergeCell ref="G47:G49"/>
    <mergeCell ref="G52:G53"/>
    <mergeCell ref="G54:G55"/>
    <mergeCell ref="G56:G57"/>
    <mergeCell ref="G60:G61"/>
    <mergeCell ref="G62:G63"/>
    <mergeCell ref="G68:G69"/>
    <mergeCell ref="G70:G71"/>
    <mergeCell ref="G72:G74"/>
    <mergeCell ref="G75:G76"/>
    <mergeCell ref="F127:F131"/>
    <mergeCell ref="F138:F141"/>
    <mergeCell ref="B127:B131"/>
    <mergeCell ref="B138:B141"/>
    <mergeCell ref="B144:B150"/>
    <mergeCell ref="B28:B31"/>
    <mergeCell ref="B33:B37"/>
    <mergeCell ref="G135:G136"/>
    <mergeCell ref="G141:G142"/>
    <mergeCell ref="H9:H10"/>
    <mergeCell ref="H17:H18"/>
    <mergeCell ref="H22:H23"/>
    <mergeCell ref="H14:H15"/>
    <mergeCell ref="F9:F10"/>
    <mergeCell ref="E9:E10"/>
    <mergeCell ref="D9:D10"/>
    <mergeCell ref="C9:C10"/>
    <mergeCell ref="B9:B10"/>
    <mergeCell ref="B14:B15"/>
    <mergeCell ref="C14:C15"/>
    <mergeCell ref="D14:D15"/>
    <mergeCell ref="E14:E15"/>
    <mergeCell ref="F14:F15"/>
    <mergeCell ref="F17:F18"/>
    <mergeCell ref="C17:C18"/>
    <mergeCell ref="B17:B18"/>
    <mergeCell ref="E19:E20"/>
    <mergeCell ref="D19:D20"/>
    <mergeCell ref="G22:G23"/>
    <mergeCell ref="F22:F23"/>
    <mergeCell ref="E22:E23"/>
    <mergeCell ref="D22:D23"/>
    <mergeCell ref="C22:C23"/>
    <mergeCell ref="H120:H121"/>
    <mergeCell ref="H122:H123"/>
    <mergeCell ref="B25:B26"/>
    <mergeCell ref="C25:C26"/>
    <mergeCell ref="D25:D26"/>
    <mergeCell ref="E25:E26"/>
    <mergeCell ref="F33:F37"/>
    <mergeCell ref="F43:F47"/>
    <mergeCell ref="F52:F56"/>
    <mergeCell ref="F59:F64"/>
    <mergeCell ref="F68:F75"/>
    <mergeCell ref="F82:F88"/>
    <mergeCell ref="F96:F100"/>
    <mergeCell ref="F110:F115"/>
    <mergeCell ref="H33:H34"/>
    <mergeCell ref="H35:H36"/>
    <mergeCell ref="H39:H40"/>
    <mergeCell ref="H43:H44"/>
    <mergeCell ref="H45:H46"/>
    <mergeCell ref="H68:H69"/>
    <mergeCell ref="H70:H71"/>
    <mergeCell ref="G77:G78"/>
    <mergeCell ref="G79:G80"/>
    <mergeCell ref="H79:H80"/>
    <mergeCell ref="H144:H145"/>
    <mergeCell ref="H146:H147"/>
    <mergeCell ref="H148:H149"/>
    <mergeCell ref="H151:H152"/>
    <mergeCell ref="H124:H125"/>
    <mergeCell ref="H127:H128"/>
    <mergeCell ref="H133:H134"/>
    <mergeCell ref="H135:H136"/>
    <mergeCell ref="H141:H142"/>
    <mergeCell ref="G144:G145"/>
    <mergeCell ref="G146:G147"/>
    <mergeCell ref="G148:G149"/>
    <mergeCell ref="G151:G152"/>
    <mergeCell ref="G107:G108"/>
    <mergeCell ref="G111:G112"/>
    <mergeCell ref="G113:G114"/>
    <mergeCell ref="G116:G118"/>
    <mergeCell ref="G120:G121"/>
    <mergeCell ref="G122:G123"/>
    <mergeCell ref="G124:G125"/>
    <mergeCell ref="G127:G128"/>
    <mergeCell ref="G133:G134"/>
  </mergeCells>
  <phoneticPr fontId="24" type="noConversion"/>
  <pageMargins left="0.7" right="0.7" top="0.75" bottom="0.75" header="0.3" footer="0.3"/>
  <pageSetup orientation="portrait" horizontalDpi="30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048"/>
  <sheetViews>
    <sheetView workbookViewId="0">
      <selection activeCell="C69" sqref="C69"/>
    </sheetView>
  </sheetViews>
  <sheetFormatPr defaultColWidth="12.7109375" defaultRowHeight="15.75" customHeight="1"/>
  <cols>
    <col min="1" max="1" width="7.85546875" customWidth="1"/>
    <col min="2" max="2" width="17.7109375" customWidth="1"/>
    <col min="3" max="3" width="104.28515625" customWidth="1"/>
    <col min="4" max="8" width="17.7109375" customWidth="1"/>
    <col min="9" max="9" width="21.7109375" customWidth="1"/>
    <col min="10" max="10" width="19.7109375" customWidth="1"/>
    <col min="11" max="11" width="27.28515625" customWidth="1"/>
    <col min="12" max="12" width="5.42578125" customWidth="1"/>
  </cols>
  <sheetData>
    <row r="1" spans="1:12" ht="26.1">
      <c r="A1" s="65"/>
      <c r="B1" s="42" t="s">
        <v>928</v>
      </c>
      <c r="C1" s="42" t="s">
        <v>929</v>
      </c>
      <c r="D1" s="66" t="s">
        <v>930</v>
      </c>
      <c r="E1" s="66" t="s">
        <v>931</v>
      </c>
      <c r="F1" s="66" t="s">
        <v>932</v>
      </c>
      <c r="G1" s="66" t="s">
        <v>933</v>
      </c>
      <c r="H1" s="66" t="s">
        <v>934</v>
      </c>
      <c r="I1" s="66" t="s">
        <v>935</v>
      </c>
      <c r="J1" s="66" t="s">
        <v>936</v>
      </c>
      <c r="K1" s="66" t="s">
        <v>937</v>
      </c>
      <c r="L1" s="67"/>
    </row>
    <row r="2" spans="1:12" ht="26.45" customHeight="1">
      <c r="A2" s="106" t="s">
        <v>51</v>
      </c>
      <c r="B2" s="107"/>
      <c r="C2" s="107" t="s">
        <v>938</v>
      </c>
      <c r="D2" s="107"/>
      <c r="E2" s="107"/>
      <c r="F2" s="107"/>
      <c r="G2" s="107"/>
      <c r="H2" s="107"/>
      <c r="I2" s="107"/>
      <c r="J2" s="34" t="s">
        <v>939</v>
      </c>
      <c r="K2" s="34" t="s">
        <v>940</v>
      </c>
      <c r="L2" s="46"/>
    </row>
    <row r="3" spans="1:12" ht="29.1">
      <c r="A3" s="108"/>
      <c r="B3" s="112" t="s">
        <v>359</v>
      </c>
      <c r="C3" s="109" t="s">
        <v>360</v>
      </c>
      <c r="D3" s="110">
        <v>66145.511820400003</v>
      </c>
      <c r="E3" s="110">
        <v>0</v>
      </c>
      <c r="F3" s="110">
        <v>0</v>
      </c>
      <c r="G3" s="110">
        <v>29519.5318571057</v>
      </c>
      <c r="H3" s="110">
        <v>0</v>
      </c>
      <c r="I3" s="111">
        <f t="shared" ref="I3:I71" si="0">SUM(D3:H3)*1.125</f>
        <v>107623.17413719391</v>
      </c>
      <c r="J3" s="68"/>
      <c r="K3" s="38"/>
    </row>
    <row r="4" spans="1:12" ht="14.45">
      <c r="A4" s="108"/>
      <c r="B4" s="112" t="s">
        <v>371</v>
      </c>
      <c r="C4" s="116" t="s">
        <v>372</v>
      </c>
      <c r="D4" s="110">
        <v>165365.20865304599</v>
      </c>
      <c r="E4" s="110">
        <v>0</v>
      </c>
      <c r="F4" s="110">
        <v>0</v>
      </c>
      <c r="G4" s="110">
        <v>0</v>
      </c>
      <c r="H4" s="110">
        <v>0</v>
      </c>
      <c r="I4" s="111">
        <f t="shared" si="0"/>
        <v>186035.85973467675</v>
      </c>
      <c r="J4" s="68"/>
      <c r="K4" s="38"/>
    </row>
    <row r="5" spans="1:12" ht="29.1">
      <c r="A5" s="108"/>
      <c r="B5" s="112" t="s">
        <v>375</v>
      </c>
      <c r="C5" s="116" t="s">
        <v>376</v>
      </c>
      <c r="D5" s="110">
        <v>0</v>
      </c>
      <c r="E5" s="110">
        <v>152799.59073207501</v>
      </c>
      <c r="F5" s="110">
        <v>157586.12985065501</v>
      </c>
      <c r="G5" s="110">
        <v>147594.80108143701</v>
      </c>
      <c r="H5" s="110">
        <v>154996.59694374801</v>
      </c>
      <c r="I5" s="111">
        <f t="shared" si="0"/>
        <v>689599.25843390438</v>
      </c>
      <c r="J5" s="68"/>
      <c r="K5" s="38"/>
    </row>
    <row r="6" spans="1:12" ht="29.1">
      <c r="A6" s="108"/>
      <c r="B6" s="112" t="s">
        <v>383</v>
      </c>
      <c r="C6" s="116" t="s">
        <v>384</v>
      </c>
      <c r="D6" s="110">
        <v>0</v>
      </c>
      <c r="E6" s="110">
        <v>458398.77219622501</v>
      </c>
      <c r="F6" s="110">
        <v>472760.29502135998</v>
      </c>
      <c r="G6" s="110">
        <v>442784.40324431</v>
      </c>
      <c r="H6" s="110">
        <v>464990.74356594199</v>
      </c>
      <c r="I6" s="111">
        <f t="shared" si="0"/>
        <v>2068800.9907813165</v>
      </c>
      <c r="J6" s="68"/>
      <c r="K6" s="38"/>
    </row>
    <row r="7" spans="1:12" ht="43.5">
      <c r="A7" s="108"/>
      <c r="B7" s="112" t="s">
        <v>394</v>
      </c>
      <c r="C7" s="116" t="s">
        <v>395</v>
      </c>
      <c r="D7" s="110">
        <v>66145.511820400003</v>
      </c>
      <c r="E7" s="110">
        <v>114599.693049056</v>
      </c>
      <c r="F7" s="110">
        <v>118190.550122689</v>
      </c>
      <c r="G7" s="110">
        <v>110696.338994752</v>
      </c>
      <c r="H7" s="110">
        <v>116246.971340463</v>
      </c>
      <c r="I7" s="111">
        <f t="shared" si="0"/>
        <v>591613.9484932801</v>
      </c>
      <c r="J7" s="68"/>
      <c r="K7" s="38"/>
    </row>
    <row r="8" spans="1:12" ht="29.1">
      <c r="A8" s="108"/>
      <c r="B8" s="112" t="s">
        <v>406</v>
      </c>
      <c r="C8" s="116" t="s">
        <v>407</v>
      </c>
      <c r="D8" s="110">
        <v>66145.511820400003</v>
      </c>
      <c r="E8" s="110">
        <v>229200.33883280901</v>
      </c>
      <c r="F8" s="110">
        <v>236380.14751067999</v>
      </c>
      <c r="G8" s="110">
        <v>221392.67798950401</v>
      </c>
      <c r="H8" s="110">
        <v>154996.59694374801</v>
      </c>
      <c r="I8" s="111">
        <f t="shared" si="0"/>
        <v>1021629.6822342835</v>
      </c>
      <c r="J8" s="68"/>
      <c r="K8" s="38"/>
    </row>
    <row r="9" spans="1:12" ht="29.1">
      <c r="A9" s="108"/>
      <c r="B9" s="112" t="s">
        <v>418</v>
      </c>
      <c r="C9" s="116" t="s">
        <v>419</v>
      </c>
      <c r="D9" s="110">
        <v>66145.511820400003</v>
      </c>
      <c r="E9" s="110">
        <v>229200.33883280901</v>
      </c>
      <c r="F9" s="110">
        <v>236380.14751067999</v>
      </c>
      <c r="G9" s="110">
        <v>147594.80108143701</v>
      </c>
      <c r="H9" s="110">
        <v>154996.59694374801</v>
      </c>
      <c r="I9" s="111">
        <f t="shared" si="0"/>
        <v>938607.07071270829</v>
      </c>
      <c r="J9" s="68"/>
      <c r="K9" s="38"/>
    </row>
    <row r="10" spans="1:12" ht="29.1">
      <c r="A10" s="108"/>
      <c r="B10" s="112" t="s">
        <v>423</v>
      </c>
      <c r="C10" s="115" t="s">
        <v>941</v>
      </c>
      <c r="D10" s="110">
        <v>55121.418639449599</v>
      </c>
      <c r="E10" s="110">
        <v>114599.693049056</v>
      </c>
      <c r="F10" s="110">
        <v>118190.550122689</v>
      </c>
      <c r="G10" s="110">
        <v>110696.338994752</v>
      </c>
      <c r="H10" s="110">
        <v>116246.971340463</v>
      </c>
      <c r="I10" s="111">
        <f t="shared" si="0"/>
        <v>579211.84366471088</v>
      </c>
      <c r="J10" s="68"/>
      <c r="K10" s="38"/>
    </row>
    <row r="11" spans="1:12" ht="29.1">
      <c r="A11" s="108"/>
      <c r="B11" s="112" t="s">
        <v>942</v>
      </c>
      <c r="C11" s="115" t="s">
        <v>433</v>
      </c>
      <c r="D11" s="110">
        <v>33073.232277548603</v>
      </c>
      <c r="E11" s="110">
        <v>45839.877219622504</v>
      </c>
      <c r="F11" s="110">
        <v>47276.6011429543</v>
      </c>
      <c r="G11" s="110">
        <v>44278.345050961303</v>
      </c>
      <c r="H11" s="110">
        <v>46499.169630063901</v>
      </c>
      <c r="I11" s="111">
        <f t="shared" si="0"/>
        <v>244088.12848629442</v>
      </c>
      <c r="J11" s="68"/>
      <c r="K11" s="38"/>
    </row>
    <row r="12" spans="1:12" ht="29.1">
      <c r="A12" s="108"/>
      <c r="B12" s="112" t="s">
        <v>943</v>
      </c>
      <c r="C12" s="115" t="s">
        <v>436</v>
      </c>
      <c r="D12" s="110">
        <v>33073.232277548603</v>
      </c>
      <c r="E12" s="110">
        <v>45839.877219622504</v>
      </c>
      <c r="F12" s="110">
        <v>47276.6011429543</v>
      </c>
      <c r="G12" s="110">
        <v>44278.345050961303</v>
      </c>
      <c r="H12" s="110">
        <v>46499.169630063901</v>
      </c>
      <c r="I12" s="111">
        <f t="shared" si="0"/>
        <v>244088.12848629442</v>
      </c>
      <c r="J12" s="68"/>
      <c r="K12" s="38"/>
    </row>
    <row r="13" spans="1:12" ht="29.1">
      <c r="A13" s="108"/>
      <c r="B13" s="112" t="s">
        <v>441</v>
      </c>
      <c r="C13" s="116" t="s">
        <v>442</v>
      </c>
      <c r="D13" s="110">
        <v>66145.511820400003</v>
      </c>
      <c r="E13" s="110">
        <v>152799.59073207501</v>
      </c>
      <c r="F13" s="110">
        <v>157586.12985065501</v>
      </c>
      <c r="G13" s="110">
        <v>147594.80108143701</v>
      </c>
      <c r="H13" s="110">
        <v>154996.59694374801</v>
      </c>
      <c r="I13" s="111">
        <f t="shared" si="0"/>
        <v>764012.95923185453</v>
      </c>
      <c r="J13" s="68"/>
      <c r="K13" s="38"/>
    </row>
    <row r="14" spans="1:12" ht="29.1">
      <c r="A14" s="108"/>
      <c r="B14" s="112" t="s">
        <v>447</v>
      </c>
      <c r="C14" s="117" t="s">
        <v>944</v>
      </c>
      <c r="D14" s="110">
        <v>0</v>
      </c>
      <c r="E14" s="110">
        <v>0</v>
      </c>
      <c r="F14" s="110">
        <v>0</v>
      </c>
      <c r="G14" s="110">
        <v>0</v>
      </c>
      <c r="H14" s="110">
        <v>0</v>
      </c>
      <c r="I14" s="111"/>
      <c r="J14" s="68"/>
      <c r="K14" s="38"/>
    </row>
    <row r="15" spans="1:12" ht="29.1">
      <c r="A15" s="108"/>
      <c r="B15" s="112" t="s">
        <v>945</v>
      </c>
      <c r="C15" s="116" t="s">
        <v>946</v>
      </c>
      <c r="D15" s="110">
        <v>0</v>
      </c>
      <c r="E15" s="110">
        <v>305600.13419884699</v>
      </c>
      <c r="F15" s="110">
        <v>315173.21243600798</v>
      </c>
      <c r="G15" s="110">
        <v>295189.60216287401</v>
      </c>
      <c r="H15" s="110">
        <v>309994.14662219299</v>
      </c>
      <c r="I15" s="111">
        <f t="shared" si="0"/>
        <v>1379201.7323474125</v>
      </c>
      <c r="J15" s="68"/>
      <c r="K15" s="38"/>
    </row>
    <row r="16" spans="1:12" ht="29.1">
      <c r="A16" s="108"/>
      <c r="B16" s="112" t="s">
        <v>465</v>
      </c>
      <c r="C16" s="116" t="s">
        <v>466</v>
      </c>
      <c r="D16" s="110">
        <v>0</v>
      </c>
      <c r="E16" s="110">
        <v>0</v>
      </c>
      <c r="F16" s="110">
        <v>0</v>
      </c>
      <c r="G16" s="110">
        <v>0</v>
      </c>
      <c r="H16" s="110">
        <v>0</v>
      </c>
      <c r="I16" s="111"/>
      <c r="J16" s="68"/>
      <c r="K16" s="38"/>
    </row>
    <row r="17" spans="1:13" ht="29.1">
      <c r="A17" s="108"/>
      <c r="B17" s="112" t="s">
        <v>472</v>
      </c>
      <c r="C17" s="116" t="s">
        <v>473</v>
      </c>
      <c r="D17" s="110">
        <v>330729.46457139502</v>
      </c>
      <c r="E17" s="110">
        <v>381999.92956488399</v>
      </c>
      <c r="F17" s="110">
        <v>393966.27736133599</v>
      </c>
      <c r="G17" s="110">
        <v>368987.47907094099</v>
      </c>
      <c r="H17" s="110">
        <v>387492.44509406801</v>
      </c>
      <c r="I17" s="111">
        <f t="shared" si="0"/>
        <v>2096072.5451204521</v>
      </c>
      <c r="J17" s="68"/>
      <c r="K17" s="38"/>
    </row>
    <row r="18" spans="1:13" ht="29.1">
      <c r="A18" s="108"/>
      <c r="B18" s="112" t="s">
        <v>486</v>
      </c>
      <c r="C18" s="116" t="s">
        <v>487</v>
      </c>
      <c r="D18" s="110">
        <v>55121.418639449599</v>
      </c>
      <c r="E18" s="110">
        <v>76399.795366037404</v>
      </c>
      <c r="F18" s="110">
        <v>78793.064925327693</v>
      </c>
      <c r="G18" s="110">
        <v>73796.9241733698</v>
      </c>
      <c r="H18" s="110">
        <v>77498.298471874106</v>
      </c>
      <c r="I18" s="111">
        <f t="shared" si="0"/>
        <v>406810.68927306589</v>
      </c>
      <c r="J18" s="68"/>
      <c r="K18" s="38"/>
    </row>
    <row r="19" spans="1:13" ht="29.1">
      <c r="A19" s="108"/>
      <c r="B19" s="112" t="s">
        <v>496</v>
      </c>
      <c r="C19" s="116" t="s">
        <v>947</v>
      </c>
      <c r="D19" s="110">
        <v>55121.418639449599</v>
      </c>
      <c r="E19" s="110">
        <v>152799.59073207501</v>
      </c>
      <c r="F19" s="110">
        <v>157586.12985065501</v>
      </c>
      <c r="G19" s="110">
        <v>147594.80108143701</v>
      </c>
      <c r="H19" s="110">
        <v>154996.59694374801</v>
      </c>
      <c r="I19" s="111">
        <f t="shared" si="0"/>
        <v>751610.85440328519</v>
      </c>
      <c r="J19" s="68"/>
      <c r="K19" s="38"/>
    </row>
    <row r="20" spans="1:13" ht="14.45">
      <c r="A20" s="108"/>
      <c r="B20" s="112" t="s">
        <v>508</v>
      </c>
      <c r="C20" s="116" t="s">
        <v>509</v>
      </c>
      <c r="D20" s="110">
        <v>118747.899920533</v>
      </c>
      <c r="E20" s="110">
        <v>186084.33011239499</v>
      </c>
      <c r="F20" s="110">
        <v>192025.58368394501</v>
      </c>
      <c r="G20" s="110">
        <v>179959.198744291</v>
      </c>
      <c r="H20" s="110">
        <v>189103.546367726</v>
      </c>
      <c r="I20" s="111">
        <f t="shared" si="0"/>
        <v>974160.62868250138</v>
      </c>
      <c r="J20" s="68"/>
      <c r="K20" s="38"/>
    </row>
    <row r="21" spans="1:13" ht="29.1">
      <c r="A21" s="108"/>
      <c r="B21" s="112" t="s">
        <v>513</v>
      </c>
      <c r="C21" s="116" t="s">
        <v>514</v>
      </c>
      <c r="D21" s="110">
        <v>339234.52721302799</v>
      </c>
      <c r="E21" s="110">
        <v>231924.20733201801</v>
      </c>
      <c r="F21" s="110">
        <v>121111.634704211</v>
      </c>
      <c r="G21" s="110">
        <v>113542.157535198</v>
      </c>
      <c r="H21" s="110">
        <v>119354.79192263</v>
      </c>
      <c r="I21" s="111">
        <f t="shared" si="0"/>
        <v>1040813.2335454707</v>
      </c>
      <c r="J21" s="68"/>
      <c r="K21" s="38"/>
    </row>
    <row r="22" spans="1:13" ht="29.1">
      <c r="A22" s="108"/>
      <c r="B22" s="112" t="s">
        <v>525</v>
      </c>
      <c r="C22" s="116" t="s">
        <v>526</v>
      </c>
      <c r="D22" s="110">
        <v>52601.435365435696</v>
      </c>
      <c r="E22" s="110">
        <v>48564.698453527802</v>
      </c>
      <c r="F22" s="110">
        <v>50197.6857244766</v>
      </c>
      <c r="G22" s="110">
        <v>47123.21085671</v>
      </c>
      <c r="H22" s="110">
        <v>34106.949423977698</v>
      </c>
      <c r="I22" s="111">
        <f t="shared" si="0"/>
        <v>261668.22730214379</v>
      </c>
      <c r="J22" s="68"/>
      <c r="K22" s="38"/>
    </row>
    <row r="23" spans="1:13" ht="29.1">
      <c r="A23" s="108"/>
      <c r="B23" s="112" t="s">
        <v>530</v>
      </c>
      <c r="C23" s="116" t="s">
        <v>948</v>
      </c>
      <c r="D23" s="110">
        <v>41577.3421844853</v>
      </c>
      <c r="E23" s="110">
        <v>40923.766182226798</v>
      </c>
      <c r="F23" s="110">
        <v>42318.569778883299</v>
      </c>
      <c r="G23" s="110">
        <v>39744.2806271308</v>
      </c>
      <c r="H23" s="110">
        <v>26357.405397199502</v>
      </c>
      <c r="I23" s="111">
        <f t="shared" si="0"/>
        <v>214786.53469116639</v>
      </c>
      <c r="J23" s="68"/>
      <c r="K23" s="38"/>
    </row>
    <row r="24" spans="1:13" ht="24" customHeight="1">
      <c r="A24" s="108"/>
      <c r="B24" s="112" t="s">
        <v>534</v>
      </c>
      <c r="C24" s="116" t="s">
        <v>535</v>
      </c>
      <c r="D24" s="110">
        <v>118747.899920533</v>
      </c>
      <c r="E24" s="110">
        <v>117324.514282961</v>
      </c>
      <c r="F24" s="110">
        <v>121111.634704211</v>
      </c>
      <c r="G24" s="110">
        <v>150439.666887186</v>
      </c>
      <c r="H24" s="110">
        <v>158104.41752591601</v>
      </c>
      <c r="I24" s="111">
        <f t="shared" si="0"/>
        <v>748944.14998590783</v>
      </c>
      <c r="J24" s="68"/>
      <c r="K24" s="38"/>
    </row>
    <row r="25" spans="1:13" ht="14.45">
      <c r="A25" s="108"/>
      <c r="B25" s="112" t="s">
        <v>543</v>
      </c>
      <c r="C25" s="116" t="s">
        <v>544</v>
      </c>
      <c r="D25" s="110">
        <v>1110936.2936347199</v>
      </c>
      <c r="E25" s="110">
        <v>766723.72762897704</v>
      </c>
      <c r="F25" s="110">
        <v>790855.54477358796</v>
      </c>
      <c r="G25" s="110">
        <v>740819.82394763001</v>
      </c>
      <c r="H25" s="110">
        <v>778092.71077030303</v>
      </c>
      <c r="I25" s="111">
        <f t="shared" si="0"/>
        <v>4710856.6133496203</v>
      </c>
      <c r="J25" s="68"/>
      <c r="K25" s="38"/>
      <c r="M25" s="76"/>
    </row>
    <row r="26" spans="1:13" ht="29.1">
      <c r="A26" s="108"/>
      <c r="B26" s="112" t="s">
        <v>549</v>
      </c>
      <c r="C26" s="116" t="s">
        <v>550</v>
      </c>
      <c r="D26" s="110">
        <v>18959.420473676801</v>
      </c>
      <c r="E26" s="110">
        <v>13664.121026807699</v>
      </c>
      <c r="F26" s="110">
        <v>93450.888241283406</v>
      </c>
      <c r="G26" s="110">
        <v>88074.606345154796</v>
      </c>
      <c r="H26" s="110">
        <v>93090.754525753204</v>
      </c>
      <c r="I26" s="111">
        <f t="shared" si="0"/>
        <v>345644.76443926035</v>
      </c>
      <c r="J26" s="68"/>
      <c r="K26" s="38"/>
    </row>
    <row r="27" spans="1:13" ht="24" customHeight="1">
      <c r="A27" s="108"/>
      <c r="B27" s="112" t="s">
        <v>561</v>
      </c>
      <c r="C27" s="116" t="s">
        <v>562</v>
      </c>
      <c r="D27" s="110">
        <v>18959.420473676801</v>
      </c>
      <c r="E27" s="110">
        <v>36585.012371316101</v>
      </c>
      <c r="F27" s="110">
        <v>38295.171152735697</v>
      </c>
      <c r="G27" s="110">
        <v>36416.378329917097</v>
      </c>
      <c r="H27" s="110">
        <v>38842.040868911099</v>
      </c>
      <c r="I27" s="111">
        <f t="shared" si="0"/>
        <v>190235.27609612641</v>
      </c>
      <c r="J27" s="68"/>
      <c r="K27" s="38"/>
    </row>
    <row r="28" spans="1:13" ht="29.1">
      <c r="A28" s="108"/>
      <c r="B28" s="112" t="s">
        <v>576</v>
      </c>
      <c r="C28" s="116" t="s">
        <v>577</v>
      </c>
      <c r="D28" s="110">
        <v>18959.420473676801</v>
      </c>
      <c r="E28" s="110">
        <v>28945.0328347123</v>
      </c>
      <c r="F28" s="110">
        <v>30416.055207142301</v>
      </c>
      <c r="G28" s="110">
        <v>29036.4953656406</v>
      </c>
      <c r="H28" s="110">
        <v>31092.496842132801</v>
      </c>
      <c r="I28" s="111">
        <f t="shared" si="0"/>
        <v>155755.6883137179</v>
      </c>
      <c r="J28" s="68"/>
      <c r="K28" s="38"/>
    </row>
    <row r="29" spans="1:13" ht="14.45">
      <c r="A29" s="108"/>
      <c r="B29" s="112" t="s">
        <v>585</v>
      </c>
      <c r="C29" s="116" t="s">
        <v>949</v>
      </c>
      <c r="D29" s="110">
        <v>18959.420473676801</v>
      </c>
      <c r="E29" s="110">
        <v>13664.121026807699</v>
      </c>
      <c r="F29" s="110">
        <v>14657.8233159557</v>
      </c>
      <c r="G29" s="110">
        <v>14276.729437087801</v>
      </c>
      <c r="H29" s="110">
        <v>15592.456053879099</v>
      </c>
      <c r="I29" s="111">
        <f t="shared" si="0"/>
        <v>86794.369095832983</v>
      </c>
      <c r="J29" s="68"/>
      <c r="K29" s="38"/>
    </row>
    <row r="30" spans="1:13" ht="23.25" customHeight="1">
      <c r="A30" s="108"/>
      <c r="B30" s="112" t="s">
        <v>590</v>
      </c>
      <c r="C30" s="116" t="s">
        <v>950</v>
      </c>
      <c r="D30" s="110">
        <v>29984.466389324502</v>
      </c>
      <c r="E30" s="110">
        <v>21305.0532981086</v>
      </c>
      <c r="F30" s="110">
        <v>22535.986526851801</v>
      </c>
      <c r="G30" s="110">
        <v>21656.6124013642</v>
      </c>
      <c r="H30" s="110">
        <v>23342.952815354602</v>
      </c>
      <c r="I30" s="111">
        <f t="shared" si="0"/>
        <v>133678.20535987915</v>
      </c>
      <c r="J30" s="68"/>
      <c r="K30" s="38"/>
    </row>
    <row r="31" spans="1:13" ht="14.45">
      <c r="A31" s="108"/>
      <c r="B31" s="112" t="s">
        <v>605</v>
      </c>
      <c r="C31" s="116" t="s">
        <v>951</v>
      </c>
      <c r="D31" s="110">
        <v>52032.652751225403</v>
      </c>
      <c r="E31" s="110">
        <v>36585.012371316101</v>
      </c>
      <c r="F31" s="110">
        <v>38295.171152735697</v>
      </c>
      <c r="G31" s="110">
        <v>36416.378329917097</v>
      </c>
      <c r="H31" s="110">
        <v>31092.496842132801</v>
      </c>
      <c r="I31" s="111">
        <f t="shared" si="0"/>
        <v>218724.425378243</v>
      </c>
      <c r="J31" s="68"/>
      <c r="K31" s="38"/>
    </row>
    <row r="32" spans="1:13" ht="29.1">
      <c r="A32" s="108"/>
      <c r="B32" s="112" t="s">
        <v>615</v>
      </c>
      <c r="C32" s="116" t="s">
        <v>616</v>
      </c>
      <c r="D32" s="110">
        <v>15974.5026674442</v>
      </c>
      <c r="E32" s="110">
        <v>11329.921018741999</v>
      </c>
      <c r="F32" s="110">
        <v>11963.4895923598</v>
      </c>
      <c r="G32" s="110">
        <v>11477.594896803301</v>
      </c>
      <c r="H32" s="110">
        <v>12348.394410016301</v>
      </c>
      <c r="I32" s="111">
        <f t="shared" si="0"/>
        <v>70980.640408536303</v>
      </c>
      <c r="J32" s="68"/>
      <c r="K32" s="38"/>
    </row>
    <row r="33" spans="1:11" ht="29.1">
      <c r="A33" s="108"/>
      <c r="B33" s="112" t="s">
        <v>619</v>
      </c>
      <c r="C33" s="116" t="s">
        <v>620</v>
      </c>
      <c r="D33" s="110">
        <v>31408.804761593201</v>
      </c>
      <c r="E33" s="110">
        <v>22026.273463866099</v>
      </c>
      <c r="F33" s="110">
        <v>22995.204650887601</v>
      </c>
      <c r="G33" s="110">
        <v>21808.0972182142</v>
      </c>
      <c r="H33" s="110">
        <v>23198.137141384799</v>
      </c>
      <c r="I33" s="111">
        <f t="shared" si="0"/>
        <v>136616.08189043912</v>
      </c>
      <c r="J33" s="68"/>
      <c r="K33" s="38"/>
    </row>
    <row r="34" spans="1:11" ht="29.1">
      <c r="A34" s="108"/>
      <c r="B34" s="112" t="s">
        <v>626</v>
      </c>
      <c r="C34" s="116" t="s">
        <v>627</v>
      </c>
      <c r="D34" s="110">
        <v>15974.5026674442</v>
      </c>
      <c r="E34" s="110">
        <v>11329.921018741999</v>
      </c>
      <c r="F34" s="110">
        <v>11963.4895923598</v>
      </c>
      <c r="G34" s="110">
        <v>11477.594896803301</v>
      </c>
      <c r="H34" s="110">
        <v>12348.394410016301</v>
      </c>
      <c r="I34" s="111">
        <f t="shared" si="0"/>
        <v>70980.640408536303</v>
      </c>
      <c r="J34" s="68"/>
      <c r="K34" s="38"/>
    </row>
    <row r="35" spans="1:11" ht="21.75" customHeight="1">
      <c r="A35" s="108"/>
      <c r="B35" s="112" t="s">
        <v>640</v>
      </c>
      <c r="C35" s="116" t="s">
        <v>641</v>
      </c>
      <c r="D35" s="110">
        <v>9359.6656649950291</v>
      </c>
      <c r="E35" s="110">
        <v>6746.3143906585701</v>
      </c>
      <c r="F35" s="110">
        <v>7236.9727597009596</v>
      </c>
      <c r="G35" s="110">
        <v>7049.2840243585297</v>
      </c>
      <c r="H35" s="110">
        <v>7699.0490878282599</v>
      </c>
      <c r="I35" s="111">
        <f t="shared" si="0"/>
        <v>42852.696668484015</v>
      </c>
      <c r="J35" s="68"/>
      <c r="K35" s="38"/>
    </row>
    <row r="36" spans="1:11" ht="29.1">
      <c r="A36" s="108"/>
      <c r="B36" s="112" t="s">
        <v>648</v>
      </c>
      <c r="C36" s="116" t="s">
        <v>649</v>
      </c>
      <c r="D36" s="110">
        <v>64481.084304444601</v>
      </c>
      <c r="E36" s="110">
        <v>44946.212073677299</v>
      </c>
      <c r="F36" s="110">
        <v>46632.552487667599</v>
      </c>
      <c r="G36" s="110">
        <v>43948.698845740597</v>
      </c>
      <c r="H36" s="110">
        <v>46447.721956416703</v>
      </c>
      <c r="I36" s="111">
        <f t="shared" si="0"/>
        <v>277263.30337644019</v>
      </c>
      <c r="J36" s="68"/>
      <c r="K36" s="38"/>
    </row>
    <row r="37" spans="1:11" ht="14.45">
      <c r="A37" s="108"/>
      <c r="B37" s="112" t="s">
        <v>659</v>
      </c>
      <c r="C37" s="116" t="s">
        <v>660</v>
      </c>
      <c r="D37" s="110">
        <v>42432.897942543597</v>
      </c>
      <c r="E37" s="110">
        <v>29666.253000469798</v>
      </c>
      <c r="F37" s="110">
        <v>30874.320596481</v>
      </c>
      <c r="G37" s="110">
        <v>29187.980182490599</v>
      </c>
      <c r="H37" s="110">
        <v>30948.633902860201</v>
      </c>
      <c r="I37" s="111">
        <f t="shared" si="0"/>
        <v>183498.84632795086</v>
      </c>
      <c r="J37" s="68"/>
      <c r="K37" s="38"/>
    </row>
    <row r="38" spans="1:11" ht="21.75" customHeight="1">
      <c r="A38" s="108"/>
      <c r="B38" s="112" t="s">
        <v>663</v>
      </c>
      <c r="C38" s="116" t="s">
        <v>664</v>
      </c>
      <c r="D38" s="110">
        <v>9359.6656649950291</v>
      </c>
      <c r="E38" s="110">
        <v>6746.3143906585701</v>
      </c>
      <c r="F38" s="110">
        <v>7236.9727597009596</v>
      </c>
      <c r="G38" s="110">
        <v>7049.2840243585297</v>
      </c>
      <c r="H38" s="110">
        <v>7699.0490878282599</v>
      </c>
      <c r="I38" s="111">
        <f t="shared" si="0"/>
        <v>42852.696668484015</v>
      </c>
      <c r="J38" s="68"/>
      <c r="K38" s="38"/>
    </row>
    <row r="39" spans="1:11" ht="29.1">
      <c r="A39" s="108"/>
      <c r="B39" s="112" t="s">
        <v>668</v>
      </c>
      <c r="C39" s="116" t="s">
        <v>952</v>
      </c>
      <c r="D39" s="110">
        <v>0</v>
      </c>
      <c r="E39" s="110">
        <v>0</v>
      </c>
      <c r="F39" s="110">
        <v>0</v>
      </c>
      <c r="G39" s="110">
        <v>0</v>
      </c>
      <c r="H39" s="110">
        <v>0</v>
      </c>
      <c r="I39" s="111">
        <f t="shared" si="0"/>
        <v>0</v>
      </c>
      <c r="J39" s="68"/>
      <c r="K39" s="38"/>
    </row>
    <row r="40" spans="1:11" ht="14.45">
      <c r="A40" s="108"/>
      <c r="B40" s="112" t="s">
        <v>677</v>
      </c>
      <c r="C40" s="116" t="s">
        <v>678</v>
      </c>
      <c r="D40" s="110">
        <v>0</v>
      </c>
      <c r="E40" s="110">
        <v>0</v>
      </c>
      <c r="F40" s="110">
        <v>0</v>
      </c>
      <c r="G40" s="110">
        <v>0</v>
      </c>
      <c r="H40" s="110">
        <v>0</v>
      </c>
      <c r="I40" s="111">
        <f t="shared" si="0"/>
        <v>0</v>
      </c>
      <c r="J40" s="68"/>
      <c r="K40" s="38"/>
    </row>
    <row r="41" spans="1:11" ht="29.1">
      <c r="A41" s="108"/>
      <c r="B41" s="112" t="s">
        <v>685</v>
      </c>
      <c r="C41" s="116" t="s">
        <v>686</v>
      </c>
      <c r="D41" s="110">
        <v>20661.004642821899</v>
      </c>
      <c r="E41" s="110">
        <v>14891.2433167623</v>
      </c>
      <c r="F41" s="110">
        <v>15972.5971980498</v>
      </c>
      <c r="G41" s="110">
        <v>15560.063074175399</v>
      </c>
      <c r="H41" s="110">
        <v>16992.0233240214</v>
      </c>
      <c r="I41" s="111">
        <f t="shared" si="0"/>
        <v>94586.548000309645</v>
      </c>
      <c r="J41" s="68"/>
      <c r="K41" s="38"/>
    </row>
    <row r="42" spans="1:11" ht="29.1">
      <c r="A42" s="108"/>
      <c r="B42" s="112" t="s">
        <v>694</v>
      </c>
      <c r="C42" s="116" t="s">
        <v>695</v>
      </c>
      <c r="D42" s="110">
        <v>160639.644555084</v>
      </c>
      <c r="E42" s="110">
        <v>115778.225869455</v>
      </c>
      <c r="F42" s="110">
        <v>124182.298633189</v>
      </c>
      <c r="G42" s="110">
        <v>120959.197152664</v>
      </c>
      <c r="H42" s="110">
        <v>132108.09857894399</v>
      </c>
      <c r="I42" s="111">
        <f t="shared" si="0"/>
        <v>735375.89788800292</v>
      </c>
      <c r="J42" s="68"/>
      <c r="K42" s="38"/>
    </row>
    <row r="43" spans="1:11" ht="29.1">
      <c r="A43" s="108"/>
      <c r="B43" s="112" t="s">
        <v>701</v>
      </c>
      <c r="C43" s="116" t="s">
        <v>702</v>
      </c>
      <c r="D43" s="110">
        <v>0</v>
      </c>
      <c r="E43" s="110">
        <v>0</v>
      </c>
      <c r="F43" s="110">
        <v>0</v>
      </c>
      <c r="G43" s="110">
        <v>0</v>
      </c>
      <c r="H43" s="110">
        <v>0</v>
      </c>
      <c r="I43" s="111">
        <f t="shared" si="0"/>
        <v>0</v>
      </c>
      <c r="J43" s="68"/>
      <c r="K43" s="38"/>
    </row>
    <row r="44" spans="1:11" ht="29.1">
      <c r="A44" s="108"/>
      <c r="B44" s="112" t="s">
        <v>715</v>
      </c>
      <c r="C44" s="116" t="s">
        <v>953</v>
      </c>
      <c r="D44" s="110">
        <v>0</v>
      </c>
      <c r="E44" s="110">
        <v>0</v>
      </c>
      <c r="F44" s="110">
        <v>0</v>
      </c>
      <c r="G44" s="110">
        <v>0</v>
      </c>
      <c r="H44" s="110">
        <v>0</v>
      </c>
      <c r="I44" s="111">
        <f t="shared" si="0"/>
        <v>0</v>
      </c>
      <c r="J44" s="68"/>
      <c r="K44" s="38"/>
    </row>
    <row r="45" spans="1:11" ht="29.1">
      <c r="A45" s="108"/>
      <c r="B45" s="112" t="s">
        <v>720</v>
      </c>
      <c r="C45" s="116" t="s">
        <v>721</v>
      </c>
      <c r="D45" s="110">
        <v>1417.6692293885001</v>
      </c>
      <c r="E45" s="110">
        <v>1022.28433006308</v>
      </c>
      <c r="F45" s="110">
        <v>1094.6921670479701</v>
      </c>
      <c r="G45" s="110">
        <v>1067.0628608300501</v>
      </c>
      <c r="H45" s="110">
        <v>1166.1472693357</v>
      </c>
      <c r="I45" s="111">
        <f t="shared" si="0"/>
        <v>6488.8378387484627</v>
      </c>
      <c r="J45" s="68"/>
      <c r="K45" s="38"/>
    </row>
    <row r="46" spans="1:11" ht="14.45">
      <c r="A46" s="108"/>
      <c r="B46" s="112" t="s">
        <v>728</v>
      </c>
      <c r="C46" s="116" t="s">
        <v>954</v>
      </c>
      <c r="D46" s="110">
        <v>4094.8537284353301</v>
      </c>
      <c r="E46" s="110">
        <v>2950.6193571345302</v>
      </c>
      <c r="F46" s="110">
        <v>3165.9373986948799</v>
      </c>
      <c r="G46" s="110">
        <v>3083.0494800411202</v>
      </c>
      <c r="H46" s="110">
        <v>3368.8698891920199</v>
      </c>
      <c r="I46" s="111">
        <f t="shared" si="0"/>
        <v>18746.246085185114</v>
      </c>
      <c r="J46" s="68"/>
      <c r="K46" s="38"/>
    </row>
    <row r="47" spans="1:11" ht="29.1">
      <c r="A47" s="108"/>
      <c r="B47" s="112" t="s">
        <v>738</v>
      </c>
      <c r="C47" s="116" t="s">
        <v>739</v>
      </c>
      <c r="D47" s="110">
        <v>22048.186361901</v>
      </c>
      <c r="E47" s="110">
        <v>15279.959073207499</v>
      </c>
      <c r="F47" s="110">
        <v>15758.231891186701</v>
      </c>
      <c r="G47" s="110">
        <v>14758.8131938557</v>
      </c>
      <c r="H47" s="110">
        <v>15499.088053556499</v>
      </c>
      <c r="I47" s="111">
        <f t="shared" si="0"/>
        <v>93762.313395420832</v>
      </c>
      <c r="J47" s="68"/>
      <c r="K47" s="38"/>
    </row>
    <row r="48" spans="1:11" ht="43.5" customHeight="1">
      <c r="A48" s="108"/>
      <c r="B48" s="112" t="s">
        <v>743</v>
      </c>
      <c r="C48" s="116" t="s">
        <v>744</v>
      </c>
      <c r="D48" s="110">
        <v>33073.232277548603</v>
      </c>
      <c r="E48" s="110">
        <v>22919.938609811201</v>
      </c>
      <c r="F48" s="110">
        <v>23638.300571477201</v>
      </c>
      <c r="G48" s="110">
        <v>22138.696158132101</v>
      </c>
      <c r="H48" s="110">
        <v>23249.5848150319</v>
      </c>
      <c r="I48" s="111">
        <f t="shared" si="0"/>
        <v>140647.22148600116</v>
      </c>
      <c r="J48" s="68"/>
      <c r="K48" s="38"/>
    </row>
    <row r="49" spans="1:11" ht="29.1">
      <c r="A49" s="108"/>
      <c r="B49" s="112" t="s">
        <v>749</v>
      </c>
      <c r="C49" s="116" t="s">
        <v>955</v>
      </c>
      <c r="D49" s="110">
        <v>0</v>
      </c>
      <c r="E49" s="110">
        <v>0</v>
      </c>
      <c r="F49" s="110">
        <v>0</v>
      </c>
      <c r="G49" s="110">
        <v>0</v>
      </c>
      <c r="H49" s="110">
        <v>0</v>
      </c>
      <c r="I49" s="111">
        <f t="shared" si="0"/>
        <v>0</v>
      </c>
      <c r="J49" s="68"/>
      <c r="K49" s="38"/>
    </row>
    <row r="50" spans="1:11" ht="29.1">
      <c r="A50" s="108"/>
      <c r="B50" s="112" t="s">
        <v>761</v>
      </c>
      <c r="C50" s="116" t="s">
        <v>762</v>
      </c>
      <c r="D50" s="110">
        <v>0</v>
      </c>
      <c r="E50" s="110">
        <v>0</v>
      </c>
      <c r="F50" s="110">
        <v>0</v>
      </c>
      <c r="G50" s="110">
        <v>0</v>
      </c>
      <c r="H50" s="110">
        <v>0</v>
      </c>
      <c r="I50" s="111">
        <f t="shared" si="0"/>
        <v>0</v>
      </c>
      <c r="J50" s="68"/>
      <c r="K50" s="38"/>
    </row>
    <row r="51" spans="1:11" ht="29.1">
      <c r="A51" s="108"/>
      <c r="B51" s="112" t="s">
        <v>767</v>
      </c>
      <c r="C51" s="116" t="s">
        <v>768</v>
      </c>
      <c r="D51" s="110">
        <v>0</v>
      </c>
      <c r="E51" s="110">
        <v>0</v>
      </c>
      <c r="F51" s="110">
        <v>0</v>
      </c>
      <c r="G51" s="110">
        <v>0</v>
      </c>
      <c r="H51" s="110">
        <v>0</v>
      </c>
      <c r="I51" s="111">
        <f t="shared" si="0"/>
        <v>0</v>
      </c>
      <c r="J51" s="68"/>
      <c r="K51" s="38"/>
    </row>
    <row r="52" spans="1:11" ht="29.1">
      <c r="A52" s="108"/>
      <c r="B52" s="112" t="s">
        <v>779</v>
      </c>
      <c r="C52" s="116" t="s">
        <v>780</v>
      </c>
      <c r="D52" s="110">
        <v>33073.232277548603</v>
      </c>
      <c r="E52" s="110">
        <v>22919.938609811201</v>
      </c>
      <c r="F52" s="110">
        <v>23638.300571477201</v>
      </c>
      <c r="G52" s="110">
        <v>22138.696158132101</v>
      </c>
      <c r="H52" s="110">
        <v>23249.5848150319</v>
      </c>
      <c r="I52" s="111">
        <f t="shared" si="0"/>
        <v>140647.22148600116</v>
      </c>
      <c r="J52" s="68"/>
      <c r="K52" s="38"/>
    </row>
    <row r="53" spans="1:11" ht="43.5">
      <c r="A53" s="108"/>
      <c r="B53" s="112" t="s">
        <v>783</v>
      </c>
      <c r="C53" s="116" t="s">
        <v>784</v>
      </c>
      <c r="D53" s="110">
        <v>94494.132734684201</v>
      </c>
      <c r="E53" s="110">
        <v>21829.057381551898</v>
      </c>
      <c r="F53" s="110">
        <v>23412.502448248</v>
      </c>
      <c r="G53" s="110">
        <v>27410.177237571999</v>
      </c>
      <c r="H53" s="110">
        <v>24355.7097984459</v>
      </c>
      <c r="I53" s="111">
        <f t="shared" si="0"/>
        <v>215439.27705056476</v>
      </c>
      <c r="J53" s="68"/>
      <c r="K53" s="38"/>
    </row>
    <row r="54" spans="1:11" ht="29.1">
      <c r="A54" s="108"/>
      <c r="B54" s="112" t="s">
        <v>798</v>
      </c>
      <c r="C54" s="116" t="s">
        <v>799</v>
      </c>
      <c r="D54" s="110">
        <v>35833.3046952492</v>
      </c>
      <c r="E54" s="110">
        <v>64048.542751929599</v>
      </c>
      <c r="F54" s="110">
        <v>40962.828304810799</v>
      </c>
      <c r="G54" s="110">
        <v>310724.894134923</v>
      </c>
      <c r="H54" s="110">
        <v>29571.932265449999</v>
      </c>
      <c r="I54" s="111">
        <f t="shared" si="0"/>
        <v>541284.18992140796</v>
      </c>
      <c r="J54" s="68"/>
      <c r="K54" s="38"/>
    </row>
    <row r="55" spans="1:11" ht="29.1">
      <c r="A55" s="108"/>
      <c r="B55" s="112" t="s">
        <v>804</v>
      </c>
      <c r="C55" s="116" t="s">
        <v>805</v>
      </c>
      <c r="D55" s="110">
        <v>5258.1427936795199</v>
      </c>
      <c r="E55" s="110">
        <v>3793.7895641297</v>
      </c>
      <c r="F55" s="110">
        <v>4071.9880957032501</v>
      </c>
      <c r="G55" s="110">
        <v>3970.0454831061002</v>
      </c>
      <c r="H55" s="110">
        <v>4339.7065456079399</v>
      </c>
      <c r="I55" s="111">
        <f t="shared" si="0"/>
        <v>24112.881542504823</v>
      </c>
      <c r="J55" s="68"/>
      <c r="K55" s="38"/>
    </row>
    <row r="56" spans="1:11" ht="29.1">
      <c r="A56" s="108"/>
      <c r="B56" s="112" t="s">
        <v>816</v>
      </c>
      <c r="C56" s="116" t="s">
        <v>817</v>
      </c>
      <c r="D56" s="110">
        <v>3412.69568526183</v>
      </c>
      <c r="E56" s="110">
        <v>2459.9609880921398</v>
      </c>
      <c r="F56" s="110">
        <v>2638.1223764628699</v>
      </c>
      <c r="G56" s="110">
        <v>2569.5254782666502</v>
      </c>
      <c r="H56" s="110">
        <v>2806.75641786191</v>
      </c>
      <c r="I56" s="111">
        <f t="shared" si="0"/>
        <v>15622.943564188576</v>
      </c>
      <c r="J56" s="68"/>
      <c r="K56" s="38"/>
    </row>
    <row r="57" spans="1:11" ht="29.1">
      <c r="A57" s="108"/>
      <c r="B57" s="112" t="s">
        <v>826</v>
      </c>
      <c r="C57" s="116" t="s">
        <v>827</v>
      </c>
      <c r="D57" s="110">
        <v>341.07902158674898</v>
      </c>
      <c r="E57" s="110">
        <v>245.80555186978</v>
      </c>
      <c r="F57" s="110">
        <v>262.954776418834</v>
      </c>
      <c r="G57" s="110">
        <v>256.28563353864701</v>
      </c>
      <c r="H57" s="110">
        <v>280.10400096788902</v>
      </c>
      <c r="I57" s="111">
        <f t="shared" si="0"/>
        <v>1559.5076074296367</v>
      </c>
      <c r="J57" s="68"/>
      <c r="K57" s="38"/>
    </row>
    <row r="58" spans="1:11" ht="29.1">
      <c r="A58" s="108"/>
      <c r="B58" s="112" t="s">
        <v>831</v>
      </c>
      <c r="C58" s="116" t="s">
        <v>956</v>
      </c>
      <c r="D58" s="110">
        <v>341.07902158674898</v>
      </c>
      <c r="E58" s="110">
        <v>245.80555186978</v>
      </c>
      <c r="F58" s="110">
        <v>262.954776418834</v>
      </c>
      <c r="G58" s="110">
        <v>256.28563353864701</v>
      </c>
      <c r="H58" s="110">
        <v>280.10400096788902</v>
      </c>
      <c r="I58" s="111">
        <f t="shared" si="0"/>
        <v>1559.5076074296367</v>
      </c>
      <c r="J58" s="68"/>
      <c r="K58" s="38"/>
    </row>
    <row r="59" spans="1:11" ht="29.1">
      <c r="A59" s="108"/>
      <c r="B59" s="112" t="s">
        <v>836</v>
      </c>
      <c r="C59" s="116" t="s">
        <v>837</v>
      </c>
      <c r="D59" s="110">
        <v>0</v>
      </c>
      <c r="E59" s="110">
        <v>0</v>
      </c>
      <c r="F59" s="110">
        <v>0</v>
      </c>
      <c r="G59" s="110">
        <v>0</v>
      </c>
      <c r="H59" s="110">
        <v>0</v>
      </c>
      <c r="I59" s="111">
        <f t="shared" si="0"/>
        <v>0</v>
      </c>
      <c r="J59" s="68"/>
      <c r="K59" s="38"/>
    </row>
    <row r="60" spans="1:11" ht="29.1">
      <c r="A60" s="108"/>
      <c r="B60" s="112" t="s">
        <v>844</v>
      </c>
      <c r="C60" s="116" t="s">
        <v>845</v>
      </c>
      <c r="D60" s="110">
        <v>0</v>
      </c>
      <c r="E60" s="110">
        <v>0</v>
      </c>
      <c r="F60" s="110">
        <v>0</v>
      </c>
      <c r="G60" s="110">
        <v>0</v>
      </c>
      <c r="H60" s="110">
        <v>0</v>
      </c>
      <c r="I60" s="111">
        <f t="shared" si="0"/>
        <v>0</v>
      </c>
      <c r="J60" s="68"/>
      <c r="K60" s="38"/>
    </row>
    <row r="61" spans="1:11" ht="29.1">
      <c r="A61" s="108"/>
      <c r="B61" s="112" t="s">
        <v>847</v>
      </c>
      <c r="C61" s="116" t="s">
        <v>848</v>
      </c>
      <c r="D61" s="110">
        <v>17063.478426309099</v>
      </c>
      <c r="E61" s="110">
        <v>12298.8522057635</v>
      </c>
      <c r="F61" s="110">
        <v>13191.5646170115</v>
      </c>
      <c r="G61" s="110">
        <v>12849.532860727601</v>
      </c>
      <c r="H61" s="110">
        <v>14032.8293546124</v>
      </c>
      <c r="I61" s="111">
        <f t="shared" si="0"/>
        <v>78115.789647477111</v>
      </c>
      <c r="J61" s="68"/>
      <c r="K61" s="38"/>
    </row>
    <row r="62" spans="1:11" ht="29.1">
      <c r="A62" s="108"/>
      <c r="B62" s="112" t="s">
        <v>854</v>
      </c>
      <c r="C62" s="116" t="s">
        <v>855</v>
      </c>
      <c r="D62" s="110">
        <v>113757.47557675801</v>
      </c>
      <c r="E62" s="110">
        <v>81989.489834331995</v>
      </c>
      <c r="F62" s="110">
        <v>87941.223487551004</v>
      </c>
      <c r="G62" s="110">
        <v>85659.423887829602</v>
      </c>
      <c r="H62" s="110">
        <v>93552.830853880499</v>
      </c>
      <c r="I62" s="111">
        <f t="shared" si="0"/>
        <v>520762.99909539503</v>
      </c>
      <c r="J62" s="68"/>
      <c r="K62" s="38"/>
    </row>
    <row r="63" spans="1:11" ht="29.1">
      <c r="A63" s="108"/>
      <c r="B63" s="112" t="s">
        <v>868</v>
      </c>
      <c r="C63" s="116" t="s">
        <v>869</v>
      </c>
      <c r="D63" s="110">
        <v>22183.474688899099</v>
      </c>
      <c r="E63" s="110">
        <v>16001.1792389649</v>
      </c>
      <c r="F63" s="110">
        <v>17178.759324666698</v>
      </c>
      <c r="G63" s="110">
        <v>16747.170506848801</v>
      </c>
      <c r="H63" s="110">
        <v>18306.7972061156</v>
      </c>
      <c r="I63" s="111">
        <f t="shared" si="0"/>
        <v>101719.55358618198</v>
      </c>
      <c r="J63" s="68"/>
      <c r="K63" s="38"/>
    </row>
    <row r="64" spans="1:11" ht="29.1">
      <c r="A64" s="108"/>
      <c r="B64" s="112" t="s">
        <v>874</v>
      </c>
      <c r="C64" s="116" t="s">
        <v>875</v>
      </c>
      <c r="D64" s="110">
        <v>20476.174111570999</v>
      </c>
      <c r="E64" s="110">
        <v>0</v>
      </c>
      <c r="F64" s="110">
        <v>0</v>
      </c>
      <c r="G64" s="110">
        <v>0</v>
      </c>
      <c r="H64" s="110">
        <v>0</v>
      </c>
      <c r="I64" s="111">
        <f t="shared" si="0"/>
        <v>23035.695875517373</v>
      </c>
      <c r="J64" s="68"/>
      <c r="K64" s="38"/>
    </row>
    <row r="65" spans="1:13" ht="29.1">
      <c r="A65" s="108"/>
      <c r="B65" s="112" t="s">
        <v>878</v>
      </c>
      <c r="C65" s="116" t="s">
        <v>879</v>
      </c>
      <c r="D65" s="110">
        <v>40379.754670142996</v>
      </c>
      <c r="E65" s="110">
        <v>29127.9578965689</v>
      </c>
      <c r="F65" s="110">
        <v>31269.7054958064</v>
      </c>
      <c r="G65" s="110">
        <v>134831.967078152</v>
      </c>
      <c r="H65" s="110">
        <v>37548.227150154598</v>
      </c>
      <c r="I65" s="111">
        <f t="shared" si="0"/>
        <v>307302.31382717798</v>
      </c>
      <c r="J65" s="68"/>
      <c r="K65" s="38"/>
    </row>
    <row r="66" spans="1:13" ht="29.1">
      <c r="A66" s="108"/>
      <c r="B66" s="112" t="s">
        <v>882</v>
      </c>
      <c r="C66" s="116" t="s">
        <v>883</v>
      </c>
      <c r="D66" s="110">
        <v>0</v>
      </c>
      <c r="E66" s="110">
        <v>0</v>
      </c>
      <c r="F66" s="110">
        <v>0</v>
      </c>
      <c r="G66" s="110">
        <v>0</v>
      </c>
      <c r="H66" s="110">
        <v>0</v>
      </c>
      <c r="I66" s="111">
        <f t="shared" si="0"/>
        <v>0</v>
      </c>
      <c r="J66" s="68"/>
      <c r="K66" s="38"/>
    </row>
    <row r="67" spans="1:13" ht="29.1">
      <c r="A67" s="108"/>
      <c r="B67" s="112" t="s">
        <v>898</v>
      </c>
      <c r="C67" s="116" t="s">
        <v>899</v>
      </c>
      <c r="D67" s="110">
        <v>53547.5009197252</v>
      </c>
      <c r="E67" s="110">
        <v>7639.9795366037397</v>
      </c>
      <c r="F67" s="110">
        <v>7880.0686802905002</v>
      </c>
      <c r="G67" s="110">
        <v>7379.8829642764204</v>
      </c>
      <c r="H67" s="110">
        <v>7750.4967614754296</v>
      </c>
      <c r="I67" s="111">
        <f t="shared" si="0"/>
        <v>94722.669970167684</v>
      </c>
      <c r="J67" s="68"/>
      <c r="K67" s="38"/>
    </row>
    <row r="68" spans="1:13" ht="14.45">
      <c r="A68" s="108"/>
      <c r="B68" s="112" t="s">
        <v>908</v>
      </c>
      <c r="C68" s="116" t="s">
        <v>909</v>
      </c>
      <c r="D68" s="110">
        <v>15749.6572789121</v>
      </c>
      <c r="E68" s="110">
        <v>34271.772526588102</v>
      </c>
      <c r="F68" s="110">
        <v>35813.297266608599</v>
      </c>
      <c r="G68" s="110">
        <v>33998.337668500397</v>
      </c>
      <c r="H68" s="110">
        <v>36201.060288356697</v>
      </c>
      <c r="I68" s="111">
        <f t="shared" si="0"/>
        <v>175538.39065758666</v>
      </c>
      <c r="J68" s="68"/>
      <c r="K68" s="38"/>
    </row>
    <row r="69" spans="1:13" ht="29.1">
      <c r="A69" s="108"/>
      <c r="B69" s="112" t="s">
        <v>914</v>
      </c>
      <c r="C69" s="116" t="s">
        <v>915</v>
      </c>
      <c r="D69" s="110">
        <v>42523.407738774797</v>
      </c>
      <c r="E69" s="110">
        <v>30341.7419007631</v>
      </c>
      <c r="F69" s="110">
        <v>40107.2725467524</v>
      </c>
      <c r="G69" s="110">
        <v>38477.143479895101</v>
      </c>
      <c r="H69" s="110">
        <v>33652.494973427798</v>
      </c>
      <c r="I69" s="111">
        <f t="shared" si="0"/>
        <v>208239.81821956486</v>
      </c>
      <c r="J69" s="68"/>
      <c r="K69" s="38"/>
    </row>
    <row r="70" spans="1:13" ht="29.1">
      <c r="A70" s="108"/>
      <c r="B70" s="112" t="s">
        <v>920</v>
      </c>
      <c r="C70" s="116" t="s">
        <v>921</v>
      </c>
      <c r="D70" s="110">
        <v>29921.5858993113</v>
      </c>
      <c r="E70" s="110">
        <v>20955.399664247299</v>
      </c>
      <c r="F70" s="110">
        <v>21846.206606101001</v>
      </c>
      <c r="G70" s="110">
        <v>20688.633949039799</v>
      </c>
      <c r="H70" s="110">
        <v>21975.778524916099</v>
      </c>
      <c r="I70" s="111">
        <f t="shared" si="0"/>
        <v>129811.05522406742</v>
      </c>
      <c r="J70" s="68"/>
      <c r="K70" s="38"/>
    </row>
    <row r="71" spans="1:13" ht="29.1">
      <c r="A71" s="108"/>
      <c r="B71" s="112" t="s">
        <v>923</v>
      </c>
      <c r="C71" s="116" t="s">
        <v>924</v>
      </c>
      <c r="D71" s="110">
        <v>488221.27368703001</v>
      </c>
      <c r="E71" s="110">
        <v>492452.36847716098</v>
      </c>
      <c r="F71" s="110">
        <v>509284.33237205801</v>
      </c>
      <c r="G71" s="110">
        <v>478361.42230602098</v>
      </c>
      <c r="H71" s="110">
        <v>348848.57304216799</v>
      </c>
      <c r="I71" s="111">
        <f t="shared" si="0"/>
        <v>2606813.9661199925</v>
      </c>
      <c r="J71" s="68"/>
      <c r="K71" s="38"/>
      <c r="M71" s="76"/>
    </row>
    <row r="72" spans="1:13" s="75" customFormat="1" ht="15.6">
      <c r="A72" s="113" t="s">
        <v>957</v>
      </c>
      <c r="B72" s="113"/>
      <c r="C72" s="114"/>
      <c r="D72" s="77">
        <f>SUM(D3:D71)*1.125</f>
        <v>5001228.3552407417</v>
      </c>
      <c r="E72" s="77">
        <f>SUM(E3:E71)*1.125</f>
        <v>5792204.1827698462</v>
      </c>
      <c r="F72" s="77">
        <f>SUM(F3:F71)*1.125</f>
        <v>5934256.5688423337</v>
      </c>
      <c r="G72" s="77">
        <f>SUM(G3:G71)*1.125</f>
        <v>6002313.2664652616</v>
      </c>
      <c r="H72" s="77">
        <f>SUM(H3:H71)*1.125</f>
        <v>5522006.3599076187</v>
      </c>
      <c r="I72" s="77">
        <f>SUM(I3:I71)</f>
        <v>28252008.733225796</v>
      </c>
      <c r="J72" s="68"/>
      <c r="K72" s="38"/>
    </row>
    <row r="73" spans="1:13" ht="12.6">
      <c r="C73" s="51"/>
      <c r="D73" s="51"/>
      <c r="E73" s="51"/>
      <c r="F73" s="51"/>
      <c r="G73" s="51"/>
      <c r="H73" s="51"/>
    </row>
    <row r="74" spans="1:13" ht="12.6">
      <c r="C74" s="51"/>
      <c r="D74" s="51"/>
      <c r="E74" s="51"/>
      <c r="F74" s="51"/>
      <c r="G74" s="51"/>
      <c r="H74" s="51"/>
    </row>
    <row r="75" spans="1:13" ht="12.6">
      <c r="C75" s="51"/>
      <c r="D75" s="51"/>
      <c r="E75" s="51"/>
      <c r="F75" s="51"/>
      <c r="G75" s="51"/>
      <c r="H75" s="51"/>
    </row>
    <row r="76" spans="1:13" ht="12.6">
      <c r="C76" s="51"/>
      <c r="D76" s="51"/>
      <c r="E76" s="51"/>
      <c r="F76" s="51"/>
      <c r="G76" s="51"/>
      <c r="H76" s="51"/>
    </row>
    <row r="77" spans="1:13" ht="12.6">
      <c r="C77" s="51"/>
      <c r="D77" s="51"/>
      <c r="E77" s="51"/>
      <c r="F77" s="51"/>
      <c r="G77" s="51"/>
      <c r="H77" s="51"/>
    </row>
    <row r="78" spans="1:13" ht="12.6">
      <c r="C78" s="51"/>
      <c r="D78" s="51"/>
      <c r="E78" s="51"/>
      <c r="F78" s="51"/>
      <c r="G78" s="51"/>
      <c r="H78" s="51"/>
    </row>
    <row r="79" spans="1:13" ht="12.6">
      <c r="C79" s="51"/>
      <c r="D79" s="51"/>
      <c r="E79" s="51"/>
      <c r="F79" s="51"/>
      <c r="G79" s="51"/>
      <c r="H79" s="51"/>
    </row>
    <row r="80" spans="1:13" ht="12.6">
      <c r="C80" s="51"/>
      <c r="D80" s="51"/>
      <c r="E80" s="51"/>
      <c r="F80" s="51"/>
      <c r="G80" s="51"/>
      <c r="H80" s="51"/>
    </row>
    <row r="81" spans="3:8" ht="12.6">
      <c r="C81" s="51"/>
      <c r="D81" s="51"/>
      <c r="E81" s="51"/>
      <c r="F81" s="51"/>
      <c r="G81" s="51"/>
      <c r="H81" s="51"/>
    </row>
    <row r="82" spans="3:8" ht="12.6">
      <c r="C82" s="51"/>
      <c r="D82" s="51"/>
      <c r="E82" s="51"/>
      <c r="F82" s="51"/>
      <c r="G82" s="51"/>
      <c r="H82" s="51"/>
    </row>
    <row r="83" spans="3:8" ht="12.6">
      <c r="C83" s="51"/>
      <c r="D83" s="51"/>
      <c r="E83" s="51"/>
      <c r="F83" s="51"/>
      <c r="G83" s="51"/>
      <c r="H83" s="51"/>
    </row>
    <row r="84" spans="3:8" ht="12.6">
      <c r="C84" s="51"/>
      <c r="D84" s="51"/>
      <c r="E84" s="51"/>
      <c r="F84" s="51"/>
      <c r="G84" s="51"/>
      <c r="H84" s="51"/>
    </row>
    <row r="85" spans="3:8" ht="12.6">
      <c r="C85" s="51"/>
      <c r="D85" s="51"/>
      <c r="E85" s="51"/>
      <c r="F85" s="51"/>
      <c r="G85" s="51"/>
      <c r="H85" s="51"/>
    </row>
    <row r="86" spans="3:8" ht="12.6">
      <c r="C86" s="51"/>
      <c r="D86" s="51"/>
      <c r="E86" s="51"/>
      <c r="F86" s="51"/>
      <c r="G86" s="51"/>
      <c r="H86" s="51"/>
    </row>
    <row r="87" spans="3:8" ht="12.6">
      <c r="C87" s="51"/>
      <c r="D87" s="51"/>
      <c r="E87" s="51"/>
      <c r="F87" s="51"/>
      <c r="G87" s="51"/>
      <c r="H87" s="51"/>
    </row>
    <row r="88" spans="3:8" ht="12.6">
      <c r="C88" s="51"/>
      <c r="D88" s="51"/>
      <c r="E88" s="51"/>
      <c r="F88" s="51"/>
      <c r="G88" s="51"/>
      <c r="H88" s="51"/>
    </row>
    <row r="89" spans="3:8" ht="12.6">
      <c r="C89" s="51"/>
      <c r="D89" s="51"/>
      <c r="E89" s="51"/>
      <c r="F89" s="51"/>
      <c r="G89" s="51"/>
      <c r="H89" s="51"/>
    </row>
    <row r="90" spans="3:8" ht="12.6">
      <c r="C90" s="51"/>
      <c r="D90" s="51"/>
      <c r="E90" s="51"/>
      <c r="F90" s="51"/>
      <c r="G90" s="51"/>
      <c r="H90" s="51"/>
    </row>
    <row r="91" spans="3:8" ht="12.6">
      <c r="C91" s="51"/>
      <c r="D91" s="51"/>
      <c r="E91" s="51"/>
      <c r="F91" s="51"/>
      <c r="G91" s="51"/>
      <c r="H91" s="51"/>
    </row>
    <row r="92" spans="3:8" ht="12.6">
      <c r="C92" s="51"/>
      <c r="D92" s="51"/>
      <c r="E92" s="51"/>
      <c r="F92" s="51"/>
      <c r="G92" s="51"/>
      <c r="H92" s="51"/>
    </row>
    <row r="93" spans="3:8" ht="12.6">
      <c r="C93" s="51"/>
      <c r="D93" s="51"/>
      <c r="E93" s="51"/>
      <c r="F93" s="51"/>
      <c r="G93" s="51"/>
      <c r="H93" s="51"/>
    </row>
    <row r="94" spans="3:8" ht="12.6">
      <c r="C94" s="51"/>
      <c r="D94" s="51"/>
      <c r="E94" s="51"/>
      <c r="F94" s="51"/>
      <c r="G94" s="51"/>
      <c r="H94" s="51"/>
    </row>
    <row r="95" spans="3:8" ht="12.6">
      <c r="C95" s="51"/>
      <c r="D95" s="51"/>
      <c r="E95" s="51"/>
      <c r="F95" s="51"/>
      <c r="G95" s="51"/>
      <c r="H95" s="51"/>
    </row>
    <row r="96" spans="3:8" ht="12.6">
      <c r="C96" s="51"/>
      <c r="D96" s="51"/>
      <c r="E96" s="51"/>
      <c r="F96" s="51"/>
      <c r="G96" s="51"/>
      <c r="H96" s="51"/>
    </row>
    <row r="97" spans="3:8" ht="12.6">
      <c r="C97" s="51"/>
      <c r="D97" s="51"/>
      <c r="E97" s="51"/>
      <c r="F97" s="51"/>
      <c r="G97" s="51"/>
      <c r="H97" s="51"/>
    </row>
    <row r="98" spans="3:8" ht="12.6">
      <c r="C98" s="51"/>
      <c r="D98" s="51"/>
      <c r="E98" s="51"/>
      <c r="F98" s="51"/>
      <c r="G98" s="51"/>
      <c r="H98" s="51"/>
    </row>
    <row r="99" spans="3:8" ht="12.6">
      <c r="C99" s="51"/>
      <c r="D99" s="51"/>
      <c r="E99" s="51"/>
      <c r="F99" s="51"/>
      <c r="G99" s="51"/>
      <c r="H99" s="51"/>
    </row>
    <row r="100" spans="3:8" ht="12.6">
      <c r="C100" s="51"/>
      <c r="D100" s="51"/>
      <c r="E100" s="51"/>
      <c r="F100" s="51"/>
      <c r="G100" s="51"/>
      <c r="H100" s="51"/>
    </row>
    <row r="101" spans="3:8" ht="12.6">
      <c r="C101" s="51"/>
      <c r="D101" s="51"/>
      <c r="E101" s="51"/>
      <c r="F101" s="51"/>
      <c r="G101" s="51"/>
      <c r="H101" s="51"/>
    </row>
    <row r="102" spans="3:8" ht="12.6">
      <c r="C102" s="51"/>
      <c r="D102" s="51"/>
      <c r="E102" s="51"/>
      <c r="F102" s="51"/>
      <c r="G102" s="51"/>
      <c r="H102" s="51"/>
    </row>
    <row r="103" spans="3:8" ht="12.6">
      <c r="C103" s="51"/>
      <c r="D103" s="51"/>
      <c r="E103" s="51"/>
      <c r="F103" s="51"/>
      <c r="G103" s="51"/>
      <c r="H103" s="51"/>
    </row>
    <row r="104" spans="3:8" ht="12.6">
      <c r="C104" s="51"/>
      <c r="D104" s="51"/>
      <c r="E104" s="51"/>
      <c r="F104" s="51"/>
      <c r="G104" s="51"/>
      <c r="H104" s="51"/>
    </row>
    <row r="105" spans="3:8" ht="12.6">
      <c r="C105" s="51"/>
      <c r="D105" s="51"/>
      <c r="E105" s="51"/>
      <c r="F105" s="51"/>
      <c r="G105" s="51"/>
      <c r="H105" s="51"/>
    </row>
    <row r="106" spans="3:8" ht="12.6">
      <c r="C106" s="51"/>
      <c r="D106" s="51"/>
      <c r="E106" s="51"/>
      <c r="F106" s="51"/>
      <c r="G106" s="51"/>
      <c r="H106" s="51"/>
    </row>
    <row r="107" spans="3:8" ht="12.6">
      <c r="C107" s="51"/>
      <c r="D107" s="51"/>
      <c r="E107" s="51"/>
      <c r="F107" s="51"/>
      <c r="G107" s="51"/>
      <c r="H107" s="51"/>
    </row>
    <row r="108" spans="3:8" ht="12.6">
      <c r="C108" s="51"/>
      <c r="D108" s="51"/>
      <c r="E108" s="51"/>
      <c r="F108" s="51"/>
      <c r="G108" s="51"/>
      <c r="H108" s="51"/>
    </row>
    <row r="109" spans="3:8" ht="12.6">
      <c r="C109" s="51"/>
      <c r="D109" s="51"/>
      <c r="E109" s="51"/>
      <c r="F109" s="51"/>
      <c r="G109" s="51"/>
      <c r="H109" s="51"/>
    </row>
    <row r="110" spans="3:8" ht="12.6">
      <c r="C110" s="51"/>
      <c r="D110" s="51"/>
      <c r="E110" s="51"/>
      <c r="F110" s="51"/>
      <c r="G110" s="51"/>
      <c r="H110" s="51"/>
    </row>
    <row r="111" spans="3:8" ht="12.6">
      <c r="C111" s="51"/>
      <c r="D111" s="51"/>
      <c r="E111" s="51"/>
      <c r="F111" s="51"/>
      <c r="G111" s="51"/>
      <c r="H111" s="51"/>
    </row>
    <row r="112" spans="3:8" ht="12.6">
      <c r="C112" s="51"/>
      <c r="D112" s="51"/>
      <c r="E112" s="51"/>
      <c r="F112" s="51"/>
      <c r="G112" s="51"/>
      <c r="H112" s="51"/>
    </row>
    <row r="113" spans="3:8" ht="12.6">
      <c r="C113" s="51"/>
      <c r="D113" s="51"/>
      <c r="E113" s="51"/>
      <c r="F113" s="51"/>
      <c r="G113" s="51"/>
      <c r="H113" s="51"/>
    </row>
    <row r="114" spans="3:8" ht="12.6">
      <c r="C114" s="51"/>
      <c r="D114" s="51"/>
      <c r="E114" s="51"/>
      <c r="F114" s="51"/>
      <c r="G114" s="51"/>
      <c r="H114" s="51"/>
    </row>
    <row r="115" spans="3:8" ht="12.6">
      <c r="C115" s="51"/>
      <c r="D115" s="51"/>
      <c r="E115" s="51"/>
      <c r="F115" s="51"/>
      <c r="G115" s="51"/>
      <c r="H115" s="51"/>
    </row>
    <row r="116" spans="3:8" ht="12.6">
      <c r="C116" s="51"/>
      <c r="D116" s="51"/>
      <c r="E116" s="51"/>
      <c r="F116" s="51"/>
      <c r="G116" s="51"/>
      <c r="H116" s="51"/>
    </row>
    <row r="117" spans="3:8" ht="12.6">
      <c r="C117" s="51"/>
      <c r="D117" s="51"/>
      <c r="E117" s="51"/>
      <c r="F117" s="51"/>
      <c r="G117" s="51"/>
      <c r="H117" s="51"/>
    </row>
    <row r="118" spans="3:8" ht="12.6">
      <c r="C118" s="51"/>
      <c r="D118" s="51"/>
      <c r="E118" s="51"/>
      <c r="F118" s="51"/>
      <c r="G118" s="51"/>
      <c r="H118" s="51"/>
    </row>
    <row r="119" spans="3:8" ht="12.6">
      <c r="C119" s="51"/>
      <c r="D119" s="51"/>
      <c r="E119" s="51"/>
      <c r="F119" s="51"/>
      <c r="G119" s="51"/>
      <c r="H119" s="51"/>
    </row>
    <row r="120" spans="3:8" ht="12.6">
      <c r="C120" s="51"/>
      <c r="D120" s="51"/>
      <c r="E120" s="51"/>
      <c r="F120" s="51"/>
      <c r="G120" s="51"/>
      <c r="H120" s="51"/>
    </row>
    <row r="121" spans="3:8" ht="12.6">
      <c r="C121" s="51"/>
      <c r="D121" s="51"/>
      <c r="E121" s="51"/>
      <c r="F121" s="51"/>
      <c r="G121" s="51"/>
      <c r="H121" s="51"/>
    </row>
    <row r="122" spans="3:8" ht="12.6">
      <c r="C122" s="51"/>
      <c r="D122" s="51"/>
      <c r="E122" s="51"/>
      <c r="F122" s="51"/>
      <c r="G122" s="51"/>
      <c r="H122" s="51"/>
    </row>
    <row r="123" spans="3:8" ht="12.6">
      <c r="C123" s="51"/>
      <c r="D123" s="51"/>
      <c r="E123" s="51"/>
      <c r="F123" s="51"/>
      <c r="G123" s="51"/>
      <c r="H123" s="51"/>
    </row>
    <row r="124" spans="3:8" ht="12.6">
      <c r="C124" s="51"/>
      <c r="D124" s="51"/>
      <c r="E124" s="51"/>
      <c r="F124" s="51"/>
      <c r="G124" s="51"/>
      <c r="H124" s="51"/>
    </row>
    <row r="125" spans="3:8" ht="12.6">
      <c r="C125" s="51"/>
      <c r="D125" s="51"/>
      <c r="E125" s="51"/>
      <c r="F125" s="51"/>
      <c r="G125" s="51"/>
      <c r="H125" s="51"/>
    </row>
    <row r="126" spans="3:8" ht="12.6">
      <c r="C126" s="51"/>
      <c r="D126" s="51"/>
      <c r="E126" s="51"/>
      <c r="F126" s="51"/>
      <c r="G126" s="51"/>
      <c r="H126" s="51"/>
    </row>
    <row r="127" spans="3:8" ht="12.6">
      <c r="C127" s="51"/>
      <c r="D127" s="51"/>
      <c r="E127" s="51"/>
      <c r="F127" s="51"/>
      <c r="G127" s="51"/>
      <c r="H127" s="51"/>
    </row>
    <row r="128" spans="3:8" ht="12.6">
      <c r="C128" s="51"/>
      <c r="D128" s="51"/>
      <c r="E128" s="51"/>
      <c r="F128" s="51"/>
      <c r="G128" s="51"/>
      <c r="H128" s="51"/>
    </row>
    <row r="129" spans="3:8" ht="12.6">
      <c r="C129" s="51"/>
      <c r="D129" s="51"/>
      <c r="E129" s="51"/>
      <c r="F129" s="51"/>
      <c r="G129" s="51"/>
      <c r="H129" s="51"/>
    </row>
    <row r="130" spans="3:8" ht="12.6">
      <c r="C130" s="51"/>
      <c r="D130" s="51"/>
      <c r="E130" s="51"/>
      <c r="F130" s="51"/>
      <c r="G130" s="51"/>
      <c r="H130" s="51"/>
    </row>
    <row r="131" spans="3:8" ht="12.6">
      <c r="C131" s="51"/>
      <c r="D131" s="51"/>
      <c r="E131" s="51"/>
      <c r="F131" s="51"/>
      <c r="G131" s="51"/>
      <c r="H131" s="51"/>
    </row>
    <row r="132" spans="3:8" ht="12.6">
      <c r="C132" s="51"/>
      <c r="D132" s="51"/>
      <c r="E132" s="51"/>
      <c r="F132" s="51"/>
      <c r="G132" s="51"/>
      <c r="H132" s="51"/>
    </row>
    <row r="133" spans="3:8" ht="12.6">
      <c r="C133" s="51"/>
      <c r="D133" s="51"/>
      <c r="E133" s="51"/>
      <c r="F133" s="51"/>
      <c r="G133" s="51"/>
      <c r="H133" s="51"/>
    </row>
    <row r="134" spans="3:8" ht="12.6">
      <c r="C134" s="51"/>
      <c r="D134" s="51"/>
      <c r="E134" s="51"/>
      <c r="F134" s="51"/>
      <c r="G134" s="51"/>
      <c r="H134" s="51"/>
    </row>
    <row r="135" spans="3:8" ht="12.6">
      <c r="C135" s="51"/>
      <c r="D135" s="51"/>
      <c r="E135" s="51"/>
      <c r="F135" s="51"/>
      <c r="G135" s="51"/>
      <c r="H135" s="51"/>
    </row>
    <row r="136" spans="3:8" ht="12.6">
      <c r="C136" s="51"/>
      <c r="D136" s="51"/>
      <c r="E136" s="51"/>
      <c r="F136" s="51"/>
      <c r="G136" s="51"/>
      <c r="H136" s="51"/>
    </row>
    <row r="137" spans="3:8" ht="12.6">
      <c r="C137" s="51"/>
      <c r="D137" s="51"/>
      <c r="E137" s="51"/>
      <c r="F137" s="51"/>
      <c r="G137" s="51"/>
      <c r="H137" s="51"/>
    </row>
    <row r="138" spans="3:8" ht="12.6">
      <c r="C138" s="51"/>
      <c r="D138" s="51"/>
      <c r="E138" s="51"/>
      <c r="F138" s="51"/>
      <c r="G138" s="51"/>
      <c r="H138" s="51"/>
    </row>
    <row r="139" spans="3:8" ht="12.6">
      <c r="C139" s="51"/>
      <c r="D139" s="51"/>
      <c r="E139" s="51"/>
      <c r="F139" s="51"/>
      <c r="G139" s="51"/>
      <c r="H139" s="51"/>
    </row>
    <row r="140" spans="3:8" ht="12.6">
      <c r="C140" s="51"/>
      <c r="D140" s="51"/>
      <c r="E140" s="51"/>
      <c r="F140" s="51"/>
      <c r="G140" s="51"/>
      <c r="H140" s="51"/>
    </row>
    <row r="141" spans="3:8" ht="12.6">
      <c r="C141" s="51"/>
      <c r="D141" s="51"/>
      <c r="E141" s="51"/>
      <c r="F141" s="51"/>
      <c r="G141" s="51"/>
      <c r="H141" s="51"/>
    </row>
    <row r="142" spans="3:8" ht="12.6">
      <c r="C142" s="51"/>
      <c r="D142" s="51"/>
      <c r="E142" s="51"/>
      <c r="F142" s="51"/>
      <c r="G142" s="51"/>
      <c r="H142" s="51"/>
    </row>
    <row r="143" spans="3:8" ht="12.6">
      <c r="C143" s="51"/>
      <c r="D143" s="51"/>
      <c r="E143" s="51"/>
      <c r="F143" s="51"/>
      <c r="G143" s="51"/>
      <c r="H143" s="51"/>
    </row>
    <row r="144" spans="3:8" ht="12.6">
      <c r="C144" s="51"/>
      <c r="D144" s="51"/>
      <c r="E144" s="51"/>
      <c r="F144" s="51"/>
      <c r="G144" s="51"/>
      <c r="H144" s="51"/>
    </row>
    <row r="145" spans="3:8" ht="12.6">
      <c r="C145" s="51"/>
      <c r="D145" s="51"/>
      <c r="E145" s="51"/>
      <c r="F145" s="51"/>
      <c r="G145" s="51"/>
      <c r="H145" s="51"/>
    </row>
    <row r="146" spans="3:8" ht="12.6">
      <c r="C146" s="51"/>
      <c r="D146" s="51"/>
      <c r="E146" s="51"/>
      <c r="F146" s="51"/>
      <c r="G146" s="51"/>
      <c r="H146" s="51"/>
    </row>
    <row r="147" spans="3:8" ht="12.6">
      <c r="C147" s="51"/>
      <c r="D147" s="51"/>
      <c r="E147" s="51"/>
      <c r="F147" s="51"/>
      <c r="G147" s="51"/>
      <c r="H147" s="51"/>
    </row>
    <row r="148" spans="3:8" ht="12.6">
      <c r="C148" s="51"/>
      <c r="D148" s="51"/>
      <c r="E148" s="51"/>
      <c r="F148" s="51"/>
      <c r="G148" s="51"/>
      <c r="H148" s="51"/>
    </row>
    <row r="149" spans="3:8" ht="12.6">
      <c r="C149" s="51"/>
      <c r="D149" s="51"/>
      <c r="E149" s="51"/>
      <c r="F149" s="51"/>
      <c r="G149" s="51"/>
      <c r="H149" s="51"/>
    </row>
    <row r="150" spans="3:8" ht="12.6">
      <c r="C150" s="51"/>
      <c r="D150" s="51"/>
      <c r="E150" s="51"/>
      <c r="F150" s="51"/>
      <c r="G150" s="51"/>
      <c r="H150" s="51"/>
    </row>
    <row r="151" spans="3:8" ht="12.6">
      <c r="C151" s="51"/>
      <c r="D151" s="51"/>
      <c r="E151" s="51"/>
      <c r="F151" s="51"/>
      <c r="G151" s="51"/>
      <c r="H151" s="51"/>
    </row>
    <row r="152" spans="3:8" ht="12.6">
      <c r="C152" s="51"/>
      <c r="D152" s="51"/>
      <c r="E152" s="51"/>
      <c r="F152" s="51"/>
      <c r="G152" s="51"/>
      <c r="H152" s="51"/>
    </row>
    <row r="153" spans="3:8" ht="12.6">
      <c r="C153" s="51"/>
      <c r="D153" s="51"/>
      <c r="E153" s="51"/>
      <c r="F153" s="51"/>
      <c r="G153" s="51"/>
      <c r="H153" s="51"/>
    </row>
    <row r="154" spans="3:8" ht="12.6">
      <c r="C154" s="51"/>
      <c r="D154" s="51"/>
      <c r="E154" s="51"/>
      <c r="F154" s="51"/>
      <c r="G154" s="51"/>
      <c r="H154" s="51"/>
    </row>
    <row r="155" spans="3:8" ht="12.6">
      <c r="C155" s="51"/>
      <c r="D155" s="51"/>
      <c r="E155" s="51"/>
      <c r="F155" s="51"/>
      <c r="G155" s="51"/>
      <c r="H155" s="51"/>
    </row>
    <row r="156" spans="3:8" ht="12.6">
      <c r="C156" s="51"/>
      <c r="D156" s="51"/>
      <c r="E156" s="51"/>
      <c r="F156" s="51"/>
      <c r="G156" s="51"/>
      <c r="H156" s="51"/>
    </row>
    <row r="157" spans="3:8" ht="12.6">
      <c r="C157" s="51"/>
      <c r="D157" s="51"/>
      <c r="E157" s="51"/>
      <c r="F157" s="51"/>
      <c r="G157" s="51"/>
      <c r="H157" s="51"/>
    </row>
    <row r="158" spans="3:8" ht="12.6">
      <c r="C158" s="51"/>
      <c r="D158" s="51"/>
      <c r="E158" s="51"/>
      <c r="F158" s="51"/>
      <c r="G158" s="51"/>
      <c r="H158" s="51"/>
    </row>
    <row r="159" spans="3:8" ht="12.6">
      <c r="C159" s="51"/>
      <c r="D159" s="51"/>
      <c r="E159" s="51"/>
      <c r="F159" s="51"/>
      <c r="G159" s="51"/>
      <c r="H159" s="51"/>
    </row>
    <row r="160" spans="3:8" ht="12.6">
      <c r="C160" s="51"/>
      <c r="D160" s="51"/>
      <c r="E160" s="51"/>
      <c r="F160" s="51"/>
      <c r="G160" s="51"/>
      <c r="H160" s="51"/>
    </row>
    <row r="161" spans="3:8" ht="12.6">
      <c r="C161" s="51"/>
      <c r="D161" s="51"/>
      <c r="E161" s="51"/>
      <c r="F161" s="51"/>
      <c r="G161" s="51"/>
      <c r="H161" s="51"/>
    </row>
    <row r="162" spans="3:8" ht="12.6">
      <c r="C162" s="51"/>
      <c r="D162" s="51"/>
      <c r="E162" s="51"/>
      <c r="F162" s="51"/>
      <c r="G162" s="51"/>
      <c r="H162" s="51"/>
    </row>
    <row r="163" spans="3:8" ht="12.6">
      <c r="C163" s="51"/>
      <c r="D163" s="51"/>
      <c r="E163" s="51"/>
      <c r="F163" s="51"/>
      <c r="G163" s="51"/>
      <c r="H163" s="51"/>
    </row>
    <row r="164" spans="3:8" ht="12.6">
      <c r="C164" s="51"/>
      <c r="D164" s="51"/>
      <c r="E164" s="51"/>
      <c r="F164" s="51"/>
      <c r="G164" s="51"/>
      <c r="H164" s="51"/>
    </row>
    <row r="165" spans="3:8" ht="12.6">
      <c r="C165" s="51"/>
      <c r="D165" s="51"/>
      <c r="E165" s="51"/>
      <c r="F165" s="51"/>
      <c r="G165" s="51"/>
      <c r="H165" s="51"/>
    </row>
    <row r="166" spans="3:8" ht="12.6">
      <c r="C166" s="51"/>
      <c r="D166" s="51"/>
      <c r="E166" s="51"/>
      <c r="F166" s="51"/>
      <c r="G166" s="51"/>
      <c r="H166" s="51"/>
    </row>
    <row r="167" spans="3:8" ht="12.6">
      <c r="C167" s="51"/>
      <c r="D167" s="51"/>
      <c r="E167" s="51"/>
      <c r="F167" s="51"/>
      <c r="G167" s="51"/>
      <c r="H167" s="51"/>
    </row>
    <row r="168" spans="3:8" ht="12.6">
      <c r="C168" s="51"/>
      <c r="D168" s="51"/>
      <c r="E168" s="51"/>
      <c r="F168" s="51"/>
      <c r="G168" s="51"/>
      <c r="H168" s="51"/>
    </row>
    <row r="169" spans="3:8" ht="12.6">
      <c r="C169" s="51"/>
      <c r="D169" s="51"/>
      <c r="E169" s="51"/>
      <c r="F169" s="51"/>
      <c r="G169" s="51"/>
      <c r="H169" s="51"/>
    </row>
    <row r="170" spans="3:8" ht="12.6">
      <c r="C170" s="51"/>
      <c r="D170" s="51"/>
      <c r="E170" s="51"/>
      <c r="F170" s="51"/>
      <c r="G170" s="51"/>
      <c r="H170" s="51"/>
    </row>
    <row r="171" spans="3:8" ht="12.6">
      <c r="C171" s="51"/>
      <c r="D171" s="51"/>
      <c r="E171" s="51"/>
      <c r="F171" s="51"/>
      <c r="G171" s="51"/>
      <c r="H171" s="51"/>
    </row>
    <row r="172" spans="3:8" ht="12.6">
      <c r="C172" s="51"/>
      <c r="D172" s="51"/>
      <c r="E172" s="51"/>
      <c r="F172" s="51"/>
      <c r="G172" s="51"/>
      <c r="H172" s="51"/>
    </row>
    <row r="173" spans="3:8" ht="12.6">
      <c r="C173" s="51"/>
      <c r="D173" s="51"/>
      <c r="E173" s="51"/>
      <c r="F173" s="51"/>
      <c r="G173" s="51"/>
      <c r="H173" s="51"/>
    </row>
    <row r="174" spans="3:8" ht="12.6">
      <c r="C174" s="51"/>
      <c r="D174" s="51"/>
      <c r="E174" s="51"/>
      <c r="F174" s="51"/>
      <c r="G174" s="51"/>
      <c r="H174" s="51"/>
    </row>
    <row r="175" spans="3:8" ht="12.6">
      <c r="C175" s="51"/>
      <c r="D175" s="51"/>
      <c r="E175" s="51"/>
      <c r="F175" s="51"/>
      <c r="G175" s="51"/>
      <c r="H175" s="51"/>
    </row>
    <row r="176" spans="3:8" ht="12.6">
      <c r="C176" s="51"/>
      <c r="D176" s="51"/>
      <c r="E176" s="51"/>
      <c r="F176" s="51"/>
      <c r="G176" s="51"/>
      <c r="H176" s="51"/>
    </row>
    <row r="177" spans="3:8" ht="12.6">
      <c r="C177" s="51"/>
      <c r="D177" s="51"/>
      <c r="E177" s="51"/>
      <c r="F177" s="51"/>
      <c r="G177" s="51"/>
      <c r="H177" s="51"/>
    </row>
    <row r="178" spans="3:8" ht="12.6">
      <c r="C178" s="51"/>
      <c r="D178" s="51"/>
      <c r="E178" s="51"/>
      <c r="F178" s="51"/>
      <c r="G178" s="51"/>
      <c r="H178" s="51"/>
    </row>
    <row r="179" spans="3:8" ht="12.6">
      <c r="C179" s="51"/>
      <c r="D179" s="51"/>
      <c r="E179" s="51"/>
      <c r="F179" s="51"/>
      <c r="G179" s="51"/>
      <c r="H179" s="51"/>
    </row>
    <row r="180" spans="3:8" ht="12.6">
      <c r="C180" s="51"/>
      <c r="D180" s="51"/>
      <c r="E180" s="51"/>
      <c r="F180" s="51"/>
      <c r="G180" s="51"/>
      <c r="H180" s="51"/>
    </row>
    <row r="181" spans="3:8" ht="12.6">
      <c r="C181" s="51"/>
      <c r="D181" s="51"/>
      <c r="E181" s="51"/>
      <c r="F181" s="51"/>
      <c r="G181" s="51"/>
      <c r="H181" s="51"/>
    </row>
    <row r="182" spans="3:8" ht="12.6">
      <c r="C182" s="51"/>
      <c r="D182" s="51"/>
      <c r="E182" s="51"/>
      <c r="F182" s="51"/>
      <c r="G182" s="51"/>
      <c r="H182" s="51"/>
    </row>
    <row r="183" spans="3:8" ht="12.6">
      <c r="C183" s="51"/>
      <c r="D183" s="51"/>
      <c r="E183" s="51"/>
      <c r="F183" s="51"/>
      <c r="G183" s="51"/>
      <c r="H183" s="51"/>
    </row>
    <row r="184" spans="3:8" ht="12.6">
      <c r="C184" s="51"/>
      <c r="D184" s="51"/>
      <c r="E184" s="51"/>
      <c r="F184" s="51"/>
      <c r="G184" s="51"/>
      <c r="H184" s="51"/>
    </row>
    <row r="185" spans="3:8" ht="12.6">
      <c r="C185" s="51"/>
      <c r="D185" s="51"/>
      <c r="E185" s="51"/>
      <c r="F185" s="51"/>
      <c r="G185" s="51"/>
      <c r="H185" s="51"/>
    </row>
    <row r="186" spans="3:8" ht="12.6">
      <c r="C186" s="51"/>
      <c r="D186" s="51"/>
      <c r="E186" s="51"/>
      <c r="F186" s="51"/>
      <c r="G186" s="51"/>
      <c r="H186" s="51"/>
    </row>
    <row r="187" spans="3:8" ht="12.6">
      <c r="C187" s="51"/>
      <c r="D187" s="51"/>
      <c r="E187" s="51"/>
      <c r="F187" s="51"/>
      <c r="G187" s="51"/>
      <c r="H187" s="51"/>
    </row>
    <row r="188" spans="3:8" ht="12.6">
      <c r="C188" s="51"/>
      <c r="D188" s="51"/>
      <c r="E188" s="51"/>
      <c r="F188" s="51"/>
      <c r="G188" s="51"/>
      <c r="H188" s="51"/>
    </row>
    <row r="189" spans="3:8" ht="12.6">
      <c r="C189" s="51"/>
      <c r="D189" s="51"/>
      <c r="E189" s="51"/>
      <c r="F189" s="51"/>
      <c r="G189" s="51"/>
      <c r="H189" s="51"/>
    </row>
    <row r="190" spans="3:8" ht="12.6">
      <c r="C190" s="51"/>
      <c r="D190" s="51"/>
      <c r="E190" s="51"/>
      <c r="F190" s="51"/>
      <c r="G190" s="51"/>
      <c r="H190" s="51"/>
    </row>
    <row r="191" spans="3:8" ht="12.6">
      <c r="C191" s="51"/>
      <c r="D191" s="51"/>
      <c r="E191" s="51"/>
      <c r="F191" s="51"/>
      <c r="G191" s="51"/>
      <c r="H191" s="51"/>
    </row>
    <row r="192" spans="3:8" ht="12.6">
      <c r="C192" s="51"/>
      <c r="D192" s="51"/>
      <c r="E192" s="51"/>
      <c r="F192" s="51"/>
      <c r="G192" s="51"/>
      <c r="H192" s="51"/>
    </row>
    <row r="193" spans="3:8" ht="12.6">
      <c r="C193" s="51"/>
      <c r="D193" s="51"/>
      <c r="E193" s="51"/>
      <c r="F193" s="51"/>
      <c r="G193" s="51"/>
      <c r="H193" s="51"/>
    </row>
    <row r="194" spans="3:8" ht="12.6">
      <c r="C194" s="51"/>
      <c r="D194" s="51"/>
      <c r="E194" s="51"/>
      <c r="F194" s="51"/>
      <c r="G194" s="51"/>
      <c r="H194" s="51"/>
    </row>
    <row r="195" spans="3:8" ht="12.6">
      <c r="C195" s="51"/>
      <c r="D195" s="51"/>
      <c r="E195" s="51"/>
      <c r="F195" s="51"/>
      <c r="G195" s="51"/>
      <c r="H195" s="51"/>
    </row>
    <row r="196" spans="3:8" ht="12.6">
      <c r="C196" s="51"/>
      <c r="D196" s="51"/>
      <c r="E196" s="51"/>
      <c r="F196" s="51"/>
      <c r="G196" s="51"/>
      <c r="H196" s="51"/>
    </row>
    <row r="197" spans="3:8" ht="12.6">
      <c r="C197" s="51"/>
      <c r="D197" s="51"/>
      <c r="E197" s="51"/>
      <c r="F197" s="51"/>
      <c r="G197" s="51"/>
      <c r="H197" s="51"/>
    </row>
    <row r="198" spans="3:8" ht="12.6">
      <c r="C198" s="51"/>
      <c r="D198" s="51"/>
      <c r="E198" s="51"/>
      <c r="F198" s="51"/>
      <c r="G198" s="51"/>
      <c r="H198" s="51"/>
    </row>
    <row r="199" spans="3:8" ht="12.6">
      <c r="C199" s="51"/>
      <c r="D199" s="51"/>
      <c r="E199" s="51"/>
      <c r="F199" s="51"/>
      <c r="G199" s="51"/>
      <c r="H199" s="51"/>
    </row>
    <row r="200" spans="3:8" ht="12.6">
      <c r="C200" s="51"/>
      <c r="D200" s="51"/>
      <c r="E200" s="51"/>
      <c r="F200" s="51"/>
      <c r="G200" s="51"/>
      <c r="H200" s="51"/>
    </row>
    <row r="201" spans="3:8" ht="12.6">
      <c r="C201" s="51"/>
      <c r="D201" s="51"/>
      <c r="E201" s="51"/>
      <c r="F201" s="51"/>
      <c r="G201" s="51"/>
      <c r="H201" s="51"/>
    </row>
    <row r="202" spans="3:8" ht="12.6">
      <c r="C202" s="51"/>
      <c r="D202" s="51"/>
      <c r="E202" s="51"/>
      <c r="F202" s="51"/>
      <c r="G202" s="51"/>
      <c r="H202" s="51"/>
    </row>
    <row r="203" spans="3:8" ht="12.6">
      <c r="C203" s="51"/>
      <c r="D203" s="51"/>
      <c r="E203" s="51"/>
      <c r="F203" s="51"/>
      <c r="G203" s="51"/>
      <c r="H203" s="51"/>
    </row>
    <row r="204" spans="3:8" ht="12.6">
      <c r="C204" s="51"/>
      <c r="D204" s="51"/>
      <c r="E204" s="51"/>
      <c r="F204" s="51"/>
      <c r="G204" s="51"/>
      <c r="H204" s="51"/>
    </row>
    <row r="205" spans="3:8" ht="12.6">
      <c r="C205" s="51"/>
      <c r="D205" s="51"/>
      <c r="E205" s="51"/>
      <c r="F205" s="51"/>
      <c r="G205" s="51"/>
      <c r="H205" s="51"/>
    </row>
    <row r="206" spans="3:8" ht="12.6">
      <c r="C206" s="51"/>
      <c r="D206" s="51"/>
      <c r="E206" s="51"/>
      <c r="F206" s="51"/>
      <c r="G206" s="51"/>
      <c r="H206" s="51"/>
    </row>
    <row r="207" spans="3:8" ht="12.6">
      <c r="C207" s="51"/>
      <c r="D207" s="51"/>
      <c r="E207" s="51"/>
      <c r="F207" s="51"/>
      <c r="G207" s="51"/>
      <c r="H207" s="51"/>
    </row>
    <row r="208" spans="3:8" ht="12.6">
      <c r="C208" s="51"/>
      <c r="D208" s="51"/>
      <c r="E208" s="51"/>
      <c r="F208" s="51"/>
      <c r="G208" s="51"/>
      <c r="H208" s="51"/>
    </row>
    <row r="209" spans="3:8" ht="12.6">
      <c r="C209" s="51"/>
      <c r="D209" s="51"/>
      <c r="E209" s="51"/>
      <c r="F209" s="51"/>
      <c r="G209" s="51"/>
      <c r="H209" s="51"/>
    </row>
    <row r="210" spans="3:8" ht="12.6">
      <c r="C210" s="51"/>
      <c r="D210" s="51"/>
      <c r="E210" s="51"/>
      <c r="F210" s="51"/>
      <c r="G210" s="51"/>
      <c r="H210" s="51"/>
    </row>
    <row r="211" spans="3:8" ht="12.6">
      <c r="C211" s="51"/>
      <c r="D211" s="51"/>
      <c r="E211" s="51"/>
      <c r="F211" s="51"/>
      <c r="G211" s="51"/>
      <c r="H211" s="51"/>
    </row>
    <row r="212" spans="3:8" ht="12.6">
      <c r="C212" s="51"/>
      <c r="D212" s="51"/>
      <c r="E212" s="51"/>
      <c r="F212" s="51"/>
      <c r="G212" s="51"/>
      <c r="H212" s="51"/>
    </row>
    <row r="213" spans="3:8" ht="12.6">
      <c r="C213" s="51"/>
      <c r="D213" s="51"/>
      <c r="E213" s="51"/>
      <c r="F213" s="51"/>
      <c r="G213" s="51"/>
      <c r="H213" s="51"/>
    </row>
    <row r="214" spans="3:8" ht="12.6">
      <c r="C214" s="51"/>
      <c r="D214" s="51"/>
      <c r="E214" s="51"/>
      <c r="F214" s="51"/>
      <c r="G214" s="51"/>
      <c r="H214" s="51"/>
    </row>
    <row r="215" spans="3:8" ht="12.6">
      <c r="C215" s="51"/>
      <c r="D215" s="51"/>
      <c r="E215" s="51"/>
      <c r="F215" s="51"/>
      <c r="G215" s="51"/>
      <c r="H215" s="51"/>
    </row>
    <row r="216" spans="3:8" ht="12.6">
      <c r="C216" s="51"/>
      <c r="D216" s="51"/>
      <c r="E216" s="51"/>
      <c r="F216" s="51"/>
      <c r="G216" s="51"/>
      <c r="H216" s="51"/>
    </row>
    <row r="217" spans="3:8" ht="12.6">
      <c r="C217" s="51"/>
      <c r="D217" s="51"/>
      <c r="E217" s="51"/>
      <c r="F217" s="51"/>
      <c r="G217" s="51"/>
      <c r="H217" s="51"/>
    </row>
    <row r="218" spans="3:8" ht="12.6">
      <c r="C218" s="51"/>
      <c r="D218" s="51"/>
      <c r="E218" s="51"/>
      <c r="F218" s="51"/>
      <c r="G218" s="51"/>
      <c r="H218" s="51"/>
    </row>
    <row r="219" spans="3:8" ht="12.6">
      <c r="C219" s="51"/>
      <c r="D219" s="51"/>
      <c r="E219" s="51"/>
      <c r="F219" s="51"/>
      <c r="G219" s="51"/>
      <c r="H219" s="51"/>
    </row>
    <row r="220" spans="3:8" ht="12.6">
      <c r="C220" s="51"/>
      <c r="D220" s="51"/>
      <c r="E220" s="51"/>
      <c r="F220" s="51"/>
      <c r="G220" s="51"/>
      <c r="H220" s="51"/>
    </row>
    <row r="221" spans="3:8" ht="12.6">
      <c r="C221" s="51"/>
      <c r="D221" s="51"/>
      <c r="E221" s="51"/>
      <c r="F221" s="51"/>
      <c r="G221" s="51"/>
      <c r="H221" s="51"/>
    </row>
    <row r="222" spans="3:8" ht="12.6">
      <c r="C222" s="51"/>
      <c r="D222" s="51"/>
      <c r="E222" s="51"/>
      <c r="F222" s="51"/>
      <c r="G222" s="51"/>
      <c r="H222" s="51"/>
    </row>
    <row r="223" spans="3:8" ht="12.6">
      <c r="C223" s="51"/>
      <c r="D223" s="51"/>
      <c r="E223" s="51"/>
      <c r="F223" s="51"/>
      <c r="G223" s="51"/>
      <c r="H223" s="51"/>
    </row>
    <row r="224" spans="3:8" ht="12.6">
      <c r="C224" s="51"/>
      <c r="D224" s="51"/>
      <c r="E224" s="51"/>
      <c r="F224" s="51"/>
      <c r="G224" s="51"/>
      <c r="H224" s="51"/>
    </row>
    <row r="225" spans="3:8" ht="12.6">
      <c r="C225" s="51"/>
      <c r="D225" s="51"/>
      <c r="E225" s="51"/>
      <c r="F225" s="51"/>
      <c r="G225" s="51"/>
      <c r="H225" s="51"/>
    </row>
    <row r="226" spans="3:8" ht="12.6">
      <c r="C226" s="51"/>
      <c r="D226" s="51"/>
      <c r="E226" s="51"/>
      <c r="F226" s="51"/>
      <c r="G226" s="51"/>
      <c r="H226" s="51"/>
    </row>
    <row r="227" spans="3:8" ht="12.6">
      <c r="C227" s="51"/>
      <c r="D227" s="51"/>
      <c r="E227" s="51"/>
      <c r="F227" s="51"/>
      <c r="G227" s="51"/>
      <c r="H227" s="51"/>
    </row>
    <row r="228" spans="3:8" ht="12.6">
      <c r="C228" s="51"/>
      <c r="D228" s="51"/>
      <c r="E228" s="51"/>
      <c r="F228" s="51"/>
      <c r="G228" s="51"/>
      <c r="H228" s="51"/>
    </row>
    <row r="229" spans="3:8" ht="12.6">
      <c r="C229" s="51"/>
      <c r="D229" s="51"/>
      <c r="E229" s="51"/>
      <c r="F229" s="51"/>
      <c r="G229" s="51"/>
      <c r="H229" s="51"/>
    </row>
    <row r="230" spans="3:8" ht="12.6">
      <c r="C230" s="51"/>
      <c r="D230" s="51"/>
      <c r="E230" s="51"/>
      <c r="F230" s="51"/>
      <c r="G230" s="51"/>
      <c r="H230" s="51"/>
    </row>
    <row r="231" spans="3:8" ht="12.6">
      <c r="C231" s="51"/>
      <c r="D231" s="51"/>
      <c r="E231" s="51"/>
      <c r="F231" s="51"/>
      <c r="G231" s="51"/>
      <c r="H231" s="51"/>
    </row>
    <row r="232" spans="3:8" ht="12.6">
      <c r="C232" s="51"/>
      <c r="D232" s="51"/>
      <c r="E232" s="51"/>
      <c r="F232" s="51"/>
      <c r="G232" s="51"/>
      <c r="H232" s="51"/>
    </row>
    <row r="233" spans="3:8" ht="12.6">
      <c r="C233" s="51"/>
      <c r="D233" s="51"/>
      <c r="E233" s="51"/>
      <c r="F233" s="51"/>
      <c r="G233" s="51"/>
      <c r="H233" s="51"/>
    </row>
    <row r="234" spans="3:8" ht="12.6">
      <c r="C234" s="51"/>
      <c r="D234" s="51"/>
      <c r="E234" s="51"/>
      <c r="F234" s="51"/>
      <c r="G234" s="51"/>
      <c r="H234" s="51"/>
    </row>
    <row r="235" spans="3:8" ht="12.6">
      <c r="C235" s="51"/>
      <c r="D235" s="51"/>
      <c r="E235" s="51"/>
      <c r="F235" s="51"/>
      <c r="G235" s="51"/>
      <c r="H235" s="51"/>
    </row>
    <row r="236" spans="3:8" ht="12.6">
      <c r="C236" s="51"/>
      <c r="D236" s="51"/>
      <c r="E236" s="51"/>
      <c r="F236" s="51"/>
      <c r="G236" s="51"/>
      <c r="H236" s="51"/>
    </row>
    <row r="237" spans="3:8" ht="12.6">
      <c r="C237" s="51"/>
      <c r="D237" s="51"/>
      <c r="E237" s="51"/>
      <c r="F237" s="51"/>
      <c r="G237" s="51"/>
      <c r="H237" s="51"/>
    </row>
    <row r="238" spans="3:8" ht="12.6">
      <c r="C238" s="51"/>
      <c r="D238" s="51"/>
      <c r="E238" s="51"/>
      <c r="F238" s="51"/>
      <c r="G238" s="51"/>
      <c r="H238" s="51"/>
    </row>
    <row r="239" spans="3:8" ht="12.6">
      <c r="C239" s="51"/>
      <c r="D239" s="51"/>
      <c r="E239" s="51"/>
      <c r="F239" s="51"/>
      <c r="G239" s="51"/>
      <c r="H239" s="51"/>
    </row>
    <row r="240" spans="3:8" ht="12.6">
      <c r="C240" s="51"/>
      <c r="D240" s="51"/>
      <c r="E240" s="51"/>
      <c r="F240" s="51"/>
      <c r="G240" s="51"/>
      <c r="H240" s="51"/>
    </row>
    <row r="241" spans="3:8" ht="12.6">
      <c r="C241" s="51"/>
      <c r="D241" s="51"/>
      <c r="E241" s="51"/>
      <c r="F241" s="51"/>
      <c r="G241" s="51"/>
      <c r="H241" s="51"/>
    </row>
    <row r="242" spans="3:8" ht="12.6">
      <c r="C242" s="51"/>
      <c r="D242" s="51"/>
      <c r="E242" s="51"/>
      <c r="F242" s="51"/>
      <c r="G242" s="51"/>
      <c r="H242" s="51"/>
    </row>
    <row r="243" spans="3:8" ht="12.6">
      <c r="C243" s="51"/>
      <c r="D243" s="51"/>
      <c r="E243" s="51"/>
      <c r="F243" s="51"/>
      <c r="G243" s="51"/>
      <c r="H243" s="51"/>
    </row>
    <row r="244" spans="3:8" ht="12.6">
      <c r="C244" s="51"/>
      <c r="D244" s="51"/>
      <c r="E244" s="51"/>
      <c r="F244" s="51"/>
      <c r="G244" s="51"/>
      <c r="H244" s="51"/>
    </row>
    <row r="245" spans="3:8" ht="12.6">
      <c r="C245" s="51"/>
      <c r="D245" s="51"/>
      <c r="E245" s="51"/>
      <c r="F245" s="51"/>
      <c r="G245" s="51"/>
      <c r="H245" s="51"/>
    </row>
    <row r="246" spans="3:8" ht="12.6">
      <c r="C246" s="51"/>
      <c r="D246" s="51"/>
      <c r="E246" s="51"/>
      <c r="F246" s="51"/>
      <c r="G246" s="51"/>
      <c r="H246" s="51"/>
    </row>
    <row r="247" spans="3:8" ht="12.6">
      <c r="C247" s="51"/>
      <c r="D247" s="51"/>
      <c r="E247" s="51"/>
      <c r="F247" s="51"/>
      <c r="G247" s="51"/>
      <c r="H247" s="51"/>
    </row>
    <row r="248" spans="3:8" ht="12.6">
      <c r="C248" s="51"/>
      <c r="D248" s="51"/>
      <c r="E248" s="51"/>
      <c r="F248" s="51"/>
      <c r="G248" s="51"/>
      <c r="H248" s="51"/>
    </row>
    <row r="249" spans="3:8" ht="12.6">
      <c r="C249" s="51"/>
      <c r="D249" s="51"/>
      <c r="E249" s="51"/>
      <c r="F249" s="51"/>
      <c r="G249" s="51"/>
      <c r="H249" s="51"/>
    </row>
    <row r="250" spans="3:8" ht="12.6">
      <c r="C250" s="51"/>
      <c r="D250" s="51"/>
      <c r="E250" s="51"/>
      <c r="F250" s="51"/>
      <c r="G250" s="51"/>
      <c r="H250" s="51"/>
    </row>
    <row r="251" spans="3:8" ht="12.6">
      <c r="C251" s="51"/>
      <c r="D251" s="51"/>
      <c r="E251" s="51"/>
      <c r="F251" s="51"/>
      <c r="G251" s="51"/>
      <c r="H251" s="51"/>
    </row>
    <row r="252" spans="3:8" ht="12.6">
      <c r="C252" s="51"/>
      <c r="D252" s="51"/>
      <c r="E252" s="51"/>
      <c r="F252" s="51"/>
      <c r="G252" s="51"/>
      <c r="H252" s="51"/>
    </row>
    <row r="253" spans="3:8" ht="12.6">
      <c r="C253" s="51"/>
      <c r="D253" s="51"/>
      <c r="E253" s="51"/>
      <c r="F253" s="51"/>
      <c r="G253" s="51"/>
      <c r="H253" s="51"/>
    </row>
    <row r="254" spans="3:8" ht="12.6">
      <c r="C254" s="51"/>
      <c r="D254" s="51"/>
      <c r="E254" s="51"/>
      <c r="F254" s="51"/>
      <c r="G254" s="51"/>
      <c r="H254" s="51"/>
    </row>
    <row r="255" spans="3:8" ht="12.6">
      <c r="C255" s="51"/>
      <c r="D255" s="51"/>
      <c r="E255" s="51"/>
      <c r="F255" s="51"/>
      <c r="G255" s="51"/>
      <c r="H255" s="51"/>
    </row>
    <row r="256" spans="3:8" ht="12.6">
      <c r="C256" s="51"/>
      <c r="D256" s="51"/>
      <c r="E256" s="51"/>
      <c r="F256" s="51"/>
      <c r="G256" s="51"/>
      <c r="H256" s="51"/>
    </row>
    <row r="257" spans="3:8" ht="12.6">
      <c r="C257" s="51"/>
      <c r="D257" s="51"/>
      <c r="E257" s="51"/>
      <c r="F257" s="51"/>
      <c r="G257" s="51"/>
      <c r="H257" s="51"/>
    </row>
    <row r="258" spans="3:8" ht="12.6">
      <c r="C258" s="51"/>
      <c r="D258" s="51"/>
      <c r="E258" s="51"/>
      <c r="F258" s="51"/>
      <c r="G258" s="51"/>
      <c r="H258" s="51"/>
    </row>
    <row r="259" spans="3:8" ht="12.6">
      <c r="C259" s="51"/>
      <c r="D259" s="51"/>
      <c r="E259" s="51"/>
      <c r="F259" s="51"/>
      <c r="G259" s="51"/>
      <c r="H259" s="51"/>
    </row>
    <row r="260" spans="3:8" ht="12.6">
      <c r="C260" s="51"/>
      <c r="D260" s="51"/>
      <c r="E260" s="51"/>
      <c r="F260" s="51"/>
      <c r="G260" s="51"/>
      <c r="H260" s="51"/>
    </row>
    <row r="261" spans="3:8" ht="12.6">
      <c r="C261" s="51"/>
      <c r="D261" s="51"/>
      <c r="E261" s="51"/>
      <c r="F261" s="51"/>
      <c r="G261" s="51"/>
      <c r="H261" s="51"/>
    </row>
    <row r="262" spans="3:8" ht="12.6">
      <c r="C262" s="51"/>
      <c r="D262" s="51"/>
      <c r="E262" s="51"/>
      <c r="F262" s="51"/>
      <c r="G262" s="51"/>
      <c r="H262" s="51"/>
    </row>
    <row r="263" spans="3:8" ht="12.6">
      <c r="C263" s="51"/>
      <c r="D263" s="51"/>
      <c r="E263" s="51"/>
      <c r="F263" s="51"/>
      <c r="G263" s="51"/>
      <c r="H263" s="51"/>
    </row>
    <row r="264" spans="3:8" ht="12.6">
      <c r="C264" s="51"/>
      <c r="D264" s="51"/>
      <c r="E264" s="51"/>
      <c r="F264" s="51"/>
      <c r="G264" s="51"/>
      <c r="H264" s="51"/>
    </row>
    <row r="265" spans="3:8" ht="12.6">
      <c r="C265" s="51"/>
      <c r="D265" s="51"/>
      <c r="E265" s="51"/>
      <c r="F265" s="51"/>
      <c r="G265" s="51"/>
      <c r="H265" s="51"/>
    </row>
    <row r="266" spans="3:8" ht="12.6">
      <c r="C266" s="51"/>
      <c r="D266" s="51"/>
      <c r="E266" s="51"/>
      <c r="F266" s="51"/>
      <c r="G266" s="51"/>
      <c r="H266" s="51"/>
    </row>
    <row r="267" spans="3:8" ht="12.6">
      <c r="C267" s="51"/>
      <c r="D267" s="51"/>
      <c r="E267" s="51"/>
      <c r="F267" s="51"/>
      <c r="G267" s="51"/>
      <c r="H267" s="51"/>
    </row>
    <row r="268" spans="3:8" ht="12.6">
      <c r="C268" s="51"/>
      <c r="D268" s="51"/>
      <c r="E268" s="51"/>
      <c r="F268" s="51"/>
      <c r="G268" s="51"/>
      <c r="H268" s="51"/>
    </row>
    <row r="269" spans="3:8" ht="12.6">
      <c r="C269" s="51"/>
      <c r="D269" s="51"/>
      <c r="E269" s="51"/>
      <c r="F269" s="51"/>
      <c r="G269" s="51"/>
      <c r="H269" s="51"/>
    </row>
    <row r="270" spans="3:8" ht="12.6">
      <c r="C270" s="51"/>
      <c r="D270" s="51"/>
      <c r="E270" s="51"/>
      <c r="F270" s="51"/>
      <c r="G270" s="51"/>
      <c r="H270" s="51"/>
    </row>
    <row r="271" spans="3:8" ht="12.6">
      <c r="C271" s="51"/>
      <c r="D271" s="51"/>
      <c r="E271" s="51"/>
      <c r="F271" s="51"/>
      <c r="G271" s="51"/>
      <c r="H271" s="51"/>
    </row>
    <row r="272" spans="3:8" ht="12.6">
      <c r="C272" s="51"/>
      <c r="D272" s="51"/>
      <c r="E272" s="51"/>
      <c r="F272" s="51"/>
      <c r="G272" s="51"/>
      <c r="H272" s="51"/>
    </row>
    <row r="273" spans="3:8" ht="12.6">
      <c r="C273" s="51"/>
      <c r="D273" s="51"/>
      <c r="E273" s="51"/>
      <c r="F273" s="51"/>
      <c r="G273" s="51"/>
      <c r="H273" s="51"/>
    </row>
    <row r="274" spans="3:8" ht="12.6">
      <c r="C274" s="51"/>
      <c r="D274" s="51"/>
      <c r="E274" s="51"/>
      <c r="F274" s="51"/>
      <c r="G274" s="51"/>
      <c r="H274" s="51"/>
    </row>
    <row r="275" spans="3:8" ht="12.6">
      <c r="C275" s="51"/>
      <c r="D275" s="51"/>
      <c r="E275" s="51"/>
      <c r="F275" s="51"/>
      <c r="G275" s="51"/>
      <c r="H275" s="51"/>
    </row>
    <row r="276" spans="3:8" ht="12.6">
      <c r="C276" s="51"/>
      <c r="D276" s="51"/>
      <c r="E276" s="51"/>
      <c r="F276" s="51"/>
      <c r="G276" s="51"/>
      <c r="H276" s="51"/>
    </row>
    <row r="277" spans="3:8" ht="12.6">
      <c r="C277" s="51"/>
      <c r="D277" s="51"/>
      <c r="E277" s="51"/>
      <c r="F277" s="51"/>
      <c r="G277" s="51"/>
      <c r="H277" s="51"/>
    </row>
    <row r="278" spans="3:8" ht="12.6">
      <c r="C278" s="51"/>
      <c r="D278" s="51"/>
      <c r="E278" s="51"/>
      <c r="F278" s="51"/>
      <c r="G278" s="51"/>
      <c r="H278" s="51"/>
    </row>
    <row r="279" spans="3:8" ht="12.6">
      <c r="C279" s="51"/>
      <c r="D279" s="51"/>
      <c r="E279" s="51"/>
      <c r="F279" s="51"/>
      <c r="G279" s="51"/>
      <c r="H279" s="51"/>
    </row>
    <row r="280" spans="3:8" ht="12.6">
      <c r="C280" s="51"/>
      <c r="D280" s="51"/>
      <c r="E280" s="51"/>
      <c r="F280" s="51"/>
      <c r="G280" s="51"/>
      <c r="H280" s="51"/>
    </row>
    <row r="281" spans="3:8" ht="12.6">
      <c r="C281" s="51"/>
      <c r="D281" s="51"/>
      <c r="E281" s="51"/>
      <c r="F281" s="51"/>
      <c r="G281" s="51"/>
      <c r="H281" s="51"/>
    </row>
    <row r="282" spans="3:8" ht="12.6">
      <c r="C282" s="51"/>
      <c r="D282" s="51"/>
      <c r="E282" s="51"/>
      <c r="F282" s="51"/>
      <c r="G282" s="51"/>
      <c r="H282" s="51"/>
    </row>
    <row r="283" spans="3:8" ht="12.6">
      <c r="C283" s="51"/>
      <c r="D283" s="51"/>
      <c r="E283" s="51"/>
      <c r="F283" s="51"/>
      <c r="G283" s="51"/>
      <c r="H283" s="51"/>
    </row>
    <row r="284" spans="3:8" ht="12.6">
      <c r="C284" s="51"/>
      <c r="D284" s="51"/>
      <c r="E284" s="51"/>
      <c r="F284" s="51"/>
      <c r="G284" s="51"/>
      <c r="H284" s="51"/>
    </row>
    <row r="285" spans="3:8" ht="12.6">
      <c r="C285" s="51"/>
      <c r="D285" s="51"/>
      <c r="E285" s="51"/>
      <c r="F285" s="51"/>
      <c r="G285" s="51"/>
      <c r="H285" s="51"/>
    </row>
    <row r="286" spans="3:8" ht="12.6">
      <c r="C286" s="51"/>
      <c r="D286" s="51"/>
      <c r="E286" s="51"/>
      <c r="F286" s="51"/>
      <c r="G286" s="51"/>
      <c r="H286" s="51"/>
    </row>
    <row r="287" spans="3:8" ht="12.6">
      <c r="C287" s="51"/>
      <c r="D287" s="51"/>
      <c r="E287" s="51"/>
      <c r="F287" s="51"/>
      <c r="G287" s="51"/>
      <c r="H287" s="51"/>
    </row>
    <row r="288" spans="3:8" ht="12.6">
      <c r="C288" s="51"/>
      <c r="D288" s="51"/>
      <c r="E288" s="51"/>
      <c r="F288" s="51"/>
      <c r="G288" s="51"/>
      <c r="H288" s="51"/>
    </row>
    <row r="289" spans="3:8" ht="12.6">
      <c r="C289" s="51"/>
      <c r="D289" s="51"/>
      <c r="E289" s="51"/>
      <c r="F289" s="51"/>
      <c r="G289" s="51"/>
      <c r="H289" s="51"/>
    </row>
    <row r="290" spans="3:8" ht="12.6">
      <c r="C290" s="51"/>
      <c r="D290" s="51"/>
      <c r="E290" s="51"/>
      <c r="F290" s="51"/>
      <c r="G290" s="51"/>
      <c r="H290" s="51"/>
    </row>
    <row r="291" spans="3:8" ht="12.6">
      <c r="C291" s="51"/>
      <c r="D291" s="51"/>
      <c r="E291" s="51"/>
      <c r="F291" s="51"/>
      <c r="G291" s="51"/>
      <c r="H291" s="51"/>
    </row>
    <row r="292" spans="3:8" ht="12.6">
      <c r="C292" s="51"/>
      <c r="D292" s="51"/>
      <c r="E292" s="51"/>
      <c r="F292" s="51"/>
      <c r="G292" s="51"/>
      <c r="H292" s="51"/>
    </row>
    <row r="293" spans="3:8" ht="12.6">
      <c r="C293" s="51"/>
      <c r="D293" s="51"/>
      <c r="E293" s="51"/>
      <c r="F293" s="51"/>
      <c r="G293" s="51"/>
      <c r="H293" s="51"/>
    </row>
    <row r="294" spans="3:8" ht="12.6">
      <c r="C294" s="51"/>
      <c r="D294" s="51"/>
      <c r="E294" s="51"/>
      <c r="F294" s="51"/>
      <c r="G294" s="51"/>
      <c r="H294" s="51"/>
    </row>
    <row r="295" spans="3:8" ht="12.6">
      <c r="C295" s="51"/>
      <c r="D295" s="51"/>
      <c r="E295" s="51"/>
      <c r="F295" s="51"/>
      <c r="G295" s="51"/>
      <c r="H295" s="51"/>
    </row>
    <row r="296" spans="3:8" ht="12.6">
      <c r="C296" s="51"/>
      <c r="D296" s="51"/>
      <c r="E296" s="51"/>
      <c r="F296" s="51"/>
      <c r="G296" s="51"/>
      <c r="H296" s="51"/>
    </row>
    <row r="297" spans="3:8" ht="12.6">
      <c r="C297" s="51"/>
      <c r="D297" s="51"/>
      <c r="E297" s="51"/>
      <c r="F297" s="51"/>
      <c r="G297" s="51"/>
      <c r="H297" s="51"/>
    </row>
    <row r="298" spans="3:8" ht="12.6">
      <c r="C298" s="51"/>
      <c r="D298" s="51"/>
      <c r="E298" s="51"/>
      <c r="F298" s="51"/>
      <c r="G298" s="51"/>
      <c r="H298" s="51"/>
    </row>
    <row r="299" spans="3:8" ht="12.6">
      <c r="C299" s="51"/>
      <c r="D299" s="51"/>
      <c r="E299" s="51"/>
      <c r="F299" s="51"/>
      <c r="G299" s="51"/>
      <c r="H299" s="51"/>
    </row>
    <row r="300" spans="3:8" ht="12.6">
      <c r="C300" s="51"/>
      <c r="D300" s="51"/>
      <c r="E300" s="51"/>
      <c r="F300" s="51"/>
      <c r="G300" s="51"/>
      <c r="H300" s="51"/>
    </row>
    <row r="301" spans="3:8" ht="12.6">
      <c r="C301" s="51"/>
      <c r="D301" s="51"/>
      <c r="E301" s="51"/>
      <c r="F301" s="51"/>
      <c r="G301" s="51"/>
      <c r="H301" s="51"/>
    </row>
    <row r="302" spans="3:8" ht="12.6">
      <c r="C302" s="51"/>
      <c r="D302" s="51"/>
      <c r="E302" s="51"/>
      <c r="F302" s="51"/>
      <c r="G302" s="51"/>
      <c r="H302" s="51"/>
    </row>
    <row r="303" spans="3:8" ht="12.6">
      <c r="C303" s="51"/>
      <c r="D303" s="51"/>
      <c r="E303" s="51"/>
      <c r="F303" s="51"/>
      <c r="G303" s="51"/>
      <c r="H303" s="51"/>
    </row>
    <row r="304" spans="3:8" ht="12.6">
      <c r="C304" s="51"/>
      <c r="D304" s="51"/>
      <c r="E304" s="51"/>
      <c r="F304" s="51"/>
      <c r="G304" s="51"/>
      <c r="H304" s="51"/>
    </row>
    <row r="305" spans="3:8" ht="12.6">
      <c r="C305" s="51"/>
      <c r="D305" s="51"/>
      <c r="E305" s="51"/>
      <c r="F305" s="51"/>
      <c r="G305" s="51"/>
      <c r="H305" s="51"/>
    </row>
    <row r="306" spans="3:8" ht="12.6">
      <c r="C306" s="51"/>
      <c r="D306" s="51"/>
      <c r="E306" s="51"/>
      <c r="F306" s="51"/>
      <c r="G306" s="51"/>
      <c r="H306" s="51"/>
    </row>
    <row r="307" spans="3:8" ht="12.6">
      <c r="C307" s="51"/>
      <c r="D307" s="51"/>
      <c r="E307" s="51"/>
      <c r="F307" s="51"/>
      <c r="G307" s="51"/>
      <c r="H307" s="51"/>
    </row>
    <row r="308" spans="3:8" ht="12.6">
      <c r="C308" s="51"/>
      <c r="D308" s="51"/>
      <c r="E308" s="51"/>
      <c r="F308" s="51"/>
      <c r="G308" s="51"/>
      <c r="H308" s="51"/>
    </row>
    <row r="309" spans="3:8" ht="12.6">
      <c r="C309" s="51"/>
      <c r="D309" s="51"/>
      <c r="E309" s="51"/>
      <c r="F309" s="51"/>
      <c r="G309" s="51"/>
      <c r="H309" s="51"/>
    </row>
    <row r="310" spans="3:8" ht="12.6">
      <c r="C310" s="51"/>
      <c r="D310" s="51"/>
      <c r="E310" s="51"/>
      <c r="F310" s="51"/>
      <c r="G310" s="51"/>
      <c r="H310" s="51"/>
    </row>
    <row r="311" spans="3:8" ht="12.6">
      <c r="C311" s="51"/>
      <c r="D311" s="51"/>
      <c r="E311" s="51"/>
      <c r="F311" s="51"/>
      <c r="G311" s="51"/>
      <c r="H311" s="51"/>
    </row>
    <row r="312" spans="3:8" ht="12.6">
      <c r="C312" s="51"/>
      <c r="D312" s="51"/>
      <c r="E312" s="51"/>
      <c r="F312" s="51"/>
      <c r="G312" s="51"/>
      <c r="H312" s="51"/>
    </row>
    <row r="313" spans="3:8" ht="12.6">
      <c r="C313" s="51"/>
      <c r="D313" s="51"/>
      <c r="E313" s="51"/>
      <c r="F313" s="51"/>
      <c r="G313" s="51"/>
      <c r="H313" s="51"/>
    </row>
    <row r="314" spans="3:8" ht="12.6">
      <c r="C314" s="51"/>
      <c r="D314" s="51"/>
      <c r="E314" s="51"/>
      <c r="F314" s="51"/>
      <c r="G314" s="51"/>
      <c r="H314" s="51"/>
    </row>
    <row r="315" spans="3:8" ht="12.6">
      <c r="C315" s="51"/>
      <c r="D315" s="51"/>
      <c r="E315" s="51"/>
      <c r="F315" s="51"/>
      <c r="G315" s="51"/>
      <c r="H315" s="51"/>
    </row>
    <row r="316" spans="3:8" ht="12.6">
      <c r="C316" s="51"/>
      <c r="D316" s="51"/>
      <c r="E316" s="51"/>
      <c r="F316" s="51"/>
      <c r="G316" s="51"/>
      <c r="H316" s="51"/>
    </row>
    <row r="317" spans="3:8" ht="12.6">
      <c r="C317" s="51"/>
      <c r="D317" s="51"/>
      <c r="E317" s="51"/>
      <c r="F317" s="51"/>
      <c r="G317" s="51"/>
      <c r="H317" s="51"/>
    </row>
    <row r="318" spans="3:8" ht="12.6">
      <c r="C318" s="51"/>
      <c r="D318" s="51"/>
      <c r="E318" s="51"/>
      <c r="F318" s="51"/>
      <c r="G318" s="51"/>
      <c r="H318" s="51"/>
    </row>
    <row r="319" spans="3:8" ht="12.6">
      <c r="C319" s="51"/>
      <c r="D319" s="51"/>
      <c r="E319" s="51"/>
      <c r="F319" s="51"/>
      <c r="G319" s="51"/>
      <c r="H319" s="51"/>
    </row>
    <row r="320" spans="3:8" ht="12.6">
      <c r="C320" s="51"/>
      <c r="D320" s="51"/>
      <c r="E320" s="51"/>
      <c r="F320" s="51"/>
      <c r="G320" s="51"/>
      <c r="H320" s="51"/>
    </row>
    <row r="321" spans="3:8" ht="12.6">
      <c r="C321" s="51"/>
      <c r="D321" s="51"/>
      <c r="E321" s="51"/>
      <c r="F321" s="51"/>
      <c r="G321" s="51"/>
      <c r="H321" s="51"/>
    </row>
    <row r="322" spans="3:8" ht="12.6">
      <c r="C322" s="51"/>
      <c r="D322" s="51"/>
      <c r="E322" s="51"/>
      <c r="F322" s="51"/>
      <c r="G322" s="51"/>
      <c r="H322" s="51"/>
    </row>
    <row r="323" spans="3:8" ht="12.6">
      <c r="C323" s="51"/>
      <c r="D323" s="51"/>
      <c r="E323" s="51"/>
      <c r="F323" s="51"/>
      <c r="G323" s="51"/>
      <c r="H323" s="51"/>
    </row>
    <row r="324" spans="3:8" ht="12.6">
      <c r="C324" s="51"/>
      <c r="D324" s="51"/>
      <c r="E324" s="51"/>
      <c r="F324" s="51"/>
      <c r="G324" s="51"/>
      <c r="H324" s="51"/>
    </row>
    <row r="325" spans="3:8" ht="12.6">
      <c r="C325" s="51"/>
      <c r="D325" s="51"/>
      <c r="E325" s="51"/>
      <c r="F325" s="51"/>
      <c r="G325" s="51"/>
      <c r="H325" s="51"/>
    </row>
    <row r="326" spans="3:8" ht="12.6">
      <c r="C326" s="51"/>
      <c r="D326" s="51"/>
      <c r="E326" s="51"/>
      <c r="F326" s="51"/>
      <c r="G326" s="51"/>
      <c r="H326" s="51"/>
    </row>
    <row r="327" spans="3:8" ht="12.6">
      <c r="C327" s="51"/>
      <c r="D327" s="51"/>
      <c r="E327" s="51"/>
      <c r="F327" s="51"/>
      <c r="G327" s="51"/>
      <c r="H327" s="51"/>
    </row>
    <row r="328" spans="3:8" ht="12.6">
      <c r="C328" s="51"/>
      <c r="D328" s="51"/>
      <c r="E328" s="51"/>
      <c r="F328" s="51"/>
      <c r="G328" s="51"/>
      <c r="H328" s="51"/>
    </row>
    <row r="329" spans="3:8" ht="12.6">
      <c r="C329" s="51"/>
      <c r="D329" s="51"/>
      <c r="E329" s="51"/>
      <c r="F329" s="51"/>
      <c r="G329" s="51"/>
      <c r="H329" s="51"/>
    </row>
    <row r="330" spans="3:8" ht="12.6">
      <c r="C330" s="51"/>
      <c r="D330" s="51"/>
      <c r="E330" s="51"/>
      <c r="F330" s="51"/>
      <c r="G330" s="51"/>
      <c r="H330" s="51"/>
    </row>
    <row r="331" spans="3:8" ht="12.6">
      <c r="C331" s="51"/>
      <c r="D331" s="51"/>
      <c r="E331" s="51"/>
      <c r="F331" s="51"/>
      <c r="G331" s="51"/>
      <c r="H331" s="51"/>
    </row>
    <row r="332" spans="3:8" ht="12.6">
      <c r="C332" s="51"/>
      <c r="D332" s="51"/>
      <c r="E332" s="51"/>
      <c r="F332" s="51"/>
      <c r="G332" s="51"/>
      <c r="H332" s="51"/>
    </row>
    <row r="333" spans="3:8" ht="12.6">
      <c r="C333" s="51"/>
      <c r="D333" s="51"/>
      <c r="E333" s="51"/>
      <c r="F333" s="51"/>
      <c r="G333" s="51"/>
      <c r="H333" s="51"/>
    </row>
    <row r="334" spans="3:8" ht="12.6">
      <c r="C334" s="51"/>
      <c r="D334" s="51"/>
      <c r="E334" s="51"/>
      <c r="F334" s="51"/>
      <c r="G334" s="51"/>
      <c r="H334" s="51"/>
    </row>
    <row r="335" spans="3:8" ht="12.6">
      <c r="C335" s="51"/>
      <c r="D335" s="51"/>
      <c r="E335" s="51"/>
      <c r="F335" s="51"/>
      <c r="G335" s="51"/>
      <c r="H335" s="51"/>
    </row>
    <row r="336" spans="3:8" ht="12.6">
      <c r="C336" s="51"/>
      <c r="D336" s="51"/>
      <c r="E336" s="51"/>
      <c r="F336" s="51"/>
      <c r="G336" s="51"/>
      <c r="H336" s="51"/>
    </row>
    <row r="337" spans="3:8" ht="12.6">
      <c r="C337" s="51"/>
      <c r="D337" s="51"/>
      <c r="E337" s="51"/>
      <c r="F337" s="51"/>
      <c r="G337" s="51"/>
      <c r="H337" s="51"/>
    </row>
    <row r="338" spans="3:8" ht="12.6">
      <c r="C338" s="51"/>
      <c r="D338" s="51"/>
      <c r="E338" s="51"/>
      <c r="F338" s="51"/>
      <c r="G338" s="51"/>
      <c r="H338" s="51"/>
    </row>
    <row r="339" spans="3:8" ht="12.6">
      <c r="C339" s="51"/>
      <c r="D339" s="51"/>
      <c r="E339" s="51"/>
      <c r="F339" s="51"/>
      <c r="G339" s="51"/>
      <c r="H339" s="51"/>
    </row>
    <row r="340" spans="3:8" ht="12.6">
      <c r="C340" s="51"/>
      <c r="D340" s="51"/>
      <c r="E340" s="51"/>
      <c r="F340" s="51"/>
      <c r="G340" s="51"/>
      <c r="H340" s="51"/>
    </row>
    <row r="341" spans="3:8" ht="12.6">
      <c r="C341" s="51"/>
      <c r="D341" s="51"/>
      <c r="E341" s="51"/>
      <c r="F341" s="51"/>
      <c r="G341" s="51"/>
      <c r="H341" s="51"/>
    </row>
    <row r="342" spans="3:8" ht="12.6">
      <c r="C342" s="51"/>
      <c r="D342" s="51"/>
      <c r="E342" s="51"/>
      <c r="F342" s="51"/>
      <c r="G342" s="51"/>
      <c r="H342" s="51"/>
    </row>
    <row r="343" spans="3:8" ht="12.6">
      <c r="C343" s="51"/>
      <c r="D343" s="51"/>
      <c r="E343" s="51"/>
      <c r="F343" s="51"/>
      <c r="G343" s="51"/>
      <c r="H343" s="51"/>
    </row>
    <row r="344" spans="3:8" ht="12.6">
      <c r="C344" s="51"/>
      <c r="D344" s="51"/>
      <c r="E344" s="51"/>
      <c r="F344" s="51"/>
      <c r="G344" s="51"/>
      <c r="H344" s="51"/>
    </row>
    <row r="345" spans="3:8" ht="12.6">
      <c r="C345" s="51"/>
      <c r="D345" s="51"/>
      <c r="E345" s="51"/>
      <c r="F345" s="51"/>
      <c r="G345" s="51"/>
      <c r="H345" s="51"/>
    </row>
    <row r="346" spans="3:8" ht="12.6">
      <c r="C346" s="51"/>
      <c r="D346" s="51"/>
      <c r="E346" s="51"/>
      <c r="F346" s="51"/>
      <c r="G346" s="51"/>
      <c r="H346" s="51"/>
    </row>
    <row r="347" spans="3:8" ht="12.6">
      <c r="C347" s="51"/>
      <c r="D347" s="51"/>
      <c r="E347" s="51"/>
      <c r="F347" s="51"/>
      <c r="G347" s="51"/>
      <c r="H347" s="51"/>
    </row>
    <row r="348" spans="3:8" ht="12.6">
      <c r="C348" s="51"/>
      <c r="D348" s="51"/>
      <c r="E348" s="51"/>
      <c r="F348" s="51"/>
      <c r="G348" s="51"/>
      <c r="H348" s="51"/>
    </row>
    <row r="349" spans="3:8" ht="12.6">
      <c r="C349" s="51"/>
      <c r="D349" s="51"/>
      <c r="E349" s="51"/>
      <c r="F349" s="51"/>
      <c r="G349" s="51"/>
      <c r="H349" s="51"/>
    </row>
    <row r="350" spans="3:8" ht="12.6">
      <c r="C350" s="51"/>
      <c r="D350" s="51"/>
      <c r="E350" s="51"/>
      <c r="F350" s="51"/>
      <c r="G350" s="51"/>
      <c r="H350" s="51"/>
    </row>
    <row r="351" spans="3:8" ht="12.6">
      <c r="C351" s="51"/>
      <c r="D351" s="51"/>
      <c r="E351" s="51"/>
      <c r="F351" s="51"/>
      <c r="G351" s="51"/>
      <c r="H351" s="51"/>
    </row>
    <row r="352" spans="3:8" ht="12.6">
      <c r="C352" s="51"/>
      <c r="D352" s="51"/>
      <c r="E352" s="51"/>
      <c r="F352" s="51"/>
      <c r="G352" s="51"/>
      <c r="H352" s="51"/>
    </row>
    <row r="353" spans="3:8" ht="12.6">
      <c r="C353" s="51"/>
      <c r="D353" s="51"/>
      <c r="E353" s="51"/>
      <c r="F353" s="51"/>
      <c r="G353" s="51"/>
      <c r="H353" s="51"/>
    </row>
    <row r="354" spans="3:8" ht="12.6">
      <c r="C354" s="51"/>
      <c r="D354" s="51"/>
      <c r="E354" s="51"/>
      <c r="F354" s="51"/>
      <c r="G354" s="51"/>
      <c r="H354" s="51"/>
    </row>
    <row r="355" spans="3:8" ht="12.6">
      <c r="C355" s="51"/>
      <c r="D355" s="51"/>
      <c r="E355" s="51"/>
      <c r="F355" s="51"/>
      <c r="G355" s="51"/>
      <c r="H355" s="51"/>
    </row>
    <row r="356" spans="3:8" ht="12.6">
      <c r="C356" s="51"/>
      <c r="D356" s="51"/>
      <c r="E356" s="51"/>
      <c r="F356" s="51"/>
      <c r="G356" s="51"/>
      <c r="H356" s="51"/>
    </row>
    <row r="357" spans="3:8" ht="12.6">
      <c r="C357" s="51"/>
      <c r="D357" s="51"/>
      <c r="E357" s="51"/>
      <c r="F357" s="51"/>
      <c r="G357" s="51"/>
      <c r="H357" s="51"/>
    </row>
    <row r="358" spans="3:8" ht="12.6">
      <c r="C358" s="51"/>
      <c r="D358" s="51"/>
      <c r="E358" s="51"/>
      <c r="F358" s="51"/>
      <c r="G358" s="51"/>
      <c r="H358" s="51"/>
    </row>
    <row r="359" spans="3:8" ht="12.6">
      <c r="C359" s="51"/>
      <c r="D359" s="51"/>
      <c r="E359" s="51"/>
      <c r="F359" s="51"/>
      <c r="G359" s="51"/>
      <c r="H359" s="51"/>
    </row>
    <row r="360" spans="3:8" ht="12.6">
      <c r="C360" s="51"/>
      <c r="D360" s="51"/>
      <c r="E360" s="51"/>
      <c r="F360" s="51"/>
      <c r="G360" s="51"/>
      <c r="H360" s="51"/>
    </row>
    <row r="361" spans="3:8" ht="12.6">
      <c r="C361" s="51"/>
      <c r="D361" s="51"/>
      <c r="E361" s="51"/>
      <c r="F361" s="51"/>
      <c r="G361" s="51"/>
      <c r="H361" s="51"/>
    </row>
    <row r="362" spans="3:8" ht="12.6">
      <c r="C362" s="51"/>
      <c r="D362" s="51"/>
      <c r="E362" s="51"/>
      <c r="F362" s="51"/>
      <c r="G362" s="51"/>
      <c r="H362" s="51"/>
    </row>
    <row r="363" spans="3:8" ht="12.6">
      <c r="C363" s="51"/>
      <c r="D363" s="51"/>
      <c r="E363" s="51"/>
      <c r="F363" s="51"/>
      <c r="G363" s="51"/>
      <c r="H363" s="51"/>
    </row>
    <row r="364" spans="3:8" ht="12.6">
      <c r="C364" s="51"/>
      <c r="D364" s="51"/>
      <c r="E364" s="51"/>
      <c r="F364" s="51"/>
      <c r="G364" s="51"/>
      <c r="H364" s="51"/>
    </row>
    <row r="365" spans="3:8" ht="12.6">
      <c r="C365" s="51"/>
      <c r="D365" s="51"/>
      <c r="E365" s="51"/>
      <c r="F365" s="51"/>
      <c r="G365" s="51"/>
      <c r="H365" s="51"/>
    </row>
    <row r="366" spans="3:8" ht="12.6">
      <c r="C366" s="51"/>
      <c r="D366" s="51"/>
      <c r="E366" s="51"/>
      <c r="F366" s="51"/>
      <c r="G366" s="51"/>
      <c r="H366" s="51"/>
    </row>
    <row r="367" spans="3:8" ht="12.6">
      <c r="C367" s="51"/>
      <c r="D367" s="51"/>
      <c r="E367" s="51"/>
      <c r="F367" s="51"/>
      <c r="G367" s="51"/>
      <c r="H367" s="51"/>
    </row>
    <row r="368" spans="3:8" ht="12.6">
      <c r="C368" s="51"/>
      <c r="D368" s="51"/>
      <c r="E368" s="51"/>
      <c r="F368" s="51"/>
      <c r="G368" s="51"/>
      <c r="H368" s="51"/>
    </row>
    <row r="369" spans="3:8" ht="12.6">
      <c r="C369" s="51"/>
      <c r="D369" s="51"/>
      <c r="E369" s="51"/>
      <c r="F369" s="51"/>
      <c r="G369" s="51"/>
      <c r="H369" s="51"/>
    </row>
    <row r="370" spans="3:8" ht="12.6">
      <c r="C370" s="51"/>
      <c r="D370" s="51"/>
      <c r="E370" s="51"/>
      <c r="F370" s="51"/>
      <c r="G370" s="51"/>
      <c r="H370" s="51"/>
    </row>
    <row r="371" spans="3:8" ht="12.6">
      <c r="C371" s="51"/>
      <c r="D371" s="51"/>
      <c r="E371" s="51"/>
      <c r="F371" s="51"/>
      <c r="G371" s="51"/>
      <c r="H371" s="51"/>
    </row>
    <row r="372" spans="3:8" ht="12.6">
      <c r="C372" s="51"/>
      <c r="D372" s="51"/>
      <c r="E372" s="51"/>
      <c r="F372" s="51"/>
      <c r="G372" s="51"/>
      <c r="H372" s="51"/>
    </row>
    <row r="373" spans="3:8" ht="12.6">
      <c r="C373" s="51"/>
      <c r="D373" s="51"/>
      <c r="E373" s="51"/>
      <c r="F373" s="51"/>
      <c r="G373" s="51"/>
      <c r="H373" s="51"/>
    </row>
    <row r="374" spans="3:8" ht="12.6">
      <c r="C374" s="51"/>
      <c r="D374" s="51"/>
      <c r="E374" s="51"/>
      <c r="F374" s="51"/>
      <c r="G374" s="51"/>
      <c r="H374" s="51"/>
    </row>
    <row r="375" spans="3:8" ht="12.6">
      <c r="C375" s="51"/>
      <c r="D375" s="51"/>
      <c r="E375" s="51"/>
      <c r="F375" s="51"/>
      <c r="G375" s="51"/>
      <c r="H375" s="51"/>
    </row>
    <row r="376" spans="3:8" ht="12.6">
      <c r="C376" s="51"/>
      <c r="D376" s="51"/>
      <c r="E376" s="51"/>
      <c r="F376" s="51"/>
      <c r="G376" s="51"/>
      <c r="H376" s="51"/>
    </row>
    <row r="377" spans="3:8" ht="12.6">
      <c r="C377" s="51"/>
      <c r="D377" s="51"/>
      <c r="E377" s="51"/>
      <c r="F377" s="51"/>
      <c r="G377" s="51"/>
      <c r="H377" s="51"/>
    </row>
    <row r="378" spans="3:8" ht="12.6">
      <c r="C378" s="51"/>
      <c r="D378" s="51"/>
      <c r="E378" s="51"/>
      <c r="F378" s="51"/>
      <c r="G378" s="51"/>
      <c r="H378" s="51"/>
    </row>
    <row r="379" spans="3:8" ht="12.6">
      <c r="C379" s="51"/>
      <c r="D379" s="51"/>
      <c r="E379" s="51"/>
      <c r="F379" s="51"/>
      <c r="G379" s="51"/>
      <c r="H379" s="51"/>
    </row>
    <row r="380" spans="3:8" ht="12.6">
      <c r="C380" s="51"/>
      <c r="D380" s="51"/>
      <c r="E380" s="51"/>
      <c r="F380" s="51"/>
      <c r="G380" s="51"/>
      <c r="H380" s="51"/>
    </row>
    <row r="381" spans="3:8" ht="12.6">
      <c r="C381" s="51"/>
      <c r="D381" s="51"/>
      <c r="E381" s="51"/>
      <c r="F381" s="51"/>
      <c r="G381" s="51"/>
      <c r="H381" s="51"/>
    </row>
    <row r="382" spans="3:8" ht="12.6">
      <c r="C382" s="51"/>
      <c r="D382" s="51"/>
      <c r="E382" s="51"/>
      <c r="F382" s="51"/>
      <c r="G382" s="51"/>
      <c r="H382" s="51"/>
    </row>
    <row r="383" spans="3:8" ht="12.6">
      <c r="C383" s="51"/>
      <c r="D383" s="51"/>
      <c r="E383" s="51"/>
      <c r="F383" s="51"/>
      <c r="G383" s="51"/>
      <c r="H383" s="51"/>
    </row>
    <row r="384" spans="3:8" ht="12.6">
      <c r="C384" s="51"/>
      <c r="D384" s="51"/>
      <c r="E384" s="51"/>
      <c r="F384" s="51"/>
      <c r="G384" s="51"/>
      <c r="H384" s="51"/>
    </row>
    <row r="385" spans="3:8" ht="12.6">
      <c r="C385" s="51"/>
      <c r="D385" s="51"/>
      <c r="E385" s="51"/>
      <c r="F385" s="51"/>
      <c r="G385" s="51"/>
      <c r="H385" s="51"/>
    </row>
    <row r="386" spans="3:8" ht="12.6">
      <c r="C386" s="51"/>
      <c r="D386" s="51"/>
      <c r="E386" s="51"/>
      <c r="F386" s="51"/>
      <c r="G386" s="51"/>
      <c r="H386" s="51"/>
    </row>
    <row r="387" spans="3:8" ht="12.6">
      <c r="C387" s="51"/>
      <c r="D387" s="51"/>
      <c r="E387" s="51"/>
      <c r="F387" s="51"/>
      <c r="G387" s="51"/>
      <c r="H387" s="51"/>
    </row>
    <row r="388" spans="3:8" ht="12.6">
      <c r="C388" s="51"/>
      <c r="D388" s="51"/>
      <c r="E388" s="51"/>
      <c r="F388" s="51"/>
      <c r="G388" s="51"/>
      <c r="H388" s="51"/>
    </row>
    <row r="389" spans="3:8" ht="12.6">
      <c r="C389" s="51"/>
      <c r="D389" s="51"/>
      <c r="E389" s="51"/>
      <c r="F389" s="51"/>
      <c r="G389" s="51"/>
      <c r="H389" s="51"/>
    </row>
    <row r="390" spans="3:8" ht="12.6">
      <c r="C390" s="51"/>
      <c r="D390" s="51"/>
      <c r="E390" s="51"/>
      <c r="F390" s="51"/>
      <c r="G390" s="51"/>
      <c r="H390" s="51"/>
    </row>
    <row r="391" spans="3:8" ht="12.6">
      <c r="C391" s="51"/>
      <c r="D391" s="51"/>
      <c r="E391" s="51"/>
      <c r="F391" s="51"/>
      <c r="G391" s="51"/>
      <c r="H391" s="51"/>
    </row>
    <row r="392" spans="3:8" ht="12.6">
      <c r="C392" s="51"/>
      <c r="D392" s="51"/>
      <c r="E392" s="51"/>
      <c r="F392" s="51"/>
      <c r="G392" s="51"/>
      <c r="H392" s="51"/>
    </row>
    <row r="393" spans="3:8" ht="12.6">
      <c r="C393" s="51"/>
      <c r="D393" s="51"/>
      <c r="E393" s="51"/>
      <c r="F393" s="51"/>
      <c r="G393" s="51"/>
      <c r="H393" s="51"/>
    </row>
    <row r="394" spans="3:8" ht="12.6">
      <c r="C394" s="51"/>
      <c r="D394" s="51"/>
      <c r="E394" s="51"/>
      <c r="F394" s="51"/>
      <c r="G394" s="51"/>
      <c r="H394" s="51"/>
    </row>
    <row r="395" spans="3:8" ht="12.6">
      <c r="C395" s="51"/>
      <c r="D395" s="51"/>
      <c r="E395" s="51"/>
      <c r="F395" s="51"/>
      <c r="G395" s="51"/>
      <c r="H395" s="51"/>
    </row>
    <row r="396" spans="3:8" ht="12.6">
      <c r="C396" s="51"/>
      <c r="D396" s="51"/>
      <c r="E396" s="51"/>
      <c r="F396" s="51"/>
      <c r="G396" s="51"/>
      <c r="H396" s="51"/>
    </row>
    <row r="397" spans="3:8" ht="12.6">
      <c r="C397" s="51"/>
      <c r="D397" s="51"/>
      <c r="E397" s="51"/>
      <c r="F397" s="51"/>
      <c r="G397" s="51"/>
      <c r="H397" s="51"/>
    </row>
    <row r="398" spans="3:8" ht="12.6">
      <c r="C398" s="51"/>
      <c r="D398" s="51"/>
      <c r="E398" s="51"/>
      <c r="F398" s="51"/>
      <c r="G398" s="51"/>
      <c r="H398" s="51"/>
    </row>
    <row r="399" spans="3:8" ht="12.6">
      <c r="C399" s="51"/>
      <c r="D399" s="51"/>
      <c r="E399" s="51"/>
      <c r="F399" s="51"/>
      <c r="G399" s="51"/>
      <c r="H399" s="51"/>
    </row>
    <row r="400" spans="3:8" ht="12.6">
      <c r="C400" s="51"/>
      <c r="D400" s="51"/>
      <c r="E400" s="51"/>
      <c r="F400" s="51"/>
      <c r="G400" s="51"/>
      <c r="H400" s="51"/>
    </row>
    <row r="401" spans="3:8" ht="12.6">
      <c r="C401" s="51"/>
      <c r="D401" s="51"/>
      <c r="E401" s="51"/>
      <c r="F401" s="51"/>
      <c r="G401" s="51"/>
      <c r="H401" s="51"/>
    </row>
    <row r="402" spans="3:8" ht="12.6">
      <c r="C402" s="51"/>
      <c r="D402" s="51"/>
      <c r="E402" s="51"/>
      <c r="F402" s="51"/>
      <c r="G402" s="51"/>
      <c r="H402" s="51"/>
    </row>
    <row r="403" spans="3:8" ht="12.6">
      <c r="C403" s="51"/>
      <c r="D403" s="51"/>
      <c r="E403" s="51"/>
      <c r="F403" s="51"/>
      <c r="G403" s="51"/>
      <c r="H403" s="51"/>
    </row>
    <row r="404" spans="3:8" ht="12.6">
      <c r="C404" s="51"/>
      <c r="D404" s="51"/>
      <c r="E404" s="51"/>
      <c r="F404" s="51"/>
      <c r="G404" s="51"/>
      <c r="H404" s="51"/>
    </row>
    <row r="405" spans="3:8" ht="12.6">
      <c r="C405" s="51"/>
      <c r="D405" s="51"/>
      <c r="E405" s="51"/>
      <c r="F405" s="51"/>
      <c r="G405" s="51"/>
      <c r="H405" s="51"/>
    </row>
    <row r="406" spans="3:8" ht="12.6">
      <c r="C406" s="51"/>
      <c r="D406" s="51"/>
      <c r="E406" s="51"/>
      <c r="F406" s="51"/>
      <c r="G406" s="51"/>
      <c r="H406" s="51"/>
    </row>
    <row r="407" spans="3:8" ht="12.6">
      <c r="C407" s="51"/>
      <c r="D407" s="51"/>
      <c r="E407" s="51"/>
      <c r="F407" s="51"/>
      <c r="G407" s="51"/>
      <c r="H407" s="51"/>
    </row>
    <row r="408" spans="3:8" ht="12.6">
      <c r="C408" s="51"/>
      <c r="D408" s="51"/>
      <c r="E408" s="51"/>
      <c r="F408" s="51"/>
      <c r="G408" s="51"/>
      <c r="H408" s="51"/>
    </row>
    <row r="409" spans="3:8" ht="12.6">
      <c r="C409" s="51"/>
      <c r="D409" s="51"/>
      <c r="E409" s="51"/>
      <c r="F409" s="51"/>
      <c r="G409" s="51"/>
      <c r="H409" s="51"/>
    </row>
    <row r="410" spans="3:8" ht="12.6">
      <c r="C410" s="51"/>
      <c r="D410" s="51"/>
      <c r="E410" s="51"/>
      <c r="F410" s="51"/>
      <c r="G410" s="51"/>
      <c r="H410" s="51"/>
    </row>
    <row r="411" spans="3:8" ht="12.6">
      <c r="C411" s="51"/>
      <c r="D411" s="51"/>
      <c r="E411" s="51"/>
      <c r="F411" s="51"/>
      <c r="G411" s="51"/>
      <c r="H411" s="51"/>
    </row>
    <row r="412" spans="3:8" ht="12.6">
      <c r="C412" s="51"/>
      <c r="D412" s="51"/>
      <c r="E412" s="51"/>
      <c r="F412" s="51"/>
      <c r="G412" s="51"/>
      <c r="H412" s="51"/>
    </row>
    <row r="413" spans="3:8" ht="12.6">
      <c r="C413" s="51"/>
      <c r="D413" s="51"/>
      <c r="E413" s="51"/>
      <c r="F413" s="51"/>
      <c r="G413" s="51"/>
      <c r="H413" s="51"/>
    </row>
    <row r="414" spans="3:8" ht="12.6">
      <c r="C414" s="51"/>
      <c r="D414" s="51"/>
      <c r="E414" s="51"/>
      <c r="F414" s="51"/>
      <c r="G414" s="51"/>
      <c r="H414" s="51"/>
    </row>
    <row r="415" spans="3:8" ht="12.6">
      <c r="C415" s="51"/>
      <c r="D415" s="51"/>
      <c r="E415" s="51"/>
      <c r="F415" s="51"/>
      <c r="G415" s="51"/>
      <c r="H415" s="51"/>
    </row>
    <row r="416" spans="3:8" ht="12.6">
      <c r="C416" s="51"/>
      <c r="D416" s="51"/>
      <c r="E416" s="51"/>
      <c r="F416" s="51"/>
      <c r="G416" s="51"/>
      <c r="H416" s="51"/>
    </row>
    <row r="417" spans="3:8" ht="12.6">
      <c r="C417" s="51"/>
      <c r="D417" s="51"/>
      <c r="E417" s="51"/>
      <c r="F417" s="51"/>
      <c r="G417" s="51"/>
      <c r="H417" s="51"/>
    </row>
    <row r="418" spans="3:8" ht="12.6">
      <c r="C418" s="51"/>
      <c r="D418" s="51"/>
      <c r="E418" s="51"/>
      <c r="F418" s="51"/>
      <c r="G418" s="51"/>
      <c r="H418" s="51"/>
    </row>
    <row r="419" spans="3:8" ht="12.6">
      <c r="C419" s="51"/>
      <c r="D419" s="51"/>
      <c r="E419" s="51"/>
      <c r="F419" s="51"/>
      <c r="G419" s="51"/>
      <c r="H419" s="51"/>
    </row>
    <row r="420" spans="3:8" ht="12.6">
      <c r="C420" s="51"/>
      <c r="D420" s="51"/>
      <c r="E420" s="51"/>
      <c r="F420" s="51"/>
      <c r="G420" s="51"/>
      <c r="H420" s="51"/>
    </row>
    <row r="421" spans="3:8" ht="12.6">
      <c r="C421" s="51"/>
      <c r="D421" s="51"/>
      <c r="E421" s="51"/>
      <c r="F421" s="51"/>
      <c r="G421" s="51"/>
      <c r="H421" s="51"/>
    </row>
    <row r="422" spans="3:8" ht="12.6">
      <c r="C422" s="51"/>
      <c r="D422" s="51"/>
      <c r="E422" s="51"/>
      <c r="F422" s="51"/>
      <c r="G422" s="51"/>
      <c r="H422" s="51"/>
    </row>
    <row r="423" spans="3:8" ht="12.6">
      <c r="C423" s="51"/>
      <c r="D423" s="51"/>
      <c r="E423" s="51"/>
      <c r="F423" s="51"/>
      <c r="G423" s="51"/>
      <c r="H423" s="51"/>
    </row>
    <row r="424" spans="3:8" ht="12.6">
      <c r="C424" s="51"/>
      <c r="D424" s="51"/>
      <c r="E424" s="51"/>
      <c r="F424" s="51"/>
      <c r="G424" s="51"/>
      <c r="H424" s="51"/>
    </row>
    <row r="425" spans="3:8" ht="12.6">
      <c r="C425" s="51"/>
      <c r="D425" s="51"/>
      <c r="E425" s="51"/>
      <c r="F425" s="51"/>
      <c r="G425" s="51"/>
      <c r="H425" s="51"/>
    </row>
    <row r="426" spans="3:8" ht="12.6">
      <c r="C426" s="51"/>
      <c r="D426" s="51"/>
      <c r="E426" s="51"/>
      <c r="F426" s="51"/>
      <c r="G426" s="51"/>
      <c r="H426" s="51"/>
    </row>
    <row r="427" spans="3:8" ht="12.6">
      <c r="C427" s="51"/>
      <c r="D427" s="51"/>
      <c r="E427" s="51"/>
      <c r="F427" s="51"/>
      <c r="G427" s="51"/>
      <c r="H427" s="51"/>
    </row>
    <row r="428" spans="3:8" ht="12.6">
      <c r="C428" s="51"/>
      <c r="D428" s="51"/>
      <c r="E428" s="51"/>
      <c r="F428" s="51"/>
      <c r="G428" s="51"/>
      <c r="H428" s="51"/>
    </row>
    <row r="429" spans="3:8" ht="12.6">
      <c r="C429" s="51"/>
      <c r="D429" s="51"/>
      <c r="E429" s="51"/>
      <c r="F429" s="51"/>
      <c r="G429" s="51"/>
      <c r="H429" s="51"/>
    </row>
    <row r="430" spans="3:8" ht="12.6">
      <c r="C430" s="51"/>
      <c r="D430" s="51"/>
      <c r="E430" s="51"/>
      <c r="F430" s="51"/>
      <c r="G430" s="51"/>
      <c r="H430" s="51"/>
    </row>
    <row r="431" spans="3:8" ht="12.6">
      <c r="C431" s="51"/>
      <c r="D431" s="51"/>
      <c r="E431" s="51"/>
      <c r="F431" s="51"/>
      <c r="G431" s="51"/>
      <c r="H431" s="51"/>
    </row>
    <row r="432" spans="3:8" ht="12.6">
      <c r="C432" s="51"/>
      <c r="D432" s="51"/>
      <c r="E432" s="51"/>
      <c r="F432" s="51"/>
      <c r="G432" s="51"/>
      <c r="H432" s="51"/>
    </row>
    <row r="433" spans="3:8" ht="12.6">
      <c r="C433" s="51"/>
      <c r="D433" s="51"/>
      <c r="E433" s="51"/>
      <c r="F433" s="51"/>
      <c r="G433" s="51"/>
      <c r="H433" s="51"/>
    </row>
    <row r="434" spans="3:8" ht="12.6">
      <c r="C434" s="51"/>
      <c r="D434" s="51"/>
      <c r="E434" s="51"/>
      <c r="F434" s="51"/>
      <c r="G434" s="51"/>
      <c r="H434" s="51"/>
    </row>
    <row r="435" spans="3:8" ht="12.6">
      <c r="C435" s="51"/>
      <c r="D435" s="51"/>
      <c r="E435" s="51"/>
      <c r="F435" s="51"/>
      <c r="G435" s="51"/>
      <c r="H435" s="51"/>
    </row>
    <row r="436" spans="3:8" ht="12.6">
      <c r="C436" s="51"/>
      <c r="D436" s="51"/>
      <c r="E436" s="51"/>
      <c r="F436" s="51"/>
      <c r="G436" s="51"/>
      <c r="H436" s="51"/>
    </row>
    <row r="437" spans="3:8" ht="12.6">
      <c r="C437" s="51"/>
      <c r="D437" s="51"/>
      <c r="E437" s="51"/>
      <c r="F437" s="51"/>
      <c r="G437" s="51"/>
      <c r="H437" s="51"/>
    </row>
    <row r="438" spans="3:8" ht="12.6">
      <c r="C438" s="51"/>
      <c r="D438" s="51"/>
      <c r="E438" s="51"/>
      <c r="F438" s="51"/>
      <c r="G438" s="51"/>
      <c r="H438" s="51"/>
    </row>
    <row r="439" spans="3:8" ht="12.6">
      <c r="C439" s="51"/>
      <c r="D439" s="51"/>
      <c r="E439" s="51"/>
      <c r="F439" s="51"/>
      <c r="G439" s="51"/>
      <c r="H439" s="51"/>
    </row>
    <row r="440" spans="3:8" ht="12.6">
      <c r="C440" s="51"/>
      <c r="D440" s="51"/>
      <c r="E440" s="51"/>
      <c r="F440" s="51"/>
      <c r="G440" s="51"/>
      <c r="H440" s="51"/>
    </row>
    <row r="441" spans="3:8" ht="12.6">
      <c r="C441" s="51"/>
      <c r="D441" s="51"/>
      <c r="E441" s="51"/>
      <c r="F441" s="51"/>
      <c r="G441" s="51"/>
      <c r="H441" s="51"/>
    </row>
    <row r="442" spans="3:8" ht="12.6">
      <c r="C442" s="51"/>
      <c r="D442" s="51"/>
      <c r="E442" s="51"/>
      <c r="F442" s="51"/>
      <c r="G442" s="51"/>
      <c r="H442" s="51"/>
    </row>
    <row r="443" spans="3:8" ht="12.6">
      <c r="C443" s="51"/>
      <c r="D443" s="51"/>
      <c r="E443" s="51"/>
      <c r="F443" s="51"/>
      <c r="G443" s="51"/>
      <c r="H443" s="51"/>
    </row>
    <row r="444" spans="3:8" ht="12.6">
      <c r="C444" s="51"/>
      <c r="D444" s="51"/>
      <c r="E444" s="51"/>
      <c r="F444" s="51"/>
      <c r="G444" s="51"/>
      <c r="H444" s="51"/>
    </row>
    <row r="445" spans="3:8" ht="12.6">
      <c r="C445" s="51"/>
      <c r="D445" s="51"/>
      <c r="E445" s="51"/>
      <c r="F445" s="51"/>
      <c r="G445" s="51"/>
      <c r="H445" s="51"/>
    </row>
    <row r="446" spans="3:8" ht="12.6">
      <c r="C446" s="51"/>
      <c r="D446" s="51"/>
      <c r="E446" s="51"/>
      <c r="F446" s="51"/>
      <c r="G446" s="51"/>
      <c r="H446" s="51"/>
    </row>
    <row r="447" spans="3:8" ht="12.6">
      <c r="C447" s="51"/>
      <c r="D447" s="51"/>
      <c r="E447" s="51"/>
      <c r="F447" s="51"/>
      <c r="G447" s="51"/>
      <c r="H447" s="51"/>
    </row>
    <row r="448" spans="3:8" ht="12.6">
      <c r="C448" s="51"/>
      <c r="D448" s="51"/>
      <c r="E448" s="51"/>
      <c r="F448" s="51"/>
      <c r="G448" s="51"/>
      <c r="H448" s="51"/>
    </row>
    <row r="449" spans="3:8" ht="12.6">
      <c r="C449" s="51"/>
      <c r="D449" s="51"/>
      <c r="E449" s="51"/>
      <c r="F449" s="51"/>
      <c r="G449" s="51"/>
      <c r="H449" s="51"/>
    </row>
    <row r="450" spans="3:8" ht="12.6">
      <c r="C450" s="51"/>
      <c r="D450" s="51"/>
      <c r="E450" s="51"/>
      <c r="F450" s="51"/>
      <c r="G450" s="51"/>
      <c r="H450" s="51"/>
    </row>
    <row r="451" spans="3:8" ht="12.6">
      <c r="C451" s="51"/>
      <c r="D451" s="51"/>
      <c r="E451" s="51"/>
      <c r="F451" s="51"/>
      <c r="G451" s="51"/>
      <c r="H451" s="51"/>
    </row>
    <row r="452" spans="3:8" ht="12.6">
      <c r="C452" s="51"/>
      <c r="D452" s="51"/>
      <c r="E452" s="51"/>
      <c r="F452" s="51"/>
      <c r="G452" s="51"/>
      <c r="H452" s="51"/>
    </row>
    <row r="453" spans="3:8" ht="12.6">
      <c r="C453" s="51"/>
      <c r="D453" s="51"/>
      <c r="E453" s="51"/>
      <c r="F453" s="51"/>
      <c r="G453" s="51"/>
      <c r="H453" s="51"/>
    </row>
    <row r="454" spans="3:8" ht="12.6">
      <c r="C454" s="51"/>
      <c r="D454" s="51"/>
      <c r="E454" s="51"/>
      <c r="F454" s="51"/>
      <c r="G454" s="51"/>
      <c r="H454" s="51"/>
    </row>
    <row r="455" spans="3:8" ht="12.6">
      <c r="C455" s="51"/>
      <c r="D455" s="51"/>
      <c r="E455" s="51"/>
      <c r="F455" s="51"/>
      <c r="G455" s="51"/>
      <c r="H455" s="51"/>
    </row>
    <row r="456" spans="3:8" ht="12.6">
      <c r="C456" s="51"/>
      <c r="D456" s="51"/>
      <c r="E456" s="51"/>
      <c r="F456" s="51"/>
      <c r="G456" s="51"/>
      <c r="H456" s="51"/>
    </row>
    <row r="457" spans="3:8" ht="12.6">
      <c r="C457" s="51"/>
      <c r="D457" s="51"/>
      <c r="E457" s="51"/>
      <c r="F457" s="51"/>
      <c r="G457" s="51"/>
      <c r="H457" s="51"/>
    </row>
    <row r="458" spans="3:8" ht="12.6">
      <c r="C458" s="51"/>
      <c r="D458" s="51"/>
      <c r="E458" s="51"/>
      <c r="F458" s="51"/>
      <c r="G458" s="51"/>
      <c r="H458" s="51"/>
    </row>
    <row r="459" spans="3:8" ht="12.6">
      <c r="C459" s="51"/>
      <c r="D459" s="51"/>
      <c r="E459" s="51"/>
      <c r="F459" s="51"/>
      <c r="G459" s="51"/>
      <c r="H459" s="51"/>
    </row>
    <row r="460" spans="3:8" ht="12.6">
      <c r="C460" s="51"/>
      <c r="D460" s="51"/>
      <c r="E460" s="51"/>
      <c r="F460" s="51"/>
      <c r="G460" s="51"/>
      <c r="H460" s="51"/>
    </row>
    <row r="461" spans="3:8" ht="12.6">
      <c r="C461" s="51"/>
      <c r="D461" s="51"/>
      <c r="E461" s="51"/>
      <c r="F461" s="51"/>
      <c r="G461" s="51"/>
      <c r="H461" s="51"/>
    </row>
    <row r="462" spans="3:8" ht="12.6">
      <c r="C462" s="51"/>
      <c r="D462" s="51"/>
      <c r="E462" s="51"/>
      <c r="F462" s="51"/>
      <c r="G462" s="51"/>
      <c r="H462" s="51"/>
    </row>
    <row r="463" spans="3:8" ht="12.6">
      <c r="C463" s="51"/>
      <c r="D463" s="51"/>
      <c r="E463" s="51"/>
      <c r="F463" s="51"/>
      <c r="G463" s="51"/>
      <c r="H463" s="51"/>
    </row>
    <row r="464" spans="3:8" ht="12.6">
      <c r="C464" s="51"/>
      <c r="D464" s="51"/>
      <c r="E464" s="51"/>
      <c r="F464" s="51"/>
      <c r="G464" s="51"/>
      <c r="H464" s="51"/>
    </row>
    <row r="465" spans="3:8" ht="12.6">
      <c r="C465" s="51"/>
      <c r="D465" s="51"/>
      <c r="E465" s="51"/>
      <c r="F465" s="51"/>
      <c r="G465" s="51"/>
      <c r="H465" s="51"/>
    </row>
    <row r="466" spans="3:8" ht="12.6">
      <c r="C466" s="51"/>
      <c r="D466" s="51"/>
      <c r="E466" s="51"/>
      <c r="F466" s="51"/>
      <c r="G466" s="51"/>
      <c r="H466" s="51"/>
    </row>
    <row r="467" spans="3:8" ht="12.6">
      <c r="C467" s="51"/>
      <c r="D467" s="51"/>
      <c r="E467" s="51"/>
      <c r="F467" s="51"/>
      <c r="G467" s="51"/>
      <c r="H467" s="51"/>
    </row>
    <row r="468" spans="3:8" ht="12.6">
      <c r="C468" s="51"/>
      <c r="D468" s="51"/>
      <c r="E468" s="51"/>
      <c r="F468" s="51"/>
      <c r="G468" s="51"/>
      <c r="H468" s="51"/>
    </row>
    <row r="469" spans="3:8" ht="12.6">
      <c r="C469" s="51"/>
      <c r="D469" s="51"/>
      <c r="E469" s="51"/>
      <c r="F469" s="51"/>
      <c r="G469" s="51"/>
      <c r="H469" s="51"/>
    </row>
    <row r="470" spans="3:8" ht="12.6">
      <c r="C470" s="51"/>
      <c r="D470" s="51"/>
      <c r="E470" s="51"/>
      <c r="F470" s="51"/>
      <c r="G470" s="51"/>
      <c r="H470" s="51"/>
    </row>
    <row r="471" spans="3:8" ht="12.6">
      <c r="C471" s="51"/>
      <c r="D471" s="51"/>
      <c r="E471" s="51"/>
      <c r="F471" s="51"/>
      <c r="G471" s="51"/>
      <c r="H471" s="51"/>
    </row>
    <row r="472" spans="3:8" ht="12.6">
      <c r="C472" s="51"/>
      <c r="D472" s="51"/>
      <c r="E472" s="51"/>
      <c r="F472" s="51"/>
      <c r="G472" s="51"/>
      <c r="H472" s="51"/>
    </row>
    <row r="473" spans="3:8" ht="12.6">
      <c r="C473" s="51"/>
      <c r="D473" s="51"/>
      <c r="E473" s="51"/>
      <c r="F473" s="51"/>
      <c r="G473" s="51"/>
      <c r="H473" s="51"/>
    </row>
    <row r="474" spans="3:8" ht="12.6">
      <c r="C474" s="51"/>
      <c r="D474" s="51"/>
      <c r="E474" s="51"/>
      <c r="F474" s="51"/>
      <c r="G474" s="51"/>
      <c r="H474" s="51"/>
    </row>
    <row r="475" spans="3:8" ht="12.6">
      <c r="C475" s="51"/>
      <c r="D475" s="51"/>
      <c r="E475" s="51"/>
      <c r="F475" s="51"/>
      <c r="G475" s="51"/>
      <c r="H475" s="51"/>
    </row>
    <row r="476" spans="3:8" ht="12.6">
      <c r="C476" s="51"/>
      <c r="D476" s="51"/>
      <c r="E476" s="51"/>
      <c r="F476" s="51"/>
      <c r="G476" s="51"/>
      <c r="H476" s="51"/>
    </row>
    <row r="477" spans="3:8" ht="12.6">
      <c r="C477" s="51"/>
      <c r="D477" s="51"/>
      <c r="E477" s="51"/>
      <c r="F477" s="51"/>
      <c r="G477" s="51"/>
      <c r="H477" s="51"/>
    </row>
    <row r="478" spans="3:8" ht="12.6">
      <c r="C478" s="51"/>
      <c r="D478" s="51"/>
      <c r="E478" s="51"/>
      <c r="F478" s="51"/>
      <c r="G478" s="51"/>
      <c r="H478" s="51"/>
    </row>
    <row r="479" spans="3:8" ht="12.6">
      <c r="C479" s="51"/>
      <c r="D479" s="51"/>
      <c r="E479" s="51"/>
      <c r="F479" s="51"/>
      <c r="G479" s="51"/>
      <c r="H479" s="51"/>
    </row>
    <row r="480" spans="3:8" ht="12.6">
      <c r="C480" s="51"/>
      <c r="D480" s="51"/>
      <c r="E480" s="51"/>
      <c r="F480" s="51"/>
      <c r="G480" s="51"/>
      <c r="H480" s="51"/>
    </row>
    <row r="481" spans="3:8" ht="12.6">
      <c r="C481" s="51"/>
      <c r="D481" s="51"/>
      <c r="E481" s="51"/>
      <c r="F481" s="51"/>
      <c r="G481" s="51"/>
      <c r="H481" s="51"/>
    </row>
    <row r="482" spans="3:8" ht="12.6">
      <c r="C482" s="51"/>
      <c r="D482" s="51"/>
      <c r="E482" s="51"/>
      <c r="F482" s="51"/>
      <c r="G482" s="51"/>
      <c r="H482" s="51"/>
    </row>
    <row r="483" spans="3:8" ht="12.6">
      <c r="C483" s="51"/>
      <c r="D483" s="51"/>
      <c r="E483" s="51"/>
      <c r="F483" s="51"/>
      <c r="G483" s="51"/>
      <c r="H483" s="51"/>
    </row>
    <row r="484" spans="3:8" ht="12.6">
      <c r="C484" s="51"/>
      <c r="D484" s="51"/>
      <c r="E484" s="51"/>
      <c r="F484" s="51"/>
      <c r="G484" s="51"/>
      <c r="H484" s="51"/>
    </row>
    <row r="485" spans="3:8" ht="12.6">
      <c r="C485" s="51"/>
      <c r="D485" s="51"/>
      <c r="E485" s="51"/>
      <c r="F485" s="51"/>
      <c r="G485" s="51"/>
      <c r="H485" s="51"/>
    </row>
    <row r="486" spans="3:8" ht="12.6">
      <c r="C486" s="51"/>
      <c r="D486" s="51"/>
      <c r="E486" s="51"/>
      <c r="F486" s="51"/>
      <c r="G486" s="51"/>
      <c r="H486" s="51"/>
    </row>
    <row r="487" spans="3:8" ht="12.6">
      <c r="C487" s="51"/>
      <c r="D487" s="51"/>
      <c r="E487" s="51"/>
      <c r="F487" s="51"/>
      <c r="G487" s="51"/>
      <c r="H487" s="51"/>
    </row>
    <row r="488" spans="3:8" ht="12.6">
      <c r="C488" s="51"/>
      <c r="D488" s="51"/>
      <c r="E488" s="51"/>
      <c r="F488" s="51"/>
      <c r="G488" s="51"/>
      <c r="H488" s="51"/>
    </row>
    <row r="489" spans="3:8" ht="12.6">
      <c r="C489" s="51"/>
      <c r="D489" s="51"/>
      <c r="E489" s="51"/>
      <c r="F489" s="51"/>
      <c r="G489" s="51"/>
      <c r="H489" s="51"/>
    </row>
    <row r="490" spans="3:8" ht="12.6">
      <c r="C490" s="51"/>
      <c r="D490" s="51"/>
      <c r="E490" s="51"/>
      <c r="F490" s="51"/>
      <c r="G490" s="51"/>
      <c r="H490" s="51"/>
    </row>
    <row r="491" spans="3:8" ht="12.6">
      <c r="C491" s="51"/>
      <c r="D491" s="51"/>
      <c r="E491" s="51"/>
      <c r="F491" s="51"/>
      <c r="G491" s="51"/>
      <c r="H491" s="51"/>
    </row>
    <row r="492" spans="3:8" ht="12.6">
      <c r="C492" s="51"/>
      <c r="D492" s="51"/>
      <c r="E492" s="51"/>
      <c r="F492" s="51"/>
      <c r="G492" s="51"/>
      <c r="H492" s="51"/>
    </row>
    <row r="493" spans="3:8" ht="12.6">
      <c r="C493" s="51"/>
      <c r="D493" s="51"/>
      <c r="E493" s="51"/>
      <c r="F493" s="51"/>
      <c r="G493" s="51"/>
      <c r="H493" s="51"/>
    </row>
    <row r="494" spans="3:8" ht="12.6">
      <c r="C494" s="51"/>
      <c r="D494" s="51"/>
      <c r="E494" s="51"/>
      <c r="F494" s="51"/>
      <c r="G494" s="51"/>
      <c r="H494" s="51"/>
    </row>
    <row r="495" spans="3:8" ht="12.6">
      <c r="C495" s="51"/>
      <c r="D495" s="51"/>
      <c r="E495" s="51"/>
      <c r="F495" s="51"/>
      <c r="G495" s="51"/>
      <c r="H495" s="51"/>
    </row>
    <row r="496" spans="3:8" ht="12.6">
      <c r="C496" s="51"/>
      <c r="D496" s="51"/>
      <c r="E496" s="51"/>
      <c r="F496" s="51"/>
      <c r="G496" s="51"/>
      <c r="H496" s="51"/>
    </row>
    <row r="497" spans="3:8" ht="12.6">
      <c r="C497" s="51"/>
      <c r="D497" s="51"/>
      <c r="E497" s="51"/>
      <c r="F497" s="51"/>
      <c r="G497" s="51"/>
      <c r="H497" s="51"/>
    </row>
    <row r="498" spans="3:8" ht="12.6">
      <c r="C498" s="51"/>
      <c r="D498" s="51"/>
      <c r="E498" s="51"/>
      <c r="F498" s="51"/>
      <c r="G498" s="51"/>
      <c r="H498" s="51"/>
    </row>
    <row r="499" spans="3:8" ht="12.6">
      <c r="C499" s="51"/>
      <c r="D499" s="51"/>
      <c r="E499" s="51"/>
      <c r="F499" s="51"/>
      <c r="G499" s="51"/>
      <c r="H499" s="51"/>
    </row>
    <row r="500" spans="3:8" ht="12.6">
      <c r="C500" s="51"/>
      <c r="D500" s="51"/>
      <c r="E500" s="51"/>
      <c r="F500" s="51"/>
      <c r="G500" s="51"/>
      <c r="H500" s="51"/>
    </row>
    <row r="501" spans="3:8" ht="12.6">
      <c r="C501" s="51"/>
      <c r="D501" s="51"/>
      <c r="E501" s="51"/>
      <c r="F501" s="51"/>
      <c r="G501" s="51"/>
      <c r="H501" s="51"/>
    </row>
    <row r="502" spans="3:8" ht="12.6">
      <c r="C502" s="51"/>
      <c r="D502" s="51"/>
      <c r="E502" s="51"/>
      <c r="F502" s="51"/>
      <c r="G502" s="51"/>
      <c r="H502" s="51"/>
    </row>
    <row r="503" spans="3:8" ht="12.6">
      <c r="C503" s="51"/>
      <c r="D503" s="51"/>
      <c r="E503" s="51"/>
      <c r="F503" s="51"/>
      <c r="G503" s="51"/>
      <c r="H503" s="51"/>
    </row>
    <row r="504" spans="3:8" ht="12.6">
      <c r="C504" s="51"/>
      <c r="D504" s="51"/>
      <c r="E504" s="51"/>
      <c r="F504" s="51"/>
      <c r="G504" s="51"/>
      <c r="H504" s="51"/>
    </row>
    <row r="505" spans="3:8" ht="12.6">
      <c r="C505" s="51"/>
      <c r="D505" s="51"/>
      <c r="E505" s="51"/>
      <c r="F505" s="51"/>
      <c r="G505" s="51"/>
      <c r="H505" s="51"/>
    </row>
    <row r="506" spans="3:8" ht="12.6">
      <c r="C506" s="51"/>
      <c r="D506" s="51"/>
      <c r="E506" s="51"/>
      <c r="F506" s="51"/>
      <c r="G506" s="51"/>
      <c r="H506" s="51"/>
    </row>
    <row r="507" spans="3:8" ht="12.6">
      <c r="C507" s="51"/>
      <c r="D507" s="51"/>
      <c r="E507" s="51"/>
      <c r="F507" s="51"/>
      <c r="G507" s="51"/>
      <c r="H507" s="51"/>
    </row>
    <row r="508" spans="3:8" ht="12.6">
      <c r="C508" s="51"/>
      <c r="D508" s="51"/>
      <c r="E508" s="51"/>
      <c r="F508" s="51"/>
      <c r="G508" s="51"/>
      <c r="H508" s="51"/>
    </row>
    <row r="509" spans="3:8" ht="12.6">
      <c r="C509" s="51"/>
      <c r="D509" s="51"/>
      <c r="E509" s="51"/>
      <c r="F509" s="51"/>
      <c r="G509" s="51"/>
      <c r="H509" s="51"/>
    </row>
    <row r="510" spans="3:8" ht="12.6">
      <c r="C510" s="51"/>
      <c r="D510" s="51"/>
      <c r="E510" s="51"/>
      <c r="F510" s="51"/>
      <c r="G510" s="51"/>
      <c r="H510" s="51"/>
    </row>
    <row r="511" spans="3:8" ht="12.6">
      <c r="C511" s="51"/>
      <c r="D511" s="51"/>
      <c r="E511" s="51"/>
      <c r="F511" s="51"/>
      <c r="G511" s="51"/>
      <c r="H511" s="51"/>
    </row>
    <row r="512" spans="3:8" ht="12.6">
      <c r="C512" s="51"/>
      <c r="D512" s="51"/>
      <c r="E512" s="51"/>
      <c r="F512" s="51"/>
      <c r="G512" s="51"/>
      <c r="H512" s="51"/>
    </row>
    <row r="513" spans="3:8" ht="12.6">
      <c r="C513" s="51"/>
      <c r="D513" s="51"/>
      <c r="E513" s="51"/>
      <c r="F513" s="51"/>
      <c r="G513" s="51"/>
      <c r="H513" s="51"/>
    </row>
    <row r="514" spans="3:8" ht="12.6">
      <c r="C514" s="51"/>
      <c r="D514" s="51"/>
      <c r="E514" s="51"/>
      <c r="F514" s="51"/>
      <c r="G514" s="51"/>
      <c r="H514" s="51"/>
    </row>
    <row r="515" spans="3:8" ht="12.6">
      <c r="C515" s="51"/>
      <c r="D515" s="51"/>
      <c r="E515" s="51"/>
      <c r="F515" s="51"/>
      <c r="G515" s="51"/>
      <c r="H515" s="51"/>
    </row>
    <row r="516" spans="3:8" ht="12.6">
      <c r="C516" s="51"/>
      <c r="D516" s="51"/>
      <c r="E516" s="51"/>
      <c r="F516" s="51"/>
      <c r="G516" s="51"/>
      <c r="H516" s="51"/>
    </row>
    <row r="517" spans="3:8" ht="12.6">
      <c r="C517" s="51"/>
      <c r="D517" s="51"/>
      <c r="E517" s="51"/>
      <c r="F517" s="51"/>
      <c r="G517" s="51"/>
      <c r="H517" s="51"/>
    </row>
    <row r="518" spans="3:8" ht="12.6">
      <c r="C518" s="51"/>
      <c r="D518" s="51"/>
      <c r="E518" s="51"/>
      <c r="F518" s="51"/>
      <c r="G518" s="51"/>
      <c r="H518" s="51"/>
    </row>
    <row r="519" spans="3:8" ht="12.6">
      <c r="C519" s="51"/>
      <c r="D519" s="51"/>
      <c r="E519" s="51"/>
      <c r="F519" s="51"/>
      <c r="G519" s="51"/>
      <c r="H519" s="51"/>
    </row>
    <row r="520" spans="3:8" ht="12.6">
      <c r="C520" s="51"/>
      <c r="D520" s="51"/>
      <c r="E520" s="51"/>
      <c r="F520" s="51"/>
      <c r="G520" s="51"/>
      <c r="H520" s="51"/>
    </row>
    <row r="521" spans="3:8" ht="12.6">
      <c r="C521" s="51"/>
      <c r="D521" s="51"/>
      <c r="E521" s="51"/>
      <c r="F521" s="51"/>
      <c r="G521" s="51"/>
      <c r="H521" s="51"/>
    </row>
    <row r="522" spans="3:8" ht="12.6">
      <c r="C522" s="51"/>
      <c r="D522" s="51"/>
      <c r="E522" s="51"/>
      <c r="F522" s="51"/>
      <c r="G522" s="51"/>
      <c r="H522" s="51"/>
    </row>
    <row r="523" spans="3:8" ht="12.6">
      <c r="C523" s="51"/>
      <c r="D523" s="51"/>
      <c r="E523" s="51"/>
      <c r="F523" s="51"/>
      <c r="G523" s="51"/>
      <c r="H523" s="51"/>
    </row>
    <row r="524" spans="3:8" ht="12.6">
      <c r="C524" s="51"/>
      <c r="D524" s="51"/>
      <c r="E524" s="51"/>
      <c r="F524" s="51"/>
      <c r="G524" s="51"/>
      <c r="H524" s="51"/>
    </row>
    <row r="525" spans="3:8" ht="12.6">
      <c r="C525" s="51"/>
      <c r="D525" s="51"/>
      <c r="E525" s="51"/>
      <c r="F525" s="51"/>
      <c r="G525" s="51"/>
      <c r="H525" s="51"/>
    </row>
    <row r="526" spans="3:8" ht="12.6">
      <c r="C526" s="51"/>
      <c r="D526" s="51"/>
      <c r="E526" s="51"/>
      <c r="F526" s="51"/>
      <c r="G526" s="51"/>
      <c r="H526" s="51"/>
    </row>
    <row r="527" spans="3:8" ht="12.6">
      <c r="C527" s="51"/>
      <c r="D527" s="51"/>
      <c r="E527" s="51"/>
      <c r="F527" s="51"/>
      <c r="G527" s="51"/>
      <c r="H527" s="51"/>
    </row>
    <row r="528" spans="3:8" ht="12.6">
      <c r="C528" s="51"/>
      <c r="D528" s="51"/>
      <c r="E528" s="51"/>
      <c r="F528" s="51"/>
      <c r="G528" s="51"/>
      <c r="H528" s="51"/>
    </row>
    <row r="529" spans="3:8" ht="12.6">
      <c r="C529" s="51"/>
      <c r="D529" s="51"/>
      <c r="E529" s="51"/>
      <c r="F529" s="51"/>
      <c r="G529" s="51"/>
      <c r="H529" s="51"/>
    </row>
    <row r="530" spans="3:8" ht="12.6">
      <c r="C530" s="51"/>
      <c r="D530" s="51"/>
      <c r="E530" s="51"/>
      <c r="F530" s="51"/>
      <c r="G530" s="51"/>
      <c r="H530" s="51"/>
    </row>
    <row r="531" spans="3:8" ht="12.6">
      <c r="C531" s="51"/>
      <c r="D531" s="51"/>
      <c r="E531" s="51"/>
      <c r="F531" s="51"/>
      <c r="G531" s="51"/>
      <c r="H531" s="51"/>
    </row>
    <row r="532" spans="3:8" ht="12.6">
      <c r="C532" s="51"/>
      <c r="D532" s="51"/>
      <c r="E532" s="51"/>
      <c r="F532" s="51"/>
      <c r="G532" s="51"/>
      <c r="H532" s="51"/>
    </row>
    <row r="533" spans="3:8" ht="12.6">
      <c r="C533" s="51"/>
      <c r="D533" s="51"/>
      <c r="E533" s="51"/>
      <c r="F533" s="51"/>
      <c r="G533" s="51"/>
      <c r="H533" s="51"/>
    </row>
    <row r="534" spans="3:8" ht="12.6">
      <c r="C534" s="51"/>
      <c r="D534" s="51"/>
      <c r="E534" s="51"/>
      <c r="F534" s="51"/>
      <c r="G534" s="51"/>
      <c r="H534" s="51"/>
    </row>
    <row r="535" spans="3:8" ht="12.6">
      <c r="C535" s="51"/>
      <c r="D535" s="51"/>
      <c r="E535" s="51"/>
      <c r="F535" s="51"/>
      <c r="G535" s="51"/>
      <c r="H535" s="51"/>
    </row>
    <row r="536" spans="3:8" ht="12.6">
      <c r="C536" s="51"/>
      <c r="D536" s="51"/>
      <c r="E536" s="51"/>
      <c r="F536" s="51"/>
      <c r="G536" s="51"/>
      <c r="H536" s="51"/>
    </row>
    <row r="537" spans="3:8" ht="12.6">
      <c r="C537" s="51"/>
      <c r="D537" s="51"/>
      <c r="E537" s="51"/>
      <c r="F537" s="51"/>
      <c r="G537" s="51"/>
      <c r="H537" s="51"/>
    </row>
    <row r="538" spans="3:8" ht="12.6">
      <c r="C538" s="51"/>
      <c r="D538" s="51"/>
      <c r="E538" s="51"/>
      <c r="F538" s="51"/>
      <c r="G538" s="51"/>
      <c r="H538" s="51"/>
    </row>
    <row r="539" spans="3:8" ht="12.6">
      <c r="C539" s="51"/>
      <c r="D539" s="51"/>
      <c r="E539" s="51"/>
      <c r="F539" s="51"/>
      <c r="G539" s="51"/>
      <c r="H539" s="51"/>
    </row>
    <row r="540" spans="3:8" ht="12.6">
      <c r="C540" s="51"/>
      <c r="D540" s="51"/>
      <c r="E540" s="51"/>
      <c r="F540" s="51"/>
      <c r="G540" s="51"/>
      <c r="H540" s="51"/>
    </row>
    <row r="541" spans="3:8" ht="12.6">
      <c r="C541" s="51"/>
      <c r="D541" s="51"/>
      <c r="E541" s="51"/>
      <c r="F541" s="51"/>
      <c r="G541" s="51"/>
      <c r="H541" s="51"/>
    </row>
    <row r="542" spans="3:8" ht="12.6">
      <c r="C542" s="51"/>
      <c r="D542" s="51"/>
      <c r="E542" s="51"/>
      <c r="F542" s="51"/>
      <c r="G542" s="51"/>
      <c r="H542" s="51"/>
    </row>
    <row r="543" spans="3:8" ht="12.6">
      <c r="C543" s="51"/>
      <c r="D543" s="51"/>
      <c r="E543" s="51"/>
      <c r="F543" s="51"/>
      <c r="G543" s="51"/>
      <c r="H543" s="51"/>
    </row>
    <row r="544" spans="3:8" ht="12.6">
      <c r="C544" s="51"/>
      <c r="D544" s="51"/>
      <c r="E544" s="51"/>
      <c r="F544" s="51"/>
      <c r="G544" s="51"/>
      <c r="H544" s="51"/>
    </row>
    <row r="545" spans="3:8" ht="12.6">
      <c r="C545" s="51"/>
      <c r="D545" s="51"/>
      <c r="E545" s="51"/>
      <c r="F545" s="51"/>
      <c r="G545" s="51"/>
      <c r="H545" s="51"/>
    </row>
    <row r="546" spans="3:8" ht="12.6">
      <c r="C546" s="51"/>
      <c r="D546" s="51"/>
      <c r="E546" s="51"/>
      <c r="F546" s="51"/>
      <c r="G546" s="51"/>
      <c r="H546" s="51"/>
    </row>
    <row r="547" spans="3:8" ht="12.6">
      <c r="C547" s="51"/>
      <c r="D547" s="51"/>
      <c r="E547" s="51"/>
      <c r="F547" s="51"/>
      <c r="G547" s="51"/>
      <c r="H547" s="51"/>
    </row>
    <row r="548" spans="3:8" ht="12.6">
      <c r="C548" s="51"/>
      <c r="D548" s="51"/>
      <c r="E548" s="51"/>
      <c r="F548" s="51"/>
      <c r="G548" s="51"/>
      <c r="H548" s="51"/>
    </row>
    <row r="549" spans="3:8" ht="12.6">
      <c r="C549" s="51"/>
      <c r="D549" s="51"/>
      <c r="E549" s="51"/>
      <c r="F549" s="51"/>
      <c r="G549" s="51"/>
      <c r="H549" s="51"/>
    </row>
    <row r="550" spans="3:8" ht="12.6">
      <c r="C550" s="51"/>
      <c r="D550" s="51"/>
      <c r="E550" s="51"/>
      <c r="F550" s="51"/>
      <c r="G550" s="51"/>
      <c r="H550" s="51"/>
    </row>
    <row r="551" spans="3:8" ht="12.6">
      <c r="C551" s="51"/>
      <c r="D551" s="51"/>
      <c r="E551" s="51"/>
      <c r="F551" s="51"/>
      <c r="G551" s="51"/>
      <c r="H551" s="51"/>
    </row>
    <row r="552" spans="3:8" ht="12.6">
      <c r="C552" s="51"/>
      <c r="D552" s="51"/>
      <c r="E552" s="51"/>
      <c r="F552" s="51"/>
      <c r="G552" s="51"/>
      <c r="H552" s="51"/>
    </row>
    <row r="553" spans="3:8" ht="12.6">
      <c r="C553" s="51"/>
      <c r="D553" s="51"/>
      <c r="E553" s="51"/>
      <c r="F553" s="51"/>
      <c r="G553" s="51"/>
      <c r="H553" s="51"/>
    </row>
    <row r="554" spans="3:8" ht="12.6">
      <c r="C554" s="51"/>
      <c r="D554" s="51"/>
      <c r="E554" s="51"/>
      <c r="F554" s="51"/>
      <c r="G554" s="51"/>
      <c r="H554" s="51"/>
    </row>
    <row r="555" spans="3:8" ht="12.6">
      <c r="C555" s="51"/>
      <c r="D555" s="51"/>
      <c r="E555" s="51"/>
      <c r="F555" s="51"/>
      <c r="G555" s="51"/>
      <c r="H555" s="51"/>
    </row>
    <row r="556" spans="3:8" ht="12.6">
      <c r="C556" s="51"/>
      <c r="D556" s="51"/>
      <c r="E556" s="51"/>
      <c r="F556" s="51"/>
      <c r="G556" s="51"/>
      <c r="H556" s="51"/>
    </row>
    <row r="557" spans="3:8" ht="12.6">
      <c r="C557" s="51"/>
      <c r="D557" s="51"/>
      <c r="E557" s="51"/>
      <c r="F557" s="51"/>
      <c r="G557" s="51"/>
      <c r="H557" s="51"/>
    </row>
    <row r="558" spans="3:8" ht="12.6">
      <c r="C558" s="51"/>
      <c r="D558" s="51"/>
      <c r="E558" s="51"/>
      <c r="F558" s="51"/>
      <c r="G558" s="51"/>
      <c r="H558" s="51"/>
    </row>
    <row r="559" spans="3:8" ht="12.6">
      <c r="C559" s="51"/>
      <c r="D559" s="51"/>
      <c r="E559" s="51"/>
      <c r="F559" s="51"/>
      <c r="G559" s="51"/>
      <c r="H559" s="51"/>
    </row>
    <row r="560" spans="3:8" ht="12.6">
      <c r="C560" s="51"/>
      <c r="D560" s="51"/>
      <c r="E560" s="51"/>
      <c r="F560" s="51"/>
      <c r="G560" s="51"/>
      <c r="H560" s="51"/>
    </row>
    <row r="561" spans="3:8" ht="12.6">
      <c r="C561" s="51"/>
      <c r="D561" s="51"/>
      <c r="E561" s="51"/>
      <c r="F561" s="51"/>
      <c r="G561" s="51"/>
      <c r="H561" s="51"/>
    </row>
    <row r="562" spans="3:8" ht="12.6">
      <c r="C562" s="51"/>
      <c r="D562" s="51"/>
      <c r="E562" s="51"/>
      <c r="F562" s="51"/>
      <c r="G562" s="51"/>
      <c r="H562" s="51"/>
    </row>
    <row r="563" spans="3:8" ht="12.6">
      <c r="C563" s="51"/>
      <c r="D563" s="51"/>
      <c r="E563" s="51"/>
      <c r="F563" s="51"/>
      <c r="G563" s="51"/>
      <c r="H563" s="51"/>
    </row>
    <row r="564" spans="3:8" ht="12.6">
      <c r="C564" s="51"/>
      <c r="D564" s="51"/>
      <c r="E564" s="51"/>
      <c r="F564" s="51"/>
      <c r="G564" s="51"/>
      <c r="H564" s="51"/>
    </row>
    <row r="565" spans="3:8" ht="12.6">
      <c r="C565" s="51"/>
      <c r="D565" s="51"/>
      <c r="E565" s="51"/>
      <c r="F565" s="51"/>
      <c r="G565" s="51"/>
      <c r="H565" s="51"/>
    </row>
    <row r="566" spans="3:8" ht="12.6">
      <c r="C566" s="51"/>
      <c r="D566" s="51"/>
      <c r="E566" s="51"/>
      <c r="F566" s="51"/>
      <c r="G566" s="51"/>
      <c r="H566" s="51"/>
    </row>
    <row r="567" spans="3:8" ht="12.6">
      <c r="C567" s="51"/>
      <c r="D567" s="51"/>
      <c r="E567" s="51"/>
      <c r="F567" s="51"/>
      <c r="G567" s="51"/>
      <c r="H567" s="51"/>
    </row>
    <row r="568" spans="3:8" ht="12.6">
      <c r="C568" s="51"/>
      <c r="D568" s="51"/>
      <c r="E568" s="51"/>
      <c r="F568" s="51"/>
      <c r="G568" s="51"/>
      <c r="H568" s="51"/>
    </row>
    <row r="569" spans="3:8" ht="12.6">
      <c r="C569" s="51"/>
      <c r="D569" s="51"/>
      <c r="E569" s="51"/>
      <c r="F569" s="51"/>
      <c r="G569" s="51"/>
      <c r="H569" s="51"/>
    </row>
    <row r="570" spans="3:8" ht="12.6">
      <c r="C570" s="51"/>
      <c r="D570" s="51"/>
      <c r="E570" s="51"/>
      <c r="F570" s="51"/>
      <c r="G570" s="51"/>
      <c r="H570" s="51"/>
    </row>
    <row r="571" spans="3:8" ht="12.6">
      <c r="C571" s="51"/>
      <c r="D571" s="51"/>
      <c r="E571" s="51"/>
      <c r="F571" s="51"/>
      <c r="G571" s="51"/>
      <c r="H571" s="51"/>
    </row>
    <row r="572" spans="3:8" ht="12.6">
      <c r="C572" s="51"/>
      <c r="D572" s="51"/>
      <c r="E572" s="51"/>
      <c r="F572" s="51"/>
      <c r="G572" s="51"/>
      <c r="H572" s="51"/>
    </row>
    <row r="573" spans="3:8" ht="12.6">
      <c r="C573" s="51"/>
      <c r="D573" s="51"/>
      <c r="E573" s="51"/>
      <c r="F573" s="51"/>
      <c r="G573" s="51"/>
      <c r="H573" s="51"/>
    </row>
    <row r="574" spans="3:8" ht="12.6">
      <c r="C574" s="51"/>
      <c r="D574" s="51"/>
      <c r="E574" s="51"/>
      <c r="F574" s="51"/>
      <c r="G574" s="51"/>
      <c r="H574" s="51"/>
    </row>
    <row r="575" spans="3:8" ht="12.6">
      <c r="C575" s="51"/>
      <c r="D575" s="51"/>
      <c r="E575" s="51"/>
      <c r="F575" s="51"/>
      <c r="G575" s="51"/>
      <c r="H575" s="51"/>
    </row>
    <row r="576" spans="3:8" ht="12.6">
      <c r="C576" s="51"/>
      <c r="D576" s="51"/>
      <c r="E576" s="51"/>
      <c r="F576" s="51"/>
      <c r="G576" s="51"/>
      <c r="H576" s="51"/>
    </row>
    <row r="577" spans="3:8" ht="12.6">
      <c r="C577" s="51"/>
      <c r="D577" s="51"/>
      <c r="E577" s="51"/>
      <c r="F577" s="51"/>
      <c r="G577" s="51"/>
      <c r="H577" s="51"/>
    </row>
    <row r="578" spans="3:8" ht="12.6">
      <c r="C578" s="51"/>
      <c r="D578" s="51"/>
      <c r="E578" s="51"/>
      <c r="F578" s="51"/>
      <c r="G578" s="51"/>
      <c r="H578" s="51"/>
    </row>
    <row r="579" spans="3:8" ht="12.6">
      <c r="C579" s="51"/>
      <c r="D579" s="51"/>
      <c r="E579" s="51"/>
      <c r="F579" s="51"/>
      <c r="G579" s="51"/>
      <c r="H579" s="51"/>
    </row>
    <row r="580" spans="3:8" ht="12.6">
      <c r="C580" s="51"/>
      <c r="D580" s="51"/>
      <c r="E580" s="51"/>
      <c r="F580" s="51"/>
      <c r="G580" s="51"/>
      <c r="H580" s="51"/>
    </row>
    <row r="581" spans="3:8" ht="12.6">
      <c r="C581" s="51"/>
      <c r="D581" s="51"/>
      <c r="E581" s="51"/>
      <c r="F581" s="51"/>
      <c r="G581" s="51"/>
      <c r="H581" s="51"/>
    </row>
    <row r="582" spans="3:8" ht="12.6">
      <c r="C582" s="51"/>
      <c r="D582" s="51"/>
      <c r="E582" s="51"/>
      <c r="F582" s="51"/>
      <c r="G582" s="51"/>
      <c r="H582" s="51"/>
    </row>
    <row r="583" spans="3:8" ht="12.6">
      <c r="C583" s="51"/>
      <c r="D583" s="51"/>
      <c r="E583" s="51"/>
      <c r="F583" s="51"/>
      <c r="G583" s="51"/>
      <c r="H583" s="51"/>
    </row>
    <row r="584" spans="3:8" ht="12.6">
      <c r="C584" s="51"/>
      <c r="D584" s="51"/>
      <c r="E584" s="51"/>
      <c r="F584" s="51"/>
      <c r="G584" s="51"/>
      <c r="H584" s="51"/>
    </row>
    <row r="585" spans="3:8" ht="12.6">
      <c r="C585" s="51"/>
      <c r="D585" s="51"/>
      <c r="E585" s="51"/>
      <c r="F585" s="51"/>
      <c r="G585" s="51"/>
      <c r="H585" s="51"/>
    </row>
    <row r="586" spans="3:8" ht="12.6">
      <c r="C586" s="51"/>
      <c r="D586" s="51"/>
      <c r="E586" s="51"/>
      <c r="F586" s="51"/>
      <c r="G586" s="51"/>
      <c r="H586" s="51"/>
    </row>
    <row r="587" spans="3:8" ht="12.6">
      <c r="C587" s="51"/>
      <c r="D587" s="51"/>
      <c r="E587" s="51"/>
      <c r="F587" s="51"/>
      <c r="G587" s="51"/>
      <c r="H587" s="51"/>
    </row>
    <row r="588" spans="3:8" ht="12.6">
      <c r="C588" s="51"/>
      <c r="D588" s="51"/>
      <c r="E588" s="51"/>
      <c r="F588" s="51"/>
      <c r="G588" s="51"/>
      <c r="H588" s="51"/>
    </row>
    <row r="589" spans="3:8" ht="12.6">
      <c r="C589" s="51"/>
      <c r="D589" s="51"/>
      <c r="E589" s="51"/>
      <c r="F589" s="51"/>
      <c r="G589" s="51"/>
      <c r="H589" s="51"/>
    </row>
    <row r="590" spans="3:8" ht="12.6">
      <c r="C590" s="51"/>
      <c r="D590" s="51"/>
      <c r="E590" s="51"/>
      <c r="F590" s="51"/>
      <c r="G590" s="51"/>
      <c r="H590" s="51"/>
    </row>
    <row r="591" spans="3:8" ht="12.6">
      <c r="C591" s="51"/>
      <c r="D591" s="51"/>
      <c r="E591" s="51"/>
      <c r="F591" s="51"/>
      <c r="G591" s="51"/>
      <c r="H591" s="51"/>
    </row>
    <row r="592" spans="3:8" ht="12.6">
      <c r="C592" s="51"/>
      <c r="D592" s="51"/>
      <c r="E592" s="51"/>
      <c r="F592" s="51"/>
      <c r="G592" s="51"/>
      <c r="H592" s="51"/>
    </row>
    <row r="593" spans="3:8" ht="12.6">
      <c r="C593" s="51"/>
      <c r="D593" s="51"/>
      <c r="E593" s="51"/>
      <c r="F593" s="51"/>
      <c r="G593" s="51"/>
      <c r="H593" s="51"/>
    </row>
    <row r="594" spans="3:8" ht="12.6">
      <c r="C594" s="51"/>
      <c r="D594" s="51"/>
      <c r="E594" s="51"/>
      <c r="F594" s="51"/>
      <c r="G594" s="51"/>
      <c r="H594" s="51"/>
    </row>
    <row r="595" spans="3:8" ht="12.6">
      <c r="C595" s="51"/>
      <c r="D595" s="51"/>
      <c r="E595" s="51"/>
      <c r="F595" s="51"/>
      <c r="G595" s="51"/>
      <c r="H595" s="51"/>
    </row>
    <row r="596" spans="3:8" ht="12.6">
      <c r="C596" s="51"/>
      <c r="D596" s="51"/>
      <c r="E596" s="51"/>
      <c r="F596" s="51"/>
      <c r="G596" s="51"/>
      <c r="H596" s="51"/>
    </row>
    <row r="597" spans="3:8" ht="12.6">
      <c r="C597" s="51"/>
      <c r="D597" s="51"/>
      <c r="E597" s="51"/>
      <c r="F597" s="51"/>
      <c r="G597" s="51"/>
      <c r="H597" s="51"/>
    </row>
    <row r="598" spans="3:8" ht="12.6">
      <c r="C598" s="51"/>
      <c r="D598" s="51"/>
      <c r="E598" s="51"/>
      <c r="F598" s="51"/>
      <c r="G598" s="51"/>
      <c r="H598" s="51"/>
    </row>
    <row r="599" spans="3:8" ht="12.6">
      <c r="C599" s="51"/>
      <c r="D599" s="51"/>
      <c r="E599" s="51"/>
      <c r="F599" s="51"/>
      <c r="G599" s="51"/>
      <c r="H599" s="51"/>
    </row>
    <row r="600" spans="3:8" ht="12.6">
      <c r="C600" s="51"/>
      <c r="D600" s="51"/>
      <c r="E600" s="51"/>
      <c r="F600" s="51"/>
      <c r="G600" s="51"/>
      <c r="H600" s="51"/>
    </row>
    <row r="601" spans="3:8" ht="12.6">
      <c r="C601" s="51"/>
      <c r="D601" s="51"/>
      <c r="E601" s="51"/>
      <c r="F601" s="51"/>
      <c r="G601" s="51"/>
      <c r="H601" s="51"/>
    </row>
    <row r="602" spans="3:8" ht="12.6">
      <c r="C602" s="51"/>
      <c r="D602" s="51"/>
      <c r="E602" s="51"/>
      <c r="F602" s="51"/>
      <c r="G602" s="51"/>
      <c r="H602" s="51"/>
    </row>
    <row r="603" spans="3:8" ht="12.6">
      <c r="C603" s="51"/>
      <c r="D603" s="51"/>
      <c r="E603" s="51"/>
      <c r="F603" s="51"/>
      <c r="G603" s="51"/>
      <c r="H603" s="51"/>
    </row>
    <row r="604" spans="3:8" ht="12.6">
      <c r="C604" s="51"/>
      <c r="D604" s="51"/>
      <c r="E604" s="51"/>
      <c r="F604" s="51"/>
      <c r="G604" s="51"/>
      <c r="H604" s="51"/>
    </row>
    <row r="605" spans="3:8" ht="12.6">
      <c r="C605" s="51"/>
      <c r="D605" s="51"/>
      <c r="E605" s="51"/>
      <c r="F605" s="51"/>
      <c r="G605" s="51"/>
      <c r="H605" s="51"/>
    </row>
    <row r="606" spans="3:8" ht="12.6">
      <c r="C606" s="51"/>
      <c r="D606" s="51"/>
      <c r="E606" s="51"/>
      <c r="F606" s="51"/>
      <c r="G606" s="51"/>
      <c r="H606" s="51"/>
    </row>
    <row r="607" spans="3:8" ht="12.6">
      <c r="C607" s="51"/>
      <c r="D607" s="51"/>
      <c r="E607" s="51"/>
      <c r="F607" s="51"/>
      <c r="G607" s="51"/>
      <c r="H607" s="51"/>
    </row>
    <row r="608" spans="3:8" ht="12.6">
      <c r="C608" s="51"/>
      <c r="D608" s="51"/>
      <c r="E608" s="51"/>
      <c r="F608" s="51"/>
      <c r="G608" s="51"/>
      <c r="H608" s="51"/>
    </row>
    <row r="609" spans="3:8" ht="12.6">
      <c r="C609" s="51"/>
      <c r="D609" s="51"/>
      <c r="E609" s="51"/>
      <c r="F609" s="51"/>
      <c r="G609" s="51"/>
      <c r="H609" s="51"/>
    </row>
    <row r="610" spans="3:8" ht="12.6">
      <c r="C610" s="51"/>
      <c r="D610" s="51"/>
      <c r="E610" s="51"/>
      <c r="F610" s="51"/>
      <c r="G610" s="51"/>
      <c r="H610" s="51"/>
    </row>
    <row r="611" spans="3:8" ht="12.6">
      <c r="C611" s="51"/>
      <c r="D611" s="51"/>
      <c r="E611" s="51"/>
      <c r="F611" s="51"/>
      <c r="G611" s="51"/>
      <c r="H611" s="51"/>
    </row>
    <row r="612" spans="3:8" ht="12.6">
      <c r="C612" s="51"/>
      <c r="D612" s="51"/>
      <c r="E612" s="51"/>
      <c r="F612" s="51"/>
      <c r="G612" s="51"/>
      <c r="H612" s="51"/>
    </row>
    <row r="613" spans="3:8" ht="12.6">
      <c r="C613" s="51"/>
      <c r="D613" s="51"/>
      <c r="E613" s="51"/>
      <c r="F613" s="51"/>
      <c r="G613" s="51"/>
      <c r="H613" s="51"/>
    </row>
    <row r="614" spans="3:8" ht="12.6">
      <c r="C614" s="51"/>
      <c r="D614" s="51"/>
      <c r="E614" s="51"/>
      <c r="F614" s="51"/>
      <c r="G614" s="51"/>
      <c r="H614" s="51"/>
    </row>
    <row r="615" spans="3:8" ht="12.6">
      <c r="C615" s="51"/>
      <c r="D615" s="51"/>
      <c r="E615" s="51"/>
      <c r="F615" s="51"/>
      <c r="G615" s="51"/>
      <c r="H615" s="51"/>
    </row>
    <row r="616" spans="3:8" ht="12.6">
      <c r="C616" s="51"/>
      <c r="D616" s="51"/>
      <c r="E616" s="51"/>
      <c r="F616" s="51"/>
      <c r="G616" s="51"/>
      <c r="H616" s="51"/>
    </row>
    <row r="617" spans="3:8" ht="12.6">
      <c r="C617" s="51"/>
      <c r="D617" s="51"/>
      <c r="E617" s="51"/>
      <c r="F617" s="51"/>
      <c r="G617" s="51"/>
      <c r="H617" s="51"/>
    </row>
    <row r="618" spans="3:8" ht="12.6">
      <c r="C618" s="51"/>
      <c r="D618" s="51"/>
      <c r="E618" s="51"/>
      <c r="F618" s="51"/>
      <c r="G618" s="51"/>
      <c r="H618" s="51"/>
    </row>
    <row r="619" spans="3:8" ht="12.6">
      <c r="C619" s="51"/>
      <c r="D619" s="51"/>
      <c r="E619" s="51"/>
      <c r="F619" s="51"/>
      <c r="G619" s="51"/>
      <c r="H619" s="51"/>
    </row>
    <row r="620" spans="3:8" ht="12.6">
      <c r="C620" s="51"/>
      <c r="D620" s="51"/>
      <c r="E620" s="51"/>
      <c r="F620" s="51"/>
      <c r="G620" s="51"/>
      <c r="H620" s="51"/>
    </row>
    <row r="621" spans="3:8" ht="12.6">
      <c r="C621" s="51"/>
      <c r="D621" s="51"/>
      <c r="E621" s="51"/>
      <c r="F621" s="51"/>
      <c r="G621" s="51"/>
      <c r="H621" s="51"/>
    </row>
    <row r="622" spans="3:8" ht="12.6">
      <c r="C622" s="51"/>
      <c r="D622" s="51"/>
      <c r="E622" s="51"/>
      <c r="F622" s="51"/>
      <c r="G622" s="51"/>
      <c r="H622" s="51"/>
    </row>
    <row r="623" spans="3:8" ht="12.6">
      <c r="C623" s="51"/>
      <c r="D623" s="51"/>
      <c r="E623" s="51"/>
      <c r="F623" s="51"/>
      <c r="G623" s="51"/>
      <c r="H623" s="51"/>
    </row>
    <row r="624" spans="3:8" ht="12.6">
      <c r="C624" s="51"/>
      <c r="D624" s="51"/>
      <c r="E624" s="51"/>
      <c r="F624" s="51"/>
      <c r="G624" s="51"/>
      <c r="H624" s="51"/>
    </row>
    <row r="625" spans="3:8" ht="12.6">
      <c r="C625" s="51"/>
      <c r="D625" s="51"/>
      <c r="E625" s="51"/>
      <c r="F625" s="51"/>
      <c r="G625" s="51"/>
      <c r="H625" s="51"/>
    </row>
    <row r="626" spans="3:8" ht="12.6">
      <c r="C626" s="51"/>
      <c r="D626" s="51"/>
      <c r="E626" s="51"/>
      <c r="F626" s="51"/>
      <c r="G626" s="51"/>
      <c r="H626" s="51"/>
    </row>
    <row r="627" spans="3:8" ht="12.6">
      <c r="C627" s="51"/>
      <c r="D627" s="51"/>
      <c r="E627" s="51"/>
      <c r="F627" s="51"/>
      <c r="G627" s="51"/>
      <c r="H627" s="51"/>
    </row>
    <row r="628" spans="3:8" ht="12.6">
      <c r="C628" s="51"/>
      <c r="D628" s="51"/>
      <c r="E628" s="51"/>
      <c r="F628" s="51"/>
      <c r="G628" s="51"/>
      <c r="H628" s="51"/>
    </row>
    <row r="629" spans="3:8" ht="12.6">
      <c r="C629" s="51"/>
      <c r="D629" s="51"/>
      <c r="E629" s="51"/>
      <c r="F629" s="51"/>
      <c r="G629" s="51"/>
      <c r="H629" s="51"/>
    </row>
    <row r="630" spans="3:8" ht="12.6">
      <c r="C630" s="51"/>
      <c r="D630" s="51"/>
      <c r="E630" s="51"/>
      <c r="F630" s="51"/>
      <c r="G630" s="51"/>
      <c r="H630" s="51"/>
    </row>
    <row r="631" spans="3:8" ht="12.6">
      <c r="C631" s="51"/>
      <c r="D631" s="51"/>
      <c r="E631" s="51"/>
      <c r="F631" s="51"/>
      <c r="G631" s="51"/>
      <c r="H631" s="51"/>
    </row>
    <row r="632" spans="3:8" ht="12.6">
      <c r="C632" s="51"/>
      <c r="D632" s="51"/>
      <c r="E632" s="51"/>
      <c r="F632" s="51"/>
      <c r="G632" s="51"/>
      <c r="H632" s="51"/>
    </row>
    <row r="633" spans="3:8" ht="12.6">
      <c r="C633" s="51"/>
      <c r="D633" s="51"/>
      <c r="E633" s="51"/>
      <c r="F633" s="51"/>
      <c r="G633" s="51"/>
      <c r="H633" s="51"/>
    </row>
    <row r="634" spans="3:8" ht="12.6">
      <c r="C634" s="51"/>
      <c r="D634" s="51"/>
      <c r="E634" s="51"/>
      <c r="F634" s="51"/>
      <c r="G634" s="51"/>
      <c r="H634" s="51"/>
    </row>
    <row r="635" spans="3:8" ht="12.6">
      <c r="C635" s="51"/>
      <c r="D635" s="51"/>
      <c r="E635" s="51"/>
      <c r="F635" s="51"/>
      <c r="G635" s="51"/>
      <c r="H635" s="51"/>
    </row>
    <row r="636" spans="3:8" ht="12.6">
      <c r="C636" s="51"/>
      <c r="D636" s="51"/>
      <c r="E636" s="51"/>
      <c r="F636" s="51"/>
      <c r="G636" s="51"/>
      <c r="H636" s="51"/>
    </row>
    <row r="637" spans="3:8" ht="12.6">
      <c r="C637" s="51"/>
      <c r="D637" s="51"/>
      <c r="E637" s="51"/>
      <c r="F637" s="51"/>
      <c r="G637" s="51"/>
      <c r="H637" s="51"/>
    </row>
    <row r="638" spans="3:8" ht="12.6">
      <c r="C638" s="51"/>
      <c r="D638" s="51"/>
      <c r="E638" s="51"/>
      <c r="F638" s="51"/>
      <c r="G638" s="51"/>
      <c r="H638" s="51"/>
    </row>
    <row r="639" spans="3:8" ht="12.6">
      <c r="C639" s="51"/>
      <c r="D639" s="51"/>
      <c r="E639" s="51"/>
      <c r="F639" s="51"/>
      <c r="G639" s="51"/>
      <c r="H639" s="51"/>
    </row>
    <row r="640" spans="3:8" ht="12.6">
      <c r="C640" s="51"/>
      <c r="D640" s="51"/>
      <c r="E640" s="51"/>
      <c r="F640" s="51"/>
      <c r="G640" s="51"/>
      <c r="H640" s="51"/>
    </row>
    <row r="641" spans="3:8" ht="12.6">
      <c r="C641" s="51"/>
      <c r="D641" s="51"/>
      <c r="E641" s="51"/>
      <c r="F641" s="51"/>
      <c r="G641" s="51"/>
      <c r="H641" s="51"/>
    </row>
    <row r="642" spans="3:8" ht="12.6">
      <c r="C642" s="51"/>
      <c r="D642" s="51"/>
      <c r="E642" s="51"/>
      <c r="F642" s="51"/>
      <c r="G642" s="51"/>
      <c r="H642" s="51"/>
    </row>
    <row r="643" spans="3:8" ht="12.6">
      <c r="C643" s="51"/>
      <c r="D643" s="51"/>
      <c r="E643" s="51"/>
      <c r="F643" s="51"/>
      <c r="G643" s="51"/>
      <c r="H643" s="51"/>
    </row>
    <row r="644" spans="3:8" ht="12.6">
      <c r="C644" s="51"/>
      <c r="D644" s="51"/>
      <c r="E644" s="51"/>
      <c r="F644" s="51"/>
      <c r="G644" s="51"/>
      <c r="H644" s="51"/>
    </row>
    <row r="645" spans="3:8" ht="12.6">
      <c r="C645" s="51"/>
      <c r="D645" s="51"/>
      <c r="E645" s="51"/>
      <c r="F645" s="51"/>
      <c r="G645" s="51"/>
      <c r="H645" s="51"/>
    </row>
    <row r="646" spans="3:8" ht="12.6">
      <c r="C646" s="51"/>
      <c r="D646" s="51"/>
      <c r="E646" s="51"/>
      <c r="F646" s="51"/>
      <c r="G646" s="51"/>
      <c r="H646" s="51"/>
    </row>
    <row r="647" spans="3:8" ht="12.6">
      <c r="C647" s="51"/>
      <c r="D647" s="51"/>
      <c r="E647" s="51"/>
      <c r="F647" s="51"/>
      <c r="G647" s="51"/>
      <c r="H647" s="51"/>
    </row>
    <row r="648" spans="3:8" ht="12.6">
      <c r="C648" s="51"/>
      <c r="D648" s="51"/>
      <c r="E648" s="51"/>
      <c r="F648" s="51"/>
      <c r="G648" s="51"/>
      <c r="H648" s="51"/>
    </row>
    <row r="649" spans="3:8" ht="12.6">
      <c r="C649" s="51"/>
      <c r="D649" s="51"/>
      <c r="E649" s="51"/>
      <c r="F649" s="51"/>
      <c r="G649" s="51"/>
      <c r="H649" s="51"/>
    </row>
    <row r="650" spans="3:8" ht="12.6">
      <c r="C650" s="51"/>
      <c r="D650" s="51"/>
      <c r="E650" s="51"/>
      <c r="F650" s="51"/>
      <c r="G650" s="51"/>
      <c r="H650" s="51"/>
    </row>
    <row r="651" spans="3:8" ht="12.6">
      <c r="C651" s="51"/>
      <c r="D651" s="51"/>
      <c r="E651" s="51"/>
      <c r="F651" s="51"/>
      <c r="G651" s="51"/>
      <c r="H651" s="51"/>
    </row>
    <row r="652" spans="3:8" ht="12.6">
      <c r="C652" s="51"/>
      <c r="D652" s="51"/>
      <c r="E652" s="51"/>
      <c r="F652" s="51"/>
      <c r="G652" s="51"/>
      <c r="H652" s="51"/>
    </row>
    <row r="653" spans="3:8" ht="12.6">
      <c r="C653" s="51"/>
      <c r="D653" s="51"/>
      <c r="E653" s="51"/>
      <c r="F653" s="51"/>
      <c r="G653" s="51"/>
      <c r="H653" s="51"/>
    </row>
    <row r="654" spans="3:8" ht="12.6">
      <c r="C654" s="51"/>
      <c r="D654" s="51"/>
      <c r="E654" s="51"/>
      <c r="F654" s="51"/>
      <c r="G654" s="51"/>
      <c r="H654" s="51"/>
    </row>
    <row r="655" spans="3:8" ht="12.6">
      <c r="C655" s="51"/>
      <c r="D655" s="51"/>
      <c r="E655" s="51"/>
      <c r="F655" s="51"/>
      <c r="G655" s="51"/>
      <c r="H655" s="51"/>
    </row>
    <row r="656" spans="3:8" ht="12.6">
      <c r="C656" s="51"/>
      <c r="D656" s="51"/>
      <c r="E656" s="51"/>
      <c r="F656" s="51"/>
      <c r="G656" s="51"/>
      <c r="H656" s="51"/>
    </row>
    <row r="657" spans="3:8" ht="12.6">
      <c r="C657" s="51"/>
      <c r="D657" s="51"/>
      <c r="E657" s="51"/>
      <c r="F657" s="51"/>
      <c r="G657" s="51"/>
      <c r="H657" s="51"/>
    </row>
    <row r="658" spans="3:8" ht="12.6">
      <c r="C658" s="51"/>
      <c r="D658" s="51"/>
      <c r="E658" s="51"/>
      <c r="F658" s="51"/>
      <c r="G658" s="51"/>
      <c r="H658" s="51"/>
    </row>
    <row r="659" spans="3:8" ht="12.6">
      <c r="C659" s="51"/>
      <c r="D659" s="51"/>
      <c r="E659" s="51"/>
      <c r="F659" s="51"/>
      <c r="G659" s="51"/>
      <c r="H659" s="51"/>
    </row>
    <row r="660" spans="3:8" ht="12.6">
      <c r="C660" s="51"/>
      <c r="D660" s="51"/>
      <c r="E660" s="51"/>
      <c r="F660" s="51"/>
      <c r="G660" s="51"/>
      <c r="H660" s="51"/>
    </row>
    <row r="661" spans="3:8" ht="12.6">
      <c r="C661" s="51"/>
      <c r="D661" s="51"/>
      <c r="E661" s="51"/>
      <c r="F661" s="51"/>
      <c r="G661" s="51"/>
      <c r="H661" s="51"/>
    </row>
    <row r="662" spans="3:8" ht="12.6">
      <c r="C662" s="51"/>
      <c r="D662" s="51"/>
      <c r="E662" s="51"/>
      <c r="F662" s="51"/>
      <c r="G662" s="51"/>
      <c r="H662" s="51"/>
    </row>
    <row r="663" spans="3:8" ht="12.6">
      <c r="C663" s="51"/>
      <c r="D663" s="51"/>
      <c r="E663" s="51"/>
      <c r="F663" s="51"/>
      <c r="G663" s="51"/>
      <c r="H663" s="51"/>
    </row>
    <row r="664" spans="3:8" ht="12.6">
      <c r="C664" s="51"/>
      <c r="D664" s="51"/>
      <c r="E664" s="51"/>
      <c r="F664" s="51"/>
      <c r="G664" s="51"/>
      <c r="H664" s="51"/>
    </row>
    <row r="665" spans="3:8" ht="12.6">
      <c r="C665" s="51"/>
      <c r="D665" s="51"/>
      <c r="E665" s="51"/>
      <c r="F665" s="51"/>
      <c r="G665" s="51"/>
      <c r="H665" s="51"/>
    </row>
    <row r="666" spans="3:8" ht="12.6">
      <c r="C666" s="51"/>
      <c r="D666" s="51"/>
      <c r="E666" s="51"/>
      <c r="F666" s="51"/>
      <c r="G666" s="51"/>
      <c r="H666" s="51"/>
    </row>
    <row r="667" spans="3:8" ht="12.6">
      <c r="C667" s="51"/>
      <c r="D667" s="51"/>
      <c r="E667" s="51"/>
      <c r="F667" s="51"/>
      <c r="G667" s="51"/>
      <c r="H667" s="51"/>
    </row>
    <row r="668" spans="3:8" ht="12.6">
      <c r="C668" s="51"/>
      <c r="D668" s="51"/>
      <c r="E668" s="51"/>
      <c r="F668" s="51"/>
      <c r="G668" s="51"/>
      <c r="H668" s="51"/>
    </row>
    <row r="669" spans="3:8" ht="12.6">
      <c r="C669" s="51"/>
      <c r="D669" s="51"/>
      <c r="E669" s="51"/>
      <c r="F669" s="51"/>
      <c r="G669" s="51"/>
      <c r="H669" s="51"/>
    </row>
    <row r="670" spans="3:8" ht="12.6">
      <c r="C670" s="51"/>
      <c r="D670" s="51"/>
      <c r="E670" s="51"/>
      <c r="F670" s="51"/>
      <c r="G670" s="51"/>
      <c r="H670" s="51"/>
    </row>
    <row r="671" spans="3:8" ht="12.6">
      <c r="C671" s="51"/>
      <c r="D671" s="51"/>
      <c r="E671" s="51"/>
      <c r="F671" s="51"/>
      <c r="G671" s="51"/>
      <c r="H671" s="51"/>
    </row>
    <row r="672" spans="3:8" ht="12.6">
      <c r="C672" s="51"/>
      <c r="D672" s="51"/>
      <c r="E672" s="51"/>
      <c r="F672" s="51"/>
      <c r="G672" s="51"/>
      <c r="H672" s="51"/>
    </row>
    <row r="673" spans="3:8" ht="12.6">
      <c r="C673" s="51"/>
      <c r="D673" s="51"/>
      <c r="E673" s="51"/>
      <c r="F673" s="51"/>
      <c r="G673" s="51"/>
      <c r="H673" s="51"/>
    </row>
    <row r="674" spans="3:8" ht="12.6">
      <c r="C674" s="51"/>
      <c r="D674" s="51"/>
      <c r="E674" s="51"/>
      <c r="F674" s="51"/>
      <c r="G674" s="51"/>
      <c r="H674" s="51"/>
    </row>
    <row r="675" spans="3:8" ht="12.6">
      <c r="C675" s="51"/>
      <c r="D675" s="51"/>
      <c r="E675" s="51"/>
      <c r="F675" s="51"/>
      <c r="G675" s="51"/>
      <c r="H675" s="51"/>
    </row>
    <row r="676" spans="3:8" ht="12.6">
      <c r="C676" s="51"/>
      <c r="D676" s="51"/>
      <c r="E676" s="51"/>
      <c r="F676" s="51"/>
      <c r="G676" s="51"/>
      <c r="H676" s="51"/>
    </row>
    <row r="677" spans="3:8" ht="12.6">
      <c r="C677" s="51"/>
      <c r="D677" s="51"/>
      <c r="E677" s="51"/>
      <c r="F677" s="51"/>
      <c r="G677" s="51"/>
      <c r="H677" s="51"/>
    </row>
    <row r="678" spans="3:8" ht="12.6">
      <c r="C678" s="51"/>
      <c r="D678" s="51"/>
      <c r="E678" s="51"/>
      <c r="F678" s="51"/>
      <c r="G678" s="51"/>
      <c r="H678" s="51"/>
    </row>
    <row r="679" spans="3:8" ht="12.6">
      <c r="C679" s="51"/>
      <c r="D679" s="51"/>
      <c r="E679" s="51"/>
      <c r="F679" s="51"/>
      <c r="G679" s="51"/>
      <c r="H679" s="51"/>
    </row>
    <row r="680" spans="3:8" ht="12.6">
      <c r="C680" s="51"/>
      <c r="D680" s="51"/>
      <c r="E680" s="51"/>
      <c r="F680" s="51"/>
      <c r="G680" s="51"/>
      <c r="H680" s="51"/>
    </row>
    <row r="681" spans="3:8" ht="12.6">
      <c r="C681" s="51"/>
      <c r="D681" s="51"/>
      <c r="E681" s="51"/>
      <c r="F681" s="51"/>
      <c r="G681" s="51"/>
      <c r="H681" s="51"/>
    </row>
    <row r="682" spans="3:8" ht="12.6">
      <c r="C682" s="51"/>
      <c r="D682" s="51"/>
      <c r="E682" s="51"/>
      <c r="F682" s="51"/>
      <c r="G682" s="51"/>
      <c r="H682" s="51"/>
    </row>
    <row r="683" spans="3:8" ht="12.6">
      <c r="C683" s="51"/>
      <c r="D683" s="51"/>
      <c r="E683" s="51"/>
      <c r="F683" s="51"/>
      <c r="G683" s="51"/>
      <c r="H683" s="51"/>
    </row>
    <row r="684" spans="3:8" ht="12.6">
      <c r="C684" s="51"/>
      <c r="D684" s="51"/>
      <c r="E684" s="51"/>
      <c r="F684" s="51"/>
      <c r="G684" s="51"/>
      <c r="H684" s="51"/>
    </row>
    <row r="685" spans="3:8" ht="12.6">
      <c r="C685" s="51"/>
      <c r="D685" s="51"/>
      <c r="E685" s="51"/>
      <c r="F685" s="51"/>
      <c r="G685" s="51"/>
      <c r="H685" s="51"/>
    </row>
    <row r="686" spans="3:8" ht="12.6">
      <c r="C686" s="51"/>
      <c r="D686" s="51"/>
      <c r="E686" s="51"/>
      <c r="F686" s="51"/>
      <c r="G686" s="51"/>
      <c r="H686" s="51"/>
    </row>
    <row r="687" spans="3:8" ht="12.6">
      <c r="C687" s="51"/>
      <c r="D687" s="51"/>
      <c r="E687" s="51"/>
      <c r="F687" s="51"/>
      <c r="G687" s="51"/>
      <c r="H687" s="51"/>
    </row>
    <row r="688" spans="3:8" ht="12.6">
      <c r="C688" s="51"/>
      <c r="D688" s="51"/>
      <c r="E688" s="51"/>
      <c r="F688" s="51"/>
      <c r="G688" s="51"/>
      <c r="H688" s="51"/>
    </row>
    <row r="689" spans="3:8" ht="12.6">
      <c r="C689" s="51"/>
      <c r="D689" s="51"/>
      <c r="E689" s="51"/>
      <c r="F689" s="51"/>
      <c r="G689" s="51"/>
      <c r="H689" s="51"/>
    </row>
    <row r="690" spans="3:8" ht="12.6">
      <c r="C690" s="51"/>
      <c r="D690" s="51"/>
      <c r="E690" s="51"/>
      <c r="F690" s="51"/>
      <c r="G690" s="51"/>
      <c r="H690" s="51"/>
    </row>
    <row r="691" spans="3:8" ht="12.6">
      <c r="C691" s="51"/>
      <c r="D691" s="51"/>
      <c r="E691" s="51"/>
      <c r="F691" s="51"/>
      <c r="G691" s="51"/>
      <c r="H691" s="51"/>
    </row>
    <row r="692" spans="3:8" ht="12.6">
      <c r="C692" s="51"/>
      <c r="D692" s="51"/>
      <c r="E692" s="51"/>
      <c r="F692" s="51"/>
      <c r="G692" s="51"/>
      <c r="H692" s="51"/>
    </row>
    <row r="693" spans="3:8" ht="12.6">
      <c r="C693" s="51"/>
      <c r="D693" s="51"/>
      <c r="E693" s="51"/>
      <c r="F693" s="51"/>
      <c r="G693" s="51"/>
      <c r="H693" s="51"/>
    </row>
    <row r="694" spans="3:8" ht="12.6">
      <c r="C694" s="51"/>
      <c r="D694" s="51"/>
      <c r="E694" s="51"/>
      <c r="F694" s="51"/>
      <c r="G694" s="51"/>
      <c r="H694" s="51"/>
    </row>
    <row r="695" spans="3:8" ht="12.6">
      <c r="C695" s="51"/>
      <c r="D695" s="51"/>
      <c r="E695" s="51"/>
      <c r="F695" s="51"/>
      <c r="G695" s="51"/>
      <c r="H695" s="51"/>
    </row>
    <row r="696" spans="3:8" ht="12.6">
      <c r="C696" s="51"/>
      <c r="D696" s="51"/>
      <c r="E696" s="51"/>
      <c r="F696" s="51"/>
      <c r="G696" s="51"/>
      <c r="H696" s="51"/>
    </row>
    <row r="697" spans="3:8" ht="12.6">
      <c r="C697" s="51"/>
      <c r="D697" s="51"/>
      <c r="E697" s="51"/>
      <c r="F697" s="51"/>
      <c r="G697" s="51"/>
      <c r="H697" s="51"/>
    </row>
    <row r="698" spans="3:8" ht="12.6">
      <c r="C698" s="51"/>
      <c r="D698" s="51"/>
      <c r="E698" s="51"/>
      <c r="F698" s="51"/>
      <c r="G698" s="51"/>
      <c r="H698" s="51"/>
    </row>
    <row r="699" spans="3:8" ht="12.6">
      <c r="C699" s="51"/>
      <c r="D699" s="51"/>
      <c r="E699" s="51"/>
      <c r="F699" s="51"/>
      <c r="G699" s="51"/>
      <c r="H699" s="51"/>
    </row>
    <row r="700" spans="3:8" ht="12.6">
      <c r="C700" s="51"/>
      <c r="D700" s="51"/>
      <c r="E700" s="51"/>
      <c r="F700" s="51"/>
      <c r="G700" s="51"/>
      <c r="H700" s="51"/>
    </row>
    <row r="701" spans="3:8" ht="12.6">
      <c r="C701" s="51"/>
      <c r="D701" s="51"/>
      <c r="E701" s="51"/>
      <c r="F701" s="51"/>
      <c r="G701" s="51"/>
      <c r="H701" s="51"/>
    </row>
    <row r="702" spans="3:8" ht="12.6">
      <c r="C702" s="51"/>
      <c r="D702" s="51"/>
      <c r="E702" s="51"/>
      <c r="F702" s="51"/>
      <c r="G702" s="51"/>
      <c r="H702" s="51"/>
    </row>
    <row r="703" spans="3:8" ht="12.6">
      <c r="C703" s="51"/>
      <c r="D703" s="51"/>
      <c r="E703" s="51"/>
      <c r="F703" s="51"/>
      <c r="G703" s="51"/>
      <c r="H703" s="51"/>
    </row>
    <row r="704" spans="3:8" ht="12.6">
      <c r="C704" s="51"/>
      <c r="D704" s="51"/>
      <c r="E704" s="51"/>
      <c r="F704" s="51"/>
      <c r="G704" s="51"/>
      <c r="H704" s="51"/>
    </row>
    <row r="705" spans="3:8" ht="12.6">
      <c r="C705" s="51"/>
      <c r="D705" s="51"/>
      <c r="E705" s="51"/>
      <c r="F705" s="51"/>
      <c r="G705" s="51"/>
      <c r="H705" s="51"/>
    </row>
    <row r="706" spans="3:8" ht="12.6">
      <c r="C706" s="51"/>
      <c r="D706" s="51"/>
      <c r="E706" s="51"/>
      <c r="F706" s="51"/>
      <c r="G706" s="51"/>
      <c r="H706" s="51"/>
    </row>
    <row r="707" spans="3:8" ht="12.6">
      <c r="C707" s="51"/>
      <c r="D707" s="51"/>
      <c r="E707" s="51"/>
      <c r="F707" s="51"/>
      <c r="G707" s="51"/>
      <c r="H707" s="51"/>
    </row>
    <row r="708" spans="3:8" ht="12.6">
      <c r="C708" s="51"/>
      <c r="D708" s="51"/>
      <c r="E708" s="51"/>
      <c r="F708" s="51"/>
      <c r="G708" s="51"/>
      <c r="H708" s="51"/>
    </row>
    <row r="709" spans="3:8" ht="12.6">
      <c r="C709" s="51"/>
      <c r="D709" s="51"/>
      <c r="E709" s="51"/>
      <c r="F709" s="51"/>
      <c r="G709" s="51"/>
      <c r="H709" s="51"/>
    </row>
    <row r="710" spans="3:8" ht="12.6">
      <c r="C710" s="51"/>
      <c r="D710" s="51"/>
      <c r="E710" s="51"/>
      <c r="F710" s="51"/>
      <c r="G710" s="51"/>
      <c r="H710" s="51"/>
    </row>
    <row r="711" spans="3:8" ht="12.6">
      <c r="C711" s="51"/>
      <c r="D711" s="51"/>
      <c r="E711" s="51"/>
      <c r="F711" s="51"/>
      <c r="G711" s="51"/>
      <c r="H711" s="51"/>
    </row>
    <row r="712" spans="3:8" ht="12.6">
      <c r="C712" s="51"/>
      <c r="D712" s="51"/>
      <c r="E712" s="51"/>
      <c r="F712" s="51"/>
      <c r="G712" s="51"/>
      <c r="H712" s="51"/>
    </row>
    <row r="713" spans="3:8" ht="12.6">
      <c r="C713" s="51"/>
      <c r="D713" s="51"/>
      <c r="E713" s="51"/>
      <c r="F713" s="51"/>
      <c r="G713" s="51"/>
      <c r="H713" s="51"/>
    </row>
    <row r="714" spans="3:8" ht="12.6">
      <c r="C714" s="51"/>
      <c r="D714" s="51"/>
      <c r="E714" s="51"/>
      <c r="F714" s="51"/>
      <c r="G714" s="51"/>
      <c r="H714" s="51"/>
    </row>
    <row r="715" spans="3:8" ht="12.6">
      <c r="C715" s="51"/>
      <c r="D715" s="51"/>
      <c r="E715" s="51"/>
      <c r="F715" s="51"/>
      <c r="G715" s="51"/>
      <c r="H715" s="51"/>
    </row>
    <row r="716" spans="3:8" ht="12.6">
      <c r="C716" s="51"/>
      <c r="D716" s="51"/>
      <c r="E716" s="51"/>
      <c r="F716" s="51"/>
      <c r="G716" s="51"/>
      <c r="H716" s="51"/>
    </row>
    <row r="717" spans="3:8" ht="12.6">
      <c r="C717" s="51"/>
      <c r="D717" s="51"/>
      <c r="E717" s="51"/>
      <c r="F717" s="51"/>
      <c r="G717" s="51"/>
      <c r="H717" s="51"/>
    </row>
    <row r="718" spans="3:8" ht="12.6">
      <c r="C718" s="51"/>
      <c r="D718" s="51"/>
      <c r="E718" s="51"/>
      <c r="F718" s="51"/>
      <c r="G718" s="51"/>
      <c r="H718" s="51"/>
    </row>
    <row r="719" spans="3:8" ht="12.6">
      <c r="C719" s="51"/>
      <c r="D719" s="51"/>
      <c r="E719" s="51"/>
      <c r="F719" s="51"/>
      <c r="G719" s="51"/>
      <c r="H719" s="51"/>
    </row>
    <row r="720" spans="3:8" ht="12.6">
      <c r="C720" s="51"/>
      <c r="D720" s="51"/>
      <c r="E720" s="51"/>
      <c r="F720" s="51"/>
      <c r="G720" s="51"/>
      <c r="H720" s="51"/>
    </row>
    <row r="721" spans="3:8" ht="12.6">
      <c r="C721" s="51"/>
      <c r="D721" s="51"/>
      <c r="E721" s="51"/>
      <c r="F721" s="51"/>
      <c r="G721" s="51"/>
      <c r="H721" s="51"/>
    </row>
    <row r="722" spans="3:8" ht="12.6">
      <c r="C722" s="51"/>
      <c r="D722" s="51"/>
      <c r="E722" s="51"/>
      <c r="F722" s="51"/>
      <c r="G722" s="51"/>
      <c r="H722" s="51"/>
    </row>
    <row r="723" spans="3:8" ht="12.6">
      <c r="C723" s="51"/>
      <c r="D723" s="51"/>
      <c r="E723" s="51"/>
      <c r="F723" s="51"/>
      <c r="G723" s="51"/>
      <c r="H723" s="51"/>
    </row>
    <row r="724" spans="3:8" ht="12.6">
      <c r="C724" s="51"/>
      <c r="D724" s="51"/>
      <c r="E724" s="51"/>
      <c r="F724" s="51"/>
      <c r="G724" s="51"/>
      <c r="H724" s="51"/>
    </row>
    <row r="725" spans="3:8" ht="12.6">
      <c r="C725" s="51"/>
      <c r="D725" s="51"/>
      <c r="E725" s="51"/>
      <c r="F725" s="51"/>
      <c r="G725" s="51"/>
      <c r="H725" s="51"/>
    </row>
    <row r="726" spans="3:8" ht="12.6">
      <c r="C726" s="51"/>
      <c r="D726" s="51"/>
      <c r="E726" s="51"/>
      <c r="F726" s="51"/>
      <c r="G726" s="51"/>
      <c r="H726" s="51"/>
    </row>
    <row r="727" spans="3:8" ht="12.6">
      <c r="C727" s="51"/>
      <c r="D727" s="51"/>
      <c r="E727" s="51"/>
      <c r="F727" s="51"/>
      <c r="G727" s="51"/>
      <c r="H727" s="51"/>
    </row>
    <row r="728" spans="3:8" ht="12.6">
      <c r="C728" s="51"/>
      <c r="D728" s="51"/>
      <c r="E728" s="51"/>
      <c r="F728" s="51"/>
      <c r="G728" s="51"/>
      <c r="H728" s="51"/>
    </row>
    <row r="729" spans="3:8" ht="12.6">
      <c r="C729" s="51"/>
      <c r="D729" s="51"/>
      <c r="E729" s="51"/>
      <c r="F729" s="51"/>
      <c r="G729" s="51"/>
      <c r="H729" s="51"/>
    </row>
    <row r="730" spans="3:8" ht="12.6">
      <c r="C730" s="51"/>
      <c r="D730" s="51"/>
      <c r="E730" s="51"/>
      <c r="F730" s="51"/>
      <c r="G730" s="51"/>
      <c r="H730" s="51"/>
    </row>
    <row r="731" spans="3:8" ht="12.6">
      <c r="C731" s="51"/>
      <c r="D731" s="51"/>
      <c r="E731" s="51"/>
      <c r="F731" s="51"/>
      <c r="G731" s="51"/>
      <c r="H731" s="51"/>
    </row>
    <row r="732" spans="3:8" ht="12.6">
      <c r="C732" s="51"/>
      <c r="D732" s="51"/>
      <c r="E732" s="51"/>
      <c r="F732" s="51"/>
      <c r="G732" s="51"/>
      <c r="H732" s="51"/>
    </row>
    <row r="733" spans="3:8" ht="12.6">
      <c r="C733" s="51"/>
      <c r="D733" s="51"/>
      <c r="E733" s="51"/>
      <c r="F733" s="51"/>
      <c r="G733" s="51"/>
      <c r="H733" s="51"/>
    </row>
    <row r="734" spans="3:8" ht="12.6">
      <c r="C734" s="51"/>
      <c r="D734" s="51"/>
      <c r="E734" s="51"/>
      <c r="F734" s="51"/>
      <c r="G734" s="51"/>
      <c r="H734" s="51"/>
    </row>
    <row r="735" spans="3:8" ht="12.6">
      <c r="C735" s="51"/>
      <c r="D735" s="51"/>
      <c r="E735" s="51"/>
      <c r="F735" s="51"/>
      <c r="G735" s="51"/>
      <c r="H735" s="51"/>
    </row>
    <row r="736" spans="3:8" ht="12.6">
      <c r="C736" s="51"/>
      <c r="D736" s="51"/>
      <c r="E736" s="51"/>
      <c r="F736" s="51"/>
      <c r="G736" s="51"/>
      <c r="H736" s="51"/>
    </row>
    <row r="737" spans="3:8" ht="12.6">
      <c r="C737" s="51"/>
      <c r="D737" s="51"/>
      <c r="E737" s="51"/>
      <c r="F737" s="51"/>
      <c r="G737" s="51"/>
      <c r="H737" s="51"/>
    </row>
    <row r="738" spans="3:8" ht="12.6">
      <c r="C738" s="51"/>
      <c r="D738" s="51"/>
      <c r="E738" s="51"/>
      <c r="F738" s="51"/>
      <c r="G738" s="51"/>
      <c r="H738" s="51"/>
    </row>
    <row r="739" spans="3:8" ht="12.6">
      <c r="C739" s="51"/>
      <c r="D739" s="51"/>
      <c r="E739" s="51"/>
      <c r="F739" s="51"/>
      <c r="G739" s="51"/>
      <c r="H739" s="51"/>
    </row>
    <row r="740" spans="3:8" ht="12.6">
      <c r="C740" s="51"/>
      <c r="D740" s="51"/>
      <c r="E740" s="51"/>
      <c r="F740" s="51"/>
      <c r="G740" s="51"/>
      <c r="H740" s="51"/>
    </row>
    <row r="741" spans="3:8" ht="12.6">
      <c r="C741" s="51"/>
      <c r="D741" s="51"/>
      <c r="E741" s="51"/>
      <c r="F741" s="51"/>
      <c r="G741" s="51"/>
      <c r="H741" s="51"/>
    </row>
    <row r="742" spans="3:8" ht="12.6">
      <c r="C742" s="51"/>
      <c r="D742" s="51"/>
      <c r="E742" s="51"/>
      <c r="F742" s="51"/>
      <c r="G742" s="51"/>
      <c r="H742" s="51"/>
    </row>
    <row r="743" spans="3:8" ht="12.6">
      <c r="C743" s="51"/>
      <c r="D743" s="51"/>
      <c r="E743" s="51"/>
      <c r="F743" s="51"/>
      <c r="G743" s="51"/>
      <c r="H743" s="51"/>
    </row>
    <row r="744" spans="3:8" ht="12.6">
      <c r="C744" s="51"/>
      <c r="D744" s="51"/>
      <c r="E744" s="51"/>
      <c r="F744" s="51"/>
      <c r="G744" s="51"/>
      <c r="H744" s="51"/>
    </row>
    <row r="745" spans="3:8" ht="12.6">
      <c r="C745" s="51"/>
      <c r="D745" s="51"/>
      <c r="E745" s="51"/>
      <c r="F745" s="51"/>
      <c r="G745" s="51"/>
      <c r="H745" s="51"/>
    </row>
    <row r="746" spans="3:8" ht="12.6">
      <c r="C746" s="51"/>
      <c r="D746" s="51"/>
      <c r="E746" s="51"/>
      <c r="F746" s="51"/>
      <c r="G746" s="51"/>
      <c r="H746" s="51"/>
    </row>
    <row r="747" spans="3:8" ht="12.6">
      <c r="C747" s="51"/>
      <c r="D747" s="51"/>
      <c r="E747" s="51"/>
      <c r="F747" s="51"/>
      <c r="G747" s="51"/>
      <c r="H747" s="51"/>
    </row>
    <row r="748" spans="3:8" ht="12.6">
      <c r="C748" s="51"/>
      <c r="D748" s="51"/>
      <c r="E748" s="51"/>
      <c r="F748" s="51"/>
      <c r="G748" s="51"/>
      <c r="H748" s="51"/>
    </row>
    <row r="749" spans="3:8" ht="12.6">
      <c r="C749" s="51"/>
      <c r="D749" s="51"/>
      <c r="E749" s="51"/>
      <c r="F749" s="51"/>
      <c r="G749" s="51"/>
      <c r="H749" s="51"/>
    </row>
    <row r="750" spans="3:8" ht="12.6">
      <c r="C750" s="51"/>
      <c r="D750" s="51"/>
      <c r="E750" s="51"/>
      <c r="F750" s="51"/>
      <c r="G750" s="51"/>
      <c r="H750" s="51"/>
    </row>
    <row r="751" spans="3:8" ht="12.6">
      <c r="C751" s="51"/>
      <c r="D751" s="51"/>
      <c r="E751" s="51"/>
      <c r="F751" s="51"/>
      <c r="G751" s="51"/>
      <c r="H751" s="51"/>
    </row>
    <row r="752" spans="3:8" ht="12.6">
      <c r="C752" s="51"/>
      <c r="D752" s="51"/>
      <c r="E752" s="51"/>
      <c r="F752" s="51"/>
      <c r="G752" s="51"/>
      <c r="H752" s="51"/>
    </row>
    <row r="753" spans="3:8" ht="12.6">
      <c r="C753" s="51"/>
      <c r="D753" s="51"/>
      <c r="E753" s="51"/>
      <c r="F753" s="51"/>
      <c r="G753" s="51"/>
      <c r="H753" s="51"/>
    </row>
    <row r="754" spans="3:8" ht="12.6">
      <c r="C754" s="51"/>
      <c r="D754" s="51"/>
      <c r="E754" s="51"/>
      <c r="F754" s="51"/>
      <c r="G754" s="51"/>
      <c r="H754" s="51"/>
    </row>
    <row r="755" spans="3:8" ht="12.6">
      <c r="C755" s="51"/>
      <c r="D755" s="51"/>
      <c r="E755" s="51"/>
      <c r="F755" s="51"/>
      <c r="G755" s="51"/>
      <c r="H755" s="51"/>
    </row>
    <row r="756" spans="3:8" ht="12.6">
      <c r="C756" s="51"/>
      <c r="D756" s="51"/>
      <c r="E756" s="51"/>
      <c r="F756" s="51"/>
      <c r="G756" s="51"/>
      <c r="H756" s="51"/>
    </row>
    <row r="757" spans="3:8" ht="12.6">
      <c r="C757" s="51"/>
      <c r="D757" s="51"/>
      <c r="E757" s="51"/>
      <c r="F757" s="51"/>
      <c r="G757" s="51"/>
      <c r="H757" s="51"/>
    </row>
    <row r="758" spans="3:8" ht="12.6">
      <c r="C758" s="51"/>
      <c r="D758" s="51"/>
      <c r="E758" s="51"/>
      <c r="F758" s="51"/>
      <c r="G758" s="51"/>
      <c r="H758" s="51"/>
    </row>
    <row r="759" spans="3:8" ht="12.6">
      <c r="C759" s="51"/>
      <c r="D759" s="51"/>
      <c r="E759" s="51"/>
      <c r="F759" s="51"/>
      <c r="G759" s="51"/>
      <c r="H759" s="51"/>
    </row>
    <row r="760" spans="3:8" ht="12.6">
      <c r="C760" s="51"/>
      <c r="D760" s="51"/>
      <c r="E760" s="51"/>
      <c r="F760" s="51"/>
      <c r="G760" s="51"/>
      <c r="H760" s="51"/>
    </row>
    <row r="761" spans="3:8" ht="12.6">
      <c r="C761" s="51"/>
      <c r="D761" s="51"/>
      <c r="E761" s="51"/>
      <c r="F761" s="51"/>
      <c r="G761" s="51"/>
      <c r="H761" s="51"/>
    </row>
    <row r="762" spans="3:8" ht="12.6">
      <c r="C762" s="51"/>
      <c r="D762" s="51"/>
      <c r="E762" s="51"/>
      <c r="F762" s="51"/>
      <c r="G762" s="51"/>
      <c r="H762" s="51"/>
    </row>
    <row r="763" spans="3:8" ht="12.6">
      <c r="C763" s="51"/>
      <c r="D763" s="51"/>
      <c r="E763" s="51"/>
      <c r="F763" s="51"/>
      <c r="G763" s="51"/>
      <c r="H763" s="51"/>
    </row>
    <row r="764" spans="3:8" ht="12.6">
      <c r="C764" s="51"/>
      <c r="D764" s="51"/>
      <c r="E764" s="51"/>
      <c r="F764" s="51"/>
      <c r="G764" s="51"/>
      <c r="H764" s="51"/>
    </row>
    <row r="765" spans="3:8" ht="12.6">
      <c r="C765" s="51"/>
      <c r="D765" s="51"/>
      <c r="E765" s="51"/>
      <c r="F765" s="51"/>
      <c r="G765" s="51"/>
      <c r="H765" s="51"/>
    </row>
    <row r="766" spans="3:8" ht="12.6">
      <c r="C766" s="51"/>
      <c r="D766" s="51"/>
      <c r="E766" s="51"/>
      <c r="F766" s="51"/>
      <c r="G766" s="51"/>
      <c r="H766" s="51"/>
    </row>
    <row r="767" spans="3:8" ht="12.6">
      <c r="C767" s="51"/>
      <c r="D767" s="51"/>
      <c r="E767" s="51"/>
      <c r="F767" s="51"/>
      <c r="G767" s="51"/>
      <c r="H767" s="51"/>
    </row>
    <row r="768" spans="3:8" ht="12.6">
      <c r="C768" s="51"/>
      <c r="D768" s="51"/>
      <c r="E768" s="51"/>
      <c r="F768" s="51"/>
      <c r="G768" s="51"/>
      <c r="H768" s="51"/>
    </row>
    <row r="769" spans="3:8" ht="12.6">
      <c r="C769" s="51"/>
      <c r="D769" s="51"/>
      <c r="E769" s="51"/>
      <c r="F769" s="51"/>
      <c r="G769" s="51"/>
      <c r="H769" s="51"/>
    </row>
    <row r="770" spans="3:8" ht="12.6">
      <c r="C770" s="51"/>
      <c r="D770" s="51"/>
      <c r="E770" s="51"/>
      <c r="F770" s="51"/>
      <c r="G770" s="51"/>
      <c r="H770" s="51"/>
    </row>
    <row r="771" spans="3:8" ht="12.6">
      <c r="C771" s="51"/>
      <c r="D771" s="51"/>
      <c r="E771" s="51"/>
      <c r="F771" s="51"/>
      <c r="G771" s="51"/>
      <c r="H771" s="51"/>
    </row>
    <row r="772" spans="3:8" ht="12.6">
      <c r="C772" s="51"/>
      <c r="D772" s="51"/>
      <c r="E772" s="51"/>
      <c r="F772" s="51"/>
      <c r="G772" s="51"/>
      <c r="H772" s="51"/>
    </row>
    <row r="773" spans="3:8" ht="12.6">
      <c r="C773" s="51"/>
      <c r="D773" s="51"/>
      <c r="E773" s="51"/>
      <c r="F773" s="51"/>
      <c r="G773" s="51"/>
      <c r="H773" s="51"/>
    </row>
    <row r="774" spans="3:8" ht="12.6">
      <c r="C774" s="51"/>
      <c r="D774" s="51"/>
      <c r="E774" s="51"/>
      <c r="F774" s="51"/>
      <c r="G774" s="51"/>
      <c r="H774" s="51"/>
    </row>
    <row r="775" spans="3:8" ht="12.6">
      <c r="C775" s="51"/>
      <c r="D775" s="51"/>
      <c r="E775" s="51"/>
      <c r="F775" s="51"/>
      <c r="G775" s="51"/>
      <c r="H775" s="51"/>
    </row>
    <row r="776" spans="3:8" ht="12.6">
      <c r="C776" s="51"/>
      <c r="D776" s="51"/>
      <c r="E776" s="51"/>
      <c r="F776" s="51"/>
      <c r="G776" s="51"/>
      <c r="H776" s="51"/>
    </row>
    <row r="777" spans="3:8" ht="12.6">
      <c r="C777" s="51"/>
      <c r="D777" s="51"/>
      <c r="E777" s="51"/>
      <c r="F777" s="51"/>
      <c r="G777" s="51"/>
      <c r="H777" s="51"/>
    </row>
    <row r="778" spans="3:8" ht="12.6">
      <c r="C778" s="51"/>
      <c r="D778" s="51"/>
      <c r="E778" s="51"/>
      <c r="F778" s="51"/>
      <c r="G778" s="51"/>
      <c r="H778" s="51"/>
    </row>
    <row r="779" spans="3:8" ht="12.6">
      <c r="C779" s="51"/>
      <c r="D779" s="51"/>
      <c r="E779" s="51"/>
      <c r="F779" s="51"/>
      <c r="G779" s="51"/>
      <c r="H779" s="51"/>
    </row>
    <row r="780" spans="3:8" ht="12.6">
      <c r="C780" s="51"/>
      <c r="D780" s="51"/>
      <c r="E780" s="51"/>
      <c r="F780" s="51"/>
      <c r="G780" s="51"/>
      <c r="H780" s="51"/>
    </row>
    <row r="781" spans="3:8" ht="12.6">
      <c r="C781" s="51"/>
      <c r="D781" s="51"/>
      <c r="E781" s="51"/>
      <c r="F781" s="51"/>
      <c r="G781" s="51"/>
      <c r="H781" s="51"/>
    </row>
    <row r="782" spans="3:8" ht="12.6">
      <c r="C782" s="51"/>
      <c r="D782" s="51"/>
      <c r="E782" s="51"/>
      <c r="F782" s="51"/>
      <c r="G782" s="51"/>
      <c r="H782" s="51"/>
    </row>
    <row r="783" spans="3:8" ht="12.6">
      <c r="C783" s="51"/>
      <c r="D783" s="51"/>
      <c r="E783" s="51"/>
      <c r="F783" s="51"/>
      <c r="G783" s="51"/>
      <c r="H783" s="51"/>
    </row>
    <row r="784" spans="3:8" ht="12.6">
      <c r="C784" s="51"/>
      <c r="D784" s="51"/>
      <c r="E784" s="51"/>
      <c r="F784" s="51"/>
      <c r="G784" s="51"/>
      <c r="H784" s="51"/>
    </row>
    <row r="785" spans="3:8" ht="12.6">
      <c r="C785" s="51"/>
      <c r="D785" s="51"/>
      <c r="E785" s="51"/>
      <c r="F785" s="51"/>
      <c r="G785" s="51"/>
      <c r="H785" s="51"/>
    </row>
    <row r="786" spans="3:8" ht="12.6">
      <c r="C786" s="51"/>
      <c r="D786" s="51"/>
      <c r="E786" s="51"/>
      <c r="F786" s="51"/>
      <c r="G786" s="51"/>
      <c r="H786" s="51"/>
    </row>
    <row r="787" spans="3:8" ht="12.6">
      <c r="C787" s="51"/>
      <c r="D787" s="51"/>
      <c r="E787" s="51"/>
      <c r="F787" s="51"/>
      <c r="G787" s="51"/>
      <c r="H787" s="51"/>
    </row>
    <row r="788" spans="3:8" ht="12.6">
      <c r="C788" s="51"/>
      <c r="D788" s="51"/>
      <c r="E788" s="51"/>
      <c r="F788" s="51"/>
      <c r="G788" s="51"/>
      <c r="H788" s="51"/>
    </row>
    <row r="789" spans="3:8" ht="12.6">
      <c r="C789" s="51"/>
      <c r="D789" s="51"/>
      <c r="E789" s="51"/>
      <c r="F789" s="51"/>
      <c r="G789" s="51"/>
      <c r="H789" s="51"/>
    </row>
    <row r="790" spans="3:8" ht="12.6">
      <c r="C790" s="51"/>
      <c r="D790" s="51"/>
      <c r="E790" s="51"/>
      <c r="F790" s="51"/>
      <c r="G790" s="51"/>
      <c r="H790" s="51"/>
    </row>
    <row r="791" spans="3:8" ht="12.6">
      <c r="C791" s="51"/>
      <c r="D791" s="51"/>
      <c r="E791" s="51"/>
      <c r="F791" s="51"/>
      <c r="G791" s="51"/>
      <c r="H791" s="51"/>
    </row>
    <row r="792" spans="3:8" ht="12.6">
      <c r="C792" s="51"/>
      <c r="D792" s="51"/>
      <c r="E792" s="51"/>
      <c r="F792" s="51"/>
      <c r="G792" s="51"/>
      <c r="H792" s="51"/>
    </row>
    <row r="793" spans="3:8" ht="12.6">
      <c r="C793" s="51"/>
      <c r="D793" s="51"/>
      <c r="E793" s="51"/>
      <c r="F793" s="51"/>
      <c r="G793" s="51"/>
      <c r="H793" s="51"/>
    </row>
    <row r="794" spans="3:8" ht="12.6">
      <c r="C794" s="51"/>
      <c r="D794" s="51"/>
      <c r="E794" s="51"/>
      <c r="F794" s="51"/>
      <c r="G794" s="51"/>
      <c r="H794" s="51"/>
    </row>
    <row r="795" spans="3:8" ht="12.6">
      <c r="C795" s="51"/>
      <c r="D795" s="51"/>
      <c r="E795" s="51"/>
      <c r="F795" s="51"/>
      <c r="G795" s="51"/>
      <c r="H795" s="51"/>
    </row>
    <row r="796" spans="3:8" ht="12.6">
      <c r="C796" s="51"/>
      <c r="D796" s="51"/>
      <c r="E796" s="51"/>
      <c r="F796" s="51"/>
      <c r="G796" s="51"/>
      <c r="H796" s="51"/>
    </row>
    <row r="797" spans="3:8" ht="12.6">
      <c r="C797" s="51"/>
      <c r="D797" s="51"/>
      <c r="E797" s="51"/>
      <c r="F797" s="51"/>
      <c r="G797" s="51"/>
      <c r="H797" s="51"/>
    </row>
    <row r="798" spans="3:8" ht="12.6">
      <c r="C798" s="51"/>
      <c r="D798" s="51"/>
      <c r="E798" s="51"/>
      <c r="F798" s="51"/>
      <c r="G798" s="51"/>
      <c r="H798" s="51"/>
    </row>
    <row r="799" spans="3:8" ht="12.6">
      <c r="C799" s="51"/>
      <c r="D799" s="51"/>
      <c r="E799" s="51"/>
      <c r="F799" s="51"/>
      <c r="G799" s="51"/>
      <c r="H799" s="51"/>
    </row>
    <row r="800" spans="3:8" ht="12.6">
      <c r="C800" s="51"/>
      <c r="D800" s="51"/>
      <c r="E800" s="51"/>
      <c r="F800" s="51"/>
      <c r="G800" s="51"/>
      <c r="H800" s="51"/>
    </row>
    <row r="801" spans="3:8" ht="12.6">
      <c r="C801" s="51"/>
      <c r="D801" s="51"/>
      <c r="E801" s="51"/>
      <c r="F801" s="51"/>
      <c r="G801" s="51"/>
      <c r="H801" s="51"/>
    </row>
    <row r="802" spans="3:8" ht="12.6">
      <c r="C802" s="51"/>
      <c r="D802" s="51"/>
      <c r="E802" s="51"/>
      <c r="F802" s="51"/>
      <c r="G802" s="51"/>
      <c r="H802" s="51"/>
    </row>
    <row r="803" spans="3:8" ht="12.6">
      <c r="C803" s="51"/>
      <c r="D803" s="51"/>
      <c r="E803" s="51"/>
      <c r="F803" s="51"/>
      <c r="G803" s="51"/>
      <c r="H803" s="51"/>
    </row>
    <row r="804" spans="3:8" ht="12.6">
      <c r="C804" s="51"/>
      <c r="D804" s="51"/>
      <c r="E804" s="51"/>
      <c r="F804" s="51"/>
      <c r="G804" s="51"/>
      <c r="H804" s="51"/>
    </row>
    <row r="805" spans="3:8" ht="12.6">
      <c r="C805" s="51"/>
      <c r="D805" s="51"/>
      <c r="E805" s="51"/>
      <c r="F805" s="51"/>
      <c r="G805" s="51"/>
      <c r="H805" s="51"/>
    </row>
    <row r="806" spans="3:8" ht="12.6">
      <c r="C806" s="51"/>
      <c r="D806" s="51"/>
      <c r="E806" s="51"/>
      <c r="F806" s="51"/>
      <c r="G806" s="51"/>
      <c r="H806" s="51"/>
    </row>
    <row r="807" spans="3:8" ht="12.6">
      <c r="C807" s="51"/>
      <c r="D807" s="51"/>
      <c r="E807" s="51"/>
      <c r="F807" s="51"/>
      <c r="G807" s="51"/>
      <c r="H807" s="51"/>
    </row>
    <row r="808" spans="3:8" ht="12.6">
      <c r="C808" s="51"/>
      <c r="D808" s="51"/>
      <c r="E808" s="51"/>
      <c r="F808" s="51"/>
      <c r="G808" s="51"/>
      <c r="H808" s="51"/>
    </row>
    <row r="809" spans="3:8" ht="12.6">
      <c r="C809" s="51"/>
      <c r="D809" s="51"/>
      <c r="E809" s="51"/>
      <c r="F809" s="51"/>
      <c r="G809" s="51"/>
      <c r="H809" s="51"/>
    </row>
    <row r="810" spans="3:8" ht="12.6">
      <c r="C810" s="51"/>
      <c r="D810" s="51"/>
      <c r="E810" s="51"/>
      <c r="F810" s="51"/>
      <c r="G810" s="51"/>
      <c r="H810" s="51"/>
    </row>
    <row r="811" spans="3:8" ht="12.6">
      <c r="C811" s="51"/>
      <c r="D811" s="51"/>
      <c r="E811" s="51"/>
      <c r="F811" s="51"/>
      <c r="G811" s="51"/>
      <c r="H811" s="51"/>
    </row>
    <row r="812" spans="3:8" ht="12.6">
      <c r="C812" s="51"/>
      <c r="D812" s="51"/>
      <c r="E812" s="51"/>
      <c r="F812" s="51"/>
      <c r="G812" s="51"/>
      <c r="H812" s="51"/>
    </row>
    <row r="813" spans="3:8" ht="12.6">
      <c r="C813" s="51"/>
      <c r="D813" s="51"/>
      <c r="E813" s="51"/>
      <c r="F813" s="51"/>
      <c r="G813" s="51"/>
      <c r="H813" s="51"/>
    </row>
    <row r="814" spans="3:8" ht="12.6">
      <c r="C814" s="51"/>
      <c r="D814" s="51"/>
      <c r="E814" s="51"/>
      <c r="F814" s="51"/>
      <c r="G814" s="51"/>
      <c r="H814" s="51"/>
    </row>
    <row r="815" spans="3:8" ht="12.6">
      <c r="C815" s="51"/>
      <c r="D815" s="51"/>
      <c r="E815" s="51"/>
      <c r="F815" s="51"/>
      <c r="G815" s="51"/>
      <c r="H815" s="51"/>
    </row>
    <row r="816" spans="3:8" ht="12.6">
      <c r="C816" s="51"/>
      <c r="D816" s="51"/>
      <c r="E816" s="51"/>
      <c r="F816" s="51"/>
      <c r="G816" s="51"/>
      <c r="H816" s="51"/>
    </row>
    <row r="817" spans="3:8" ht="12.6">
      <c r="C817" s="51"/>
      <c r="D817" s="51"/>
      <c r="E817" s="51"/>
      <c r="F817" s="51"/>
      <c r="G817" s="51"/>
      <c r="H817" s="51"/>
    </row>
    <row r="818" spans="3:8" ht="12.6">
      <c r="C818" s="51"/>
      <c r="D818" s="51"/>
      <c r="E818" s="51"/>
      <c r="F818" s="51"/>
      <c r="G818" s="51"/>
      <c r="H818" s="51"/>
    </row>
    <row r="819" spans="3:8" ht="12.6">
      <c r="C819" s="51"/>
      <c r="D819" s="51"/>
      <c r="E819" s="51"/>
      <c r="F819" s="51"/>
      <c r="G819" s="51"/>
      <c r="H819" s="51"/>
    </row>
    <row r="820" spans="3:8" ht="12.6">
      <c r="C820" s="51"/>
      <c r="D820" s="51"/>
      <c r="E820" s="51"/>
      <c r="F820" s="51"/>
      <c r="G820" s="51"/>
      <c r="H820" s="51"/>
    </row>
    <row r="821" spans="3:8" ht="12.6">
      <c r="C821" s="51"/>
      <c r="D821" s="51"/>
      <c r="E821" s="51"/>
      <c r="F821" s="51"/>
      <c r="G821" s="51"/>
      <c r="H821" s="51"/>
    </row>
    <row r="822" spans="3:8" ht="12.6">
      <c r="C822" s="51"/>
      <c r="D822" s="51"/>
      <c r="E822" s="51"/>
      <c r="F822" s="51"/>
      <c r="G822" s="51"/>
      <c r="H822" s="51"/>
    </row>
    <row r="823" spans="3:8" ht="12.6">
      <c r="C823" s="51"/>
      <c r="D823" s="51"/>
      <c r="E823" s="51"/>
      <c r="F823" s="51"/>
      <c r="G823" s="51"/>
      <c r="H823" s="51"/>
    </row>
    <row r="824" spans="3:8" ht="12.6">
      <c r="C824" s="51"/>
      <c r="D824" s="51"/>
      <c r="E824" s="51"/>
      <c r="F824" s="51"/>
      <c r="G824" s="51"/>
      <c r="H824" s="51"/>
    </row>
    <row r="825" spans="3:8" ht="12.6">
      <c r="C825" s="51"/>
      <c r="D825" s="51"/>
      <c r="E825" s="51"/>
      <c r="F825" s="51"/>
      <c r="G825" s="51"/>
      <c r="H825" s="51"/>
    </row>
    <row r="826" spans="3:8" ht="12.6">
      <c r="C826" s="51"/>
      <c r="D826" s="51"/>
      <c r="E826" s="51"/>
      <c r="F826" s="51"/>
      <c r="G826" s="51"/>
      <c r="H826" s="51"/>
    </row>
    <row r="827" spans="3:8" ht="12.6">
      <c r="C827" s="51"/>
      <c r="D827" s="51"/>
      <c r="E827" s="51"/>
      <c r="F827" s="51"/>
      <c r="G827" s="51"/>
      <c r="H827" s="51"/>
    </row>
    <row r="828" spans="3:8" ht="12.6">
      <c r="C828" s="51"/>
      <c r="D828" s="51"/>
      <c r="E828" s="51"/>
      <c r="F828" s="51"/>
      <c r="G828" s="51"/>
      <c r="H828" s="51"/>
    </row>
    <row r="829" spans="3:8" ht="12.6">
      <c r="C829" s="51"/>
      <c r="D829" s="51"/>
      <c r="E829" s="51"/>
      <c r="F829" s="51"/>
      <c r="G829" s="51"/>
      <c r="H829" s="51"/>
    </row>
    <row r="830" spans="3:8" ht="12.6">
      <c r="C830" s="51"/>
      <c r="D830" s="51"/>
      <c r="E830" s="51"/>
      <c r="F830" s="51"/>
      <c r="G830" s="51"/>
      <c r="H830" s="51"/>
    </row>
    <row r="831" spans="3:8" ht="12.6">
      <c r="C831" s="51"/>
      <c r="D831" s="51"/>
      <c r="E831" s="51"/>
      <c r="F831" s="51"/>
      <c r="G831" s="51"/>
      <c r="H831" s="51"/>
    </row>
    <row r="832" spans="3:8" ht="12.6">
      <c r="C832" s="51"/>
      <c r="D832" s="51"/>
      <c r="E832" s="51"/>
      <c r="F832" s="51"/>
      <c r="G832" s="51"/>
      <c r="H832" s="51"/>
    </row>
    <row r="833" spans="3:8" ht="12.6">
      <c r="C833" s="51"/>
      <c r="D833" s="51"/>
      <c r="E833" s="51"/>
      <c r="F833" s="51"/>
      <c r="G833" s="51"/>
      <c r="H833" s="51"/>
    </row>
    <row r="834" spans="3:8" ht="12.6">
      <c r="C834" s="51"/>
      <c r="D834" s="51"/>
      <c r="E834" s="51"/>
      <c r="F834" s="51"/>
      <c r="G834" s="51"/>
      <c r="H834" s="51"/>
    </row>
    <row r="835" spans="3:8" ht="12.6">
      <c r="C835" s="51"/>
      <c r="D835" s="51"/>
      <c r="E835" s="51"/>
      <c r="F835" s="51"/>
      <c r="G835" s="51"/>
      <c r="H835" s="51"/>
    </row>
    <row r="836" spans="3:8" ht="12.6">
      <c r="C836" s="51"/>
      <c r="D836" s="51"/>
      <c r="E836" s="51"/>
      <c r="F836" s="51"/>
      <c r="G836" s="51"/>
      <c r="H836" s="51"/>
    </row>
    <row r="837" spans="3:8" ht="12.6">
      <c r="C837" s="51"/>
      <c r="D837" s="51"/>
      <c r="E837" s="51"/>
      <c r="F837" s="51"/>
      <c r="G837" s="51"/>
      <c r="H837" s="51"/>
    </row>
    <row r="838" spans="3:8" ht="12.6">
      <c r="C838" s="51"/>
      <c r="D838" s="51"/>
      <c r="E838" s="51"/>
      <c r="F838" s="51"/>
      <c r="G838" s="51"/>
      <c r="H838" s="51"/>
    </row>
    <row r="839" spans="3:8" ht="12.6">
      <c r="C839" s="51"/>
      <c r="D839" s="51"/>
      <c r="E839" s="51"/>
      <c r="F839" s="51"/>
      <c r="G839" s="51"/>
      <c r="H839" s="51"/>
    </row>
    <row r="840" spans="3:8" ht="12.6">
      <c r="C840" s="51"/>
      <c r="D840" s="51"/>
      <c r="E840" s="51"/>
      <c r="F840" s="51"/>
      <c r="G840" s="51"/>
      <c r="H840" s="51"/>
    </row>
    <row r="841" spans="3:8" ht="12.6">
      <c r="C841" s="51"/>
      <c r="D841" s="51"/>
      <c r="E841" s="51"/>
      <c r="F841" s="51"/>
      <c r="G841" s="51"/>
      <c r="H841" s="51"/>
    </row>
    <row r="842" spans="3:8" ht="12.6">
      <c r="C842" s="51"/>
      <c r="D842" s="51"/>
      <c r="E842" s="51"/>
      <c r="F842" s="51"/>
      <c r="G842" s="51"/>
      <c r="H842" s="51"/>
    </row>
    <row r="843" spans="3:8" ht="12.6">
      <c r="C843" s="51"/>
      <c r="D843" s="51"/>
      <c r="E843" s="51"/>
      <c r="F843" s="51"/>
      <c r="G843" s="51"/>
      <c r="H843" s="51"/>
    </row>
    <row r="844" spans="3:8" ht="12.6">
      <c r="C844" s="51"/>
      <c r="D844" s="51"/>
      <c r="E844" s="51"/>
      <c r="F844" s="51"/>
      <c r="G844" s="51"/>
      <c r="H844" s="51"/>
    </row>
    <row r="845" spans="3:8" ht="12.6">
      <c r="C845" s="51"/>
      <c r="D845" s="51"/>
      <c r="E845" s="51"/>
      <c r="F845" s="51"/>
      <c r="G845" s="51"/>
      <c r="H845" s="51"/>
    </row>
    <row r="846" spans="3:8" ht="12.6">
      <c r="C846" s="51"/>
      <c r="D846" s="51"/>
      <c r="E846" s="51"/>
      <c r="F846" s="51"/>
      <c r="G846" s="51"/>
      <c r="H846" s="51"/>
    </row>
    <row r="847" spans="3:8" ht="12.6">
      <c r="C847" s="51"/>
      <c r="D847" s="51"/>
      <c r="E847" s="51"/>
      <c r="F847" s="51"/>
      <c r="G847" s="51"/>
      <c r="H847" s="51"/>
    </row>
    <row r="848" spans="3:8" ht="12.6">
      <c r="C848" s="51"/>
      <c r="D848" s="51"/>
      <c r="E848" s="51"/>
      <c r="F848" s="51"/>
      <c r="G848" s="51"/>
      <c r="H848" s="51"/>
    </row>
    <row r="849" spans="3:8" ht="12.6">
      <c r="C849" s="51"/>
      <c r="D849" s="51"/>
      <c r="E849" s="51"/>
      <c r="F849" s="51"/>
      <c r="G849" s="51"/>
      <c r="H849" s="51"/>
    </row>
    <row r="850" spans="3:8" ht="12.6">
      <c r="C850" s="51"/>
      <c r="D850" s="51"/>
      <c r="E850" s="51"/>
      <c r="F850" s="51"/>
      <c r="G850" s="51"/>
      <c r="H850" s="51"/>
    </row>
    <row r="851" spans="3:8" ht="12.6">
      <c r="C851" s="51"/>
      <c r="D851" s="51"/>
      <c r="E851" s="51"/>
      <c r="F851" s="51"/>
      <c r="G851" s="51"/>
      <c r="H851" s="51"/>
    </row>
    <row r="852" spans="3:8" ht="12.6">
      <c r="C852" s="51"/>
      <c r="D852" s="51"/>
      <c r="E852" s="51"/>
      <c r="F852" s="51"/>
      <c r="G852" s="51"/>
      <c r="H852" s="51"/>
    </row>
    <row r="853" spans="3:8" ht="12.6">
      <c r="C853" s="51"/>
      <c r="D853" s="51"/>
      <c r="E853" s="51"/>
      <c r="F853" s="51"/>
      <c r="G853" s="51"/>
      <c r="H853" s="51"/>
    </row>
    <row r="854" spans="3:8" ht="12.6">
      <c r="C854" s="51"/>
      <c r="D854" s="51"/>
      <c r="E854" s="51"/>
      <c r="F854" s="51"/>
      <c r="G854" s="51"/>
      <c r="H854" s="51"/>
    </row>
    <row r="855" spans="3:8" ht="12.6">
      <c r="C855" s="51"/>
      <c r="D855" s="51"/>
      <c r="E855" s="51"/>
      <c r="F855" s="51"/>
      <c r="G855" s="51"/>
      <c r="H855" s="51"/>
    </row>
    <row r="856" spans="3:8" ht="12.6">
      <c r="C856" s="51"/>
      <c r="D856" s="51"/>
      <c r="E856" s="51"/>
      <c r="F856" s="51"/>
      <c r="G856" s="51"/>
      <c r="H856" s="51"/>
    </row>
    <row r="857" spans="3:8" ht="12.6">
      <c r="C857" s="51"/>
      <c r="D857" s="51"/>
      <c r="E857" s="51"/>
      <c r="F857" s="51"/>
      <c r="G857" s="51"/>
      <c r="H857" s="51"/>
    </row>
    <row r="858" spans="3:8" ht="12.6">
      <c r="C858" s="51"/>
      <c r="D858" s="51"/>
      <c r="E858" s="51"/>
      <c r="F858" s="51"/>
      <c r="G858" s="51"/>
      <c r="H858" s="51"/>
    </row>
    <row r="859" spans="3:8" ht="12.6">
      <c r="C859" s="51"/>
      <c r="D859" s="51"/>
      <c r="E859" s="51"/>
      <c r="F859" s="51"/>
      <c r="G859" s="51"/>
      <c r="H859" s="51"/>
    </row>
    <row r="860" spans="3:8" ht="12.6">
      <c r="C860" s="51"/>
      <c r="D860" s="51"/>
      <c r="E860" s="51"/>
      <c r="F860" s="51"/>
      <c r="G860" s="51"/>
      <c r="H860" s="51"/>
    </row>
    <row r="861" spans="3:8" ht="12.6">
      <c r="C861" s="51"/>
      <c r="D861" s="51"/>
      <c r="E861" s="51"/>
      <c r="F861" s="51"/>
      <c r="G861" s="51"/>
      <c r="H861" s="51"/>
    </row>
    <row r="862" spans="3:8" ht="12.6">
      <c r="C862" s="51"/>
      <c r="D862" s="51"/>
      <c r="E862" s="51"/>
      <c r="F862" s="51"/>
      <c r="G862" s="51"/>
      <c r="H862" s="51"/>
    </row>
    <row r="863" spans="3:8" ht="12.6">
      <c r="C863" s="51"/>
      <c r="D863" s="51"/>
      <c r="E863" s="51"/>
      <c r="F863" s="51"/>
      <c r="G863" s="51"/>
      <c r="H863" s="51"/>
    </row>
    <row r="864" spans="3:8" ht="12.6">
      <c r="C864" s="51"/>
      <c r="D864" s="51"/>
      <c r="E864" s="51"/>
      <c r="F864" s="51"/>
      <c r="G864" s="51"/>
      <c r="H864" s="51"/>
    </row>
    <row r="865" spans="3:8" ht="12.6">
      <c r="C865" s="51"/>
      <c r="D865" s="51"/>
      <c r="E865" s="51"/>
      <c r="F865" s="51"/>
      <c r="G865" s="51"/>
      <c r="H865" s="51"/>
    </row>
    <row r="866" spans="3:8" ht="12.6">
      <c r="C866" s="51"/>
      <c r="D866" s="51"/>
      <c r="E866" s="51"/>
      <c r="F866" s="51"/>
      <c r="G866" s="51"/>
      <c r="H866" s="51"/>
    </row>
    <row r="867" spans="3:8" ht="12.6">
      <c r="C867" s="51"/>
      <c r="D867" s="51"/>
      <c r="E867" s="51"/>
      <c r="F867" s="51"/>
      <c r="G867" s="51"/>
      <c r="H867" s="51"/>
    </row>
    <row r="868" spans="3:8" ht="12.6">
      <c r="C868" s="51"/>
      <c r="D868" s="51"/>
      <c r="E868" s="51"/>
      <c r="F868" s="51"/>
      <c r="G868" s="51"/>
      <c r="H868" s="51"/>
    </row>
    <row r="869" spans="3:8" ht="12.6">
      <c r="C869" s="51"/>
      <c r="D869" s="51"/>
      <c r="E869" s="51"/>
      <c r="F869" s="51"/>
      <c r="G869" s="51"/>
      <c r="H869" s="51"/>
    </row>
    <row r="870" spans="3:8" ht="12.6">
      <c r="C870" s="51"/>
      <c r="D870" s="51"/>
      <c r="E870" s="51"/>
      <c r="F870" s="51"/>
      <c r="G870" s="51"/>
      <c r="H870" s="51"/>
    </row>
    <row r="871" spans="3:8" ht="12.6">
      <c r="C871" s="51"/>
      <c r="D871" s="51"/>
      <c r="E871" s="51"/>
      <c r="F871" s="51"/>
      <c r="G871" s="51"/>
      <c r="H871" s="51"/>
    </row>
    <row r="872" spans="3:8" ht="12.6">
      <c r="C872" s="51"/>
      <c r="D872" s="51"/>
      <c r="E872" s="51"/>
      <c r="F872" s="51"/>
      <c r="G872" s="51"/>
      <c r="H872" s="51"/>
    </row>
    <row r="873" spans="3:8" ht="12.6">
      <c r="C873" s="51"/>
      <c r="D873" s="51"/>
      <c r="E873" s="51"/>
      <c r="F873" s="51"/>
      <c r="G873" s="51"/>
      <c r="H873" s="51"/>
    </row>
    <row r="874" spans="3:8" ht="12.6">
      <c r="C874" s="51"/>
      <c r="D874" s="51"/>
      <c r="E874" s="51"/>
      <c r="F874" s="51"/>
      <c r="G874" s="51"/>
      <c r="H874" s="51"/>
    </row>
    <row r="875" spans="3:8" ht="12.6">
      <c r="C875" s="51"/>
      <c r="D875" s="51"/>
      <c r="E875" s="51"/>
      <c r="F875" s="51"/>
      <c r="G875" s="51"/>
      <c r="H875" s="51"/>
    </row>
    <row r="876" spans="3:8" ht="12.6">
      <c r="C876" s="51"/>
      <c r="D876" s="51"/>
      <c r="E876" s="51"/>
      <c r="F876" s="51"/>
      <c r="G876" s="51"/>
      <c r="H876" s="51"/>
    </row>
    <row r="877" spans="3:8" ht="12.6">
      <c r="C877" s="51"/>
      <c r="D877" s="51"/>
      <c r="E877" s="51"/>
      <c r="F877" s="51"/>
      <c r="G877" s="51"/>
      <c r="H877" s="51"/>
    </row>
    <row r="878" spans="3:8" ht="12.6">
      <c r="C878" s="51"/>
      <c r="D878" s="51"/>
      <c r="E878" s="51"/>
      <c r="F878" s="51"/>
      <c r="G878" s="51"/>
      <c r="H878" s="51"/>
    </row>
    <row r="879" spans="3:8" ht="12.6">
      <c r="C879" s="51"/>
      <c r="D879" s="51"/>
      <c r="E879" s="51"/>
      <c r="F879" s="51"/>
      <c r="G879" s="51"/>
      <c r="H879" s="51"/>
    </row>
    <row r="880" spans="3:8" ht="12.6">
      <c r="C880" s="51"/>
      <c r="D880" s="51"/>
      <c r="E880" s="51"/>
      <c r="F880" s="51"/>
      <c r="G880" s="51"/>
      <c r="H880" s="51"/>
    </row>
    <row r="881" spans="3:8" ht="12.6">
      <c r="C881" s="51"/>
      <c r="D881" s="51"/>
      <c r="E881" s="51"/>
      <c r="F881" s="51"/>
      <c r="G881" s="51"/>
      <c r="H881" s="51"/>
    </row>
    <row r="882" spans="3:8" ht="12.6">
      <c r="C882" s="51"/>
      <c r="D882" s="51"/>
      <c r="E882" s="51"/>
      <c r="F882" s="51"/>
      <c r="G882" s="51"/>
      <c r="H882" s="51"/>
    </row>
    <row r="883" spans="3:8" ht="12.6">
      <c r="C883" s="51"/>
      <c r="D883" s="51"/>
      <c r="E883" s="51"/>
      <c r="F883" s="51"/>
      <c r="G883" s="51"/>
      <c r="H883" s="51"/>
    </row>
    <row r="884" spans="3:8" ht="12.6">
      <c r="C884" s="51"/>
      <c r="D884" s="51"/>
      <c r="E884" s="51"/>
      <c r="F884" s="51"/>
      <c r="G884" s="51"/>
      <c r="H884" s="51"/>
    </row>
    <row r="885" spans="3:8" ht="12.6">
      <c r="C885" s="51"/>
      <c r="D885" s="51"/>
      <c r="E885" s="51"/>
      <c r="F885" s="51"/>
      <c r="G885" s="51"/>
      <c r="H885" s="51"/>
    </row>
    <row r="886" spans="3:8" ht="12.6">
      <c r="C886" s="51"/>
      <c r="D886" s="51"/>
      <c r="E886" s="51"/>
      <c r="F886" s="51"/>
      <c r="G886" s="51"/>
      <c r="H886" s="51"/>
    </row>
    <row r="887" spans="3:8" ht="12.6">
      <c r="C887" s="51"/>
      <c r="D887" s="51"/>
      <c r="E887" s="51"/>
      <c r="F887" s="51"/>
      <c r="G887" s="51"/>
      <c r="H887" s="51"/>
    </row>
    <row r="888" spans="3:8" ht="12.6">
      <c r="C888" s="51"/>
      <c r="D888" s="51"/>
      <c r="E888" s="51"/>
      <c r="F888" s="51"/>
      <c r="G888" s="51"/>
      <c r="H888" s="51"/>
    </row>
    <row r="889" spans="3:8" ht="12.6">
      <c r="C889" s="51"/>
      <c r="D889" s="51"/>
      <c r="E889" s="51"/>
      <c r="F889" s="51"/>
      <c r="G889" s="51"/>
      <c r="H889" s="51"/>
    </row>
    <row r="890" spans="3:8" ht="12.6">
      <c r="C890" s="51"/>
      <c r="D890" s="51"/>
      <c r="E890" s="51"/>
      <c r="F890" s="51"/>
      <c r="G890" s="51"/>
      <c r="H890" s="51"/>
    </row>
    <row r="891" spans="3:8" ht="12.6">
      <c r="C891" s="51"/>
      <c r="D891" s="51"/>
      <c r="E891" s="51"/>
      <c r="F891" s="51"/>
      <c r="G891" s="51"/>
      <c r="H891" s="51"/>
    </row>
    <row r="892" spans="3:8" ht="12.6">
      <c r="C892" s="51"/>
      <c r="D892" s="51"/>
      <c r="E892" s="51"/>
      <c r="F892" s="51"/>
      <c r="G892" s="51"/>
      <c r="H892" s="51"/>
    </row>
    <row r="893" spans="3:8" ht="12.6">
      <c r="C893" s="51"/>
      <c r="D893" s="51"/>
      <c r="E893" s="51"/>
      <c r="F893" s="51"/>
      <c r="G893" s="51"/>
      <c r="H893" s="51"/>
    </row>
    <row r="894" spans="3:8" ht="12.6">
      <c r="C894" s="51"/>
      <c r="D894" s="51"/>
      <c r="E894" s="51"/>
      <c r="F894" s="51"/>
      <c r="G894" s="51"/>
      <c r="H894" s="51"/>
    </row>
    <row r="895" spans="3:8" ht="12.6">
      <c r="C895" s="51"/>
      <c r="D895" s="51"/>
      <c r="E895" s="51"/>
      <c r="F895" s="51"/>
      <c r="G895" s="51"/>
      <c r="H895" s="51"/>
    </row>
    <row r="896" spans="3:8" ht="12.6">
      <c r="C896" s="51"/>
      <c r="D896" s="51"/>
      <c r="E896" s="51"/>
      <c r="F896" s="51"/>
      <c r="G896" s="51"/>
      <c r="H896" s="51"/>
    </row>
    <row r="897" spans="3:8" ht="12.6">
      <c r="C897" s="51"/>
      <c r="D897" s="51"/>
      <c r="E897" s="51"/>
      <c r="F897" s="51"/>
      <c r="G897" s="51"/>
      <c r="H897" s="51"/>
    </row>
    <row r="898" spans="3:8" ht="12.6">
      <c r="C898" s="51"/>
      <c r="D898" s="51"/>
      <c r="E898" s="51"/>
      <c r="F898" s="51"/>
      <c r="G898" s="51"/>
      <c r="H898" s="51"/>
    </row>
    <row r="899" spans="3:8" ht="12.6">
      <c r="C899" s="51"/>
      <c r="D899" s="51"/>
      <c r="E899" s="51"/>
      <c r="F899" s="51"/>
      <c r="G899" s="51"/>
      <c r="H899" s="51"/>
    </row>
    <row r="900" spans="3:8" ht="12.6">
      <c r="C900" s="51"/>
      <c r="D900" s="51"/>
      <c r="E900" s="51"/>
      <c r="F900" s="51"/>
      <c r="G900" s="51"/>
      <c r="H900" s="51"/>
    </row>
    <row r="901" spans="3:8" ht="12.6">
      <c r="C901" s="51"/>
      <c r="D901" s="51"/>
      <c r="E901" s="51"/>
      <c r="F901" s="51"/>
      <c r="G901" s="51"/>
      <c r="H901" s="51"/>
    </row>
    <row r="902" spans="3:8" ht="12.6">
      <c r="C902" s="51"/>
      <c r="D902" s="51"/>
      <c r="E902" s="51"/>
      <c r="F902" s="51"/>
      <c r="G902" s="51"/>
      <c r="H902" s="51"/>
    </row>
    <row r="903" spans="3:8" ht="12.6">
      <c r="C903" s="51"/>
      <c r="D903" s="51"/>
      <c r="E903" s="51"/>
      <c r="F903" s="51"/>
      <c r="G903" s="51"/>
      <c r="H903" s="51"/>
    </row>
    <row r="904" spans="3:8" ht="12.6">
      <c r="C904" s="51"/>
      <c r="D904" s="51"/>
      <c r="E904" s="51"/>
      <c r="F904" s="51"/>
      <c r="G904" s="51"/>
      <c r="H904" s="51"/>
    </row>
    <row r="905" spans="3:8" ht="12.6">
      <c r="C905" s="51"/>
      <c r="D905" s="51"/>
      <c r="E905" s="51"/>
      <c r="F905" s="51"/>
      <c r="G905" s="51"/>
      <c r="H905" s="51"/>
    </row>
    <row r="906" spans="3:8" ht="12.6">
      <c r="C906" s="51"/>
      <c r="D906" s="51"/>
      <c r="E906" s="51"/>
      <c r="F906" s="51"/>
      <c r="G906" s="51"/>
      <c r="H906" s="51"/>
    </row>
    <row r="907" spans="3:8" ht="12.6">
      <c r="C907" s="51"/>
      <c r="D907" s="51"/>
      <c r="E907" s="51"/>
      <c r="F907" s="51"/>
      <c r="G907" s="51"/>
      <c r="H907" s="51"/>
    </row>
    <row r="908" spans="3:8" ht="12.6">
      <c r="C908" s="51"/>
      <c r="D908" s="51"/>
      <c r="E908" s="51"/>
      <c r="F908" s="51"/>
      <c r="G908" s="51"/>
      <c r="H908" s="51"/>
    </row>
    <row r="909" spans="3:8" ht="12.6">
      <c r="C909" s="51"/>
      <c r="D909" s="51"/>
      <c r="E909" s="51"/>
      <c r="F909" s="51"/>
      <c r="G909" s="51"/>
      <c r="H909" s="51"/>
    </row>
    <row r="910" spans="3:8" ht="12.6">
      <c r="C910" s="51"/>
      <c r="D910" s="51"/>
      <c r="E910" s="51"/>
      <c r="F910" s="51"/>
      <c r="G910" s="51"/>
      <c r="H910" s="51"/>
    </row>
    <row r="911" spans="3:8" ht="12.6">
      <c r="C911" s="51"/>
      <c r="D911" s="51"/>
      <c r="E911" s="51"/>
      <c r="F911" s="51"/>
      <c r="G911" s="51"/>
      <c r="H911" s="51"/>
    </row>
    <row r="912" spans="3:8" ht="12.6">
      <c r="C912" s="51"/>
      <c r="D912" s="51"/>
      <c r="E912" s="51"/>
      <c r="F912" s="51"/>
      <c r="G912" s="51"/>
      <c r="H912" s="51"/>
    </row>
    <row r="913" spans="3:8" ht="12.6">
      <c r="C913" s="51"/>
      <c r="D913" s="51"/>
      <c r="E913" s="51"/>
      <c r="F913" s="51"/>
      <c r="G913" s="51"/>
      <c r="H913" s="51"/>
    </row>
    <row r="914" spans="3:8" ht="12.6">
      <c r="C914" s="51"/>
      <c r="D914" s="51"/>
      <c r="E914" s="51"/>
      <c r="F914" s="51"/>
      <c r="G914" s="51"/>
      <c r="H914" s="51"/>
    </row>
    <row r="915" spans="3:8" ht="12.6">
      <c r="C915" s="51"/>
      <c r="D915" s="51"/>
      <c r="E915" s="51"/>
      <c r="F915" s="51"/>
      <c r="G915" s="51"/>
      <c r="H915" s="51"/>
    </row>
    <row r="916" spans="3:8" ht="12.6">
      <c r="C916" s="51"/>
      <c r="D916" s="51"/>
      <c r="E916" s="51"/>
      <c r="F916" s="51"/>
      <c r="G916" s="51"/>
      <c r="H916" s="51"/>
    </row>
    <row r="917" spans="3:8" ht="12.6">
      <c r="C917" s="51"/>
      <c r="D917" s="51"/>
      <c r="E917" s="51"/>
      <c r="F917" s="51"/>
      <c r="G917" s="51"/>
      <c r="H917" s="51"/>
    </row>
    <row r="918" spans="3:8" ht="12.6">
      <c r="C918" s="51"/>
      <c r="D918" s="51"/>
      <c r="E918" s="51"/>
      <c r="F918" s="51"/>
      <c r="G918" s="51"/>
      <c r="H918" s="51"/>
    </row>
    <row r="919" spans="3:8" ht="12.6">
      <c r="C919" s="51"/>
      <c r="D919" s="51"/>
      <c r="E919" s="51"/>
      <c r="F919" s="51"/>
      <c r="G919" s="51"/>
      <c r="H919" s="51"/>
    </row>
    <row r="920" spans="3:8" ht="12.6">
      <c r="C920" s="51"/>
      <c r="D920" s="51"/>
      <c r="E920" s="51"/>
      <c r="F920" s="51"/>
      <c r="G920" s="51"/>
      <c r="H920" s="51"/>
    </row>
    <row r="921" spans="3:8" ht="12.6">
      <c r="C921" s="51"/>
      <c r="D921" s="51"/>
      <c r="E921" s="51"/>
      <c r="F921" s="51"/>
      <c r="G921" s="51"/>
      <c r="H921" s="51"/>
    </row>
    <row r="922" spans="3:8" ht="12.6">
      <c r="C922" s="51"/>
      <c r="D922" s="51"/>
      <c r="E922" s="51"/>
      <c r="F922" s="51"/>
      <c r="G922" s="51"/>
      <c r="H922" s="51"/>
    </row>
    <row r="923" spans="3:8" ht="12.6">
      <c r="C923" s="51"/>
      <c r="D923" s="51"/>
      <c r="E923" s="51"/>
      <c r="F923" s="51"/>
      <c r="G923" s="51"/>
      <c r="H923" s="51"/>
    </row>
    <row r="924" spans="3:8" ht="12.6">
      <c r="C924" s="51"/>
      <c r="D924" s="51"/>
      <c r="E924" s="51"/>
      <c r="F924" s="51"/>
      <c r="G924" s="51"/>
      <c r="H924" s="51"/>
    </row>
    <row r="925" spans="3:8" ht="12.6">
      <c r="C925" s="51"/>
      <c r="D925" s="51"/>
      <c r="E925" s="51"/>
      <c r="F925" s="51"/>
      <c r="G925" s="51"/>
      <c r="H925" s="51"/>
    </row>
    <row r="926" spans="3:8" ht="12.6">
      <c r="C926" s="51"/>
      <c r="D926" s="51"/>
      <c r="E926" s="51"/>
      <c r="F926" s="51"/>
      <c r="G926" s="51"/>
      <c r="H926" s="51"/>
    </row>
    <row r="927" spans="3:8" ht="12.6">
      <c r="C927" s="51"/>
      <c r="D927" s="51"/>
      <c r="E927" s="51"/>
      <c r="F927" s="51"/>
      <c r="G927" s="51"/>
      <c r="H927" s="51"/>
    </row>
    <row r="928" spans="3:8" ht="12.6">
      <c r="C928" s="51"/>
      <c r="D928" s="51"/>
      <c r="E928" s="51"/>
      <c r="F928" s="51"/>
      <c r="G928" s="51"/>
      <c r="H928" s="51"/>
    </row>
    <row r="929" spans="3:8" ht="12.6">
      <c r="C929" s="51"/>
      <c r="D929" s="51"/>
      <c r="E929" s="51"/>
      <c r="F929" s="51"/>
      <c r="G929" s="51"/>
      <c r="H929" s="51"/>
    </row>
    <row r="930" spans="3:8" ht="12.6">
      <c r="C930" s="51"/>
      <c r="D930" s="51"/>
      <c r="E930" s="51"/>
      <c r="F930" s="51"/>
      <c r="G930" s="51"/>
      <c r="H930" s="51"/>
    </row>
    <row r="931" spans="3:8" ht="12.6">
      <c r="C931" s="51"/>
      <c r="D931" s="51"/>
      <c r="E931" s="51"/>
      <c r="F931" s="51"/>
      <c r="G931" s="51"/>
      <c r="H931" s="51"/>
    </row>
    <row r="932" spans="3:8" ht="12.6">
      <c r="C932" s="51"/>
      <c r="D932" s="51"/>
      <c r="E932" s="51"/>
      <c r="F932" s="51"/>
      <c r="G932" s="51"/>
      <c r="H932" s="51"/>
    </row>
    <row r="933" spans="3:8" ht="12.6">
      <c r="C933" s="51"/>
      <c r="D933" s="51"/>
      <c r="E933" s="51"/>
      <c r="F933" s="51"/>
      <c r="G933" s="51"/>
      <c r="H933" s="51"/>
    </row>
    <row r="934" spans="3:8" ht="12.6">
      <c r="C934" s="51"/>
      <c r="D934" s="51"/>
      <c r="E934" s="51"/>
      <c r="F934" s="51"/>
      <c r="G934" s="51"/>
      <c r="H934" s="51"/>
    </row>
    <row r="935" spans="3:8" ht="12.6">
      <c r="C935" s="51"/>
      <c r="D935" s="51"/>
      <c r="E935" s="51"/>
      <c r="F935" s="51"/>
      <c r="G935" s="51"/>
      <c r="H935" s="51"/>
    </row>
    <row r="936" spans="3:8" ht="12.6">
      <c r="C936" s="51"/>
      <c r="D936" s="51"/>
      <c r="E936" s="51"/>
      <c r="F936" s="51"/>
      <c r="G936" s="51"/>
      <c r="H936" s="51"/>
    </row>
    <row r="937" spans="3:8" ht="12.6">
      <c r="C937" s="51"/>
      <c r="D937" s="51"/>
      <c r="E937" s="51"/>
      <c r="F937" s="51"/>
      <c r="G937" s="51"/>
      <c r="H937" s="51"/>
    </row>
    <row r="938" spans="3:8" ht="12.6">
      <c r="C938" s="51"/>
      <c r="D938" s="51"/>
      <c r="E938" s="51"/>
      <c r="F938" s="51"/>
      <c r="G938" s="51"/>
      <c r="H938" s="51"/>
    </row>
    <row r="939" spans="3:8" ht="12.6">
      <c r="C939" s="51"/>
      <c r="D939" s="51"/>
      <c r="E939" s="51"/>
      <c r="F939" s="51"/>
      <c r="G939" s="51"/>
      <c r="H939" s="51"/>
    </row>
    <row r="940" spans="3:8" ht="12.6">
      <c r="C940" s="51"/>
      <c r="D940" s="51"/>
      <c r="E940" s="51"/>
      <c r="F940" s="51"/>
      <c r="G940" s="51"/>
      <c r="H940" s="51"/>
    </row>
    <row r="941" spans="3:8" ht="12.6">
      <c r="C941" s="51"/>
      <c r="D941" s="51"/>
      <c r="E941" s="51"/>
      <c r="F941" s="51"/>
      <c r="G941" s="51"/>
      <c r="H941" s="51"/>
    </row>
    <row r="942" spans="3:8" ht="12.6">
      <c r="C942" s="51"/>
      <c r="D942" s="51"/>
      <c r="E942" s="51"/>
      <c r="F942" s="51"/>
      <c r="G942" s="51"/>
      <c r="H942" s="51"/>
    </row>
    <row r="943" spans="3:8" ht="12.6">
      <c r="C943" s="51"/>
      <c r="D943" s="51"/>
      <c r="E943" s="51"/>
      <c r="F943" s="51"/>
      <c r="G943" s="51"/>
      <c r="H943" s="51"/>
    </row>
    <row r="944" spans="3:8" ht="12.6">
      <c r="C944" s="51"/>
      <c r="D944" s="51"/>
      <c r="E944" s="51"/>
      <c r="F944" s="51"/>
      <c r="G944" s="51"/>
      <c r="H944" s="51"/>
    </row>
    <row r="945" spans="3:8" ht="12.6">
      <c r="C945" s="51"/>
      <c r="D945" s="51"/>
      <c r="E945" s="51"/>
      <c r="F945" s="51"/>
      <c r="G945" s="51"/>
      <c r="H945" s="51"/>
    </row>
    <row r="946" spans="3:8" ht="12.6">
      <c r="C946" s="51"/>
      <c r="D946" s="51"/>
      <c r="E946" s="51"/>
      <c r="F946" s="51"/>
      <c r="G946" s="51"/>
      <c r="H946" s="51"/>
    </row>
    <row r="947" spans="3:8" ht="12.6">
      <c r="C947" s="51"/>
      <c r="D947" s="51"/>
      <c r="E947" s="51"/>
      <c r="F947" s="51"/>
      <c r="G947" s="51"/>
      <c r="H947" s="51"/>
    </row>
    <row r="948" spans="3:8" ht="12.6">
      <c r="C948" s="51"/>
      <c r="D948" s="51"/>
      <c r="E948" s="51"/>
      <c r="F948" s="51"/>
      <c r="G948" s="51"/>
      <c r="H948" s="51"/>
    </row>
    <row r="949" spans="3:8" ht="12.6">
      <c r="C949" s="51"/>
      <c r="D949" s="51"/>
      <c r="E949" s="51"/>
      <c r="F949" s="51"/>
      <c r="G949" s="51"/>
      <c r="H949" s="51"/>
    </row>
    <row r="950" spans="3:8" ht="12.6">
      <c r="C950" s="51"/>
      <c r="D950" s="51"/>
      <c r="E950" s="51"/>
      <c r="F950" s="51"/>
      <c r="G950" s="51"/>
      <c r="H950" s="51"/>
    </row>
    <row r="951" spans="3:8" ht="12.6">
      <c r="C951" s="51"/>
      <c r="D951" s="51"/>
      <c r="E951" s="51"/>
      <c r="F951" s="51"/>
      <c r="G951" s="51"/>
      <c r="H951" s="51"/>
    </row>
    <row r="952" spans="3:8" ht="12.6">
      <c r="C952" s="51"/>
      <c r="D952" s="51"/>
      <c r="E952" s="51"/>
      <c r="F952" s="51"/>
      <c r="G952" s="51"/>
      <c r="H952" s="51"/>
    </row>
    <row r="953" spans="3:8" ht="12.6">
      <c r="C953" s="51"/>
      <c r="D953" s="51"/>
      <c r="E953" s="51"/>
      <c r="F953" s="51"/>
      <c r="G953" s="51"/>
      <c r="H953" s="51"/>
    </row>
    <row r="954" spans="3:8" ht="12.6">
      <c r="C954" s="51"/>
      <c r="D954" s="51"/>
      <c r="E954" s="51"/>
      <c r="F954" s="51"/>
      <c r="G954" s="51"/>
      <c r="H954" s="51"/>
    </row>
    <row r="955" spans="3:8" ht="12.6">
      <c r="C955" s="51"/>
      <c r="D955" s="51"/>
      <c r="E955" s="51"/>
      <c r="F955" s="51"/>
      <c r="G955" s="51"/>
      <c r="H955" s="51"/>
    </row>
    <row r="956" spans="3:8" ht="12.6">
      <c r="C956" s="51"/>
      <c r="D956" s="51"/>
      <c r="E956" s="51"/>
      <c r="F956" s="51"/>
      <c r="G956" s="51"/>
      <c r="H956" s="51"/>
    </row>
    <row r="957" spans="3:8" ht="12.6">
      <c r="C957" s="51"/>
      <c r="D957" s="51"/>
      <c r="E957" s="51"/>
      <c r="F957" s="51"/>
      <c r="G957" s="51"/>
      <c r="H957" s="51"/>
    </row>
    <row r="958" spans="3:8" ht="12.6">
      <c r="C958" s="51"/>
      <c r="D958" s="51"/>
      <c r="E958" s="51"/>
      <c r="F958" s="51"/>
      <c r="G958" s="51"/>
      <c r="H958" s="51"/>
    </row>
    <row r="959" spans="3:8" ht="12.6">
      <c r="C959" s="51"/>
      <c r="D959" s="51"/>
      <c r="E959" s="51"/>
      <c r="F959" s="51"/>
      <c r="G959" s="51"/>
      <c r="H959" s="51"/>
    </row>
    <row r="960" spans="3:8" ht="12.6">
      <c r="C960" s="51"/>
      <c r="D960" s="51"/>
      <c r="E960" s="51"/>
      <c r="F960" s="51"/>
      <c r="G960" s="51"/>
      <c r="H960" s="51"/>
    </row>
    <row r="961" spans="3:8" ht="12.6">
      <c r="C961" s="51"/>
      <c r="D961" s="51"/>
      <c r="E961" s="51"/>
      <c r="F961" s="51"/>
      <c r="G961" s="51"/>
      <c r="H961" s="51"/>
    </row>
    <row r="962" spans="3:8" ht="12.6">
      <c r="C962" s="51"/>
      <c r="D962" s="51"/>
      <c r="E962" s="51"/>
      <c r="F962" s="51"/>
      <c r="G962" s="51"/>
      <c r="H962" s="51"/>
    </row>
    <row r="963" spans="3:8" ht="12.6">
      <c r="C963" s="51"/>
      <c r="D963" s="51"/>
      <c r="E963" s="51"/>
      <c r="F963" s="51"/>
      <c r="G963" s="51"/>
      <c r="H963" s="51"/>
    </row>
    <row r="964" spans="3:8" ht="12.6">
      <c r="C964" s="51"/>
      <c r="D964" s="51"/>
      <c r="E964" s="51"/>
      <c r="F964" s="51"/>
      <c r="G964" s="51"/>
      <c r="H964" s="51"/>
    </row>
    <row r="965" spans="3:8" ht="12.6">
      <c r="C965" s="51"/>
      <c r="D965" s="51"/>
      <c r="E965" s="51"/>
      <c r="F965" s="51"/>
      <c r="G965" s="51"/>
      <c r="H965" s="51"/>
    </row>
    <row r="966" spans="3:8" ht="12.6">
      <c r="C966" s="51"/>
      <c r="D966" s="51"/>
      <c r="E966" s="51"/>
      <c r="F966" s="51"/>
      <c r="G966" s="51"/>
      <c r="H966" s="51"/>
    </row>
    <row r="967" spans="3:8" ht="12.6">
      <c r="C967" s="51"/>
      <c r="D967" s="51"/>
      <c r="E967" s="51"/>
      <c r="F967" s="51"/>
      <c r="G967" s="51"/>
      <c r="H967" s="51"/>
    </row>
    <row r="968" spans="3:8" ht="12.6">
      <c r="C968" s="51"/>
      <c r="D968" s="51"/>
      <c r="E968" s="51"/>
      <c r="F968" s="51"/>
      <c r="G968" s="51"/>
      <c r="H968" s="51"/>
    </row>
    <row r="969" spans="3:8" ht="12.6">
      <c r="C969" s="51"/>
      <c r="D969" s="51"/>
      <c r="E969" s="51"/>
      <c r="F969" s="51"/>
      <c r="G969" s="51"/>
      <c r="H969" s="51"/>
    </row>
    <row r="970" spans="3:8" ht="12.6">
      <c r="C970" s="51"/>
      <c r="D970" s="51"/>
      <c r="E970" s="51"/>
      <c r="F970" s="51"/>
      <c r="G970" s="51"/>
      <c r="H970" s="51"/>
    </row>
    <row r="971" spans="3:8" ht="12.6">
      <c r="C971" s="51"/>
      <c r="D971" s="51"/>
      <c r="E971" s="51"/>
      <c r="F971" s="51"/>
      <c r="G971" s="51"/>
      <c r="H971" s="51"/>
    </row>
    <row r="972" spans="3:8" ht="12.6">
      <c r="C972" s="51"/>
      <c r="D972" s="51"/>
      <c r="E972" s="51"/>
      <c r="F972" s="51"/>
      <c r="G972" s="51"/>
      <c r="H972" s="51"/>
    </row>
    <row r="973" spans="3:8" ht="12.6">
      <c r="C973" s="51"/>
      <c r="D973" s="51"/>
      <c r="E973" s="51"/>
      <c r="F973" s="51"/>
      <c r="G973" s="51"/>
      <c r="H973" s="51"/>
    </row>
    <row r="974" spans="3:8" ht="12.6">
      <c r="C974" s="51"/>
      <c r="D974" s="51"/>
      <c r="E974" s="51"/>
      <c r="F974" s="51"/>
      <c r="G974" s="51"/>
      <c r="H974" s="51"/>
    </row>
    <row r="975" spans="3:8" ht="12.6">
      <c r="C975" s="51"/>
      <c r="D975" s="51"/>
      <c r="E975" s="51"/>
      <c r="F975" s="51"/>
      <c r="G975" s="51"/>
      <c r="H975" s="51"/>
    </row>
    <row r="976" spans="3:8" ht="12.6">
      <c r="C976" s="51"/>
      <c r="D976" s="51"/>
      <c r="E976" s="51"/>
      <c r="F976" s="51"/>
      <c r="G976" s="51"/>
      <c r="H976" s="51"/>
    </row>
    <row r="977" spans="3:8" ht="12.6">
      <c r="C977" s="51"/>
      <c r="D977" s="51"/>
      <c r="E977" s="51"/>
      <c r="F977" s="51"/>
      <c r="G977" s="51"/>
      <c r="H977" s="51"/>
    </row>
    <row r="978" spans="3:8" ht="12.6">
      <c r="C978" s="51"/>
      <c r="D978" s="51"/>
      <c r="E978" s="51"/>
      <c r="F978" s="51"/>
      <c r="G978" s="51"/>
      <c r="H978" s="51"/>
    </row>
    <row r="979" spans="3:8" ht="12.6">
      <c r="C979" s="51"/>
      <c r="D979" s="51"/>
      <c r="E979" s="51"/>
      <c r="F979" s="51"/>
      <c r="G979" s="51"/>
      <c r="H979" s="51"/>
    </row>
    <row r="980" spans="3:8" ht="12.6">
      <c r="C980" s="51"/>
      <c r="D980" s="51"/>
      <c r="E980" s="51"/>
      <c r="F980" s="51"/>
      <c r="G980" s="51"/>
      <c r="H980" s="51"/>
    </row>
    <row r="981" spans="3:8" ht="12.6">
      <c r="C981" s="51"/>
      <c r="D981" s="51"/>
      <c r="E981" s="51"/>
      <c r="F981" s="51"/>
      <c r="G981" s="51"/>
      <c r="H981" s="51"/>
    </row>
    <row r="982" spans="3:8" ht="12.6">
      <c r="C982" s="51"/>
      <c r="D982" s="51"/>
      <c r="E982" s="51"/>
      <c r="F982" s="51"/>
      <c r="G982" s="51"/>
      <c r="H982" s="51"/>
    </row>
    <row r="983" spans="3:8" ht="12.6">
      <c r="C983" s="51"/>
      <c r="D983" s="51"/>
      <c r="E983" s="51"/>
      <c r="F983" s="51"/>
      <c r="G983" s="51"/>
      <c r="H983" s="51"/>
    </row>
    <row r="984" spans="3:8" ht="12.6">
      <c r="C984" s="51"/>
      <c r="D984" s="51"/>
      <c r="E984" s="51"/>
      <c r="F984" s="51"/>
      <c r="G984" s="51"/>
      <c r="H984" s="51"/>
    </row>
    <row r="985" spans="3:8" ht="12.6">
      <c r="C985" s="51"/>
      <c r="D985" s="51"/>
      <c r="E985" s="51"/>
      <c r="F985" s="51"/>
      <c r="G985" s="51"/>
      <c r="H985" s="51"/>
    </row>
    <row r="986" spans="3:8" ht="12.6">
      <c r="C986" s="51"/>
      <c r="D986" s="51"/>
      <c r="E986" s="51"/>
      <c r="F986" s="51"/>
      <c r="G986" s="51"/>
      <c r="H986" s="51"/>
    </row>
    <row r="987" spans="3:8" ht="12.6">
      <c r="C987" s="51"/>
      <c r="D987" s="51"/>
      <c r="E987" s="51"/>
      <c r="F987" s="51"/>
      <c r="G987" s="51"/>
      <c r="H987" s="51"/>
    </row>
    <row r="988" spans="3:8" ht="12.6">
      <c r="C988" s="51"/>
      <c r="D988" s="51"/>
      <c r="E988" s="51"/>
      <c r="F988" s="51"/>
      <c r="G988" s="51"/>
      <c r="H988" s="51"/>
    </row>
    <row r="989" spans="3:8" ht="12.6">
      <c r="C989" s="51"/>
      <c r="D989" s="51"/>
      <c r="E989" s="51"/>
      <c r="F989" s="51"/>
      <c r="G989" s="51"/>
      <c r="H989" s="51"/>
    </row>
    <row r="990" spans="3:8" ht="12.6">
      <c r="C990" s="51"/>
      <c r="D990" s="51"/>
      <c r="E990" s="51"/>
      <c r="F990" s="51"/>
      <c r="G990" s="51"/>
      <c r="H990" s="51"/>
    </row>
    <row r="991" spans="3:8" ht="12.6">
      <c r="C991" s="51"/>
      <c r="D991" s="51"/>
      <c r="E991" s="51"/>
      <c r="F991" s="51"/>
      <c r="G991" s="51"/>
      <c r="H991" s="51"/>
    </row>
    <row r="992" spans="3:8" ht="12.6">
      <c r="C992" s="51"/>
      <c r="D992" s="51"/>
      <c r="E992" s="51"/>
      <c r="F992" s="51"/>
      <c r="G992" s="51"/>
      <c r="H992" s="51"/>
    </row>
    <row r="993" spans="3:8" ht="12.6">
      <c r="C993" s="51"/>
      <c r="D993" s="51"/>
      <c r="E993" s="51"/>
      <c r="F993" s="51"/>
      <c r="G993" s="51"/>
      <c r="H993" s="51"/>
    </row>
    <row r="994" spans="3:8" ht="12.6">
      <c r="C994" s="51"/>
      <c r="D994" s="51"/>
      <c r="E994" s="51"/>
      <c r="F994" s="51"/>
      <c r="G994" s="51"/>
      <c r="H994" s="51"/>
    </row>
    <row r="995" spans="3:8" ht="12.6">
      <c r="C995" s="51"/>
      <c r="D995" s="51"/>
      <c r="E995" s="51"/>
      <c r="F995" s="51"/>
      <c r="G995" s="51"/>
      <c r="H995" s="51"/>
    </row>
    <row r="996" spans="3:8" ht="12.6">
      <c r="C996" s="51"/>
      <c r="D996" s="51"/>
      <c r="E996" s="51"/>
      <c r="F996" s="51"/>
      <c r="G996" s="51"/>
      <c r="H996" s="51"/>
    </row>
    <row r="997" spans="3:8" ht="12.6">
      <c r="C997" s="51"/>
      <c r="D997" s="51"/>
      <c r="E997" s="51"/>
      <c r="F997" s="51"/>
      <c r="G997" s="51"/>
      <c r="H997" s="51"/>
    </row>
    <row r="998" spans="3:8" ht="12.6">
      <c r="C998" s="51"/>
      <c r="D998" s="51"/>
      <c r="E998" s="51"/>
      <c r="F998" s="51"/>
      <c r="G998" s="51"/>
      <c r="H998" s="51"/>
    </row>
    <row r="999" spans="3:8" ht="12.6">
      <c r="C999" s="51"/>
      <c r="D999" s="51"/>
      <c r="E999" s="51"/>
      <c r="F999" s="51"/>
      <c r="G999" s="51"/>
      <c r="H999" s="51"/>
    </row>
    <row r="1000" spans="3:8" ht="12.6">
      <c r="C1000" s="51"/>
      <c r="D1000" s="51"/>
      <c r="E1000" s="51"/>
      <c r="F1000" s="51"/>
      <c r="G1000" s="51"/>
      <c r="H1000" s="51"/>
    </row>
    <row r="1001" spans="3:8" ht="12.6">
      <c r="C1001" s="51"/>
      <c r="D1001" s="51"/>
      <c r="E1001" s="51"/>
      <c r="F1001" s="51"/>
      <c r="G1001" s="51"/>
      <c r="H1001" s="51"/>
    </row>
    <row r="1002" spans="3:8" ht="12.6">
      <c r="C1002" s="51"/>
      <c r="D1002" s="51"/>
      <c r="E1002" s="51"/>
      <c r="F1002" s="51"/>
      <c r="G1002" s="51"/>
      <c r="H1002" s="51"/>
    </row>
    <row r="1003" spans="3:8" ht="12.6">
      <c r="C1003" s="51"/>
      <c r="D1003" s="51"/>
      <c r="E1003" s="51"/>
      <c r="F1003" s="51"/>
      <c r="G1003" s="51"/>
      <c r="H1003" s="51"/>
    </row>
    <row r="1004" spans="3:8" ht="12.6">
      <c r="C1004" s="51"/>
      <c r="D1004" s="51"/>
      <c r="E1004" s="51"/>
      <c r="F1004" s="51"/>
      <c r="G1004" s="51"/>
      <c r="H1004" s="51"/>
    </row>
    <row r="1005" spans="3:8" ht="12.6">
      <c r="C1005" s="51"/>
      <c r="D1005" s="51"/>
      <c r="E1005" s="51"/>
      <c r="F1005" s="51"/>
      <c r="G1005" s="51"/>
      <c r="H1005" s="51"/>
    </row>
    <row r="1006" spans="3:8" ht="12.6">
      <c r="C1006" s="51"/>
      <c r="D1006" s="51"/>
      <c r="E1006" s="51"/>
      <c r="F1006" s="51"/>
      <c r="G1006" s="51"/>
      <c r="H1006" s="51"/>
    </row>
    <row r="1007" spans="3:8" ht="12.6">
      <c r="C1007" s="51"/>
      <c r="D1007" s="51"/>
      <c r="E1007" s="51"/>
      <c r="F1007" s="51"/>
      <c r="G1007" s="51"/>
      <c r="H1007" s="51"/>
    </row>
    <row r="1008" spans="3:8" ht="12.6">
      <c r="C1008" s="51"/>
      <c r="D1008" s="51"/>
      <c r="E1008" s="51"/>
      <c r="F1008" s="51"/>
      <c r="G1008" s="51"/>
      <c r="H1008" s="51"/>
    </row>
    <row r="1009" spans="3:8" ht="12.6">
      <c r="C1009" s="51"/>
      <c r="D1009" s="51"/>
      <c r="E1009" s="51"/>
      <c r="F1009" s="51"/>
      <c r="G1009" s="51"/>
      <c r="H1009" s="51"/>
    </row>
    <row r="1010" spans="3:8" ht="12.6">
      <c r="C1010" s="51"/>
      <c r="D1010" s="51"/>
      <c r="E1010" s="51"/>
      <c r="F1010" s="51"/>
      <c r="G1010" s="51"/>
      <c r="H1010" s="51"/>
    </row>
    <row r="1011" spans="3:8" ht="12.6">
      <c r="C1011" s="51"/>
      <c r="D1011" s="51"/>
      <c r="E1011" s="51"/>
      <c r="F1011" s="51"/>
      <c r="G1011" s="51"/>
      <c r="H1011" s="51"/>
    </row>
    <row r="1012" spans="3:8" ht="12.6">
      <c r="C1012" s="51"/>
      <c r="D1012" s="51"/>
      <c r="E1012" s="51"/>
      <c r="F1012" s="51"/>
      <c r="G1012" s="51"/>
      <c r="H1012" s="51"/>
    </row>
    <row r="1013" spans="3:8" ht="12.6">
      <c r="C1013" s="51"/>
      <c r="D1013" s="51"/>
      <c r="E1013" s="51"/>
      <c r="F1013" s="51"/>
      <c r="G1013" s="51"/>
      <c r="H1013" s="51"/>
    </row>
    <row r="1014" spans="3:8" ht="12.6">
      <c r="C1014" s="51"/>
      <c r="D1014" s="51"/>
      <c r="E1014" s="51"/>
      <c r="F1014" s="51"/>
      <c r="G1014" s="51"/>
      <c r="H1014" s="51"/>
    </row>
    <row r="1015" spans="3:8" ht="12.6">
      <c r="C1015" s="51"/>
      <c r="D1015" s="51"/>
      <c r="E1015" s="51"/>
      <c r="F1015" s="51"/>
      <c r="G1015" s="51"/>
      <c r="H1015" s="51"/>
    </row>
    <row r="1016" spans="3:8" ht="12.6">
      <c r="C1016" s="51"/>
      <c r="D1016" s="51"/>
      <c r="E1016" s="51"/>
      <c r="F1016" s="51"/>
      <c r="G1016" s="51"/>
      <c r="H1016" s="51"/>
    </row>
    <row r="1017" spans="3:8" ht="12.6">
      <c r="C1017" s="51"/>
      <c r="D1017" s="51"/>
      <c r="E1017" s="51"/>
      <c r="F1017" s="51"/>
      <c r="G1017" s="51"/>
      <c r="H1017" s="51"/>
    </row>
    <row r="1018" spans="3:8" ht="12.6">
      <c r="C1018" s="51"/>
      <c r="D1018" s="51"/>
      <c r="E1018" s="51"/>
      <c r="F1018" s="51"/>
      <c r="G1018" s="51"/>
      <c r="H1018" s="51"/>
    </row>
    <row r="1019" spans="3:8" ht="12.6">
      <c r="C1019" s="51"/>
      <c r="D1019" s="51"/>
      <c r="E1019" s="51"/>
      <c r="F1019" s="51"/>
      <c r="G1019" s="51"/>
      <c r="H1019" s="51"/>
    </row>
    <row r="1020" spans="3:8" ht="12.6">
      <c r="C1020" s="51"/>
      <c r="D1020" s="51"/>
      <c r="E1020" s="51"/>
      <c r="F1020" s="51"/>
      <c r="G1020" s="51"/>
      <c r="H1020" s="51"/>
    </row>
    <row r="1021" spans="3:8" ht="12.6">
      <c r="C1021" s="51"/>
      <c r="D1021" s="51"/>
      <c r="E1021" s="51"/>
      <c r="F1021" s="51"/>
      <c r="G1021" s="51"/>
      <c r="H1021" s="51"/>
    </row>
    <row r="1022" spans="3:8" ht="12.6">
      <c r="C1022" s="51"/>
      <c r="D1022" s="51"/>
      <c r="E1022" s="51"/>
      <c r="F1022" s="51"/>
      <c r="G1022" s="51"/>
      <c r="H1022" s="51"/>
    </row>
    <row r="1023" spans="3:8" ht="12.6">
      <c r="C1023" s="51"/>
      <c r="D1023" s="51"/>
      <c r="E1023" s="51"/>
      <c r="F1023" s="51"/>
      <c r="G1023" s="51"/>
      <c r="H1023" s="51"/>
    </row>
    <row r="1024" spans="3:8" ht="12.6">
      <c r="C1024" s="51"/>
      <c r="D1024" s="51"/>
      <c r="E1024" s="51"/>
      <c r="F1024" s="51"/>
      <c r="G1024" s="51"/>
      <c r="H1024" s="51"/>
    </row>
    <row r="1025" spans="3:8" ht="12.6">
      <c r="C1025" s="51"/>
      <c r="D1025" s="51"/>
      <c r="E1025" s="51"/>
      <c r="F1025" s="51"/>
      <c r="G1025" s="51"/>
      <c r="H1025" s="51"/>
    </row>
    <row r="1026" spans="3:8" ht="12.6">
      <c r="C1026" s="51"/>
      <c r="D1026" s="51"/>
      <c r="E1026" s="51"/>
      <c r="F1026" s="51"/>
      <c r="G1026" s="51"/>
      <c r="H1026" s="51"/>
    </row>
    <row r="1027" spans="3:8" ht="12.6">
      <c r="C1027" s="51"/>
      <c r="D1027" s="51"/>
      <c r="E1027" s="51"/>
      <c r="F1027" s="51"/>
      <c r="G1027" s="51"/>
      <c r="H1027" s="51"/>
    </row>
    <row r="1028" spans="3:8" ht="12.6">
      <c r="C1028" s="51"/>
      <c r="D1028" s="51"/>
      <c r="E1028" s="51"/>
      <c r="F1028" s="51"/>
      <c r="G1028" s="51"/>
      <c r="H1028" s="51"/>
    </row>
    <row r="1029" spans="3:8" ht="12.6">
      <c r="C1029" s="51"/>
      <c r="D1029" s="51"/>
      <c r="E1029" s="51"/>
      <c r="F1029" s="51"/>
      <c r="G1029" s="51"/>
      <c r="H1029" s="51"/>
    </row>
    <row r="1030" spans="3:8" ht="12.6">
      <c r="C1030" s="51"/>
      <c r="D1030" s="51"/>
      <c r="E1030" s="51"/>
      <c r="F1030" s="51"/>
      <c r="G1030" s="51"/>
      <c r="H1030" s="51"/>
    </row>
    <row r="1031" spans="3:8" ht="12.6">
      <c r="C1031" s="51"/>
      <c r="D1031" s="51"/>
      <c r="E1031" s="51"/>
      <c r="F1031" s="51"/>
      <c r="G1031" s="51"/>
      <c r="H1031" s="51"/>
    </row>
    <row r="1032" spans="3:8" ht="12.6">
      <c r="C1032" s="51"/>
      <c r="D1032" s="51"/>
      <c r="E1032" s="51"/>
      <c r="F1032" s="51"/>
      <c r="G1032" s="51"/>
      <c r="H1032" s="51"/>
    </row>
    <row r="1033" spans="3:8" ht="12.6">
      <c r="C1033" s="51"/>
      <c r="D1033" s="51"/>
      <c r="E1033" s="51"/>
      <c r="F1033" s="51"/>
      <c r="G1033" s="51"/>
      <c r="H1033" s="51"/>
    </row>
    <row r="1034" spans="3:8" ht="12.6">
      <c r="C1034" s="51"/>
      <c r="D1034" s="51"/>
      <c r="E1034" s="51"/>
      <c r="F1034" s="51"/>
      <c r="G1034" s="51"/>
      <c r="H1034" s="51"/>
    </row>
    <row r="1035" spans="3:8" ht="12.6">
      <c r="C1035" s="51"/>
      <c r="D1035" s="51"/>
      <c r="E1035" s="51"/>
      <c r="F1035" s="51"/>
      <c r="G1035" s="51"/>
      <c r="H1035" s="51"/>
    </row>
    <row r="1036" spans="3:8" ht="12.6">
      <c r="C1036" s="51"/>
      <c r="D1036" s="51"/>
      <c r="E1036" s="51"/>
      <c r="F1036" s="51"/>
      <c r="G1036" s="51"/>
      <c r="H1036" s="51"/>
    </row>
    <row r="1037" spans="3:8" ht="12.6">
      <c r="C1037" s="51"/>
      <c r="D1037" s="51"/>
      <c r="E1037" s="51"/>
      <c r="F1037" s="51"/>
      <c r="G1037" s="51"/>
      <c r="H1037" s="51"/>
    </row>
    <row r="1038" spans="3:8" ht="12.6">
      <c r="C1038" s="51"/>
      <c r="D1038" s="51"/>
      <c r="E1038" s="51"/>
      <c r="F1038" s="51"/>
      <c r="G1038" s="51"/>
      <c r="H1038" s="51"/>
    </row>
    <row r="1039" spans="3:8" ht="12.6">
      <c r="C1039" s="51"/>
      <c r="D1039" s="51"/>
      <c r="E1039" s="51"/>
      <c r="F1039" s="51"/>
      <c r="G1039" s="51"/>
      <c r="H1039" s="51"/>
    </row>
    <row r="1040" spans="3:8" ht="12.6">
      <c r="C1040" s="51"/>
      <c r="D1040" s="51"/>
      <c r="E1040" s="51"/>
      <c r="F1040" s="51"/>
      <c r="G1040" s="51"/>
      <c r="H1040" s="51"/>
    </row>
    <row r="1041" spans="3:8" ht="12.6">
      <c r="C1041" s="51"/>
      <c r="D1041" s="51"/>
      <c r="E1041" s="51"/>
      <c r="F1041" s="51"/>
      <c r="G1041" s="51"/>
      <c r="H1041" s="51"/>
    </row>
    <row r="1042" spans="3:8" ht="12.6">
      <c r="C1042" s="51"/>
      <c r="D1042" s="51"/>
      <c r="E1042" s="51"/>
      <c r="F1042" s="51"/>
      <c r="G1042" s="51"/>
      <c r="H1042" s="51"/>
    </row>
    <row r="1043" spans="3:8" ht="12.6">
      <c r="C1043" s="51"/>
      <c r="D1043" s="51"/>
      <c r="E1043" s="51"/>
      <c r="F1043" s="51"/>
      <c r="G1043" s="51"/>
      <c r="H1043" s="51"/>
    </row>
    <row r="1044" spans="3:8" ht="12.6">
      <c r="C1044" s="51"/>
      <c r="D1044" s="51"/>
      <c r="E1044" s="51"/>
      <c r="F1044" s="51"/>
      <c r="G1044" s="51"/>
      <c r="H1044" s="51"/>
    </row>
    <row r="1045" spans="3:8" ht="12.6">
      <c r="C1045" s="51"/>
      <c r="D1045" s="51"/>
      <c r="E1045" s="51"/>
      <c r="F1045" s="51"/>
      <c r="G1045" s="51"/>
      <c r="H1045" s="51"/>
    </row>
    <row r="1046" spans="3:8" ht="12.6">
      <c r="C1046" s="51"/>
      <c r="D1046" s="51"/>
      <c r="E1046" s="51"/>
      <c r="F1046" s="51"/>
      <c r="G1046" s="51"/>
      <c r="H1046" s="51"/>
    </row>
    <row r="1047" spans="3:8" ht="12.6">
      <c r="C1047" s="51"/>
      <c r="D1047" s="51"/>
      <c r="E1047" s="51"/>
      <c r="F1047" s="51"/>
      <c r="G1047" s="51"/>
      <c r="H1047" s="51"/>
    </row>
    <row r="1048" spans="3:8" ht="12.6">
      <c r="C1048" s="51"/>
      <c r="D1048" s="51"/>
      <c r="E1048" s="51"/>
      <c r="F1048" s="51"/>
      <c r="G1048" s="51"/>
      <c r="H1048" s="51"/>
    </row>
  </sheetData>
  <autoFilter ref="A1:M1048" xr:uid="{00000000-0001-0000-0700-000000000000}"/>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workbookViewId="0"/>
  </sheetViews>
  <sheetFormatPr defaultColWidth="12.7109375" defaultRowHeight="15.75" customHeight="1"/>
  <cols>
    <col min="1" max="1" width="12.85546875" customWidth="1"/>
    <col min="2" max="2" width="71" customWidth="1"/>
  </cols>
  <sheetData>
    <row r="1" spans="1:2" ht="12.95">
      <c r="A1" s="70"/>
      <c r="B1" s="71" t="s">
        <v>958</v>
      </c>
    </row>
    <row r="2" spans="1:2" ht="51.95">
      <c r="A2" s="72" t="s">
        <v>51</v>
      </c>
      <c r="B2" s="34" t="s">
        <v>959</v>
      </c>
    </row>
    <row r="3" spans="1:2" ht="84" customHeight="1">
      <c r="A3" s="73" t="s">
        <v>80</v>
      </c>
      <c r="B3" s="62" t="s">
        <v>960</v>
      </c>
    </row>
    <row r="4" spans="1:2" ht="12.6">
      <c r="A4" s="68"/>
      <c r="B4" s="38"/>
    </row>
    <row r="5" spans="1:2" ht="12.6">
      <c r="A5" s="68"/>
      <c r="B5" s="38"/>
    </row>
    <row r="6" spans="1:2" ht="12.6">
      <c r="A6" s="68"/>
      <c r="B6" s="38"/>
    </row>
    <row r="7" spans="1:2" ht="12.6">
      <c r="A7" s="68"/>
      <c r="B7" s="38"/>
    </row>
    <row r="8" spans="1:2" ht="12.6">
      <c r="A8" s="68"/>
      <c r="B8" s="38"/>
    </row>
    <row r="9" spans="1:2" ht="12.6">
      <c r="A9" s="68"/>
      <c r="B9" s="38"/>
    </row>
    <row r="10" spans="1:2" ht="12.6">
      <c r="A10" s="68"/>
      <c r="B10" s="38"/>
    </row>
    <row r="11" spans="1:2" ht="12.6">
      <c r="A11" s="68"/>
      <c r="B11" s="38"/>
    </row>
    <row r="12" spans="1:2" ht="12.6">
      <c r="A12" s="68"/>
      <c r="B12" s="38"/>
    </row>
    <row r="13" spans="1:2" ht="12.6">
      <c r="A13" s="68"/>
      <c r="B13" s="38"/>
    </row>
    <row r="14" spans="1:2" ht="12.6">
      <c r="A14" s="74"/>
      <c r="B14" s="5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workbookViewId="0"/>
  </sheetViews>
  <sheetFormatPr defaultColWidth="12.7109375" defaultRowHeight="15.75" customHeight="1"/>
  <cols>
    <col min="1" max="1" width="8.28515625" customWidth="1"/>
    <col min="2" max="7" width="25" customWidth="1"/>
    <col min="8" max="8" width="39.7109375" customWidth="1"/>
    <col min="9" max="12" width="25" hidden="1" customWidth="1"/>
    <col min="13" max="13" width="25" customWidth="1"/>
    <col min="14" max="14" width="31.28515625" customWidth="1"/>
    <col min="15" max="15" width="5.42578125" customWidth="1"/>
  </cols>
  <sheetData>
    <row r="1" spans="1:15" ht="39">
      <c r="A1" s="54"/>
      <c r="B1" s="43" t="s">
        <v>961</v>
      </c>
      <c r="C1" s="43" t="s">
        <v>103</v>
      </c>
      <c r="D1" s="43" t="s">
        <v>962</v>
      </c>
      <c r="E1" s="43" t="s">
        <v>963</v>
      </c>
      <c r="F1" s="55" t="s">
        <v>100</v>
      </c>
      <c r="G1" s="56" t="s">
        <v>964</v>
      </c>
      <c r="H1" s="43" t="s">
        <v>965</v>
      </c>
      <c r="I1" s="43" t="s">
        <v>966</v>
      </c>
      <c r="J1" s="43" t="s">
        <v>967</v>
      </c>
      <c r="K1" s="43" t="s">
        <v>968</v>
      </c>
      <c r="L1" s="43" t="s">
        <v>969</v>
      </c>
      <c r="M1" s="43" t="s">
        <v>970</v>
      </c>
      <c r="N1" s="57" t="s">
        <v>971</v>
      </c>
      <c r="O1" s="58"/>
    </row>
    <row r="2" spans="1:15" ht="351">
      <c r="A2" s="59" t="s">
        <v>51</v>
      </c>
      <c r="B2" s="34" t="s">
        <v>972</v>
      </c>
      <c r="C2" s="80" t="s">
        <v>973</v>
      </c>
      <c r="D2" s="80"/>
      <c r="E2" s="34" t="s">
        <v>974</v>
      </c>
      <c r="F2" s="60" t="s">
        <v>975</v>
      </c>
      <c r="G2" s="61" t="s">
        <v>976</v>
      </c>
      <c r="H2" s="392" t="s">
        <v>977</v>
      </c>
      <c r="I2" s="406"/>
      <c r="J2" s="406"/>
      <c r="K2" s="406"/>
      <c r="L2" s="407"/>
      <c r="M2" s="83" t="s">
        <v>978</v>
      </c>
      <c r="N2" s="84" t="s">
        <v>979</v>
      </c>
      <c r="O2" s="46"/>
    </row>
    <row r="3" spans="1:15" ht="51.95">
      <c r="A3" s="393" t="s">
        <v>80</v>
      </c>
      <c r="B3" s="394" t="s">
        <v>980</v>
      </c>
      <c r="C3" s="395" t="s">
        <v>981</v>
      </c>
      <c r="D3" s="88"/>
      <c r="E3" s="395" t="s">
        <v>982</v>
      </c>
      <c r="F3" s="62" t="s">
        <v>983</v>
      </c>
      <c r="G3" s="62" t="s">
        <v>984</v>
      </c>
      <c r="H3" s="62" t="s">
        <v>985</v>
      </c>
      <c r="I3" s="62" t="s">
        <v>986</v>
      </c>
      <c r="J3" s="62" t="s">
        <v>987</v>
      </c>
      <c r="K3" s="62" t="s">
        <v>988</v>
      </c>
      <c r="L3" s="62"/>
      <c r="M3" s="390" t="s">
        <v>989</v>
      </c>
      <c r="N3" s="391" t="s">
        <v>990</v>
      </c>
      <c r="O3" s="46"/>
    </row>
    <row r="4" spans="1:15" ht="76.5" customHeight="1">
      <c r="A4" s="399"/>
      <c r="B4" s="408"/>
      <c r="C4" s="408"/>
      <c r="D4" s="87"/>
      <c r="E4" s="408"/>
      <c r="F4" s="62" t="s">
        <v>983</v>
      </c>
      <c r="G4" s="62" t="s">
        <v>984</v>
      </c>
      <c r="H4" s="62" t="s">
        <v>991</v>
      </c>
      <c r="I4" s="62"/>
      <c r="J4" s="62"/>
      <c r="K4" s="62" t="s">
        <v>992</v>
      </c>
      <c r="L4" s="62" t="s">
        <v>993</v>
      </c>
      <c r="M4" s="399"/>
      <c r="N4" s="409"/>
      <c r="O4" s="24"/>
    </row>
    <row r="5" spans="1:15" ht="12.6">
      <c r="A5" s="63"/>
      <c r="B5" s="38"/>
      <c r="C5" s="38"/>
      <c r="D5" s="38"/>
      <c r="E5" s="38"/>
      <c r="F5" s="38"/>
      <c r="G5" s="38"/>
      <c r="H5" s="38"/>
      <c r="I5" s="38"/>
      <c r="J5" s="38"/>
      <c r="K5" s="38"/>
      <c r="L5" s="38"/>
      <c r="M5" s="38"/>
    </row>
    <row r="6" spans="1:15" ht="12.6">
      <c r="A6" s="63"/>
      <c r="B6" s="38"/>
      <c r="C6" s="38"/>
      <c r="D6" s="38"/>
      <c r="E6" s="38"/>
      <c r="F6" s="38"/>
      <c r="G6" s="38"/>
      <c r="H6" s="38"/>
      <c r="I6" s="38"/>
      <c r="J6" s="38"/>
      <c r="K6" s="38"/>
      <c r="L6" s="38"/>
      <c r="M6" s="38"/>
    </row>
    <row r="7" spans="1:15" ht="12.6">
      <c r="A7" s="63"/>
      <c r="B7" s="38"/>
      <c r="C7" s="38"/>
      <c r="D7" s="38"/>
      <c r="E7" s="38"/>
      <c r="F7" s="38"/>
      <c r="G7" s="38"/>
      <c r="H7" s="38"/>
      <c r="I7" s="38"/>
      <c r="J7" s="38"/>
      <c r="K7" s="38"/>
      <c r="L7" s="38"/>
      <c r="M7" s="38"/>
    </row>
    <row r="8" spans="1:15" ht="12.6">
      <c r="A8" s="63"/>
      <c r="B8" s="38"/>
      <c r="C8" s="38"/>
      <c r="D8" s="38"/>
      <c r="E8" s="38"/>
      <c r="F8" s="38"/>
      <c r="G8" s="38"/>
      <c r="H8" s="38"/>
      <c r="I8" s="38"/>
      <c r="J8" s="38"/>
      <c r="K8" s="38"/>
      <c r="L8" s="38"/>
      <c r="M8" s="38"/>
    </row>
    <row r="9" spans="1:15" ht="12.6">
      <c r="A9" s="63"/>
      <c r="B9" s="38"/>
      <c r="C9" s="38"/>
      <c r="D9" s="38"/>
      <c r="E9" s="38"/>
      <c r="F9" s="38"/>
      <c r="G9" s="38"/>
      <c r="H9" s="38"/>
      <c r="I9" s="38"/>
      <c r="J9" s="38"/>
      <c r="K9" s="38"/>
      <c r="L9" s="38"/>
      <c r="M9" s="38"/>
    </row>
    <row r="10" spans="1:15" ht="12.6">
      <c r="A10" s="63"/>
      <c r="B10" s="38"/>
      <c r="C10" s="38"/>
      <c r="D10" s="38"/>
      <c r="E10" s="38"/>
      <c r="F10" s="38"/>
      <c r="G10" s="38"/>
      <c r="H10" s="38"/>
      <c r="I10" s="38"/>
      <c r="J10" s="38"/>
      <c r="K10" s="38"/>
      <c r="L10" s="38"/>
      <c r="M10" s="38"/>
    </row>
    <row r="11" spans="1:15" ht="12.6">
      <c r="A11" s="63"/>
      <c r="B11" s="38"/>
      <c r="C11" s="38"/>
      <c r="D11" s="38"/>
      <c r="E11" s="38"/>
      <c r="F11" s="38"/>
      <c r="G11" s="38"/>
      <c r="H11" s="38"/>
      <c r="I11" s="38"/>
      <c r="J11" s="38"/>
      <c r="K11" s="38"/>
      <c r="L11" s="38"/>
      <c r="M11" s="38"/>
    </row>
    <row r="12" spans="1:15" ht="12.6">
      <c r="A12" s="63"/>
      <c r="B12" s="38"/>
      <c r="C12" s="38"/>
      <c r="D12" s="38"/>
      <c r="E12" s="38"/>
      <c r="F12" s="38"/>
      <c r="G12" s="38"/>
      <c r="H12" s="38"/>
      <c r="I12" s="38"/>
      <c r="J12" s="38"/>
      <c r="K12" s="38"/>
      <c r="L12" s="38"/>
      <c r="M12" s="38"/>
    </row>
    <row r="13" spans="1:15" ht="12.6">
      <c r="A13" s="63"/>
      <c r="B13" s="38"/>
      <c r="C13" s="38"/>
      <c r="D13" s="38"/>
      <c r="E13" s="38"/>
      <c r="F13" s="38"/>
      <c r="G13" s="38"/>
      <c r="H13" s="38"/>
      <c r="I13" s="38"/>
      <c r="J13" s="38"/>
      <c r="K13" s="38"/>
      <c r="L13" s="38"/>
      <c r="M13" s="38"/>
    </row>
    <row r="14" spans="1:15" ht="12.6">
      <c r="A14" s="63"/>
      <c r="B14" s="38"/>
      <c r="C14" s="38"/>
      <c r="D14" s="38"/>
      <c r="E14" s="38"/>
      <c r="F14" s="38"/>
      <c r="G14" s="38"/>
      <c r="H14" s="38"/>
      <c r="I14" s="38"/>
      <c r="J14" s="38"/>
      <c r="K14" s="38"/>
      <c r="L14" s="38"/>
      <c r="M14" s="38"/>
    </row>
    <row r="15" spans="1:15" ht="12.6">
      <c r="A15" s="63"/>
      <c r="B15" s="38"/>
      <c r="C15" s="38"/>
      <c r="D15" s="38"/>
      <c r="E15" s="38"/>
      <c r="F15" s="38"/>
      <c r="G15" s="38"/>
      <c r="H15" s="38"/>
      <c r="I15" s="38"/>
      <c r="J15" s="38"/>
      <c r="K15" s="38"/>
      <c r="L15" s="38"/>
      <c r="M15" s="38"/>
    </row>
    <row r="16" spans="1:15" ht="12.6">
      <c r="A16" s="63"/>
      <c r="B16" s="38"/>
      <c r="C16" s="38"/>
      <c r="D16" s="38"/>
      <c r="E16" s="38"/>
      <c r="F16" s="38"/>
      <c r="G16" s="38"/>
      <c r="H16" s="38"/>
      <c r="I16" s="38"/>
      <c r="J16" s="38"/>
      <c r="K16" s="38"/>
      <c r="L16" s="38"/>
      <c r="M16" s="38"/>
    </row>
    <row r="17" spans="1:13" ht="12.6">
      <c r="A17" s="63"/>
      <c r="B17" s="38"/>
      <c r="C17" s="38"/>
      <c r="D17" s="38"/>
      <c r="E17" s="38"/>
      <c r="F17" s="38"/>
      <c r="G17" s="38"/>
      <c r="H17" s="38"/>
      <c r="I17" s="38"/>
      <c r="J17" s="38"/>
      <c r="K17" s="38"/>
      <c r="L17" s="38"/>
      <c r="M17" s="38"/>
    </row>
    <row r="18" spans="1:13" ht="12.6">
      <c r="A18" s="63"/>
      <c r="B18" s="38"/>
      <c r="C18" s="38"/>
      <c r="D18" s="38"/>
      <c r="E18" s="38"/>
      <c r="F18" s="38"/>
      <c r="G18" s="38"/>
      <c r="H18" s="38"/>
      <c r="I18" s="38"/>
      <c r="J18" s="38"/>
      <c r="K18" s="38"/>
      <c r="L18" s="38"/>
      <c r="M18" s="38"/>
    </row>
    <row r="19" spans="1:13" ht="12.6">
      <c r="A19" s="63"/>
      <c r="B19" s="38"/>
      <c r="C19" s="38"/>
      <c r="D19" s="38"/>
      <c r="E19" s="38"/>
      <c r="F19" s="38"/>
      <c r="G19" s="38"/>
      <c r="H19" s="38"/>
      <c r="I19" s="38"/>
      <c r="J19" s="38"/>
      <c r="K19" s="38"/>
      <c r="L19" s="38"/>
      <c r="M19" s="38"/>
    </row>
    <row r="20" spans="1:13" ht="12.6">
      <c r="A20" s="63"/>
      <c r="B20" s="38"/>
      <c r="C20" s="38"/>
      <c r="D20" s="38"/>
      <c r="E20" s="38"/>
      <c r="F20" s="38"/>
      <c r="G20" s="38"/>
      <c r="H20" s="38"/>
      <c r="I20" s="38"/>
      <c r="J20" s="38"/>
      <c r="K20" s="38"/>
      <c r="L20" s="38"/>
      <c r="M20" s="38"/>
    </row>
    <row r="21" spans="1:13" ht="12.6">
      <c r="A21" s="63"/>
      <c r="B21" s="38"/>
      <c r="C21" s="38"/>
      <c r="D21" s="38"/>
      <c r="E21" s="38"/>
      <c r="F21" s="38"/>
      <c r="G21" s="38"/>
      <c r="H21" s="38"/>
      <c r="I21" s="38"/>
      <c r="J21" s="38"/>
      <c r="K21" s="38"/>
      <c r="L21" s="38"/>
      <c r="M21" s="38"/>
    </row>
    <row r="22" spans="1:13" ht="12.6">
      <c r="A22" s="64"/>
    </row>
    <row r="23" spans="1:13" ht="12.6">
      <c r="A23" s="64"/>
    </row>
    <row r="24" spans="1:13" ht="12.6">
      <c r="A24" s="64"/>
    </row>
    <row r="25" spans="1:13" ht="12.6">
      <c r="A25" s="64"/>
    </row>
    <row r="26" spans="1:13" ht="12.6">
      <c r="A26" s="64"/>
    </row>
    <row r="27" spans="1:13" ht="12.6">
      <c r="A27" s="64"/>
    </row>
    <row r="28" spans="1:13" ht="12.6">
      <c r="A28" s="64"/>
    </row>
    <row r="29" spans="1:13" ht="12.6">
      <c r="A29" s="64"/>
    </row>
    <row r="30" spans="1:13" ht="12.6">
      <c r="A30" s="64"/>
    </row>
    <row r="31" spans="1:13" ht="12.6">
      <c r="A31" s="64"/>
    </row>
    <row r="32" spans="1:13" ht="12.6">
      <c r="A32" s="64"/>
    </row>
    <row r="33" spans="1:1" ht="12.6">
      <c r="A33" s="64"/>
    </row>
    <row r="34" spans="1:1" ht="12.6">
      <c r="A34" s="64"/>
    </row>
    <row r="35" spans="1:1" ht="12.6">
      <c r="A35" s="64"/>
    </row>
    <row r="36" spans="1:1" ht="12.6">
      <c r="A36" s="64"/>
    </row>
    <row r="37" spans="1:1" ht="12.6">
      <c r="A37" s="64"/>
    </row>
    <row r="38" spans="1:1" ht="12.6">
      <c r="A38" s="64"/>
    </row>
    <row r="39" spans="1:1" ht="12.6">
      <c r="A39" s="64"/>
    </row>
    <row r="40" spans="1:1" ht="12.6">
      <c r="A40" s="64"/>
    </row>
    <row r="41" spans="1:1" ht="12.6">
      <c r="A41" s="64"/>
    </row>
    <row r="42" spans="1:1" ht="12.6">
      <c r="A42" s="64"/>
    </row>
    <row r="43" spans="1:1" ht="12.6">
      <c r="A43" s="64"/>
    </row>
    <row r="44" spans="1:1" ht="12.6">
      <c r="A44" s="64"/>
    </row>
    <row r="45" spans="1:1" ht="12.6">
      <c r="A45" s="64"/>
    </row>
    <row r="46" spans="1:1" ht="12.6">
      <c r="A46" s="64"/>
    </row>
    <row r="47" spans="1:1" ht="12.6">
      <c r="A47" s="64"/>
    </row>
    <row r="48" spans="1:1" ht="12.6">
      <c r="A48" s="64"/>
    </row>
    <row r="49" spans="1:1" ht="12.6">
      <c r="A49" s="64"/>
    </row>
    <row r="50" spans="1:1" ht="12.6">
      <c r="A50" s="64"/>
    </row>
    <row r="51" spans="1:1" ht="12.6">
      <c r="A51" s="64"/>
    </row>
    <row r="52" spans="1:1" ht="12.6">
      <c r="A52" s="64"/>
    </row>
    <row r="53" spans="1:1" ht="12.6">
      <c r="A53" s="64"/>
    </row>
    <row r="54" spans="1:1" ht="12.6">
      <c r="A54" s="64"/>
    </row>
    <row r="55" spans="1:1" ht="12.6">
      <c r="A55" s="64"/>
    </row>
    <row r="56" spans="1:1" ht="12.6">
      <c r="A56" s="64"/>
    </row>
    <row r="57" spans="1:1" ht="12.6">
      <c r="A57" s="64"/>
    </row>
    <row r="58" spans="1:1" ht="12.6">
      <c r="A58" s="64"/>
    </row>
    <row r="59" spans="1:1" ht="12.6">
      <c r="A59" s="64"/>
    </row>
    <row r="60" spans="1:1" ht="12.6">
      <c r="A60" s="64"/>
    </row>
    <row r="61" spans="1:1" ht="12.6">
      <c r="A61" s="64"/>
    </row>
    <row r="62" spans="1:1" ht="12.6">
      <c r="A62" s="64"/>
    </row>
    <row r="63" spans="1:1" ht="12.6">
      <c r="A63" s="64"/>
    </row>
    <row r="64" spans="1:1" ht="12.6">
      <c r="A64" s="64"/>
    </row>
    <row r="65" spans="1:1" ht="12.6">
      <c r="A65" s="64"/>
    </row>
    <row r="66" spans="1:1" ht="12.6">
      <c r="A66" s="64"/>
    </row>
    <row r="67" spans="1:1" ht="12.6">
      <c r="A67" s="64"/>
    </row>
    <row r="68" spans="1:1" ht="12.6">
      <c r="A68" s="64"/>
    </row>
    <row r="69" spans="1:1" ht="12.6">
      <c r="A69" s="64"/>
    </row>
    <row r="70" spans="1:1" ht="12.6">
      <c r="A70" s="64"/>
    </row>
    <row r="71" spans="1:1" ht="12.6">
      <c r="A71" s="64"/>
    </row>
    <row r="72" spans="1:1" ht="12.6">
      <c r="A72" s="64"/>
    </row>
    <row r="73" spans="1:1" ht="12.6">
      <c r="A73" s="64"/>
    </row>
    <row r="74" spans="1:1" ht="12.6">
      <c r="A74" s="64"/>
    </row>
    <row r="75" spans="1:1" ht="12.6">
      <c r="A75" s="64"/>
    </row>
    <row r="76" spans="1:1" ht="12.6">
      <c r="A76" s="64"/>
    </row>
    <row r="77" spans="1:1" ht="12.6">
      <c r="A77" s="64"/>
    </row>
    <row r="78" spans="1:1" ht="12.6">
      <c r="A78" s="64"/>
    </row>
    <row r="79" spans="1:1" ht="12.6">
      <c r="A79" s="64"/>
    </row>
    <row r="80" spans="1:1" ht="12.6">
      <c r="A80" s="64"/>
    </row>
    <row r="81" spans="1:1" ht="12.6">
      <c r="A81" s="64"/>
    </row>
    <row r="82" spans="1:1" ht="12.6">
      <c r="A82" s="64"/>
    </row>
    <row r="83" spans="1:1" ht="12.6">
      <c r="A83" s="64"/>
    </row>
    <row r="84" spans="1:1" ht="12.6">
      <c r="A84" s="64"/>
    </row>
    <row r="85" spans="1:1" ht="12.6">
      <c r="A85" s="64"/>
    </row>
    <row r="86" spans="1:1" ht="12.6">
      <c r="A86" s="64"/>
    </row>
    <row r="87" spans="1:1" ht="12.6">
      <c r="A87" s="64"/>
    </row>
    <row r="88" spans="1:1" ht="12.6">
      <c r="A88" s="64"/>
    </row>
    <row r="89" spans="1:1" ht="12.6">
      <c r="A89" s="64"/>
    </row>
    <row r="90" spans="1:1" ht="12.6">
      <c r="A90" s="64"/>
    </row>
    <row r="91" spans="1:1" ht="12.6">
      <c r="A91" s="64"/>
    </row>
    <row r="92" spans="1:1" ht="12.6">
      <c r="A92" s="64"/>
    </row>
    <row r="93" spans="1:1" ht="12.6">
      <c r="A93" s="64"/>
    </row>
    <row r="94" spans="1:1" ht="12.6">
      <c r="A94" s="64"/>
    </row>
    <row r="95" spans="1:1" ht="12.6">
      <c r="A95" s="64"/>
    </row>
    <row r="96" spans="1:1" ht="12.6">
      <c r="A96" s="64"/>
    </row>
    <row r="97" spans="1:1" ht="12.6">
      <c r="A97" s="64"/>
    </row>
    <row r="98" spans="1:1" ht="12.6">
      <c r="A98" s="64"/>
    </row>
    <row r="99" spans="1:1" ht="12.6">
      <c r="A99" s="64"/>
    </row>
    <row r="100" spans="1:1" ht="12.6">
      <c r="A100" s="64"/>
    </row>
    <row r="101" spans="1:1" ht="12.6">
      <c r="A101" s="64"/>
    </row>
    <row r="102" spans="1:1" ht="12.6">
      <c r="A102" s="64"/>
    </row>
    <row r="103" spans="1:1" ht="12.6">
      <c r="A103" s="64"/>
    </row>
    <row r="104" spans="1:1" ht="12.6">
      <c r="A104" s="64"/>
    </row>
    <row r="105" spans="1:1" ht="12.6">
      <c r="A105" s="64"/>
    </row>
    <row r="106" spans="1:1" ht="12.6">
      <c r="A106" s="64"/>
    </row>
    <row r="107" spans="1:1" ht="12.6">
      <c r="A107" s="64"/>
    </row>
    <row r="108" spans="1:1" ht="12.6">
      <c r="A108" s="64"/>
    </row>
    <row r="109" spans="1:1" ht="12.6">
      <c r="A109" s="64"/>
    </row>
    <row r="110" spans="1:1" ht="12.6">
      <c r="A110" s="64"/>
    </row>
    <row r="111" spans="1:1" ht="12.6">
      <c r="A111" s="64"/>
    </row>
    <row r="112" spans="1:1" ht="12.6">
      <c r="A112" s="64"/>
    </row>
    <row r="113" spans="1:1" ht="12.6">
      <c r="A113" s="64"/>
    </row>
    <row r="114" spans="1:1" ht="12.6">
      <c r="A114" s="64"/>
    </row>
    <row r="115" spans="1:1" ht="12.6">
      <c r="A115" s="64"/>
    </row>
    <row r="116" spans="1:1" ht="12.6">
      <c r="A116" s="64"/>
    </row>
    <row r="117" spans="1:1" ht="12.6">
      <c r="A117" s="64"/>
    </row>
    <row r="118" spans="1:1" ht="12.6">
      <c r="A118" s="64"/>
    </row>
    <row r="119" spans="1:1" ht="12.6">
      <c r="A119" s="64"/>
    </row>
    <row r="120" spans="1:1" ht="12.6">
      <c r="A120" s="64"/>
    </row>
    <row r="121" spans="1:1" ht="12.6">
      <c r="A121" s="64"/>
    </row>
    <row r="122" spans="1:1" ht="12.6">
      <c r="A122" s="64"/>
    </row>
    <row r="123" spans="1:1" ht="12.6">
      <c r="A123" s="64"/>
    </row>
    <row r="124" spans="1:1" ht="12.6">
      <c r="A124" s="64"/>
    </row>
    <row r="125" spans="1:1" ht="12.6">
      <c r="A125" s="64"/>
    </row>
    <row r="126" spans="1:1" ht="12.6">
      <c r="A126" s="64"/>
    </row>
    <row r="127" spans="1:1" ht="12.6">
      <c r="A127" s="64"/>
    </row>
    <row r="128" spans="1:1" ht="12.6">
      <c r="A128" s="64"/>
    </row>
    <row r="129" spans="1:1" ht="12.6">
      <c r="A129" s="64"/>
    </row>
    <row r="130" spans="1:1" ht="12.6">
      <c r="A130" s="64"/>
    </row>
    <row r="131" spans="1:1" ht="12.6">
      <c r="A131" s="64"/>
    </row>
    <row r="132" spans="1:1" ht="12.6">
      <c r="A132" s="64"/>
    </row>
    <row r="133" spans="1:1" ht="12.6">
      <c r="A133" s="64"/>
    </row>
    <row r="134" spans="1:1" ht="12.6">
      <c r="A134" s="64"/>
    </row>
    <row r="135" spans="1:1" ht="12.6">
      <c r="A135" s="64"/>
    </row>
    <row r="136" spans="1:1" ht="12.6">
      <c r="A136" s="64"/>
    </row>
    <row r="137" spans="1:1" ht="12.6">
      <c r="A137" s="64"/>
    </row>
    <row r="138" spans="1:1" ht="12.6">
      <c r="A138" s="64"/>
    </row>
    <row r="139" spans="1:1" ht="12.6">
      <c r="A139" s="64"/>
    </row>
    <row r="140" spans="1:1" ht="12.6">
      <c r="A140" s="64"/>
    </row>
    <row r="141" spans="1:1" ht="12.6">
      <c r="A141" s="64"/>
    </row>
    <row r="142" spans="1:1" ht="12.6">
      <c r="A142" s="64"/>
    </row>
    <row r="143" spans="1:1" ht="12.6">
      <c r="A143" s="64"/>
    </row>
    <row r="144" spans="1:1" ht="12.6">
      <c r="A144" s="64"/>
    </row>
    <row r="145" spans="1:1" ht="12.6">
      <c r="A145" s="64"/>
    </row>
    <row r="146" spans="1:1" ht="12.6">
      <c r="A146" s="64"/>
    </row>
    <row r="147" spans="1:1" ht="12.6">
      <c r="A147" s="64"/>
    </row>
    <row r="148" spans="1:1" ht="12.6">
      <c r="A148" s="64"/>
    </row>
    <row r="149" spans="1:1" ht="12.6">
      <c r="A149" s="64"/>
    </row>
    <row r="150" spans="1:1" ht="12.6">
      <c r="A150" s="64"/>
    </row>
    <row r="151" spans="1:1" ht="12.6">
      <c r="A151" s="64"/>
    </row>
    <row r="152" spans="1:1" ht="12.6">
      <c r="A152" s="64"/>
    </row>
    <row r="153" spans="1:1" ht="12.6">
      <c r="A153" s="64"/>
    </row>
    <row r="154" spans="1:1" ht="12.6">
      <c r="A154" s="64"/>
    </row>
    <row r="155" spans="1:1" ht="12.6">
      <c r="A155" s="64"/>
    </row>
    <row r="156" spans="1:1" ht="12.6">
      <c r="A156" s="64"/>
    </row>
    <row r="157" spans="1:1" ht="12.6">
      <c r="A157" s="64"/>
    </row>
    <row r="158" spans="1:1" ht="12.6">
      <c r="A158" s="64"/>
    </row>
    <row r="159" spans="1:1" ht="12.6">
      <c r="A159" s="64"/>
    </row>
    <row r="160" spans="1:1" ht="12.6">
      <c r="A160" s="64"/>
    </row>
    <row r="161" spans="1:1" ht="12.6">
      <c r="A161" s="64"/>
    </row>
    <row r="162" spans="1:1" ht="12.6">
      <c r="A162" s="64"/>
    </row>
    <row r="163" spans="1:1" ht="12.6">
      <c r="A163" s="64"/>
    </row>
    <row r="164" spans="1:1" ht="12.6">
      <c r="A164" s="64"/>
    </row>
    <row r="165" spans="1:1" ht="12.6">
      <c r="A165" s="64"/>
    </row>
    <row r="166" spans="1:1" ht="12.6">
      <c r="A166" s="64"/>
    </row>
    <row r="167" spans="1:1" ht="12.6">
      <c r="A167" s="64"/>
    </row>
    <row r="168" spans="1:1" ht="12.6">
      <c r="A168" s="64"/>
    </row>
    <row r="169" spans="1:1" ht="12.6">
      <c r="A169" s="64"/>
    </row>
    <row r="170" spans="1:1" ht="12.6">
      <c r="A170" s="64"/>
    </row>
    <row r="171" spans="1:1" ht="12.6">
      <c r="A171" s="64"/>
    </row>
    <row r="172" spans="1:1" ht="12.6">
      <c r="A172" s="64"/>
    </row>
    <row r="173" spans="1:1" ht="12.6">
      <c r="A173" s="64"/>
    </row>
    <row r="174" spans="1:1" ht="12.6">
      <c r="A174" s="64"/>
    </row>
    <row r="175" spans="1:1" ht="12.6">
      <c r="A175" s="64"/>
    </row>
    <row r="176" spans="1:1" ht="12.6">
      <c r="A176" s="64"/>
    </row>
    <row r="177" spans="1:1" ht="12.6">
      <c r="A177" s="64"/>
    </row>
    <row r="178" spans="1:1" ht="12.6">
      <c r="A178" s="64"/>
    </row>
    <row r="179" spans="1:1" ht="12.6">
      <c r="A179" s="64"/>
    </row>
    <row r="180" spans="1:1" ht="12.6">
      <c r="A180" s="64"/>
    </row>
    <row r="181" spans="1:1" ht="12.6">
      <c r="A181" s="64"/>
    </row>
    <row r="182" spans="1:1" ht="12.6">
      <c r="A182" s="64"/>
    </row>
    <row r="183" spans="1:1" ht="12.6">
      <c r="A183" s="64"/>
    </row>
    <row r="184" spans="1:1" ht="12.6">
      <c r="A184" s="64"/>
    </row>
    <row r="185" spans="1:1" ht="12.6">
      <c r="A185" s="64"/>
    </row>
    <row r="186" spans="1:1" ht="12.6">
      <c r="A186" s="64"/>
    </row>
    <row r="187" spans="1:1" ht="12.6">
      <c r="A187" s="64"/>
    </row>
    <row r="188" spans="1:1" ht="12.6">
      <c r="A188" s="64"/>
    </row>
    <row r="189" spans="1:1" ht="12.6">
      <c r="A189" s="64"/>
    </row>
    <row r="190" spans="1:1" ht="12.6">
      <c r="A190" s="64"/>
    </row>
    <row r="191" spans="1:1" ht="12.6">
      <c r="A191" s="64"/>
    </row>
    <row r="192" spans="1:1" ht="12.6">
      <c r="A192" s="64"/>
    </row>
    <row r="193" spans="1:1" ht="12.6">
      <c r="A193" s="64"/>
    </row>
    <row r="194" spans="1:1" ht="12.6">
      <c r="A194" s="64"/>
    </row>
    <row r="195" spans="1:1" ht="12.6">
      <c r="A195" s="64"/>
    </row>
    <row r="196" spans="1:1" ht="12.6">
      <c r="A196" s="64"/>
    </row>
    <row r="197" spans="1:1" ht="12.6">
      <c r="A197" s="64"/>
    </row>
    <row r="198" spans="1:1" ht="12.6">
      <c r="A198" s="64"/>
    </row>
    <row r="199" spans="1:1" ht="12.6">
      <c r="A199" s="64"/>
    </row>
    <row r="200" spans="1:1" ht="12.6">
      <c r="A200" s="64"/>
    </row>
    <row r="201" spans="1:1" ht="12.6">
      <c r="A201" s="64"/>
    </row>
    <row r="202" spans="1:1" ht="12.6">
      <c r="A202" s="64"/>
    </row>
    <row r="203" spans="1:1" ht="12.6">
      <c r="A203" s="64"/>
    </row>
    <row r="204" spans="1:1" ht="12.6">
      <c r="A204" s="64"/>
    </row>
    <row r="205" spans="1:1" ht="12.6">
      <c r="A205" s="64"/>
    </row>
    <row r="206" spans="1:1" ht="12.6">
      <c r="A206" s="64"/>
    </row>
    <row r="207" spans="1:1" ht="12.6">
      <c r="A207" s="64"/>
    </row>
    <row r="208" spans="1:1" ht="12.6">
      <c r="A208" s="64"/>
    </row>
    <row r="209" spans="1:1" ht="12.6">
      <c r="A209" s="64"/>
    </row>
    <row r="210" spans="1:1" ht="12.6">
      <c r="A210" s="64"/>
    </row>
    <row r="211" spans="1:1" ht="12.6">
      <c r="A211" s="64"/>
    </row>
    <row r="212" spans="1:1" ht="12.6">
      <c r="A212" s="64"/>
    </row>
    <row r="213" spans="1:1" ht="12.6">
      <c r="A213" s="64"/>
    </row>
    <row r="214" spans="1:1" ht="12.6">
      <c r="A214" s="64"/>
    </row>
    <row r="215" spans="1:1" ht="12.6">
      <c r="A215" s="64"/>
    </row>
    <row r="216" spans="1:1" ht="12.6">
      <c r="A216" s="64"/>
    </row>
    <row r="217" spans="1:1" ht="12.6">
      <c r="A217" s="64"/>
    </row>
    <row r="218" spans="1:1" ht="12.6">
      <c r="A218" s="64"/>
    </row>
    <row r="219" spans="1:1" ht="12.6">
      <c r="A219" s="64"/>
    </row>
    <row r="220" spans="1:1" ht="12.6">
      <c r="A220" s="64"/>
    </row>
    <row r="221" spans="1:1" ht="12.6">
      <c r="A221" s="64"/>
    </row>
    <row r="222" spans="1:1" ht="12.6">
      <c r="A222" s="64"/>
    </row>
    <row r="223" spans="1:1" ht="12.6">
      <c r="A223" s="64"/>
    </row>
    <row r="224" spans="1:1" ht="12.6">
      <c r="A224" s="64"/>
    </row>
    <row r="225" spans="1:1" ht="12.6">
      <c r="A225" s="64"/>
    </row>
    <row r="226" spans="1:1" ht="12.6">
      <c r="A226" s="64"/>
    </row>
    <row r="227" spans="1:1" ht="12.6">
      <c r="A227" s="64"/>
    </row>
    <row r="228" spans="1:1" ht="12.6">
      <c r="A228" s="64"/>
    </row>
    <row r="229" spans="1:1" ht="12.6">
      <c r="A229" s="64"/>
    </row>
    <row r="230" spans="1:1" ht="12.6">
      <c r="A230" s="64"/>
    </row>
    <row r="231" spans="1:1" ht="12.6">
      <c r="A231" s="64"/>
    </row>
    <row r="232" spans="1:1" ht="12.6">
      <c r="A232" s="64"/>
    </row>
    <row r="233" spans="1:1" ht="12.6">
      <c r="A233" s="64"/>
    </row>
    <row r="234" spans="1:1" ht="12.6">
      <c r="A234" s="64"/>
    </row>
    <row r="235" spans="1:1" ht="12.6">
      <c r="A235" s="64"/>
    </row>
    <row r="236" spans="1:1" ht="12.6">
      <c r="A236" s="64"/>
    </row>
    <row r="237" spans="1:1" ht="12.6">
      <c r="A237" s="64"/>
    </row>
    <row r="238" spans="1:1" ht="12.6">
      <c r="A238" s="64"/>
    </row>
    <row r="239" spans="1:1" ht="12.6">
      <c r="A239" s="64"/>
    </row>
    <row r="240" spans="1:1" ht="12.6">
      <c r="A240" s="64"/>
    </row>
    <row r="241" spans="1:1" ht="12.6">
      <c r="A241" s="64"/>
    </row>
    <row r="242" spans="1:1" ht="12.6">
      <c r="A242" s="64"/>
    </row>
    <row r="243" spans="1:1" ht="12.6">
      <c r="A243" s="64"/>
    </row>
    <row r="244" spans="1:1" ht="12.6">
      <c r="A244" s="64"/>
    </row>
    <row r="245" spans="1:1" ht="12.6">
      <c r="A245" s="64"/>
    </row>
    <row r="246" spans="1:1" ht="12.6">
      <c r="A246" s="64"/>
    </row>
    <row r="247" spans="1:1" ht="12.6">
      <c r="A247" s="64"/>
    </row>
    <row r="248" spans="1:1" ht="12.6">
      <c r="A248" s="64"/>
    </row>
    <row r="249" spans="1:1" ht="12.6">
      <c r="A249" s="64"/>
    </row>
    <row r="250" spans="1:1" ht="12.6">
      <c r="A250" s="64"/>
    </row>
    <row r="251" spans="1:1" ht="12.6">
      <c r="A251" s="64"/>
    </row>
    <row r="252" spans="1:1" ht="12.6">
      <c r="A252" s="64"/>
    </row>
    <row r="253" spans="1:1" ht="12.6">
      <c r="A253" s="64"/>
    </row>
    <row r="254" spans="1:1" ht="12.6">
      <c r="A254" s="64"/>
    </row>
    <row r="255" spans="1:1" ht="12.6">
      <c r="A255" s="64"/>
    </row>
    <row r="256" spans="1:1" ht="12.6">
      <c r="A256" s="64"/>
    </row>
    <row r="257" spans="1:1" ht="12.6">
      <c r="A257" s="64"/>
    </row>
    <row r="258" spans="1:1" ht="12.6">
      <c r="A258" s="64"/>
    </row>
    <row r="259" spans="1:1" ht="12.6">
      <c r="A259" s="64"/>
    </row>
    <row r="260" spans="1:1" ht="12.6">
      <c r="A260" s="64"/>
    </row>
    <row r="261" spans="1:1" ht="12.6">
      <c r="A261" s="64"/>
    </row>
    <row r="262" spans="1:1" ht="12.6">
      <c r="A262" s="64"/>
    </row>
    <row r="263" spans="1:1" ht="12.6">
      <c r="A263" s="64"/>
    </row>
    <row r="264" spans="1:1" ht="12.6">
      <c r="A264" s="64"/>
    </row>
    <row r="265" spans="1:1" ht="12.6">
      <c r="A265" s="64"/>
    </row>
    <row r="266" spans="1:1" ht="12.6">
      <c r="A266" s="64"/>
    </row>
    <row r="267" spans="1:1" ht="12.6">
      <c r="A267" s="64"/>
    </row>
    <row r="268" spans="1:1" ht="12.6">
      <c r="A268" s="64"/>
    </row>
    <row r="269" spans="1:1" ht="12.6">
      <c r="A269" s="64"/>
    </row>
    <row r="270" spans="1:1" ht="12.6">
      <c r="A270" s="64"/>
    </row>
    <row r="271" spans="1:1" ht="12.6">
      <c r="A271" s="64"/>
    </row>
    <row r="272" spans="1:1" ht="12.6">
      <c r="A272" s="64"/>
    </row>
    <row r="273" spans="1:1" ht="12.6">
      <c r="A273" s="64"/>
    </row>
    <row r="274" spans="1:1" ht="12.6">
      <c r="A274" s="64"/>
    </row>
    <row r="275" spans="1:1" ht="12.6">
      <c r="A275" s="64"/>
    </row>
    <row r="276" spans="1:1" ht="12.6">
      <c r="A276" s="64"/>
    </row>
    <row r="277" spans="1:1" ht="12.6">
      <c r="A277" s="64"/>
    </row>
    <row r="278" spans="1:1" ht="12.6">
      <c r="A278" s="64"/>
    </row>
    <row r="279" spans="1:1" ht="12.6">
      <c r="A279" s="64"/>
    </row>
    <row r="280" spans="1:1" ht="12.6">
      <c r="A280" s="64"/>
    </row>
    <row r="281" spans="1:1" ht="12.6">
      <c r="A281" s="64"/>
    </row>
    <row r="282" spans="1:1" ht="12.6">
      <c r="A282" s="64"/>
    </row>
    <row r="283" spans="1:1" ht="12.6">
      <c r="A283" s="64"/>
    </row>
    <row r="284" spans="1:1" ht="12.6">
      <c r="A284" s="64"/>
    </row>
    <row r="285" spans="1:1" ht="12.6">
      <c r="A285" s="64"/>
    </row>
    <row r="286" spans="1:1" ht="12.6">
      <c r="A286" s="64"/>
    </row>
    <row r="287" spans="1:1" ht="12.6">
      <c r="A287" s="64"/>
    </row>
    <row r="288" spans="1:1" ht="12.6">
      <c r="A288" s="64"/>
    </row>
    <row r="289" spans="1:1" ht="12.6">
      <c r="A289" s="64"/>
    </row>
    <row r="290" spans="1:1" ht="12.6">
      <c r="A290" s="64"/>
    </row>
    <row r="291" spans="1:1" ht="12.6">
      <c r="A291" s="64"/>
    </row>
    <row r="292" spans="1:1" ht="12.6">
      <c r="A292" s="64"/>
    </row>
    <row r="293" spans="1:1" ht="12.6">
      <c r="A293" s="64"/>
    </row>
    <row r="294" spans="1:1" ht="12.6">
      <c r="A294" s="64"/>
    </row>
    <row r="295" spans="1:1" ht="12.6">
      <c r="A295" s="64"/>
    </row>
    <row r="296" spans="1:1" ht="12.6">
      <c r="A296" s="64"/>
    </row>
    <row r="297" spans="1:1" ht="12.6">
      <c r="A297" s="64"/>
    </row>
    <row r="298" spans="1:1" ht="12.6">
      <c r="A298" s="64"/>
    </row>
    <row r="299" spans="1:1" ht="12.6">
      <c r="A299" s="64"/>
    </row>
    <row r="300" spans="1:1" ht="12.6">
      <c r="A300" s="64"/>
    </row>
    <row r="301" spans="1:1" ht="12.6">
      <c r="A301" s="64"/>
    </row>
    <row r="302" spans="1:1" ht="12.6">
      <c r="A302" s="64"/>
    </row>
    <row r="303" spans="1:1" ht="12.6">
      <c r="A303" s="64"/>
    </row>
    <row r="304" spans="1:1" ht="12.6">
      <c r="A304" s="64"/>
    </row>
    <row r="305" spans="1:1" ht="12.6">
      <c r="A305" s="64"/>
    </row>
    <row r="306" spans="1:1" ht="12.6">
      <c r="A306" s="64"/>
    </row>
    <row r="307" spans="1:1" ht="12.6">
      <c r="A307" s="64"/>
    </row>
    <row r="308" spans="1:1" ht="12.6">
      <c r="A308" s="64"/>
    </row>
    <row r="309" spans="1:1" ht="12.6">
      <c r="A309" s="64"/>
    </row>
    <row r="310" spans="1:1" ht="12.6">
      <c r="A310" s="64"/>
    </row>
    <row r="311" spans="1:1" ht="12.6">
      <c r="A311" s="64"/>
    </row>
    <row r="312" spans="1:1" ht="12.6">
      <c r="A312" s="64"/>
    </row>
    <row r="313" spans="1:1" ht="12.6">
      <c r="A313" s="64"/>
    </row>
    <row r="314" spans="1:1" ht="12.6">
      <c r="A314" s="64"/>
    </row>
    <row r="315" spans="1:1" ht="12.6">
      <c r="A315" s="64"/>
    </row>
    <row r="316" spans="1:1" ht="12.6">
      <c r="A316" s="64"/>
    </row>
    <row r="317" spans="1:1" ht="12.6">
      <c r="A317" s="64"/>
    </row>
    <row r="318" spans="1:1" ht="12.6">
      <c r="A318" s="64"/>
    </row>
    <row r="319" spans="1:1" ht="12.6">
      <c r="A319" s="64"/>
    </row>
    <row r="320" spans="1:1" ht="12.6">
      <c r="A320" s="64"/>
    </row>
    <row r="321" spans="1:1" ht="12.6">
      <c r="A321" s="64"/>
    </row>
    <row r="322" spans="1:1" ht="12.6">
      <c r="A322" s="64"/>
    </row>
    <row r="323" spans="1:1" ht="12.6">
      <c r="A323" s="64"/>
    </row>
    <row r="324" spans="1:1" ht="12.6">
      <c r="A324" s="64"/>
    </row>
    <row r="325" spans="1:1" ht="12.6">
      <c r="A325" s="64"/>
    </row>
    <row r="326" spans="1:1" ht="12.6">
      <c r="A326" s="64"/>
    </row>
    <row r="327" spans="1:1" ht="12.6">
      <c r="A327" s="64"/>
    </row>
    <row r="328" spans="1:1" ht="12.6">
      <c r="A328" s="64"/>
    </row>
    <row r="329" spans="1:1" ht="12.6">
      <c r="A329" s="64"/>
    </row>
    <row r="330" spans="1:1" ht="12.6">
      <c r="A330" s="64"/>
    </row>
    <row r="331" spans="1:1" ht="12.6">
      <c r="A331" s="64"/>
    </row>
    <row r="332" spans="1:1" ht="12.6">
      <c r="A332" s="64"/>
    </row>
    <row r="333" spans="1:1" ht="12.6">
      <c r="A333" s="64"/>
    </row>
    <row r="334" spans="1:1" ht="12.6">
      <c r="A334" s="64"/>
    </row>
    <row r="335" spans="1:1" ht="12.6">
      <c r="A335" s="64"/>
    </row>
    <row r="336" spans="1:1" ht="12.6">
      <c r="A336" s="64"/>
    </row>
    <row r="337" spans="1:1" ht="12.6">
      <c r="A337" s="64"/>
    </row>
    <row r="338" spans="1:1" ht="12.6">
      <c r="A338" s="64"/>
    </row>
    <row r="339" spans="1:1" ht="12.6">
      <c r="A339" s="64"/>
    </row>
    <row r="340" spans="1:1" ht="12.6">
      <c r="A340" s="64"/>
    </row>
    <row r="341" spans="1:1" ht="12.6">
      <c r="A341" s="64"/>
    </row>
    <row r="342" spans="1:1" ht="12.6">
      <c r="A342" s="64"/>
    </row>
    <row r="343" spans="1:1" ht="12.6">
      <c r="A343" s="64"/>
    </row>
    <row r="344" spans="1:1" ht="12.6">
      <c r="A344" s="64"/>
    </row>
    <row r="345" spans="1:1" ht="12.6">
      <c r="A345" s="64"/>
    </row>
    <row r="346" spans="1:1" ht="12.6">
      <c r="A346" s="64"/>
    </row>
    <row r="347" spans="1:1" ht="12.6">
      <c r="A347" s="64"/>
    </row>
    <row r="348" spans="1:1" ht="12.6">
      <c r="A348" s="64"/>
    </row>
    <row r="349" spans="1:1" ht="12.6">
      <c r="A349" s="64"/>
    </row>
    <row r="350" spans="1:1" ht="12.6">
      <c r="A350" s="64"/>
    </row>
    <row r="351" spans="1:1" ht="12.6">
      <c r="A351" s="64"/>
    </row>
    <row r="352" spans="1:1" ht="12.6">
      <c r="A352" s="64"/>
    </row>
    <row r="353" spans="1:1" ht="12.6">
      <c r="A353" s="64"/>
    </row>
    <row r="354" spans="1:1" ht="12.6">
      <c r="A354" s="64"/>
    </row>
    <row r="355" spans="1:1" ht="12.6">
      <c r="A355" s="64"/>
    </row>
    <row r="356" spans="1:1" ht="12.6">
      <c r="A356" s="64"/>
    </row>
    <row r="357" spans="1:1" ht="12.6">
      <c r="A357" s="64"/>
    </row>
    <row r="358" spans="1:1" ht="12.6">
      <c r="A358" s="64"/>
    </row>
    <row r="359" spans="1:1" ht="12.6">
      <c r="A359" s="64"/>
    </row>
    <row r="360" spans="1:1" ht="12.6">
      <c r="A360" s="64"/>
    </row>
    <row r="361" spans="1:1" ht="12.6">
      <c r="A361" s="64"/>
    </row>
    <row r="362" spans="1:1" ht="12.6">
      <c r="A362" s="64"/>
    </row>
    <row r="363" spans="1:1" ht="12.6">
      <c r="A363" s="64"/>
    </row>
    <row r="364" spans="1:1" ht="12.6">
      <c r="A364" s="64"/>
    </row>
    <row r="365" spans="1:1" ht="12.6">
      <c r="A365" s="64"/>
    </row>
    <row r="366" spans="1:1" ht="12.6">
      <c r="A366" s="64"/>
    </row>
    <row r="367" spans="1:1" ht="12.6">
      <c r="A367" s="64"/>
    </row>
    <row r="368" spans="1:1" ht="12.6">
      <c r="A368" s="64"/>
    </row>
    <row r="369" spans="1:1" ht="12.6">
      <c r="A369" s="64"/>
    </row>
    <row r="370" spans="1:1" ht="12.6">
      <c r="A370" s="64"/>
    </row>
    <row r="371" spans="1:1" ht="12.6">
      <c r="A371" s="64"/>
    </row>
    <row r="372" spans="1:1" ht="12.6">
      <c r="A372" s="64"/>
    </row>
    <row r="373" spans="1:1" ht="12.6">
      <c r="A373" s="64"/>
    </row>
    <row r="374" spans="1:1" ht="12.6">
      <c r="A374" s="64"/>
    </row>
    <row r="375" spans="1:1" ht="12.6">
      <c r="A375" s="64"/>
    </row>
    <row r="376" spans="1:1" ht="12.6">
      <c r="A376" s="64"/>
    </row>
    <row r="377" spans="1:1" ht="12.6">
      <c r="A377" s="64"/>
    </row>
    <row r="378" spans="1:1" ht="12.6">
      <c r="A378" s="64"/>
    </row>
    <row r="379" spans="1:1" ht="12.6">
      <c r="A379" s="64"/>
    </row>
    <row r="380" spans="1:1" ht="12.6">
      <c r="A380" s="64"/>
    </row>
    <row r="381" spans="1:1" ht="12.6">
      <c r="A381" s="64"/>
    </row>
    <row r="382" spans="1:1" ht="12.6">
      <c r="A382" s="64"/>
    </row>
    <row r="383" spans="1:1" ht="12.6">
      <c r="A383" s="64"/>
    </row>
    <row r="384" spans="1:1" ht="12.6">
      <c r="A384" s="64"/>
    </row>
    <row r="385" spans="1:1" ht="12.6">
      <c r="A385" s="64"/>
    </row>
    <row r="386" spans="1:1" ht="12.6">
      <c r="A386" s="64"/>
    </row>
    <row r="387" spans="1:1" ht="12.6">
      <c r="A387" s="64"/>
    </row>
    <row r="388" spans="1:1" ht="12.6">
      <c r="A388" s="64"/>
    </row>
    <row r="389" spans="1:1" ht="12.6">
      <c r="A389" s="64"/>
    </row>
    <row r="390" spans="1:1" ht="12.6">
      <c r="A390" s="64"/>
    </row>
    <row r="391" spans="1:1" ht="12.6">
      <c r="A391" s="64"/>
    </row>
    <row r="392" spans="1:1" ht="12.6">
      <c r="A392" s="64"/>
    </row>
    <row r="393" spans="1:1" ht="12.6">
      <c r="A393" s="64"/>
    </row>
    <row r="394" spans="1:1" ht="12.6">
      <c r="A394" s="64"/>
    </row>
    <row r="395" spans="1:1" ht="12.6">
      <c r="A395" s="64"/>
    </row>
    <row r="396" spans="1:1" ht="12.6">
      <c r="A396" s="64"/>
    </row>
    <row r="397" spans="1:1" ht="12.6">
      <c r="A397" s="64"/>
    </row>
    <row r="398" spans="1:1" ht="12.6">
      <c r="A398" s="64"/>
    </row>
    <row r="399" spans="1:1" ht="12.6">
      <c r="A399" s="64"/>
    </row>
    <row r="400" spans="1:1" ht="12.6">
      <c r="A400" s="64"/>
    </row>
    <row r="401" spans="1:1" ht="12.6">
      <c r="A401" s="64"/>
    </row>
    <row r="402" spans="1:1" ht="12.6">
      <c r="A402" s="64"/>
    </row>
    <row r="403" spans="1:1" ht="12.6">
      <c r="A403" s="64"/>
    </row>
    <row r="404" spans="1:1" ht="12.6">
      <c r="A404" s="64"/>
    </row>
    <row r="405" spans="1:1" ht="12.6">
      <c r="A405" s="64"/>
    </row>
    <row r="406" spans="1:1" ht="12.6">
      <c r="A406" s="64"/>
    </row>
    <row r="407" spans="1:1" ht="12.6">
      <c r="A407" s="64"/>
    </row>
    <row r="408" spans="1:1" ht="12.6">
      <c r="A408" s="64"/>
    </row>
    <row r="409" spans="1:1" ht="12.6">
      <c r="A409" s="64"/>
    </row>
    <row r="410" spans="1:1" ht="12.6">
      <c r="A410" s="64"/>
    </row>
    <row r="411" spans="1:1" ht="12.6">
      <c r="A411" s="64"/>
    </row>
    <row r="412" spans="1:1" ht="12.6">
      <c r="A412" s="64"/>
    </row>
    <row r="413" spans="1:1" ht="12.6">
      <c r="A413" s="64"/>
    </row>
    <row r="414" spans="1:1" ht="12.6">
      <c r="A414" s="64"/>
    </row>
    <row r="415" spans="1:1" ht="12.6">
      <c r="A415" s="64"/>
    </row>
    <row r="416" spans="1:1" ht="12.6">
      <c r="A416" s="64"/>
    </row>
    <row r="417" spans="1:1" ht="12.6">
      <c r="A417" s="64"/>
    </row>
    <row r="418" spans="1:1" ht="12.6">
      <c r="A418" s="64"/>
    </row>
    <row r="419" spans="1:1" ht="12.6">
      <c r="A419" s="64"/>
    </row>
    <row r="420" spans="1:1" ht="12.6">
      <c r="A420" s="64"/>
    </row>
    <row r="421" spans="1:1" ht="12.6">
      <c r="A421" s="64"/>
    </row>
    <row r="422" spans="1:1" ht="12.6">
      <c r="A422" s="64"/>
    </row>
    <row r="423" spans="1:1" ht="12.6">
      <c r="A423" s="64"/>
    </row>
    <row r="424" spans="1:1" ht="12.6">
      <c r="A424" s="64"/>
    </row>
    <row r="425" spans="1:1" ht="12.6">
      <c r="A425" s="64"/>
    </row>
    <row r="426" spans="1:1" ht="12.6">
      <c r="A426" s="64"/>
    </row>
    <row r="427" spans="1:1" ht="12.6">
      <c r="A427" s="64"/>
    </row>
    <row r="428" spans="1:1" ht="12.6">
      <c r="A428" s="64"/>
    </row>
    <row r="429" spans="1:1" ht="12.6">
      <c r="A429" s="64"/>
    </row>
    <row r="430" spans="1:1" ht="12.6">
      <c r="A430" s="64"/>
    </row>
    <row r="431" spans="1:1" ht="12.6">
      <c r="A431" s="64"/>
    </row>
    <row r="432" spans="1:1" ht="12.6">
      <c r="A432" s="64"/>
    </row>
    <row r="433" spans="1:1" ht="12.6">
      <c r="A433" s="64"/>
    </row>
    <row r="434" spans="1:1" ht="12.6">
      <c r="A434" s="64"/>
    </row>
    <row r="435" spans="1:1" ht="12.6">
      <c r="A435" s="64"/>
    </row>
    <row r="436" spans="1:1" ht="12.6">
      <c r="A436" s="64"/>
    </row>
    <row r="437" spans="1:1" ht="12.6">
      <c r="A437" s="64"/>
    </row>
    <row r="438" spans="1:1" ht="12.6">
      <c r="A438" s="64"/>
    </row>
    <row r="439" spans="1:1" ht="12.6">
      <c r="A439" s="64"/>
    </row>
    <row r="440" spans="1:1" ht="12.6">
      <c r="A440" s="64"/>
    </row>
    <row r="441" spans="1:1" ht="12.6">
      <c r="A441" s="64"/>
    </row>
    <row r="442" spans="1:1" ht="12.6">
      <c r="A442" s="64"/>
    </row>
    <row r="443" spans="1:1" ht="12.6">
      <c r="A443" s="64"/>
    </row>
    <row r="444" spans="1:1" ht="12.6">
      <c r="A444" s="64"/>
    </row>
    <row r="445" spans="1:1" ht="12.6">
      <c r="A445" s="64"/>
    </row>
    <row r="446" spans="1:1" ht="12.6">
      <c r="A446" s="64"/>
    </row>
    <row r="447" spans="1:1" ht="12.6">
      <c r="A447" s="64"/>
    </row>
    <row r="448" spans="1:1" ht="12.6">
      <c r="A448" s="64"/>
    </row>
    <row r="449" spans="1:1" ht="12.6">
      <c r="A449" s="64"/>
    </row>
    <row r="450" spans="1:1" ht="12.6">
      <c r="A450" s="64"/>
    </row>
    <row r="451" spans="1:1" ht="12.6">
      <c r="A451" s="64"/>
    </row>
    <row r="452" spans="1:1" ht="12.6">
      <c r="A452" s="64"/>
    </row>
    <row r="453" spans="1:1" ht="12.6">
      <c r="A453" s="64"/>
    </row>
    <row r="454" spans="1:1" ht="12.6">
      <c r="A454" s="64"/>
    </row>
    <row r="455" spans="1:1" ht="12.6">
      <c r="A455" s="64"/>
    </row>
    <row r="456" spans="1:1" ht="12.6">
      <c r="A456" s="64"/>
    </row>
    <row r="457" spans="1:1" ht="12.6">
      <c r="A457" s="64"/>
    </row>
    <row r="458" spans="1:1" ht="12.6">
      <c r="A458" s="64"/>
    </row>
    <row r="459" spans="1:1" ht="12.6">
      <c r="A459" s="64"/>
    </row>
    <row r="460" spans="1:1" ht="12.6">
      <c r="A460" s="64"/>
    </row>
    <row r="461" spans="1:1" ht="12.6">
      <c r="A461" s="64"/>
    </row>
    <row r="462" spans="1:1" ht="12.6">
      <c r="A462" s="64"/>
    </row>
    <row r="463" spans="1:1" ht="12.6">
      <c r="A463" s="64"/>
    </row>
    <row r="464" spans="1:1" ht="12.6">
      <c r="A464" s="64"/>
    </row>
    <row r="465" spans="1:1" ht="12.6">
      <c r="A465" s="64"/>
    </row>
    <row r="466" spans="1:1" ht="12.6">
      <c r="A466" s="64"/>
    </row>
    <row r="467" spans="1:1" ht="12.6">
      <c r="A467" s="64"/>
    </row>
    <row r="468" spans="1:1" ht="12.6">
      <c r="A468" s="64"/>
    </row>
    <row r="469" spans="1:1" ht="12.6">
      <c r="A469" s="64"/>
    </row>
    <row r="470" spans="1:1" ht="12.6">
      <c r="A470" s="64"/>
    </row>
    <row r="471" spans="1:1" ht="12.6">
      <c r="A471" s="64"/>
    </row>
    <row r="472" spans="1:1" ht="12.6">
      <c r="A472" s="64"/>
    </row>
    <row r="473" spans="1:1" ht="12.6">
      <c r="A473" s="64"/>
    </row>
    <row r="474" spans="1:1" ht="12.6">
      <c r="A474" s="64"/>
    </row>
    <row r="475" spans="1:1" ht="12.6">
      <c r="A475" s="64"/>
    </row>
    <row r="476" spans="1:1" ht="12.6">
      <c r="A476" s="64"/>
    </row>
    <row r="477" spans="1:1" ht="12.6">
      <c r="A477" s="64"/>
    </row>
    <row r="478" spans="1:1" ht="12.6">
      <c r="A478" s="64"/>
    </row>
    <row r="479" spans="1:1" ht="12.6">
      <c r="A479" s="64"/>
    </row>
    <row r="480" spans="1:1" ht="12.6">
      <c r="A480" s="64"/>
    </row>
    <row r="481" spans="1:1" ht="12.6">
      <c r="A481" s="64"/>
    </row>
    <row r="482" spans="1:1" ht="12.6">
      <c r="A482" s="64"/>
    </row>
    <row r="483" spans="1:1" ht="12.6">
      <c r="A483" s="64"/>
    </row>
    <row r="484" spans="1:1" ht="12.6">
      <c r="A484" s="64"/>
    </row>
    <row r="485" spans="1:1" ht="12.6">
      <c r="A485" s="64"/>
    </row>
    <row r="486" spans="1:1" ht="12.6">
      <c r="A486" s="64"/>
    </row>
    <row r="487" spans="1:1" ht="12.6">
      <c r="A487" s="64"/>
    </row>
    <row r="488" spans="1:1" ht="12.6">
      <c r="A488" s="64"/>
    </row>
    <row r="489" spans="1:1" ht="12.6">
      <c r="A489" s="64"/>
    </row>
    <row r="490" spans="1:1" ht="12.6">
      <c r="A490" s="64"/>
    </row>
    <row r="491" spans="1:1" ht="12.6">
      <c r="A491" s="64"/>
    </row>
    <row r="492" spans="1:1" ht="12.6">
      <c r="A492" s="64"/>
    </row>
    <row r="493" spans="1:1" ht="12.6">
      <c r="A493" s="64"/>
    </row>
    <row r="494" spans="1:1" ht="12.6">
      <c r="A494" s="64"/>
    </row>
    <row r="495" spans="1:1" ht="12.6">
      <c r="A495" s="64"/>
    </row>
    <row r="496" spans="1:1" ht="12.6">
      <c r="A496" s="64"/>
    </row>
    <row r="497" spans="1:1" ht="12.6">
      <c r="A497" s="64"/>
    </row>
    <row r="498" spans="1:1" ht="12.6">
      <c r="A498" s="64"/>
    </row>
    <row r="499" spans="1:1" ht="12.6">
      <c r="A499" s="64"/>
    </row>
    <row r="500" spans="1:1" ht="12.6">
      <c r="A500" s="64"/>
    </row>
    <row r="501" spans="1:1" ht="12.6">
      <c r="A501" s="64"/>
    </row>
    <row r="502" spans="1:1" ht="12.6">
      <c r="A502" s="64"/>
    </row>
    <row r="503" spans="1:1" ht="12.6">
      <c r="A503" s="64"/>
    </row>
    <row r="504" spans="1:1" ht="12.6">
      <c r="A504" s="64"/>
    </row>
    <row r="505" spans="1:1" ht="12.6">
      <c r="A505" s="64"/>
    </row>
    <row r="506" spans="1:1" ht="12.6">
      <c r="A506" s="64"/>
    </row>
    <row r="507" spans="1:1" ht="12.6">
      <c r="A507" s="64"/>
    </row>
    <row r="508" spans="1:1" ht="12.6">
      <c r="A508" s="64"/>
    </row>
    <row r="509" spans="1:1" ht="12.6">
      <c r="A509" s="64"/>
    </row>
    <row r="510" spans="1:1" ht="12.6">
      <c r="A510" s="64"/>
    </row>
    <row r="511" spans="1:1" ht="12.6">
      <c r="A511" s="64"/>
    </row>
    <row r="512" spans="1:1" ht="12.6">
      <c r="A512" s="64"/>
    </row>
    <row r="513" spans="1:1" ht="12.6">
      <c r="A513" s="64"/>
    </row>
    <row r="514" spans="1:1" ht="12.6">
      <c r="A514" s="64"/>
    </row>
    <row r="515" spans="1:1" ht="12.6">
      <c r="A515" s="64"/>
    </row>
    <row r="516" spans="1:1" ht="12.6">
      <c r="A516" s="64"/>
    </row>
    <row r="517" spans="1:1" ht="12.6">
      <c r="A517" s="64"/>
    </row>
    <row r="518" spans="1:1" ht="12.6">
      <c r="A518" s="64"/>
    </row>
    <row r="519" spans="1:1" ht="12.6">
      <c r="A519" s="64"/>
    </row>
    <row r="520" spans="1:1" ht="12.6">
      <c r="A520" s="64"/>
    </row>
    <row r="521" spans="1:1" ht="12.6">
      <c r="A521" s="64"/>
    </row>
    <row r="522" spans="1:1" ht="12.6">
      <c r="A522" s="64"/>
    </row>
    <row r="523" spans="1:1" ht="12.6">
      <c r="A523" s="64"/>
    </row>
    <row r="524" spans="1:1" ht="12.6">
      <c r="A524" s="64"/>
    </row>
    <row r="525" spans="1:1" ht="12.6">
      <c r="A525" s="64"/>
    </row>
    <row r="526" spans="1:1" ht="12.6">
      <c r="A526" s="64"/>
    </row>
    <row r="527" spans="1:1" ht="12.6">
      <c r="A527" s="64"/>
    </row>
    <row r="528" spans="1:1" ht="12.6">
      <c r="A528" s="64"/>
    </row>
    <row r="529" spans="1:1" ht="12.6">
      <c r="A529" s="64"/>
    </row>
    <row r="530" spans="1:1" ht="12.6">
      <c r="A530" s="64"/>
    </row>
    <row r="531" spans="1:1" ht="12.6">
      <c r="A531" s="64"/>
    </row>
    <row r="532" spans="1:1" ht="12.6">
      <c r="A532" s="64"/>
    </row>
    <row r="533" spans="1:1" ht="12.6">
      <c r="A533" s="64"/>
    </row>
    <row r="534" spans="1:1" ht="12.6">
      <c r="A534" s="64"/>
    </row>
    <row r="535" spans="1:1" ht="12.6">
      <c r="A535" s="64"/>
    </row>
    <row r="536" spans="1:1" ht="12.6">
      <c r="A536" s="64"/>
    </row>
    <row r="537" spans="1:1" ht="12.6">
      <c r="A537" s="64"/>
    </row>
    <row r="538" spans="1:1" ht="12.6">
      <c r="A538" s="64"/>
    </row>
    <row r="539" spans="1:1" ht="12.6">
      <c r="A539" s="64"/>
    </row>
    <row r="540" spans="1:1" ht="12.6">
      <c r="A540" s="64"/>
    </row>
    <row r="541" spans="1:1" ht="12.6">
      <c r="A541" s="64"/>
    </row>
    <row r="542" spans="1:1" ht="12.6">
      <c r="A542" s="64"/>
    </row>
    <row r="543" spans="1:1" ht="12.6">
      <c r="A543" s="64"/>
    </row>
    <row r="544" spans="1:1" ht="12.6">
      <c r="A544" s="64"/>
    </row>
    <row r="545" spans="1:1" ht="12.6">
      <c r="A545" s="64"/>
    </row>
    <row r="546" spans="1:1" ht="12.6">
      <c r="A546" s="64"/>
    </row>
    <row r="547" spans="1:1" ht="12.6">
      <c r="A547" s="64"/>
    </row>
    <row r="548" spans="1:1" ht="12.6">
      <c r="A548" s="64"/>
    </row>
    <row r="549" spans="1:1" ht="12.6">
      <c r="A549" s="64"/>
    </row>
    <row r="550" spans="1:1" ht="12.6">
      <c r="A550" s="64"/>
    </row>
    <row r="551" spans="1:1" ht="12.6">
      <c r="A551" s="64"/>
    </row>
    <row r="552" spans="1:1" ht="12.6">
      <c r="A552" s="64"/>
    </row>
    <row r="553" spans="1:1" ht="12.6">
      <c r="A553" s="64"/>
    </row>
    <row r="554" spans="1:1" ht="12.6">
      <c r="A554" s="64"/>
    </row>
    <row r="555" spans="1:1" ht="12.6">
      <c r="A555" s="64"/>
    </row>
    <row r="556" spans="1:1" ht="12.6">
      <c r="A556" s="64"/>
    </row>
    <row r="557" spans="1:1" ht="12.6">
      <c r="A557" s="64"/>
    </row>
    <row r="558" spans="1:1" ht="12.6">
      <c r="A558" s="64"/>
    </row>
    <row r="559" spans="1:1" ht="12.6">
      <c r="A559" s="64"/>
    </row>
    <row r="560" spans="1:1" ht="12.6">
      <c r="A560" s="64"/>
    </row>
    <row r="561" spans="1:1" ht="12.6">
      <c r="A561" s="64"/>
    </row>
    <row r="562" spans="1:1" ht="12.6">
      <c r="A562" s="64"/>
    </row>
    <row r="563" spans="1:1" ht="12.6">
      <c r="A563" s="64"/>
    </row>
    <row r="564" spans="1:1" ht="12.6">
      <c r="A564" s="64"/>
    </row>
    <row r="565" spans="1:1" ht="12.6">
      <c r="A565" s="64"/>
    </row>
    <row r="566" spans="1:1" ht="12.6">
      <c r="A566" s="64"/>
    </row>
    <row r="567" spans="1:1" ht="12.6">
      <c r="A567" s="64"/>
    </row>
    <row r="568" spans="1:1" ht="12.6">
      <c r="A568" s="64"/>
    </row>
    <row r="569" spans="1:1" ht="12.6">
      <c r="A569" s="64"/>
    </row>
    <row r="570" spans="1:1" ht="12.6">
      <c r="A570" s="64"/>
    </row>
    <row r="571" spans="1:1" ht="12.6">
      <c r="A571" s="64"/>
    </row>
    <row r="572" spans="1:1" ht="12.6">
      <c r="A572" s="64"/>
    </row>
    <row r="573" spans="1:1" ht="12.6">
      <c r="A573" s="64"/>
    </row>
    <row r="574" spans="1:1" ht="12.6">
      <c r="A574" s="64"/>
    </row>
    <row r="575" spans="1:1" ht="12.6">
      <c r="A575" s="64"/>
    </row>
    <row r="576" spans="1:1" ht="12.6">
      <c r="A576" s="64"/>
    </row>
    <row r="577" spans="1:1" ht="12.6">
      <c r="A577" s="64"/>
    </row>
    <row r="578" spans="1:1" ht="12.6">
      <c r="A578" s="64"/>
    </row>
    <row r="579" spans="1:1" ht="12.6">
      <c r="A579" s="64"/>
    </row>
    <row r="580" spans="1:1" ht="12.6">
      <c r="A580" s="64"/>
    </row>
    <row r="581" spans="1:1" ht="12.6">
      <c r="A581" s="64"/>
    </row>
    <row r="582" spans="1:1" ht="12.6">
      <c r="A582" s="64"/>
    </row>
    <row r="583" spans="1:1" ht="12.6">
      <c r="A583" s="64"/>
    </row>
    <row r="584" spans="1:1" ht="12.6">
      <c r="A584" s="64"/>
    </row>
    <row r="585" spans="1:1" ht="12.6">
      <c r="A585" s="64"/>
    </row>
    <row r="586" spans="1:1" ht="12.6">
      <c r="A586" s="64"/>
    </row>
    <row r="587" spans="1:1" ht="12.6">
      <c r="A587" s="64"/>
    </row>
    <row r="588" spans="1:1" ht="12.6">
      <c r="A588" s="64"/>
    </row>
    <row r="589" spans="1:1" ht="12.6">
      <c r="A589" s="64"/>
    </row>
    <row r="590" spans="1:1" ht="12.6">
      <c r="A590" s="64"/>
    </row>
    <row r="591" spans="1:1" ht="12.6">
      <c r="A591" s="64"/>
    </row>
    <row r="592" spans="1:1" ht="12.6">
      <c r="A592" s="64"/>
    </row>
    <row r="593" spans="1:1" ht="12.6">
      <c r="A593" s="64"/>
    </row>
    <row r="594" spans="1:1" ht="12.6">
      <c r="A594" s="64"/>
    </row>
    <row r="595" spans="1:1" ht="12.6">
      <c r="A595" s="64"/>
    </row>
    <row r="596" spans="1:1" ht="12.6">
      <c r="A596" s="64"/>
    </row>
    <row r="597" spans="1:1" ht="12.6">
      <c r="A597" s="64"/>
    </row>
    <row r="598" spans="1:1" ht="12.6">
      <c r="A598" s="64"/>
    </row>
    <row r="599" spans="1:1" ht="12.6">
      <c r="A599" s="64"/>
    </row>
    <row r="600" spans="1:1" ht="12.6">
      <c r="A600" s="64"/>
    </row>
    <row r="601" spans="1:1" ht="12.6">
      <c r="A601" s="64"/>
    </row>
    <row r="602" spans="1:1" ht="12.6">
      <c r="A602" s="64"/>
    </row>
    <row r="603" spans="1:1" ht="12.6">
      <c r="A603" s="64"/>
    </row>
    <row r="604" spans="1:1" ht="12.6">
      <c r="A604" s="64"/>
    </row>
    <row r="605" spans="1:1" ht="12.6">
      <c r="A605" s="64"/>
    </row>
    <row r="606" spans="1:1" ht="12.6">
      <c r="A606" s="64"/>
    </row>
    <row r="607" spans="1:1" ht="12.6">
      <c r="A607" s="64"/>
    </row>
    <row r="608" spans="1:1" ht="12.6">
      <c r="A608" s="64"/>
    </row>
    <row r="609" spans="1:1" ht="12.6">
      <c r="A609" s="64"/>
    </row>
    <row r="610" spans="1:1" ht="12.6">
      <c r="A610" s="64"/>
    </row>
    <row r="611" spans="1:1" ht="12.6">
      <c r="A611" s="64"/>
    </row>
    <row r="612" spans="1:1" ht="12.6">
      <c r="A612" s="64"/>
    </row>
    <row r="613" spans="1:1" ht="12.6">
      <c r="A613" s="64"/>
    </row>
    <row r="614" spans="1:1" ht="12.6">
      <c r="A614" s="64"/>
    </row>
    <row r="615" spans="1:1" ht="12.6">
      <c r="A615" s="64"/>
    </row>
    <row r="616" spans="1:1" ht="12.6">
      <c r="A616" s="64"/>
    </row>
    <row r="617" spans="1:1" ht="12.6">
      <c r="A617" s="64"/>
    </row>
    <row r="618" spans="1:1" ht="12.6">
      <c r="A618" s="64"/>
    </row>
    <row r="619" spans="1:1" ht="12.6">
      <c r="A619" s="64"/>
    </row>
    <row r="620" spans="1:1" ht="12.6">
      <c r="A620" s="64"/>
    </row>
    <row r="621" spans="1:1" ht="12.6">
      <c r="A621" s="64"/>
    </row>
    <row r="622" spans="1:1" ht="12.6">
      <c r="A622" s="64"/>
    </row>
    <row r="623" spans="1:1" ht="12.6">
      <c r="A623" s="64"/>
    </row>
    <row r="624" spans="1:1" ht="12.6">
      <c r="A624" s="64"/>
    </row>
    <row r="625" spans="1:1" ht="12.6">
      <c r="A625" s="64"/>
    </row>
    <row r="626" spans="1:1" ht="12.6">
      <c r="A626" s="64"/>
    </row>
    <row r="627" spans="1:1" ht="12.6">
      <c r="A627" s="64"/>
    </row>
    <row r="628" spans="1:1" ht="12.6">
      <c r="A628" s="64"/>
    </row>
    <row r="629" spans="1:1" ht="12.6">
      <c r="A629" s="64"/>
    </row>
    <row r="630" spans="1:1" ht="12.6">
      <c r="A630" s="64"/>
    </row>
    <row r="631" spans="1:1" ht="12.6">
      <c r="A631" s="64"/>
    </row>
    <row r="632" spans="1:1" ht="12.6">
      <c r="A632" s="64"/>
    </row>
    <row r="633" spans="1:1" ht="12.6">
      <c r="A633" s="64"/>
    </row>
    <row r="634" spans="1:1" ht="12.6">
      <c r="A634" s="64"/>
    </row>
    <row r="635" spans="1:1" ht="12.6">
      <c r="A635" s="64"/>
    </row>
    <row r="636" spans="1:1" ht="12.6">
      <c r="A636" s="64"/>
    </row>
    <row r="637" spans="1:1" ht="12.6">
      <c r="A637" s="64"/>
    </row>
    <row r="638" spans="1:1" ht="12.6">
      <c r="A638" s="64"/>
    </row>
    <row r="639" spans="1:1" ht="12.6">
      <c r="A639" s="64"/>
    </row>
    <row r="640" spans="1:1" ht="12.6">
      <c r="A640" s="64"/>
    </row>
    <row r="641" spans="1:1" ht="12.6">
      <c r="A641" s="64"/>
    </row>
    <row r="642" spans="1:1" ht="12.6">
      <c r="A642" s="64"/>
    </row>
    <row r="643" spans="1:1" ht="12.6">
      <c r="A643" s="64"/>
    </row>
    <row r="644" spans="1:1" ht="12.6">
      <c r="A644" s="64"/>
    </row>
    <row r="645" spans="1:1" ht="12.6">
      <c r="A645" s="64"/>
    </row>
    <row r="646" spans="1:1" ht="12.6">
      <c r="A646" s="64"/>
    </row>
    <row r="647" spans="1:1" ht="12.6">
      <c r="A647" s="64"/>
    </row>
    <row r="648" spans="1:1" ht="12.6">
      <c r="A648" s="64"/>
    </row>
    <row r="649" spans="1:1" ht="12.6">
      <c r="A649" s="64"/>
    </row>
    <row r="650" spans="1:1" ht="12.6">
      <c r="A650" s="64"/>
    </row>
    <row r="651" spans="1:1" ht="12.6">
      <c r="A651" s="64"/>
    </row>
    <row r="652" spans="1:1" ht="12.6">
      <c r="A652" s="64"/>
    </row>
    <row r="653" spans="1:1" ht="12.6">
      <c r="A653" s="64"/>
    </row>
    <row r="654" spans="1:1" ht="12.6">
      <c r="A654" s="64"/>
    </row>
    <row r="655" spans="1:1" ht="12.6">
      <c r="A655" s="64"/>
    </row>
    <row r="656" spans="1:1" ht="12.6">
      <c r="A656" s="64"/>
    </row>
    <row r="657" spans="1:1" ht="12.6">
      <c r="A657" s="64"/>
    </row>
    <row r="658" spans="1:1" ht="12.6">
      <c r="A658" s="64"/>
    </row>
    <row r="659" spans="1:1" ht="12.6">
      <c r="A659" s="64"/>
    </row>
    <row r="660" spans="1:1" ht="12.6">
      <c r="A660" s="64"/>
    </row>
    <row r="661" spans="1:1" ht="12.6">
      <c r="A661" s="64"/>
    </row>
    <row r="662" spans="1:1" ht="12.6">
      <c r="A662" s="64"/>
    </row>
    <row r="663" spans="1:1" ht="12.6">
      <c r="A663" s="64"/>
    </row>
    <row r="664" spans="1:1" ht="12.6">
      <c r="A664" s="64"/>
    </row>
    <row r="665" spans="1:1" ht="12.6">
      <c r="A665" s="64"/>
    </row>
    <row r="666" spans="1:1" ht="12.6">
      <c r="A666" s="64"/>
    </row>
    <row r="667" spans="1:1" ht="12.6">
      <c r="A667" s="64"/>
    </row>
    <row r="668" spans="1:1" ht="12.6">
      <c r="A668" s="64"/>
    </row>
    <row r="669" spans="1:1" ht="12.6">
      <c r="A669" s="64"/>
    </row>
    <row r="670" spans="1:1" ht="12.6">
      <c r="A670" s="64"/>
    </row>
    <row r="671" spans="1:1" ht="12.6">
      <c r="A671" s="64"/>
    </row>
    <row r="672" spans="1:1" ht="12.6">
      <c r="A672" s="64"/>
    </row>
    <row r="673" spans="1:1" ht="12.6">
      <c r="A673" s="64"/>
    </row>
    <row r="674" spans="1:1" ht="12.6">
      <c r="A674" s="64"/>
    </row>
    <row r="675" spans="1:1" ht="12.6">
      <c r="A675" s="64"/>
    </row>
    <row r="676" spans="1:1" ht="12.6">
      <c r="A676" s="64"/>
    </row>
    <row r="677" spans="1:1" ht="12.6">
      <c r="A677" s="64"/>
    </row>
    <row r="678" spans="1:1" ht="12.6">
      <c r="A678" s="64"/>
    </row>
    <row r="679" spans="1:1" ht="12.6">
      <c r="A679" s="64"/>
    </row>
    <row r="680" spans="1:1" ht="12.6">
      <c r="A680" s="64"/>
    </row>
    <row r="681" spans="1:1" ht="12.6">
      <c r="A681" s="64"/>
    </row>
    <row r="682" spans="1:1" ht="12.6">
      <c r="A682" s="64"/>
    </row>
    <row r="683" spans="1:1" ht="12.6">
      <c r="A683" s="64"/>
    </row>
    <row r="684" spans="1:1" ht="12.6">
      <c r="A684" s="64"/>
    </row>
    <row r="685" spans="1:1" ht="12.6">
      <c r="A685" s="64"/>
    </row>
    <row r="686" spans="1:1" ht="12.6">
      <c r="A686" s="64"/>
    </row>
    <row r="687" spans="1:1" ht="12.6">
      <c r="A687" s="64"/>
    </row>
    <row r="688" spans="1:1" ht="12.6">
      <c r="A688" s="64"/>
    </row>
    <row r="689" spans="1:1" ht="12.6">
      <c r="A689" s="64"/>
    </row>
    <row r="690" spans="1:1" ht="12.6">
      <c r="A690" s="64"/>
    </row>
    <row r="691" spans="1:1" ht="12.6">
      <c r="A691" s="64"/>
    </row>
    <row r="692" spans="1:1" ht="12.6">
      <c r="A692" s="64"/>
    </row>
    <row r="693" spans="1:1" ht="12.6">
      <c r="A693" s="64"/>
    </row>
    <row r="694" spans="1:1" ht="12.6">
      <c r="A694" s="64"/>
    </row>
    <row r="695" spans="1:1" ht="12.6">
      <c r="A695" s="64"/>
    </row>
    <row r="696" spans="1:1" ht="12.6">
      <c r="A696" s="64"/>
    </row>
    <row r="697" spans="1:1" ht="12.6">
      <c r="A697" s="64"/>
    </row>
    <row r="698" spans="1:1" ht="12.6">
      <c r="A698" s="64"/>
    </row>
    <row r="699" spans="1:1" ht="12.6">
      <c r="A699" s="64"/>
    </row>
    <row r="700" spans="1:1" ht="12.6">
      <c r="A700" s="64"/>
    </row>
    <row r="701" spans="1:1" ht="12.6">
      <c r="A701" s="64"/>
    </row>
    <row r="702" spans="1:1" ht="12.6">
      <c r="A702" s="64"/>
    </row>
    <row r="703" spans="1:1" ht="12.6">
      <c r="A703" s="64"/>
    </row>
    <row r="704" spans="1:1" ht="12.6">
      <c r="A704" s="64"/>
    </row>
    <row r="705" spans="1:1" ht="12.6">
      <c r="A705" s="64"/>
    </row>
    <row r="706" spans="1:1" ht="12.6">
      <c r="A706" s="64"/>
    </row>
    <row r="707" spans="1:1" ht="12.6">
      <c r="A707" s="64"/>
    </row>
    <row r="708" spans="1:1" ht="12.6">
      <c r="A708" s="64"/>
    </row>
    <row r="709" spans="1:1" ht="12.6">
      <c r="A709" s="64"/>
    </row>
    <row r="710" spans="1:1" ht="12.6">
      <c r="A710" s="64"/>
    </row>
    <row r="711" spans="1:1" ht="12.6">
      <c r="A711" s="64"/>
    </row>
    <row r="712" spans="1:1" ht="12.6">
      <c r="A712" s="64"/>
    </row>
    <row r="713" spans="1:1" ht="12.6">
      <c r="A713" s="64"/>
    </row>
    <row r="714" spans="1:1" ht="12.6">
      <c r="A714" s="64"/>
    </row>
    <row r="715" spans="1:1" ht="12.6">
      <c r="A715" s="64"/>
    </row>
    <row r="716" spans="1:1" ht="12.6">
      <c r="A716" s="64"/>
    </row>
    <row r="717" spans="1:1" ht="12.6">
      <c r="A717" s="64"/>
    </row>
    <row r="718" spans="1:1" ht="12.6">
      <c r="A718" s="64"/>
    </row>
    <row r="719" spans="1:1" ht="12.6">
      <c r="A719" s="64"/>
    </row>
    <row r="720" spans="1:1" ht="12.6">
      <c r="A720" s="64"/>
    </row>
    <row r="721" spans="1:1" ht="12.6">
      <c r="A721" s="64"/>
    </row>
    <row r="722" spans="1:1" ht="12.6">
      <c r="A722" s="64"/>
    </row>
    <row r="723" spans="1:1" ht="12.6">
      <c r="A723" s="64"/>
    </row>
    <row r="724" spans="1:1" ht="12.6">
      <c r="A724" s="64"/>
    </row>
    <row r="725" spans="1:1" ht="12.6">
      <c r="A725" s="64"/>
    </row>
    <row r="726" spans="1:1" ht="12.6">
      <c r="A726" s="64"/>
    </row>
    <row r="727" spans="1:1" ht="12.6">
      <c r="A727" s="64"/>
    </row>
    <row r="728" spans="1:1" ht="12.6">
      <c r="A728" s="64"/>
    </row>
    <row r="729" spans="1:1" ht="12.6">
      <c r="A729" s="64"/>
    </row>
    <row r="730" spans="1:1" ht="12.6">
      <c r="A730" s="64"/>
    </row>
    <row r="731" spans="1:1" ht="12.6">
      <c r="A731" s="64"/>
    </row>
    <row r="732" spans="1:1" ht="12.6">
      <c r="A732" s="64"/>
    </row>
    <row r="733" spans="1:1" ht="12.6">
      <c r="A733" s="64"/>
    </row>
    <row r="734" spans="1:1" ht="12.6">
      <c r="A734" s="64"/>
    </row>
    <row r="735" spans="1:1" ht="12.6">
      <c r="A735" s="64"/>
    </row>
    <row r="736" spans="1:1" ht="12.6">
      <c r="A736" s="64"/>
    </row>
    <row r="737" spans="1:1" ht="12.6">
      <c r="A737" s="64"/>
    </row>
    <row r="738" spans="1:1" ht="12.6">
      <c r="A738" s="64"/>
    </row>
    <row r="739" spans="1:1" ht="12.6">
      <c r="A739" s="64"/>
    </row>
    <row r="740" spans="1:1" ht="12.6">
      <c r="A740" s="64"/>
    </row>
    <row r="741" spans="1:1" ht="12.6">
      <c r="A741" s="64"/>
    </row>
    <row r="742" spans="1:1" ht="12.6">
      <c r="A742" s="64"/>
    </row>
    <row r="743" spans="1:1" ht="12.6">
      <c r="A743" s="64"/>
    </row>
    <row r="744" spans="1:1" ht="12.6">
      <c r="A744" s="64"/>
    </row>
    <row r="745" spans="1:1" ht="12.6">
      <c r="A745" s="64"/>
    </row>
    <row r="746" spans="1:1" ht="12.6">
      <c r="A746" s="64"/>
    </row>
    <row r="747" spans="1:1" ht="12.6">
      <c r="A747" s="64"/>
    </row>
    <row r="748" spans="1:1" ht="12.6">
      <c r="A748" s="64"/>
    </row>
    <row r="749" spans="1:1" ht="12.6">
      <c r="A749" s="64"/>
    </row>
    <row r="750" spans="1:1" ht="12.6">
      <c r="A750" s="64"/>
    </row>
    <row r="751" spans="1:1" ht="12.6">
      <c r="A751" s="64"/>
    </row>
    <row r="752" spans="1:1" ht="12.6">
      <c r="A752" s="64"/>
    </row>
    <row r="753" spans="1:1" ht="12.6">
      <c r="A753" s="64"/>
    </row>
    <row r="754" spans="1:1" ht="12.6">
      <c r="A754" s="64"/>
    </row>
    <row r="755" spans="1:1" ht="12.6">
      <c r="A755" s="64"/>
    </row>
    <row r="756" spans="1:1" ht="12.6">
      <c r="A756" s="64"/>
    </row>
    <row r="757" spans="1:1" ht="12.6">
      <c r="A757" s="64"/>
    </row>
    <row r="758" spans="1:1" ht="12.6">
      <c r="A758" s="64"/>
    </row>
    <row r="759" spans="1:1" ht="12.6">
      <c r="A759" s="64"/>
    </row>
    <row r="760" spans="1:1" ht="12.6">
      <c r="A760" s="64"/>
    </row>
    <row r="761" spans="1:1" ht="12.6">
      <c r="A761" s="64"/>
    </row>
    <row r="762" spans="1:1" ht="12.6">
      <c r="A762" s="64"/>
    </row>
    <row r="763" spans="1:1" ht="12.6">
      <c r="A763" s="64"/>
    </row>
    <row r="764" spans="1:1" ht="12.6">
      <c r="A764" s="64"/>
    </row>
    <row r="765" spans="1:1" ht="12.6">
      <c r="A765" s="64"/>
    </row>
    <row r="766" spans="1:1" ht="12.6">
      <c r="A766" s="64"/>
    </row>
    <row r="767" spans="1:1" ht="12.6">
      <c r="A767" s="64"/>
    </row>
    <row r="768" spans="1:1" ht="12.6">
      <c r="A768" s="64"/>
    </row>
    <row r="769" spans="1:1" ht="12.6">
      <c r="A769" s="64"/>
    </row>
    <row r="770" spans="1:1" ht="12.6">
      <c r="A770" s="64"/>
    </row>
    <row r="771" spans="1:1" ht="12.6">
      <c r="A771" s="64"/>
    </row>
    <row r="772" spans="1:1" ht="12.6">
      <c r="A772" s="64"/>
    </row>
    <row r="773" spans="1:1" ht="12.6">
      <c r="A773" s="64"/>
    </row>
    <row r="774" spans="1:1" ht="12.6">
      <c r="A774" s="64"/>
    </row>
    <row r="775" spans="1:1" ht="12.6">
      <c r="A775" s="64"/>
    </row>
    <row r="776" spans="1:1" ht="12.6">
      <c r="A776" s="64"/>
    </row>
    <row r="777" spans="1:1" ht="12.6">
      <c r="A777" s="64"/>
    </row>
    <row r="778" spans="1:1" ht="12.6">
      <c r="A778" s="64"/>
    </row>
    <row r="779" spans="1:1" ht="12.6">
      <c r="A779" s="64"/>
    </row>
    <row r="780" spans="1:1" ht="12.6">
      <c r="A780" s="64"/>
    </row>
    <row r="781" spans="1:1" ht="12.6">
      <c r="A781" s="64"/>
    </row>
    <row r="782" spans="1:1" ht="12.6">
      <c r="A782" s="64"/>
    </row>
    <row r="783" spans="1:1" ht="12.6">
      <c r="A783" s="64"/>
    </row>
    <row r="784" spans="1:1" ht="12.6">
      <c r="A784" s="64"/>
    </row>
    <row r="785" spans="1:1" ht="12.6">
      <c r="A785" s="64"/>
    </row>
    <row r="786" spans="1:1" ht="12.6">
      <c r="A786" s="64"/>
    </row>
    <row r="787" spans="1:1" ht="12.6">
      <c r="A787" s="64"/>
    </row>
    <row r="788" spans="1:1" ht="12.6">
      <c r="A788" s="64"/>
    </row>
    <row r="789" spans="1:1" ht="12.6">
      <c r="A789" s="64"/>
    </row>
    <row r="790" spans="1:1" ht="12.6">
      <c r="A790" s="64"/>
    </row>
    <row r="791" spans="1:1" ht="12.6">
      <c r="A791" s="64"/>
    </row>
    <row r="792" spans="1:1" ht="12.6">
      <c r="A792" s="64"/>
    </row>
    <row r="793" spans="1:1" ht="12.6">
      <c r="A793" s="64"/>
    </row>
    <row r="794" spans="1:1" ht="12.6">
      <c r="A794" s="64"/>
    </row>
    <row r="795" spans="1:1" ht="12.6">
      <c r="A795" s="64"/>
    </row>
    <row r="796" spans="1:1" ht="12.6">
      <c r="A796" s="64"/>
    </row>
    <row r="797" spans="1:1" ht="12.6">
      <c r="A797" s="64"/>
    </row>
    <row r="798" spans="1:1" ht="12.6">
      <c r="A798" s="64"/>
    </row>
    <row r="799" spans="1:1" ht="12.6">
      <c r="A799" s="64"/>
    </row>
    <row r="800" spans="1:1" ht="12.6">
      <c r="A800" s="64"/>
    </row>
    <row r="801" spans="1:1" ht="12.6">
      <c r="A801" s="64"/>
    </row>
    <row r="802" spans="1:1" ht="12.6">
      <c r="A802" s="64"/>
    </row>
    <row r="803" spans="1:1" ht="12.6">
      <c r="A803" s="64"/>
    </row>
    <row r="804" spans="1:1" ht="12.6">
      <c r="A804" s="64"/>
    </row>
    <row r="805" spans="1:1" ht="12.6">
      <c r="A805" s="64"/>
    </row>
    <row r="806" spans="1:1" ht="12.6">
      <c r="A806" s="64"/>
    </row>
    <row r="807" spans="1:1" ht="12.6">
      <c r="A807" s="64"/>
    </row>
    <row r="808" spans="1:1" ht="12.6">
      <c r="A808" s="64"/>
    </row>
    <row r="809" spans="1:1" ht="12.6">
      <c r="A809" s="64"/>
    </row>
    <row r="810" spans="1:1" ht="12.6">
      <c r="A810" s="64"/>
    </row>
    <row r="811" spans="1:1" ht="12.6">
      <c r="A811" s="64"/>
    </row>
    <row r="812" spans="1:1" ht="12.6">
      <c r="A812" s="64"/>
    </row>
    <row r="813" spans="1:1" ht="12.6">
      <c r="A813" s="64"/>
    </row>
    <row r="814" spans="1:1" ht="12.6">
      <c r="A814" s="64"/>
    </row>
    <row r="815" spans="1:1" ht="12.6">
      <c r="A815" s="64"/>
    </row>
    <row r="816" spans="1:1" ht="12.6">
      <c r="A816" s="64"/>
    </row>
    <row r="817" spans="1:1" ht="12.6">
      <c r="A817" s="64"/>
    </row>
    <row r="818" spans="1:1" ht="12.6">
      <c r="A818" s="64"/>
    </row>
    <row r="819" spans="1:1" ht="12.6">
      <c r="A819" s="64"/>
    </row>
    <row r="820" spans="1:1" ht="12.6">
      <c r="A820" s="64"/>
    </row>
    <row r="821" spans="1:1" ht="12.6">
      <c r="A821" s="64"/>
    </row>
    <row r="822" spans="1:1" ht="12.6">
      <c r="A822" s="64"/>
    </row>
    <row r="823" spans="1:1" ht="12.6">
      <c r="A823" s="64"/>
    </row>
    <row r="824" spans="1:1" ht="12.6">
      <c r="A824" s="64"/>
    </row>
    <row r="825" spans="1:1" ht="12.6">
      <c r="A825" s="64"/>
    </row>
    <row r="826" spans="1:1" ht="12.6">
      <c r="A826" s="64"/>
    </row>
    <row r="827" spans="1:1" ht="12.6">
      <c r="A827" s="64"/>
    </row>
    <row r="828" spans="1:1" ht="12.6">
      <c r="A828" s="64"/>
    </row>
    <row r="829" spans="1:1" ht="12.6">
      <c r="A829" s="64"/>
    </row>
    <row r="830" spans="1:1" ht="12.6">
      <c r="A830" s="64"/>
    </row>
    <row r="831" spans="1:1" ht="12.6">
      <c r="A831" s="64"/>
    </row>
    <row r="832" spans="1:1" ht="12.6">
      <c r="A832" s="64"/>
    </row>
    <row r="833" spans="1:1" ht="12.6">
      <c r="A833" s="64"/>
    </row>
    <row r="834" spans="1:1" ht="12.6">
      <c r="A834" s="64"/>
    </row>
    <row r="835" spans="1:1" ht="12.6">
      <c r="A835" s="64"/>
    </row>
    <row r="836" spans="1:1" ht="12.6">
      <c r="A836" s="64"/>
    </row>
    <row r="837" spans="1:1" ht="12.6">
      <c r="A837" s="64"/>
    </row>
    <row r="838" spans="1:1" ht="12.6">
      <c r="A838" s="64"/>
    </row>
    <row r="839" spans="1:1" ht="12.6">
      <c r="A839" s="64"/>
    </row>
    <row r="840" spans="1:1" ht="12.6">
      <c r="A840" s="64"/>
    </row>
    <row r="841" spans="1:1" ht="12.6">
      <c r="A841" s="64"/>
    </row>
    <row r="842" spans="1:1" ht="12.6">
      <c r="A842" s="64"/>
    </row>
    <row r="843" spans="1:1" ht="12.6">
      <c r="A843" s="64"/>
    </row>
    <row r="844" spans="1:1" ht="12.6">
      <c r="A844" s="64"/>
    </row>
    <row r="845" spans="1:1" ht="12.6">
      <c r="A845" s="64"/>
    </row>
    <row r="846" spans="1:1" ht="12.6">
      <c r="A846" s="64"/>
    </row>
    <row r="847" spans="1:1" ht="12.6">
      <c r="A847" s="64"/>
    </row>
    <row r="848" spans="1:1" ht="12.6">
      <c r="A848" s="64"/>
    </row>
    <row r="849" spans="1:1" ht="12.6">
      <c r="A849" s="64"/>
    </row>
    <row r="850" spans="1:1" ht="12.6">
      <c r="A850" s="64"/>
    </row>
    <row r="851" spans="1:1" ht="12.6">
      <c r="A851" s="64"/>
    </row>
    <row r="852" spans="1:1" ht="12.6">
      <c r="A852" s="64"/>
    </row>
    <row r="853" spans="1:1" ht="12.6">
      <c r="A853" s="64"/>
    </row>
    <row r="854" spans="1:1" ht="12.6">
      <c r="A854" s="64"/>
    </row>
    <row r="855" spans="1:1" ht="12.6">
      <c r="A855" s="64"/>
    </row>
    <row r="856" spans="1:1" ht="12.6">
      <c r="A856" s="64"/>
    </row>
    <row r="857" spans="1:1" ht="12.6">
      <c r="A857" s="64"/>
    </row>
    <row r="858" spans="1:1" ht="12.6">
      <c r="A858" s="64"/>
    </row>
    <row r="859" spans="1:1" ht="12.6">
      <c r="A859" s="64"/>
    </row>
    <row r="860" spans="1:1" ht="12.6">
      <c r="A860" s="64"/>
    </row>
    <row r="861" spans="1:1" ht="12.6">
      <c r="A861" s="64"/>
    </row>
    <row r="862" spans="1:1" ht="12.6">
      <c r="A862" s="64"/>
    </row>
    <row r="863" spans="1:1" ht="12.6">
      <c r="A863" s="64"/>
    </row>
    <row r="864" spans="1:1" ht="12.6">
      <c r="A864" s="64"/>
    </row>
    <row r="865" spans="1:1" ht="12.6">
      <c r="A865" s="64"/>
    </row>
    <row r="866" spans="1:1" ht="12.6">
      <c r="A866" s="64"/>
    </row>
    <row r="867" spans="1:1" ht="12.6">
      <c r="A867" s="64"/>
    </row>
    <row r="868" spans="1:1" ht="12.6">
      <c r="A868" s="64"/>
    </row>
    <row r="869" spans="1:1" ht="12.6">
      <c r="A869" s="64"/>
    </row>
    <row r="870" spans="1:1" ht="12.6">
      <c r="A870" s="64"/>
    </row>
    <row r="871" spans="1:1" ht="12.6">
      <c r="A871" s="64"/>
    </row>
    <row r="872" spans="1:1" ht="12.6">
      <c r="A872" s="64"/>
    </row>
    <row r="873" spans="1:1" ht="12.6">
      <c r="A873" s="64"/>
    </row>
    <row r="874" spans="1:1" ht="12.6">
      <c r="A874" s="64"/>
    </row>
    <row r="875" spans="1:1" ht="12.6">
      <c r="A875" s="64"/>
    </row>
    <row r="876" spans="1:1" ht="12.6">
      <c r="A876" s="64"/>
    </row>
    <row r="877" spans="1:1" ht="12.6">
      <c r="A877" s="64"/>
    </row>
    <row r="878" spans="1:1" ht="12.6">
      <c r="A878" s="64"/>
    </row>
    <row r="879" spans="1:1" ht="12.6">
      <c r="A879" s="64"/>
    </row>
    <row r="880" spans="1:1" ht="12.6">
      <c r="A880" s="64"/>
    </row>
    <row r="881" spans="1:1" ht="12.6">
      <c r="A881" s="64"/>
    </row>
    <row r="882" spans="1:1" ht="12.6">
      <c r="A882" s="64"/>
    </row>
    <row r="883" spans="1:1" ht="12.6">
      <c r="A883" s="64"/>
    </row>
    <row r="884" spans="1:1" ht="12.6">
      <c r="A884" s="64"/>
    </row>
    <row r="885" spans="1:1" ht="12.6">
      <c r="A885" s="64"/>
    </row>
    <row r="886" spans="1:1" ht="12.6">
      <c r="A886" s="64"/>
    </row>
    <row r="887" spans="1:1" ht="12.6">
      <c r="A887" s="64"/>
    </row>
    <row r="888" spans="1:1" ht="12.6">
      <c r="A888" s="64"/>
    </row>
    <row r="889" spans="1:1" ht="12.6">
      <c r="A889" s="64"/>
    </row>
    <row r="890" spans="1:1" ht="12.6">
      <c r="A890" s="64"/>
    </row>
    <row r="891" spans="1:1" ht="12.6">
      <c r="A891" s="64"/>
    </row>
    <row r="892" spans="1:1" ht="12.6">
      <c r="A892" s="64"/>
    </row>
    <row r="893" spans="1:1" ht="12.6">
      <c r="A893" s="64"/>
    </row>
    <row r="894" spans="1:1" ht="12.6">
      <c r="A894" s="64"/>
    </row>
    <row r="895" spans="1:1" ht="12.6">
      <c r="A895" s="64"/>
    </row>
    <row r="896" spans="1:1" ht="12.6">
      <c r="A896" s="64"/>
    </row>
    <row r="897" spans="1:1" ht="12.6">
      <c r="A897" s="64"/>
    </row>
    <row r="898" spans="1:1" ht="12.6">
      <c r="A898" s="64"/>
    </row>
    <row r="899" spans="1:1" ht="12.6">
      <c r="A899" s="64"/>
    </row>
    <row r="900" spans="1:1" ht="12.6">
      <c r="A900" s="64"/>
    </row>
    <row r="901" spans="1:1" ht="12.6">
      <c r="A901" s="64"/>
    </row>
    <row r="902" spans="1:1" ht="12.6">
      <c r="A902" s="64"/>
    </row>
    <row r="903" spans="1:1" ht="12.6">
      <c r="A903" s="64"/>
    </row>
    <row r="904" spans="1:1" ht="12.6">
      <c r="A904" s="64"/>
    </row>
    <row r="905" spans="1:1" ht="12.6">
      <c r="A905" s="64"/>
    </row>
    <row r="906" spans="1:1" ht="12.6">
      <c r="A906" s="64"/>
    </row>
    <row r="907" spans="1:1" ht="12.6">
      <c r="A907" s="64"/>
    </row>
    <row r="908" spans="1:1" ht="12.6">
      <c r="A908" s="64"/>
    </row>
    <row r="909" spans="1:1" ht="12.6">
      <c r="A909" s="64"/>
    </row>
    <row r="910" spans="1:1" ht="12.6">
      <c r="A910" s="64"/>
    </row>
    <row r="911" spans="1:1" ht="12.6">
      <c r="A911" s="64"/>
    </row>
    <row r="912" spans="1:1" ht="12.6">
      <c r="A912" s="64"/>
    </row>
    <row r="913" spans="1:1" ht="12.6">
      <c r="A913" s="64"/>
    </row>
    <row r="914" spans="1:1" ht="12.6">
      <c r="A914" s="64"/>
    </row>
    <row r="915" spans="1:1" ht="12.6">
      <c r="A915" s="64"/>
    </row>
    <row r="916" spans="1:1" ht="12.6">
      <c r="A916" s="64"/>
    </row>
    <row r="917" spans="1:1" ht="12.6">
      <c r="A917" s="64"/>
    </row>
    <row r="918" spans="1:1" ht="12.6">
      <c r="A918" s="64"/>
    </row>
    <row r="919" spans="1:1" ht="12.6">
      <c r="A919" s="64"/>
    </row>
    <row r="920" spans="1:1" ht="12.6">
      <c r="A920" s="64"/>
    </row>
    <row r="921" spans="1:1" ht="12.6">
      <c r="A921" s="64"/>
    </row>
    <row r="922" spans="1:1" ht="12.6">
      <c r="A922" s="64"/>
    </row>
    <row r="923" spans="1:1" ht="12.6">
      <c r="A923" s="64"/>
    </row>
    <row r="924" spans="1:1" ht="12.6">
      <c r="A924" s="64"/>
    </row>
    <row r="925" spans="1:1" ht="12.6">
      <c r="A925" s="64"/>
    </row>
    <row r="926" spans="1:1" ht="12.6">
      <c r="A926" s="64"/>
    </row>
    <row r="927" spans="1:1" ht="12.6">
      <c r="A927" s="64"/>
    </row>
    <row r="928" spans="1:1" ht="12.6">
      <c r="A928" s="64"/>
    </row>
    <row r="929" spans="1:1" ht="12.6">
      <c r="A929" s="64"/>
    </row>
    <row r="930" spans="1:1" ht="12.6">
      <c r="A930" s="64"/>
    </row>
    <row r="931" spans="1:1" ht="12.6">
      <c r="A931" s="64"/>
    </row>
    <row r="932" spans="1:1" ht="12.6">
      <c r="A932" s="64"/>
    </row>
    <row r="933" spans="1:1" ht="12.6">
      <c r="A933" s="64"/>
    </row>
    <row r="934" spans="1:1" ht="12.6">
      <c r="A934" s="64"/>
    </row>
    <row r="935" spans="1:1" ht="12.6">
      <c r="A935" s="64"/>
    </row>
    <row r="936" spans="1:1" ht="12.6">
      <c r="A936" s="64"/>
    </row>
    <row r="937" spans="1:1" ht="12.6">
      <c r="A937" s="64"/>
    </row>
    <row r="938" spans="1:1" ht="12.6">
      <c r="A938" s="64"/>
    </row>
    <row r="939" spans="1:1" ht="12.6">
      <c r="A939" s="64"/>
    </row>
    <row r="940" spans="1:1" ht="12.6">
      <c r="A940" s="64"/>
    </row>
    <row r="941" spans="1:1" ht="12.6">
      <c r="A941" s="64"/>
    </row>
    <row r="942" spans="1:1" ht="12.6">
      <c r="A942" s="64"/>
    </row>
    <row r="943" spans="1:1" ht="12.6">
      <c r="A943" s="64"/>
    </row>
    <row r="944" spans="1:1" ht="12.6">
      <c r="A944" s="64"/>
    </row>
    <row r="945" spans="1:1" ht="12.6">
      <c r="A945" s="64"/>
    </row>
    <row r="946" spans="1:1" ht="12.6">
      <c r="A946" s="64"/>
    </row>
    <row r="947" spans="1:1" ht="12.6">
      <c r="A947" s="64"/>
    </row>
    <row r="948" spans="1:1" ht="12.6">
      <c r="A948" s="64"/>
    </row>
    <row r="949" spans="1:1" ht="12.6">
      <c r="A949" s="64"/>
    </row>
    <row r="950" spans="1:1" ht="12.6">
      <c r="A950" s="64"/>
    </row>
    <row r="951" spans="1:1" ht="12.6">
      <c r="A951" s="64"/>
    </row>
    <row r="952" spans="1:1" ht="12.6">
      <c r="A952" s="64"/>
    </row>
    <row r="953" spans="1:1" ht="12.6">
      <c r="A953" s="64"/>
    </row>
    <row r="954" spans="1:1" ht="12.6">
      <c r="A954" s="64"/>
    </row>
    <row r="955" spans="1:1" ht="12.6">
      <c r="A955" s="64"/>
    </row>
    <row r="956" spans="1:1" ht="12.6">
      <c r="A956" s="64"/>
    </row>
    <row r="957" spans="1:1" ht="12.6">
      <c r="A957" s="64"/>
    </row>
    <row r="958" spans="1:1" ht="12.6">
      <c r="A958" s="64"/>
    </row>
    <row r="959" spans="1:1" ht="12.6">
      <c r="A959" s="64"/>
    </row>
    <row r="960" spans="1:1" ht="12.6">
      <c r="A960" s="64"/>
    </row>
    <row r="961" spans="1:1" ht="12.6">
      <c r="A961" s="64"/>
    </row>
    <row r="962" spans="1:1" ht="12.6">
      <c r="A962" s="64"/>
    </row>
    <row r="963" spans="1:1" ht="12.6">
      <c r="A963" s="64"/>
    </row>
    <row r="964" spans="1:1" ht="12.6">
      <c r="A964" s="64"/>
    </row>
    <row r="965" spans="1:1" ht="12.6">
      <c r="A965" s="64"/>
    </row>
    <row r="966" spans="1:1" ht="12.6">
      <c r="A966" s="64"/>
    </row>
    <row r="967" spans="1:1" ht="12.6">
      <c r="A967" s="64"/>
    </row>
    <row r="968" spans="1:1" ht="12.6">
      <c r="A968" s="64"/>
    </row>
    <row r="969" spans="1:1" ht="12.6">
      <c r="A969" s="64"/>
    </row>
    <row r="970" spans="1:1" ht="12.6">
      <c r="A970" s="64"/>
    </row>
    <row r="971" spans="1:1" ht="12.6">
      <c r="A971" s="64"/>
    </row>
    <row r="972" spans="1:1" ht="12.6">
      <c r="A972" s="64"/>
    </row>
    <row r="973" spans="1:1" ht="12.6">
      <c r="A973" s="64"/>
    </row>
    <row r="974" spans="1:1" ht="12.6">
      <c r="A974" s="64"/>
    </row>
    <row r="975" spans="1:1" ht="12.6">
      <c r="A975" s="64"/>
    </row>
    <row r="976" spans="1:1" ht="12.6">
      <c r="A976" s="64"/>
    </row>
    <row r="977" spans="1:1" ht="12.6">
      <c r="A977" s="64"/>
    </row>
    <row r="978" spans="1:1" ht="12.6">
      <c r="A978" s="64"/>
    </row>
    <row r="979" spans="1:1" ht="12.6">
      <c r="A979" s="64"/>
    </row>
    <row r="980" spans="1:1" ht="12.6">
      <c r="A980" s="64"/>
    </row>
    <row r="981" spans="1:1" ht="12.6">
      <c r="A981" s="64"/>
    </row>
    <row r="982" spans="1:1" ht="12.6">
      <c r="A982" s="64"/>
    </row>
    <row r="983" spans="1:1" ht="12.6">
      <c r="A983" s="64"/>
    </row>
    <row r="984" spans="1:1" ht="12.6">
      <c r="A984" s="64"/>
    </row>
    <row r="985" spans="1:1" ht="12.6">
      <c r="A985" s="64"/>
    </row>
    <row r="986" spans="1:1" ht="12.6">
      <c r="A986" s="64"/>
    </row>
    <row r="987" spans="1:1" ht="12.6">
      <c r="A987" s="64"/>
    </row>
    <row r="988" spans="1:1" ht="12.6">
      <c r="A988" s="64"/>
    </row>
    <row r="989" spans="1:1" ht="12.6">
      <c r="A989" s="64"/>
    </row>
    <row r="990" spans="1:1" ht="12.6">
      <c r="A990" s="64"/>
    </row>
    <row r="991" spans="1:1" ht="12.6">
      <c r="A991" s="64"/>
    </row>
    <row r="992" spans="1:1" ht="12.6">
      <c r="A992" s="64"/>
    </row>
    <row r="993" spans="1:1" ht="12.6">
      <c r="A993" s="64"/>
    </row>
    <row r="994" spans="1:1" ht="12.6">
      <c r="A994" s="64"/>
    </row>
    <row r="995" spans="1:1" ht="12.6">
      <c r="A995" s="64"/>
    </row>
    <row r="996" spans="1:1" ht="12.6">
      <c r="A996" s="64"/>
    </row>
    <row r="997" spans="1:1" ht="12.6">
      <c r="A997" s="64"/>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2025-04-30T10:54:44Z</dcterms:created>
  <dcterms:modified xsi:type="dcterms:W3CDTF">2026-05-25T14:45:10Z</dcterms:modified>
  <cp:category/>
  <cp:contentStatus/>
</cp:coreProperties>
</file>